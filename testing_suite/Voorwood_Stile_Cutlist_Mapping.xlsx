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le Cutlist Mapping" sheetId="1" state="visible" r:id="rId1"/>
    <sheet xmlns:r="http://schemas.openxmlformats.org/officeDocument/2006/relationships" name="Door Cutlis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FFFFFF"/>
      <sz val="12"/>
    </font>
    <font>
      <b val="1"/>
    </font>
    <font>
      <b val="1"/>
      <sz val="11"/>
    </font>
    <font>
      <b val="1"/>
      <color rgb="00FFFFFF"/>
      <sz val="11"/>
    </font>
    <font/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6" fillId="7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7" fillId="4" borderId="1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45" customWidth="1" min="4" max="4"/>
    <col width="55" customWidth="1" min="5" max="5"/>
  </cols>
  <sheetData>
    <row r="1">
      <c r="A1" s="1" t="inlineStr">
        <is>
          <t>Voorwood Testing Planning (STILE)</t>
        </is>
      </c>
    </row>
    <row r="2">
      <c r="A2" s="2" t="inlineStr">
        <is>
          <t>Change yellow INPUT cells to see how CSV outputs update via formulas</t>
        </is>
      </c>
    </row>
    <row r="4">
      <c r="A4" s="3" t="inlineStr">
        <is>
          <t>F360 MODEL INPUT PARAMETERS</t>
        </is>
      </c>
      <c r="B4" s="3" t="inlineStr">
        <is>
          <t>VALUE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EXAMPLE / NOTES</t>
        </is>
      </c>
    </row>
    <row r="5">
      <c r="A5" s="4" t="inlineStr">
        <is>
          <t>component_height</t>
        </is>
      </c>
      <c r="B5" s="5" t="n">
        <v>111.9375</v>
      </c>
      <c r="C5" s="6" t="inlineStr">
        <is>
          <t>float (in)</t>
        </is>
      </c>
      <c r="D5" s="6" t="inlineStr">
        <is>
          <t>Height of the stile component</t>
        </is>
      </c>
      <c r="E5" s="6" t="inlineStr">
        <is>
          <t>Maps to Length in CSV</t>
        </is>
      </c>
    </row>
    <row r="6">
      <c r="A6" s="4" t="inlineStr">
        <is>
          <t>component_width</t>
        </is>
      </c>
      <c r="B6" s="5" t="n">
        <v>6</v>
      </c>
      <c r="C6" s="6" t="inlineStr">
        <is>
          <t>float (in)</t>
        </is>
      </c>
      <c r="D6" s="6" t="inlineStr">
        <is>
          <t>Width of the stile component</t>
        </is>
      </c>
      <c r="E6" s="6" t="inlineStr">
        <is>
          <t>Maps to Width in CSV</t>
        </is>
      </c>
    </row>
    <row r="7">
      <c r="A7" s="4" t="inlineStr">
        <is>
          <t>component_thickness</t>
        </is>
      </c>
      <c r="B7" s="5" t="n">
        <v>0.75</v>
      </c>
      <c r="C7" s="6" t="inlineStr">
        <is>
          <t>float (in)</t>
        </is>
      </c>
      <c r="D7" s="6" t="inlineStr">
        <is>
          <t>Thickness of the stile component</t>
        </is>
      </c>
      <c r="E7" s="6" t="inlineStr">
        <is>
          <t>Maps to Thickness in CSV</t>
        </is>
      </c>
    </row>
    <row r="8">
      <c r="A8" s="4" t="inlineStr">
        <is>
          <t>ID</t>
        </is>
      </c>
      <c r="B8" s="5" t="inlineStr">
        <is>
          <t>1-S1-IBUS12345</t>
        </is>
      </c>
      <c r="C8" s="6" t="inlineStr">
        <is>
          <t>string</t>
        </is>
      </c>
      <c r="D8" s="6" t="inlineStr">
        <is>
          <t>Full component ID: {qty}-{comp_id}-{SO}</t>
        </is>
      </c>
      <c r="E8" s="6" t="inlineStr">
        <is>
          <t>Format: qty-compID-orderSO</t>
        </is>
      </c>
    </row>
    <row r="9">
      <c r="A9" s="4" t="inlineStr">
        <is>
          <t>Series</t>
        </is>
      </c>
      <c r="B9" s="5" t="inlineStr">
        <is>
          <t>3082G.67P</t>
        </is>
      </c>
      <c r="C9" s="6" t="inlineStr">
        <is>
          <t>string</t>
        </is>
      </c>
      <c r="D9" s="6" t="inlineStr">
        <is>
          <t>Series identifier</t>
        </is>
      </c>
      <c r="E9" s="6" t="inlineStr">
        <is>
          <t>e.g. 3082G.67P, 3086G, etc.</t>
        </is>
      </c>
    </row>
    <row r="10">
      <c r="A10" s="4" t="inlineStr">
        <is>
          <t>left_side_door</t>
        </is>
      </c>
      <c r="B10" s="5" t="n">
        <v>1</v>
      </c>
      <c r="C10" s="6" t="inlineStr">
        <is>
          <t>bool (0/1)</t>
        </is>
      </c>
      <c r="D10" s="6" t="inlineStr">
        <is>
          <t>Is there a door on the left side?</t>
        </is>
      </c>
      <c r="E10" s="6" t="inlineStr">
        <is>
          <t>1=yes, 0=no</t>
        </is>
      </c>
    </row>
    <row r="11">
      <c r="A11" s="4" t="inlineStr">
        <is>
          <t>left_door_hinging_right</t>
        </is>
      </c>
      <c r="B11" s="5" t="n">
        <v>0</v>
      </c>
      <c r="C11" s="6" t="inlineStr">
        <is>
          <t>bool (0/1)</t>
        </is>
      </c>
      <c r="D11" s="6" t="inlineStr">
        <is>
          <t>Left door hinges on right (=this stile is hinge stile)</t>
        </is>
      </c>
      <c r="E11" s="6" t="inlineStr">
        <is>
          <t>1=RH, 0=LH</t>
        </is>
      </c>
    </row>
    <row r="12">
      <c r="A12" s="4" t="inlineStr">
        <is>
          <t>left_door_swinging_out</t>
        </is>
      </c>
      <c r="B12" s="5" t="n">
        <v>0</v>
      </c>
      <c r="C12" s="6" t="inlineStr">
        <is>
          <t>bool (0/1)</t>
        </is>
      </c>
      <c r="D12" s="6" t="inlineStr">
        <is>
          <t>Left door swings outward</t>
        </is>
      </c>
      <c r="E12" s="6" t="inlineStr">
        <is>
          <t>1=O/S, 0=I/S</t>
        </is>
      </c>
    </row>
    <row r="13">
      <c r="A13" s="4" t="inlineStr">
        <is>
          <t>left_door_floor_clearance</t>
        </is>
      </c>
      <c r="B13" s="5" t="n">
        <v>4.5</v>
      </c>
      <c r="C13" s="6" t="inlineStr">
        <is>
          <t>float (in)</t>
        </is>
      </c>
      <c r="D13" s="6" t="inlineStr">
        <is>
          <t>Floor clearance for left door</t>
        </is>
      </c>
      <c r="E13" s="6" t="inlineStr">
        <is>
          <t>Maps to FC SIDE 2</t>
        </is>
      </c>
    </row>
    <row r="14">
      <c r="A14" s="4" t="inlineStr">
        <is>
          <t>right_side_door</t>
        </is>
      </c>
      <c r="B14" s="5" t="n">
        <v>1</v>
      </c>
      <c r="C14" s="6" t="inlineStr">
        <is>
          <t>bool (0/1)</t>
        </is>
      </c>
      <c r="D14" s="6" t="inlineStr">
        <is>
          <t>Is there a door on the right side?</t>
        </is>
      </c>
      <c r="E14" s="6" t="inlineStr">
        <is>
          <t>1=yes, 0=no</t>
        </is>
      </c>
    </row>
    <row r="15">
      <c r="A15" s="4" t="inlineStr">
        <is>
          <t>right_door_hinging_right</t>
        </is>
      </c>
      <c r="B15" s="5" t="n">
        <v>1</v>
      </c>
      <c r="C15" s="6" t="inlineStr">
        <is>
          <t>bool (0/1)</t>
        </is>
      </c>
      <c r="D15" s="6" t="inlineStr">
        <is>
          <t>Right door hinges on right (=this stile is keep stile)</t>
        </is>
      </c>
      <c r="E15" s="6" t="inlineStr">
        <is>
          <t>1=RH, 0=LH</t>
        </is>
      </c>
    </row>
    <row r="16">
      <c r="A16" s="4" t="inlineStr">
        <is>
          <t>right_door_swinging_out</t>
        </is>
      </c>
      <c r="B16" s="5" t="n">
        <v>0</v>
      </c>
      <c r="C16" s="6" t="inlineStr">
        <is>
          <t>bool (0/1)</t>
        </is>
      </c>
      <c r="D16" s="6" t="inlineStr">
        <is>
          <t>Right door swings outward</t>
        </is>
      </c>
      <c r="E16" s="6" t="inlineStr">
        <is>
          <t>1=O/S, 0=I/S</t>
        </is>
      </c>
    </row>
    <row r="17">
      <c r="A17" s="4" t="inlineStr">
        <is>
          <t>right_door_floor_clearance</t>
        </is>
      </c>
      <c r="B17" s="5" t="n">
        <v>4.5</v>
      </c>
      <c r="C17" s="6" t="inlineStr">
        <is>
          <t>float (in)</t>
        </is>
      </c>
      <c r="D17" s="6" t="inlineStr">
        <is>
          <t>Floor clearance for right door</t>
        </is>
      </c>
      <c r="E17" s="6" t="inlineStr">
        <is>
          <t>Maps to FC SIDE 1</t>
        </is>
      </c>
    </row>
    <row r="18">
      <c r="A18" s="4" t="inlineStr">
        <is>
          <t>right_interior_rabbeting</t>
        </is>
      </c>
      <c r="B18" s="5" t="n">
        <v>1</v>
      </c>
      <c r="C18" s="6" t="inlineStr">
        <is>
          <t>bool (0/1)</t>
        </is>
      </c>
      <c r="D18" s="6" t="inlineStr">
        <is>
          <t>Right side has interior (bottom face) rabbeting</t>
        </is>
      </c>
      <c r="E18" s="6" t="inlineStr">
        <is>
          <t>Used for GappingSide1 / GappingTopSide1</t>
        </is>
      </c>
    </row>
    <row r="19">
      <c r="A19" s="4" t="inlineStr">
        <is>
          <t>right_exterior_rabbeting</t>
        </is>
      </c>
      <c r="B19" s="5" t="n">
        <v>0</v>
      </c>
      <c r="C19" s="6" t="inlineStr">
        <is>
          <t>bool (0/1)</t>
        </is>
      </c>
      <c r="D19" s="6" t="inlineStr">
        <is>
          <t>Right side has exterior (top face) rabbeting</t>
        </is>
      </c>
      <c r="E19" s="6" t="inlineStr">
        <is>
          <t>Used for GappingSide1 / GappingTopSide1</t>
        </is>
      </c>
    </row>
    <row r="20">
      <c r="A20" s="4" t="inlineStr">
        <is>
          <t>left_interior_rabbeting</t>
        </is>
      </c>
      <c r="B20" s="5" t="n">
        <v>0</v>
      </c>
      <c r="C20" s="6" t="inlineStr">
        <is>
          <t>bool (0/1)</t>
        </is>
      </c>
      <c r="D20" s="6" t="inlineStr">
        <is>
          <t>Left side has interior (bottom face) rabbeting</t>
        </is>
      </c>
      <c r="E20" s="6" t="inlineStr">
        <is>
          <t>Used for GappingSide2 / GappingTopSide2</t>
        </is>
      </c>
    </row>
    <row r="21">
      <c r="A21" s="4" t="inlineStr">
        <is>
          <t>left_exterior_rabbeting</t>
        </is>
      </c>
      <c r="B21" s="5" t="n">
        <v>1</v>
      </c>
      <c r="C21" s="6" t="inlineStr">
        <is>
          <t>bool (0/1)</t>
        </is>
      </c>
      <c r="D21" s="6" t="inlineStr">
        <is>
          <t>Left side has exterior (top face) rabbeting</t>
        </is>
      </c>
      <c r="E21" s="6" t="inlineStr">
        <is>
          <t>Used for GappingSide2 / GappingTopSide2</t>
        </is>
      </c>
    </row>
    <row r="22">
      <c r="A22" s="4" t="inlineStr">
        <is>
          <t>right_rabbeting_top</t>
        </is>
      </c>
      <c r="B22" s="5" t="n">
        <v>2</v>
      </c>
      <c r="C22" s="6" t="inlineStr">
        <is>
          <t>float (in)</t>
        </is>
      </c>
      <c r="D22" s="6" t="inlineStr">
        <is>
          <t>Right side rabbeting start (from top of stile)</t>
        </is>
      </c>
      <c r="E22" s="6" t="inlineStr">
        <is>
          <t>Maps to GappingStartSide1</t>
        </is>
      </c>
    </row>
    <row r="23">
      <c r="A23" s="4" t="inlineStr">
        <is>
          <t>right_rabbeting_length</t>
        </is>
      </c>
      <c r="B23" s="5" t="n">
        <v>75</v>
      </c>
      <c r="C23" s="6" t="inlineStr">
        <is>
          <t>float (in)</t>
        </is>
      </c>
      <c r="D23" s="6" t="inlineStr">
        <is>
          <t>Right side rabbeting length</t>
        </is>
      </c>
      <c r="E23" s="6" t="inlineStr">
        <is>
          <t>Maps to GappingLengthSide1</t>
        </is>
      </c>
    </row>
    <row r="24">
      <c r="A24" s="4" t="inlineStr">
        <is>
          <t>left_rabbeting_top</t>
        </is>
      </c>
      <c r="B24" s="5" t="n">
        <v>2</v>
      </c>
      <c r="C24" s="6" t="inlineStr">
        <is>
          <t>float (in)</t>
        </is>
      </c>
      <c r="D24" s="6" t="inlineStr">
        <is>
          <t>Left side rabbeting start (from top of stile)</t>
        </is>
      </c>
      <c r="E24" s="6" t="inlineStr">
        <is>
          <t>Maps to GappingStartSide2</t>
        </is>
      </c>
    </row>
    <row r="25">
      <c r="A25" s="4" t="inlineStr">
        <is>
          <t>left_rabbeting_length</t>
        </is>
      </c>
      <c r="B25" s="5" t="n">
        <v>75</v>
      </c>
      <c r="C25" s="6" t="inlineStr">
        <is>
          <t>float (in)</t>
        </is>
      </c>
      <c r="D25" s="6" t="inlineStr">
        <is>
          <t>Left side rabbeting length</t>
        </is>
      </c>
      <c r="E25" s="6" t="inlineStr">
        <is>
          <t>Maps to GappingLengthSide2</t>
        </is>
      </c>
    </row>
    <row r="27">
      <c r="A27" s="3" t="inlineStr">
        <is>
          <t>VOORWOOD CSV OUTPUT (gCutlist)</t>
        </is>
      </c>
      <c r="B27" s="3" t="inlineStr">
        <is>
          <t>FORMULA VALUE</t>
        </is>
      </c>
      <c r="C27" s="3" t="inlineStr">
        <is>
          <t>MAPPING TYPE</t>
        </is>
      </c>
      <c r="D27" s="3" t="inlineStr">
        <is>
          <t>FORMULA / LOGIC</t>
        </is>
      </c>
      <c r="E27" s="3" t="inlineStr">
        <is>
          <t>CODE REFERENCE (parameter_exporter.py)</t>
        </is>
      </c>
    </row>
    <row r="28">
      <c r="A28" s="7" t="inlineStr">
        <is>
          <t>gCutlist.Item[0].Qty</t>
        </is>
      </c>
      <c r="B28" s="8" t="inlineStr">
        <is>
          <t>1</t>
        </is>
      </c>
      <c r="C28" s="8" t="inlineStr">
        <is>
          <t>Constant</t>
        </is>
      </c>
      <c r="D28" s="8" t="inlineStr">
        <is>
          <t>Always 1</t>
        </is>
      </c>
      <c r="E28" s="8" t="inlineStr">
        <is>
          <t>Line 1033: ('Qty', '1')</t>
        </is>
      </c>
    </row>
    <row r="29">
      <c r="A29" s="9" t="inlineStr">
        <is>
          <t>gCutlist.Item[0].Width</t>
        </is>
      </c>
      <c r="B29" s="10">
        <f>B6</f>
        <v/>
      </c>
      <c r="C29" s="10" t="inlineStr">
        <is>
          <t>Direct</t>
        </is>
      </c>
      <c r="D29" s="10" t="inlineStr">
        <is>
          <t>component_width</t>
        </is>
      </c>
      <c r="E29" s="10" t="inlineStr">
        <is>
          <t>Line 903: width_param → component_width</t>
        </is>
      </c>
    </row>
    <row r="30">
      <c r="A30" s="9" t="inlineStr">
        <is>
          <t>gCutlist.Item[0].Length</t>
        </is>
      </c>
      <c r="B30" s="10">
        <f>B5</f>
        <v/>
      </c>
      <c r="C30" s="10" t="inlineStr">
        <is>
          <t>Direct</t>
        </is>
      </c>
      <c r="D30" s="10" t="inlineStr">
        <is>
          <t>component_height (stile height = CSV Length)</t>
        </is>
      </c>
      <c r="E30" s="10" t="inlineStr">
        <is>
          <t>Line 906: height_param → component_height</t>
        </is>
      </c>
    </row>
    <row r="31">
      <c r="A31" s="11" t="inlineStr">
        <is>
          <t>gCutlist.Item[0].ID</t>
        </is>
      </c>
      <c r="B31" s="12">
        <f>MID(B8,FIND("-",B8)+1,FIND("-",B8,FIND("-",B8)+1)-FIND("-",B8)-1)</f>
        <v/>
      </c>
      <c r="C31" s="12" t="inlineStr">
        <is>
          <t>Extracted</t>
        </is>
      </c>
      <c r="D31" s="12" t="inlineStr">
        <is>
          <t>Extract component ID from full ID (e.g. "S1" from "1-S1-IBUS12345")</t>
        </is>
      </c>
      <c r="E31" s="12" t="inlineStr">
        <is>
          <t>Line 1036: component_id</t>
        </is>
      </c>
    </row>
    <row r="32">
      <c r="A32" s="9" t="inlineStr">
        <is>
          <t>gCutlist.Item[0].Series</t>
        </is>
      </c>
      <c r="B32" s="10">
        <f>B9</f>
        <v/>
      </c>
      <c r="C32" s="10" t="inlineStr">
        <is>
          <t>Direct</t>
        </is>
      </c>
      <c r="D32" s="10" t="inlineStr">
        <is>
          <t>Series ID passed through</t>
        </is>
      </c>
      <c r="E32" s="10" t="inlineStr">
        <is>
          <t>Line 1037: series_id</t>
        </is>
      </c>
    </row>
    <row r="33">
      <c r="A33" s="11" t="inlineStr">
        <is>
          <t>gCutlist.Item[0].RoutingInformation</t>
        </is>
      </c>
      <c r="B33" s="12">
        <f>IF(AND(B10=1,B14=1),B9&amp;" "&amp;IF(B11=1,"RH","LH")&amp;" "&amp;IF(B12=1,"OS","IS")&amp;" / "&amp;B9&amp;" "&amp;IF(B15=1,"RH","LH")&amp;" "&amp;IF(B16=1,"OS","IS"),IF(B10=1,B9&amp;" "&amp;IF(B11=1,"RH","LH")&amp;" "&amp;IF(B12=1,"OS","IS"),IF(B14=1,B9&amp;" "&amp;IF(B15=1,"RH","LH")&amp;" "&amp;IF(B16=1,"OS","IS"),"")))</f>
        <v/>
      </c>
      <c r="C33" s="12" t="inlineStr">
        <is>
          <t>Derived</t>
        </is>
      </c>
      <c r="D33" s="12" t="inlineStr">
        <is>
          <t>{series} {RH|LH} {OS|IS} per side, joined with " / " if both sides have doors</t>
        </is>
      </c>
      <c r="E33" s="12" t="inlineStr">
        <is>
          <t>Lines 939-954: routing_parts built per side</t>
        </is>
      </c>
    </row>
    <row r="34">
      <c r="A34" s="11" t="inlineStr">
        <is>
          <t>gCutlist.Item[0].SO</t>
        </is>
      </c>
      <c r="B34" s="12">
        <f>MID(B8,FIND("-",B8,FIND("-",B8)+1)+1,LEN(B8))</f>
        <v/>
      </c>
      <c r="C34" s="12" t="inlineStr">
        <is>
          <t>Extracted</t>
        </is>
      </c>
      <c r="D34" s="12" t="inlineStr">
        <is>
          <t>Extract order/SO from full ID (e.g. "IBUS12345" from "1-S1-IBUS12345")</t>
        </is>
      </c>
      <c r="E34" s="12" t="inlineStr">
        <is>
          <t>Line 1039: order_id</t>
        </is>
      </c>
    </row>
    <row r="35">
      <c r="A35" s="9" t="inlineStr">
        <is>
          <t>gCutlist.Item[0].FC SIDE 1</t>
        </is>
      </c>
      <c r="B35" s="10">
        <f>IF(B14=1,B17,"")</f>
        <v/>
      </c>
      <c r="C35" s="10" t="inlineStr">
        <is>
          <t>Direct</t>
        </is>
      </c>
      <c r="D35" s="10" t="inlineStr">
        <is>
          <t>right_door_floor_clearance (Side1 = right edge)</t>
        </is>
      </c>
      <c r="E35" s="10" t="inlineStr">
        <is>
          <t>Lines 914-929: FC from whichever side has a door</t>
        </is>
      </c>
    </row>
    <row r="36">
      <c r="A36" s="9" t="inlineStr">
        <is>
          <t>gCutlist.Item[0].FC SIDE 2</t>
        </is>
      </c>
      <c r="B36" s="10">
        <f>IF(B10=1,B13,"")</f>
        <v/>
      </c>
      <c r="C36" s="10" t="inlineStr">
        <is>
          <t>Direct</t>
        </is>
      </c>
      <c r="D36" s="10" t="inlineStr">
        <is>
          <t>left_door_floor_clearance (Side2 = left edge)</t>
        </is>
      </c>
      <c r="E36" s="10" t="inlineStr">
        <is>
          <t>Lines 914-929: FC from whichever side has a door</t>
        </is>
      </c>
    </row>
    <row r="37">
      <c r="A37" s="11" t="inlineStr">
        <is>
          <t>gCutlist.Item[0].GappingSide1</t>
        </is>
      </c>
      <c r="B37" s="12">
        <f>IF(B14=1,1,0)</f>
        <v/>
      </c>
      <c r="C37" s="12" t="inlineStr">
        <is>
          <t>Derived</t>
        </is>
      </c>
      <c r="D37" s="12" t="inlineStr">
        <is>
          <t>1 if right side has a door (= has rabbeting), else 0. Side1 = right edge.</t>
        </is>
      </c>
      <c r="E37" s="12" t="inlineStr">
        <is>
          <t>Line 966: gapping_side1 = 1 if right_side_door</t>
        </is>
      </c>
    </row>
    <row r="38">
      <c r="A38" s="11" t="inlineStr">
        <is>
          <t>gCutlist.Item[0].GappingSide2</t>
        </is>
      </c>
      <c r="B38" s="12">
        <f>IF(B10=1,1,0)</f>
        <v/>
      </c>
      <c r="C38" s="12" t="inlineStr">
        <is>
          <t>Derived</t>
        </is>
      </c>
      <c r="D38" s="12" t="inlineStr">
        <is>
          <t>1 if left side has a door (= has rabbeting), else 0. Side2 = left edge.</t>
        </is>
      </c>
      <c r="E38" s="12" t="inlineStr">
        <is>
          <t>Line 967: gapping_side2 = 1 if left_side_door</t>
        </is>
      </c>
    </row>
    <row r="39">
      <c r="A39" s="7" t="inlineStr">
        <is>
          <t>gCutlist.Item[0].GappingSide3</t>
        </is>
      </c>
      <c r="B39" s="8" t="inlineStr">
        <is>
          <t>0</t>
        </is>
      </c>
      <c r="C39" s="8" t="inlineStr">
        <is>
          <t>Constant</t>
        </is>
      </c>
      <c r="D39" s="8" t="inlineStr">
        <is>
          <t>Always 0 (top edge — no rabbeting)</t>
        </is>
      </c>
      <c r="E39" s="8" t="inlineStr">
        <is>
          <t>Line 974: gapping_side3 = 0</t>
        </is>
      </c>
    </row>
    <row r="40">
      <c r="A40" s="7" t="inlineStr">
        <is>
          <t>gCutlist.Item[0].GappingSide4</t>
        </is>
      </c>
      <c r="B40" s="8" t="inlineStr">
        <is>
          <t>0</t>
        </is>
      </c>
      <c r="C40" s="8" t="inlineStr">
        <is>
          <t>Constant</t>
        </is>
      </c>
      <c r="D40" s="8" t="inlineStr">
        <is>
          <t>Always 0 (bottom edge — no rabbeting)</t>
        </is>
      </c>
      <c r="E40" s="8" t="inlineStr">
        <is>
          <t>Line 975: gapping_side4 = 0</t>
        </is>
      </c>
    </row>
    <row r="41">
      <c r="A41" s="11" t="inlineStr">
        <is>
          <t>gCutlist.Item[0].GappingStartSide1</t>
        </is>
      </c>
      <c r="B41" s="12">
        <f>IF(B14=1,B22,0)</f>
        <v/>
      </c>
      <c r="C41" s="12" t="inlineStr">
        <is>
          <t>Conditional</t>
        </is>
      </c>
      <c r="D41" s="12" t="inlineStr">
        <is>
          <t>right_rabbeting_top (start of rabbeting from top) if right side has door</t>
        </is>
      </c>
      <c r="E41" s="12" t="inlineStr">
        <is>
          <t>Line 986: right_rabbeting_top if gapping_side1</t>
        </is>
      </c>
    </row>
    <row r="42">
      <c r="A42" s="11" t="inlineStr">
        <is>
          <t>gCutlist.Item[0].GappingStartSide2</t>
        </is>
      </c>
      <c r="B42" s="12">
        <f>IF(B10=1,B24,0)</f>
        <v/>
      </c>
      <c r="C42" s="12" t="inlineStr">
        <is>
          <t>Conditional</t>
        </is>
      </c>
      <c r="D42" s="12" t="inlineStr">
        <is>
          <t>left_rabbeting_top (start of rabbeting from top) if left side has door</t>
        </is>
      </c>
      <c r="E42" s="12" t="inlineStr">
        <is>
          <t>Line 989: left_rabbeting_top if gapping_side2</t>
        </is>
      </c>
    </row>
    <row r="43">
      <c r="A43" s="11" t="inlineStr">
        <is>
          <t>gCutlist.Item[0].GappingLengthSide1</t>
        </is>
      </c>
      <c r="B43" s="12">
        <f>IF(B14=1,B23,0)</f>
        <v/>
      </c>
      <c r="C43" s="12" t="inlineStr">
        <is>
          <t>Conditional</t>
        </is>
      </c>
      <c r="D43" s="12" t="inlineStr">
        <is>
          <t>right_rabbeting_length if right side has door</t>
        </is>
      </c>
      <c r="E43" s="12" t="inlineStr">
        <is>
          <t>Line 987: right_rabbeting_length if gapping_side1</t>
        </is>
      </c>
    </row>
    <row r="44">
      <c r="A44" s="11" t="inlineStr">
        <is>
          <t>gCutlist.Item[0].GappingLengthSide2</t>
        </is>
      </c>
      <c r="B44" s="12">
        <f>IF(B10=1,B25,0)</f>
        <v/>
      </c>
      <c r="C44" s="12" t="inlineStr">
        <is>
          <t>Conditional</t>
        </is>
      </c>
      <c r="D44" s="12" t="inlineStr">
        <is>
          <t>left_rabbeting_length if left side has door</t>
        </is>
      </c>
      <c r="E44" s="12" t="inlineStr">
        <is>
          <t>Line 990: left_rabbeting_length if gapping_side2</t>
        </is>
      </c>
    </row>
    <row r="45">
      <c r="A45" s="7" t="inlineStr">
        <is>
          <t>gCutlist.Item[0].GappingStartSide3</t>
        </is>
      </c>
      <c r="B45" s="8" t="inlineStr">
        <is>
          <t>0</t>
        </is>
      </c>
      <c r="C45" s="8" t="inlineStr">
        <is>
          <t>Constant</t>
        </is>
      </c>
      <c r="D45" s="8" t="inlineStr">
        <is>
          <t>N/A (GappingSide3 is always 0)</t>
        </is>
      </c>
      <c r="E45" s="8" t="inlineStr">
        <is>
          <t>Line 998: gapping_start_side3 = 0</t>
        </is>
      </c>
    </row>
    <row r="46">
      <c r="A46" s="7" t="inlineStr">
        <is>
          <t>gCutlist.Item[0].GappingStartSide4</t>
        </is>
      </c>
      <c r="B46" s="8" t="inlineStr">
        <is>
          <t>0</t>
        </is>
      </c>
      <c r="C46" s="8" t="inlineStr">
        <is>
          <t>Constant</t>
        </is>
      </c>
      <c r="D46" s="8" t="inlineStr">
        <is>
          <t>N/A (GappingSide4 is always 0)</t>
        </is>
      </c>
      <c r="E46" s="8" t="inlineStr">
        <is>
          <t>Line 999: gapping_start_side4 = 0</t>
        </is>
      </c>
    </row>
    <row r="47">
      <c r="A47" s="7" t="inlineStr">
        <is>
          <t>gCutlist.Item[0].GappingLengthSide3</t>
        </is>
      </c>
      <c r="B47" s="8" t="inlineStr">
        <is>
          <t>0</t>
        </is>
      </c>
      <c r="C47" s="8" t="inlineStr">
        <is>
          <t>Constant</t>
        </is>
      </c>
      <c r="D47" s="8" t="inlineStr">
        <is>
          <t>N/A (GappingSide3 is always 0)</t>
        </is>
      </c>
      <c r="E47" s="8" t="inlineStr">
        <is>
          <t>Line 1000: gapping_length_side3 = 0</t>
        </is>
      </c>
    </row>
    <row r="48">
      <c r="A48" s="7" t="inlineStr">
        <is>
          <t>gCutlist.Item[0].GappingLengthSide4</t>
        </is>
      </c>
      <c r="B48" s="8" t="inlineStr">
        <is>
          <t>0</t>
        </is>
      </c>
      <c r="C48" s="8" t="inlineStr">
        <is>
          <t>Constant</t>
        </is>
      </c>
      <c r="D48" s="8" t="inlineStr">
        <is>
          <t>N/A (GappingSide4 is always 0)</t>
        </is>
      </c>
      <c r="E48" s="8" t="inlineStr">
        <is>
          <t>Line 1001: gapping_length_side4 = 0</t>
        </is>
      </c>
    </row>
    <row r="49">
      <c r="A49" s="11" t="inlineStr">
        <is>
          <t>gCutlist.Item[0].GappingTopSide1</t>
        </is>
      </c>
      <c r="B49" s="12">
        <f>IF(AND(B14=1,B19=1),1,0)</f>
        <v/>
      </c>
      <c r="C49" s="12" t="inlineStr">
        <is>
          <t>Conditional</t>
        </is>
      </c>
      <c r="D49" s="12" t="inlineStr">
        <is>
          <t>1 if right side has exterior rabbeting (top face), else 0</t>
        </is>
      </c>
      <c r="E49" s="12" t="inlineStr">
        <is>
          <t>Lines 1006-1009: right_exterior_rabbeting if gapping_side1</t>
        </is>
      </c>
    </row>
    <row r="50">
      <c r="A50" s="11" t="inlineStr">
        <is>
          <t>gCutlist.Item[0].GappingTopSide2</t>
        </is>
      </c>
      <c r="B50" s="12">
        <f>IF(AND(B10=1,B21=1),1,0)</f>
        <v/>
      </c>
      <c r="C50" s="12" t="inlineStr">
        <is>
          <t>Conditional</t>
        </is>
      </c>
      <c r="D50" s="12" t="inlineStr">
        <is>
          <t>1 if left side has exterior rabbeting (top face), else 0</t>
        </is>
      </c>
      <c r="E50" s="12" t="inlineStr">
        <is>
          <t>Lines 1011-1014: left_exterior_rabbeting if gapping_side2</t>
        </is>
      </c>
    </row>
    <row r="51">
      <c r="A51" s="7" t="inlineStr">
        <is>
          <t>gCutlist.Item[0].GappingTopSide3</t>
        </is>
      </c>
      <c r="B51" s="8" t="inlineStr">
        <is>
          <t>0</t>
        </is>
      </c>
      <c r="C51" s="8" t="inlineStr">
        <is>
          <t>Constant</t>
        </is>
      </c>
      <c r="D51" s="8" t="inlineStr">
        <is>
          <t>N/A (GappingSide3 is always 0)</t>
        </is>
      </c>
      <c r="E51" s="8" t="inlineStr">
        <is>
          <t>Line 1025: gapping_top_side3 = 0</t>
        </is>
      </c>
    </row>
    <row r="52">
      <c r="A52" s="7" t="inlineStr">
        <is>
          <t>gCutlist.Item[0].GappingTopSide4</t>
        </is>
      </c>
      <c r="B52" s="8" t="inlineStr">
        <is>
          <t>0</t>
        </is>
      </c>
      <c r="C52" s="8" t="inlineStr">
        <is>
          <t>Constant</t>
        </is>
      </c>
      <c r="D52" s="8" t="inlineStr">
        <is>
          <t>N/A (GappingSide4 is always 0)</t>
        </is>
      </c>
      <c r="E52" s="8" t="inlineStr">
        <is>
          <t>Line 1026: gapping_top_side4 = 0</t>
        </is>
      </c>
    </row>
    <row r="53">
      <c r="A53" s="11" t="inlineStr">
        <is>
          <t>gCutlist.Item[0].EdgeFinishingSide1</t>
        </is>
      </c>
      <c r="B53" s="12">
        <f>IF(B14=1,0,1)</f>
        <v/>
      </c>
      <c r="C53" s="12" t="inlineStr">
        <is>
          <t>Derived</t>
        </is>
      </c>
      <c r="D53" s="12" t="inlineStr">
        <is>
          <t>Inverse of GappingSide1: 0 if rabbeting on right, else 1</t>
        </is>
      </c>
      <c r="E53" s="12" t="inlineStr">
        <is>
          <t>Line 978: edge_finishing_side1 = 0 if gapping_side1 else 1</t>
        </is>
      </c>
    </row>
    <row r="54">
      <c r="A54" s="11" t="inlineStr">
        <is>
          <t>gCutlist.Item[0].EdgeFinishingSide2</t>
        </is>
      </c>
      <c r="B54" s="12">
        <f>IF(B10=1,0,1)</f>
        <v/>
      </c>
      <c r="C54" s="12" t="inlineStr">
        <is>
          <t>Derived</t>
        </is>
      </c>
      <c r="D54" s="12" t="inlineStr">
        <is>
          <t>Inverse of GappingSide2: 0 if rabbeting on left, else 1</t>
        </is>
      </c>
      <c r="E54" s="12" t="inlineStr">
        <is>
          <t>Line 979: edge_finishing_side2 = 0 if gapping_side2 else 1</t>
        </is>
      </c>
    </row>
    <row r="55">
      <c r="A55" s="7" t="inlineStr">
        <is>
          <t>gCutlist.Item[0].EdgeFinishingSide3</t>
        </is>
      </c>
      <c r="B55" s="8" t="inlineStr">
        <is>
          <t>1</t>
        </is>
      </c>
      <c r="C55" s="8" t="inlineStr">
        <is>
          <t>Constant</t>
        </is>
      </c>
      <c r="D55" s="8" t="inlineStr">
        <is>
          <t>Always 1 (top edge always edge-finished)</t>
        </is>
      </c>
      <c r="E55" s="8" t="inlineStr">
        <is>
          <t>Line 980: edge_finishing_side3 = 1</t>
        </is>
      </c>
    </row>
    <row r="56">
      <c r="A56" s="7" t="inlineStr">
        <is>
          <t>gCutlist.Item[0].EdgeFinishingSide4</t>
        </is>
      </c>
      <c r="B56" s="8" t="inlineStr">
        <is>
          <t>1</t>
        </is>
      </c>
      <c r="C56" s="8" t="inlineStr">
        <is>
          <t>Constant</t>
        </is>
      </c>
      <c r="D56" s="8" t="inlineStr">
        <is>
          <t>Always 1 (bottom edge always edge-finished)</t>
        </is>
      </c>
      <c r="E56" s="8" t="inlineStr">
        <is>
          <t>Line 981: edge_finishing_side4 = 1</t>
        </is>
      </c>
    </row>
    <row r="57">
      <c r="A57" s="9" t="inlineStr">
        <is>
          <t>gCutlist.Item[0].Thickness</t>
        </is>
      </c>
      <c r="B57" s="10">
        <f>B7</f>
        <v/>
      </c>
      <c r="C57" s="10" t="inlineStr">
        <is>
          <t>Direct</t>
        </is>
      </c>
      <c r="D57" s="10" t="inlineStr">
        <is>
          <t>component_thickness</t>
        </is>
      </c>
      <c r="E57" s="10" t="inlineStr">
        <is>
          <t>Line 1029: component_thickness</t>
        </is>
      </c>
    </row>
    <row r="58">
      <c r="A58" s="11" t="inlineStr">
        <is>
          <t>gCutlist.Item[0].Flip</t>
        </is>
      </c>
      <c r="B58" s="12">
        <f>IF(OR(AND(B20=1,B19=1),AND(B21=1,B18=1)),2,1)</f>
        <v/>
      </c>
      <c r="C58" s="12" t="inlineStr">
        <is>
          <t>Derived</t>
        </is>
      </c>
      <c r="D58" s="12" t="inlineStr">
        <is>
          <t>Stile: 2 (Flip) if opposite drilling sides (left_int+right_ext or left_ext+right_int), else 1 (Rotate)</t>
        </is>
      </c>
      <c r="E58" s="12" t="inlineStr">
        <is>
          <t>Lines 735-748: opposite drilling → FlipRotate=2</t>
        </is>
      </c>
    </row>
    <row r="59">
      <c r="A59" s="7" t="inlineStr">
        <is>
          <t>gCutlist.Item[0].Location</t>
        </is>
      </c>
      <c r="B59" s="8" t="inlineStr">
        <is>
          <t>BLA</t>
        </is>
      </c>
      <c r="C59" s="8" t="inlineStr">
        <is>
          <t>Constant</t>
        </is>
      </c>
      <c r="D59" s="8" t="inlineStr">
        <is>
          <t>Always BLA</t>
        </is>
      </c>
      <c r="E59" s="8" t="inlineStr">
        <is>
          <t>Line 1063: ('Location', 'BLA')</t>
        </is>
      </c>
    </row>
    <row r="60">
      <c r="A60" s="11" t="inlineStr">
        <is>
          <t>gCutlist.Item[0].ProgramName</t>
        </is>
      </c>
      <c r="B60" s="12">
        <f>IF(AND(B10=1,B14=1),B9&amp;" "&amp;IF(B11=1,"RH","LH")&amp;" "&amp;IF(B12=1,"O/S","I/S")&amp;" "&amp;IF(B11=1,"HINGE","KEEP")&amp;", "&amp;IF(B15=1,"RH","LH")&amp;" "&amp;IF(B16=1,"O/S","I/S")&amp;" "&amp;IF(B15=0,"HINGE","KEEP"),IF(B10=1,B9&amp;" "&amp;IF(B11=1,"RH","LH")&amp;" "&amp;IF(B12=1,"O/S","I/S")&amp;" "&amp;IF(B11=1,"HINGE","KEEP"),IF(B14=1,B9&amp;" "&amp;IF(B15=1,"RH","LH")&amp;" "&amp;IF(B16=1,"O/S","I/S")&amp;" "&amp;IF(B15=0,"HINGE","KEEP"),"")))</f>
        <v/>
      </c>
      <c r="C60" s="12" t="inlineStr">
        <is>
          <t>Derived</t>
        </is>
      </c>
      <c r="D60" s="12" t="inlineStr">
        <is>
          <t>{series} {RH|LH} {O/S|I/S} {HINGE|KEEP} per side (HINGE if door hinges onto this stile)</t>
        </is>
      </c>
      <c r="E60" s="12" t="inlineStr">
        <is>
          <t>Lines 686-717: DrillName = combined stile drill segments</t>
        </is>
      </c>
    </row>
    <row r="62">
      <c r="A62" s="13" t="inlineStr">
        <is>
          <t>SIDE MAPPING REFERENCE</t>
        </is>
      </c>
      <c r="B62" s="14" t="n"/>
      <c r="C62" s="14" t="n"/>
      <c r="D62" s="14" t="n"/>
      <c r="E62" s="15" t="n"/>
    </row>
    <row r="63">
      <c r="A63" s="7" t="inlineStr">
        <is>
          <t>Side</t>
        </is>
      </c>
      <c r="B63" s="7" t="inlineStr">
        <is>
          <t>Physical Location</t>
        </is>
      </c>
      <c r="C63" s="7" t="inlineStr">
        <is>
          <t>Source Parameters</t>
        </is>
      </c>
      <c r="D63" s="8" t="n"/>
      <c r="E63" s="8" t="n"/>
    </row>
    <row r="64">
      <c r="A64" s="8" t="inlineStr">
        <is>
          <t>Side1</t>
        </is>
      </c>
      <c r="B64" s="8" t="inlineStr">
        <is>
          <t>Right edge (looking from outside / room side)</t>
        </is>
      </c>
      <c r="C64" s="8" t="inlineStr">
        <is>
          <t>right_* parameters</t>
        </is>
      </c>
      <c r="D64" s="8" t="n"/>
      <c r="E64" s="8" t="n"/>
    </row>
    <row r="65">
      <c r="A65" s="8" t="inlineStr">
        <is>
          <t>Side2</t>
        </is>
      </c>
      <c r="B65" s="8" t="inlineStr">
        <is>
          <t>Left edge (looking from outside / room side)</t>
        </is>
      </c>
      <c r="C65" s="8" t="inlineStr">
        <is>
          <t>left_* parameters</t>
        </is>
      </c>
      <c r="D65" s="8" t="n"/>
      <c r="E65" s="8" t="n"/>
    </row>
    <row r="66">
      <c r="A66" s="8" t="inlineStr">
        <is>
          <t>Side3</t>
        </is>
      </c>
      <c r="B66" s="8" t="inlineStr">
        <is>
          <t>Top edge</t>
        </is>
      </c>
      <c r="C66" s="8" t="inlineStr">
        <is>
          <t>Always 0 gapping, always 1 edge finishing</t>
        </is>
      </c>
      <c r="D66" s="8" t="n"/>
      <c r="E66" s="8" t="n"/>
    </row>
    <row r="67">
      <c r="A67" s="8" t="inlineStr">
        <is>
          <t>Side4</t>
        </is>
      </c>
      <c r="B67" s="8" t="inlineStr">
        <is>
          <t>Bottom edge</t>
        </is>
      </c>
      <c r="C67" s="8" t="inlineStr">
        <is>
          <t>Always 0 gapping, always 1 edge finishing</t>
        </is>
      </c>
      <c r="D67" s="8" t="n"/>
      <c r="E67" s="8" t="n"/>
    </row>
    <row r="69">
      <c r="A69" s="13" t="inlineStr">
        <is>
          <t>ROUTING / PROGRAM NAME LOGIC</t>
        </is>
      </c>
      <c r="B69" s="14" t="n"/>
      <c r="C69" s="14" t="n"/>
      <c r="D69" s="14" t="n"/>
      <c r="E69" s="15" t="n"/>
    </row>
    <row r="70">
      <c r="A70" s="7" t="inlineStr">
        <is>
          <t>Field</t>
        </is>
      </c>
      <c r="B70" s="7" t="inlineStr">
        <is>
          <t>Pattern</t>
        </is>
      </c>
      <c r="C70" s="7" t="inlineStr">
        <is>
          <t>Example</t>
        </is>
      </c>
      <c r="D70" s="7" t="inlineStr">
        <is>
          <t>Notes</t>
        </is>
      </c>
      <c r="E70" s="8" t="n"/>
    </row>
    <row r="71">
      <c r="A71" s="7" t="inlineStr">
        <is>
          <t>RoutingInformation (1 door)</t>
        </is>
      </c>
      <c r="B71" s="8" t="inlineStr">
        <is>
          <t>{series} {RH|LH} {OS|IS}</t>
        </is>
      </c>
      <c r="C71" s="8" t="inlineStr">
        <is>
          <t>3082G.67P LH IS</t>
        </is>
      </c>
      <c r="D71" s="8" t="inlineStr">
        <is>
          <t>Only side with door</t>
        </is>
      </c>
      <c r="E71" s="8" t="n"/>
    </row>
    <row r="72">
      <c r="A72" s="7" t="inlineStr">
        <is>
          <t>RoutingInformation (2 doors)</t>
        </is>
      </c>
      <c r="B72" s="8" t="inlineStr">
        <is>
          <t>{series} {hinge1} {swing1} / {series} {hinge2} {swing2}</t>
        </is>
      </c>
      <c r="C72" s="8" t="inlineStr">
        <is>
          <t>3082G.67P LH IS / 3082G.67P RH OS</t>
        </is>
      </c>
      <c r="D72" s="8" t="inlineStr">
        <is>
          <t>Both sides separated by /</t>
        </is>
      </c>
      <c r="E72" s="8" t="n"/>
    </row>
    <row r="73">
      <c r="A73" s="7" t="inlineStr">
        <is>
          <t>ProgramName (1 door)</t>
        </is>
      </c>
      <c r="B73" s="8" t="inlineStr">
        <is>
          <t>{series} {RH|LH} {O/S|I/S} {HINGE|KEEP}</t>
        </is>
      </c>
      <c r="C73" s="8" t="inlineStr">
        <is>
          <t>3082G.67P LH I/S KEEP</t>
        </is>
      </c>
      <c r="D73" s="8" t="inlineStr">
        <is>
          <t>HINGE if door hinges here, KEEP otherwise</t>
        </is>
      </c>
      <c r="E73" s="8" t="n"/>
    </row>
    <row r="74">
      <c r="A74" s="7" t="inlineStr">
        <is>
          <t>ProgramName (2 doors)</t>
        </is>
      </c>
      <c r="B74" s="8" t="inlineStr">
        <is>
          <t>{series} {seg1}, {seg2}</t>
        </is>
      </c>
      <c r="C74" s="8" t="inlineStr">
        <is>
          <t>3082G.67P LH I/S KEEP, RH O/S HINGE</t>
        </is>
      </c>
      <c r="D74" s="8" t="inlineStr">
        <is>
          <t>Comma-separated per side</t>
        </is>
      </c>
      <c r="E74" s="8" t="n"/>
    </row>
    <row r="75">
      <c r="A75" s="7" t="inlineStr">
        <is>
          <t>Hinge code</t>
        </is>
      </c>
      <c r="B75" s="8" t="inlineStr">
        <is>
          <t>RH if hinging_right=1, else LH</t>
        </is>
      </c>
      <c r="C75" s="8" t="inlineStr"/>
      <c r="D75" s="8" t="inlineStr"/>
      <c r="E75" s="8" t="n"/>
    </row>
    <row r="76">
      <c r="A76" s="7" t="inlineStr">
        <is>
          <t>Swing code</t>
        </is>
      </c>
      <c r="B76" s="8" t="inlineStr">
        <is>
          <t>O/S (or OS) if swinging_out=1, else I/S (or IS)</t>
        </is>
      </c>
      <c r="C76" s="8" t="inlineStr"/>
      <c r="D76" s="8" t="inlineStr">
        <is>
          <t>RoutingInfo uses OS/IS; ProgramName uses O/S, I/S</t>
        </is>
      </c>
      <c r="E76" s="8" t="n"/>
    </row>
    <row r="77">
      <c r="A77" s="7" t="inlineStr">
        <is>
          <t>Attach code (ProgramName only)</t>
        </is>
      </c>
      <c r="B77" s="8" t="inlineStr">
        <is>
          <t>LEFT: HINGE if LD_hinging_right=1, else KEEP</t>
        </is>
      </c>
      <c r="C77" s="8" t="inlineStr"/>
      <c r="D77" s="8" t="inlineStr">
        <is>
          <t>LEFT side: hinging_right=1 means door hinges here</t>
        </is>
      </c>
      <c r="E77" s="8" t="n"/>
    </row>
    <row r="78">
      <c r="A78" s="16" t="inlineStr"/>
      <c r="B78" s="8" t="inlineStr">
        <is>
          <t>RIGHT: HINGE if RD_hinging_right=0, else KEEP</t>
        </is>
      </c>
      <c r="C78" s="8" t="inlineStr"/>
      <c r="D78" s="8" t="inlineStr">
        <is>
          <t>RIGHT side: hinging_right=0 means door hinges here (inverted)</t>
        </is>
      </c>
      <c r="E78" s="8" t="n"/>
    </row>
    <row r="80">
      <c r="A80" s="13" t="inlineStr">
        <is>
          <t>FLIP / ROTATE LOGIC</t>
        </is>
      </c>
      <c r="B80" s="14" t="n"/>
      <c r="C80" s="14" t="n"/>
      <c r="D80" s="14" t="n"/>
      <c r="E80" s="15" t="n"/>
    </row>
    <row r="81">
      <c r="A81" s="7" t="inlineStr">
        <is>
          <t>Condition</t>
        </is>
      </c>
      <c r="B81" s="7" t="inlineStr">
        <is>
          <t>Flip Value</t>
        </is>
      </c>
      <c r="C81" s="7" t="inlineStr">
        <is>
          <t>Meaning</t>
        </is>
      </c>
      <c r="D81" s="7" t="inlineStr">
        <is>
          <t>Example</t>
        </is>
      </c>
      <c r="E81" s="8" t="n"/>
    </row>
    <row r="82">
      <c r="A82" s="8" t="inlineStr">
        <is>
          <t>Stile: same-side drilling (both interior or both exterior)</t>
        </is>
      </c>
      <c r="B82" s="8" t="inlineStr">
        <is>
          <t>1</t>
        </is>
      </c>
      <c r="C82" s="8" t="inlineStr">
        <is>
          <t>Rotate</t>
        </is>
      </c>
      <c r="D82" s="8" t="inlineStr">
        <is>
          <t>left_int=1, right_int=1</t>
        </is>
      </c>
      <c r="E82" s="8" t="n"/>
    </row>
    <row r="83">
      <c r="A83" s="8" t="inlineStr">
        <is>
          <t>Stile: opposite-side drilling (left_int + right_ext OR left_ext + right_int)</t>
        </is>
      </c>
      <c r="B83" s="8" t="inlineStr">
        <is>
          <t>2</t>
        </is>
      </c>
      <c r="C83" s="8" t="inlineStr">
        <is>
          <t>Flip</t>
        </is>
      </c>
      <c r="D83" s="8" t="inlineStr">
        <is>
          <t>left_int=1, right_ext=1</t>
        </is>
      </c>
      <c r="E83" s="8" t="n"/>
    </row>
    <row r="84">
      <c r="A84" s="8" t="inlineStr">
        <is>
          <t>Door: always</t>
        </is>
      </c>
      <c r="B84" s="8" t="inlineStr">
        <is>
          <t>1</t>
        </is>
      </c>
      <c r="C84" s="8" t="inlineStr">
        <is>
          <t>Rotate</t>
        </is>
      </c>
      <c r="D84" s="8" t="inlineStr">
        <is>
          <t>All doors use Rotate</t>
        </is>
      </c>
      <c r="E84" s="8" t="n"/>
    </row>
    <row r="86">
      <c r="A86" s="13" t="inlineStr">
        <is>
          <t>COLOR LEGEND</t>
        </is>
      </c>
      <c r="B86" s="14" t="n"/>
      <c r="C86" s="14" t="n"/>
      <c r="D86" s="14" t="n"/>
      <c r="E86" s="15" t="n"/>
    </row>
    <row r="87">
      <c r="A87" s="17" t="inlineStr">
        <is>
          <t>████</t>
        </is>
      </c>
      <c r="B87" t="inlineStr">
        <is>
          <t>Yellow — Editable INPUT parameters (change these to test)</t>
        </is>
      </c>
    </row>
    <row r="88">
      <c r="A88" s="18" t="inlineStr">
        <is>
          <t>████</t>
        </is>
      </c>
      <c r="B88" t="inlineStr">
        <is>
          <t>Blue — Direct mapping (input → output)</t>
        </is>
      </c>
    </row>
    <row r="89">
      <c r="A89" s="19" t="inlineStr">
        <is>
          <t>████</t>
        </is>
      </c>
      <c r="B89" t="inlineStr">
        <is>
          <t>Green — Derived/conditional formula (computed from inputs)</t>
        </is>
      </c>
    </row>
    <row r="90">
      <c r="A90" s="20" t="inlineStr">
        <is>
          <t>████</t>
        </is>
      </c>
      <c r="B90" t="inlineStr">
        <is>
          <t>Gray — Constant or reference information</t>
        </is>
      </c>
    </row>
  </sheetData>
  <mergeCells count="10">
    <mergeCell ref="A69:E69"/>
    <mergeCell ref="A62:E62"/>
    <mergeCell ref="A2:E2"/>
    <mergeCell ref="A86:E86"/>
    <mergeCell ref="B88:E88"/>
    <mergeCell ref="B89:E89"/>
    <mergeCell ref="A1:E1"/>
    <mergeCell ref="B87:E87"/>
    <mergeCell ref="B90:E90"/>
    <mergeCell ref="A80:E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45" customWidth="1" min="4" max="4"/>
    <col width="55" customWidth="1" min="5" max="5"/>
  </cols>
  <sheetData>
    <row r="1">
      <c r="A1" s="1" t="inlineStr">
        <is>
          <t>Voorwood Testing Planning (DOOR)</t>
        </is>
      </c>
    </row>
    <row r="2">
      <c r="A2" s="2" t="inlineStr">
        <is>
          <t>Change yellow INPUT cells to see how CSV outputs update via formulas</t>
        </is>
      </c>
    </row>
    <row r="4">
      <c r="A4" s="3" t="inlineStr">
        <is>
          <t>F360 MODEL INPUT PARAMETERS</t>
        </is>
      </c>
      <c r="B4" s="3" t="inlineStr">
        <is>
          <t>VALUE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EXAMPLE / NOTES</t>
        </is>
      </c>
    </row>
    <row r="5">
      <c r="A5" s="4" t="inlineStr">
        <is>
          <t>component_height</t>
        </is>
      </c>
      <c r="B5" s="5" t="n">
        <v>81.1875</v>
      </c>
      <c r="C5" s="6" t="inlineStr">
        <is>
          <t>float (in)</t>
        </is>
      </c>
      <c r="D5" s="6" t="inlineStr">
        <is>
          <t>Height of the door component</t>
        </is>
      </c>
      <c r="E5" s="6" t="inlineStr">
        <is>
          <t>Maps to Length in CSV</t>
        </is>
      </c>
    </row>
    <row r="6">
      <c r="A6" s="4" t="inlineStr">
        <is>
          <t>component_width</t>
        </is>
      </c>
      <c r="B6" s="5" t="n">
        <v>29.25</v>
      </c>
      <c r="C6" s="6" t="inlineStr">
        <is>
          <t>float (in)</t>
        </is>
      </c>
      <c r="D6" s="6" t="inlineStr">
        <is>
          <t>Width of the door component</t>
        </is>
      </c>
      <c r="E6" s="6" t="inlineStr">
        <is>
          <t>Maps to Width in CSV</t>
        </is>
      </c>
    </row>
    <row r="7">
      <c r="A7" s="4" t="inlineStr">
        <is>
          <t>component_thickness</t>
        </is>
      </c>
      <c r="B7" s="5" t="n">
        <v>1</v>
      </c>
      <c r="C7" s="6" t="inlineStr">
        <is>
          <t>float (in)</t>
        </is>
      </c>
      <c r="D7" s="6" t="inlineStr">
        <is>
          <t>Thickness of the door component</t>
        </is>
      </c>
      <c r="E7" s="6" t="inlineStr">
        <is>
          <t>Maps to Thickness in CSV</t>
        </is>
      </c>
    </row>
    <row r="8">
      <c r="A8" s="4" t="inlineStr">
        <is>
          <t>ID</t>
        </is>
      </c>
      <c r="B8" s="5" t="inlineStr">
        <is>
          <t>1-D1-IBUS12345</t>
        </is>
      </c>
      <c r="C8" s="6" t="inlineStr">
        <is>
          <t>string</t>
        </is>
      </c>
      <c r="D8" s="6" t="inlineStr">
        <is>
          <t>Full component ID: {qty}-{comp_id}-{SO}</t>
        </is>
      </c>
      <c r="E8" s="6" t="inlineStr">
        <is>
          <t>Format: qty-compID-orderSO</t>
        </is>
      </c>
    </row>
    <row r="9">
      <c r="A9" s="4" t="inlineStr">
        <is>
          <t>Series</t>
        </is>
      </c>
      <c r="B9" s="5" t="inlineStr">
        <is>
          <t>3082G.67P</t>
        </is>
      </c>
      <c r="C9" s="6" t="inlineStr">
        <is>
          <t>string</t>
        </is>
      </c>
      <c r="D9" s="6" t="inlineStr">
        <is>
          <t>Series identifier</t>
        </is>
      </c>
      <c r="E9" s="6" t="inlineStr">
        <is>
          <t>e.g. 3082G.67P, 3086G, etc.</t>
        </is>
      </c>
    </row>
    <row r="10">
      <c r="A10" s="4" t="inlineStr">
        <is>
          <t>component_floor_clearance</t>
        </is>
      </c>
      <c r="B10" s="5" t="n">
        <v>1</v>
      </c>
      <c r="C10" s="6" t="inlineStr">
        <is>
          <t>float (in)</t>
        </is>
      </c>
      <c r="D10" s="6" t="inlineStr">
        <is>
          <t>Floor clearance for the door</t>
        </is>
      </c>
      <c r="E10" s="6" t="inlineStr">
        <is>
          <t>Maps to FC (single value)</t>
        </is>
      </c>
    </row>
    <row r="11">
      <c r="A11" s="4" t="inlineStr">
        <is>
          <t>door_hinging_right</t>
        </is>
      </c>
      <c r="B11" s="5" t="n">
        <v>1</v>
      </c>
      <c r="C11" s="6" t="inlineStr">
        <is>
          <t>bool (0/1)</t>
        </is>
      </c>
      <c r="D11" s="6" t="inlineStr">
        <is>
          <t>Door hinges on right side (viewed from outside)</t>
        </is>
      </c>
      <c r="E11" s="6" t="inlineStr">
        <is>
          <t>1=RH, 0=LH</t>
        </is>
      </c>
    </row>
    <row r="12">
      <c r="A12" s="4" t="inlineStr">
        <is>
          <t>door_swinging_out</t>
        </is>
      </c>
      <c r="B12" s="5" t="n">
        <v>1</v>
      </c>
      <c r="C12" s="6" t="inlineStr">
        <is>
          <t>bool (0/1)</t>
        </is>
      </c>
      <c r="D12" s="6" t="inlineStr">
        <is>
          <t>Door swings outward into bathroom</t>
        </is>
      </c>
      <c r="E12" s="6" t="inlineStr">
        <is>
          <t>1=O/S, 0=I/S</t>
        </is>
      </c>
    </row>
    <row r="13">
      <c r="A13" s="4" t="inlineStr">
        <is>
          <t>left_interior_rabbeting</t>
        </is>
      </c>
      <c r="B13" s="5" t="n">
        <v>0</v>
      </c>
      <c r="C13" s="6" t="inlineStr">
        <is>
          <t>bool (0/1)</t>
        </is>
      </c>
      <c r="D13" s="6" t="inlineStr">
        <is>
          <t>Left side has interior (bottom face) rabbeting</t>
        </is>
      </c>
      <c r="E13" s="6" t="inlineStr">
        <is>
          <t>From F360 model param</t>
        </is>
      </c>
    </row>
    <row r="14">
      <c r="A14" s="4" t="inlineStr">
        <is>
          <t>left_exterior_rabbeting</t>
        </is>
      </c>
      <c r="B14" s="5" t="n">
        <v>0</v>
      </c>
      <c r="C14" s="6" t="inlineStr">
        <is>
          <t>bool (0/1)</t>
        </is>
      </c>
      <c r="D14" s="6" t="inlineStr">
        <is>
          <t>Left side has exterior (top face) rabbeting</t>
        </is>
      </c>
      <c r="E14" s="6" t="inlineStr">
        <is>
          <t>From F360 model param</t>
        </is>
      </c>
    </row>
    <row r="15">
      <c r="A15" s="4" t="inlineStr">
        <is>
          <t>right_interior_rabbeting</t>
        </is>
      </c>
      <c r="B15" s="5" t="n">
        <v>0</v>
      </c>
      <c r="C15" s="6" t="inlineStr">
        <is>
          <t>bool (0/1)</t>
        </is>
      </c>
      <c r="D15" s="6" t="inlineStr">
        <is>
          <t>Right side has interior (bottom face) rabbeting</t>
        </is>
      </c>
      <c r="E15" s="6" t="inlineStr">
        <is>
          <t>From F360 model param</t>
        </is>
      </c>
    </row>
    <row r="16">
      <c r="A16" s="4" t="inlineStr">
        <is>
          <t>right_exterior_rabbeting</t>
        </is>
      </c>
      <c r="B16" s="5" t="n">
        <v>0</v>
      </c>
      <c r="C16" s="6" t="inlineStr">
        <is>
          <t>bool (0/1)</t>
        </is>
      </c>
      <c r="D16" s="6" t="inlineStr">
        <is>
          <t>Right side has exterior (top face) rabbeting</t>
        </is>
      </c>
      <c r="E16" s="6" t="inlineStr">
        <is>
          <t>From F360 model param</t>
        </is>
      </c>
    </row>
    <row r="18">
      <c r="A18" s="3" t="inlineStr">
        <is>
          <t>VOORWOOD CSV OUTPUT (gCutlist)</t>
        </is>
      </c>
      <c r="B18" s="3" t="inlineStr">
        <is>
          <t>FORMULA VALUE</t>
        </is>
      </c>
      <c r="C18" s="3" t="inlineStr">
        <is>
          <t>MAPPING TYPE</t>
        </is>
      </c>
      <c r="D18" s="3" t="inlineStr">
        <is>
          <t>FORMULA / LOGIC</t>
        </is>
      </c>
      <c r="E18" s="3" t="inlineStr">
        <is>
          <t>CODE REFERENCE (parameter_exporter.py)</t>
        </is>
      </c>
    </row>
    <row r="19">
      <c r="A19" s="7" t="inlineStr">
        <is>
          <t>gCutlist.Item[0].Qty</t>
        </is>
      </c>
      <c r="B19" s="8" t="inlineStr">
        <is>
          <t>1</t>
        </is>
      </c>
      <c r="C19" s="8" t="inlineStr">
        <is>
          <t>Constant</t>
        </is>
      </c>
      <c r="D19" s="8" t="inlineStr">
        <is>
          <t>Always 1</t>
        </is>
      </c>
      <c r="E19" s="8" t="inlineStr">
        <is>
          <t>Line 1033: ('Qty', '1')</t>
        </is>
      </c>
    </row>
    <row r="20">
      <c r="A20" s="9" t="inlineStr">
        <is>
          <t>gCutlist.Item[0].Width</t>
        </is>
      </c>
      <c r="B20" s="10">
        <f>B6</f>
        <v/>
      </c>
      <c r="C20" s="10" t="inlineStr">
        <is>
          <t>Direct</t>
        </is>
      </c>
      <c r="D20" s="10" t="inlineStr">
        <is>
          <t>component_width</t>
        </is>
      </c>
      <c r="E20" s="10" t="inlineStr">
        <is>
          <t>Line 902: component_width</t>
        </is>
      </c>
    </row>
    <row r="21">
      <c r="A21" s="9" t="inlineStr">
        <is>
          <t>gCutlist.Item[0].Length</t>
        </is>
      </c>
      <c r="B21" s="10">
        <f>B5</f>
        <v/>
      </c>
      <c r="C21" s="10" t="inlineStr">
        <is>
          <t>Direct</t>
        </is>
      </c>
      <c r="D21" s="10" t="inlineStr">
        <is>
          <t>component_height (door height = CSV Length)</t>
        </is>
      </c>
      <c r="E21" s="10" t="inlineStr">
        <is>
          <t>Line 905: component_height</t>
        </is>
      </c>
    </row>
    <row r="22">
      <c r="A22" s="11" t="inlineStr">
        <is>
          <t>gCutlist.Item[0].ID</t>
        </is>
      </c>
      <c r="B22" s="12">
        <f>MID(B8,FIND("-",B8)+1,FIND("-",B8,FIND("-",B8)+1)-FIND("-",B8)-1)</f>
        <v/>
      </c>
      <c r="C22" s="12" t="inlineStr">
        <is>
          <t>Extracted</t>
        </is>
      </c>
      <c r="D22" s="12" t="inlineStr">
        <is>
          <t>Extract component ID from full ID (e.g. "D1" from "1-D1-IBUS12345")</t>
        </is>
      </c>
      <c r="E22" s="12" t="inlineStr">
        <is>
          <t>Line 1036: component_id</t>
        </is>
      </c>
    </row>
    <row r="23">
      <c r="A23" s="9" t="inlineStr">
        <is>
          <t>gCutlist.Item[0].Series</t>
        </is>
      </c>
      <c r="B23" s="10">
        <f>B9</f>
        <v/>
      </c>
      <c r="C23" s="10" t="inlineStr">
        <is>
          <t>Direct</t>
        </is>
      </c>
      <c r="D23" s="10" t="inlineStr">
        <is>
          <t>Series ID passed through</t>
        </is>
      </c>
      <c r="E23" s="10" t="inlineStr">
        <is>
          <t>Line 1037: series_id</t>
        </is>
      </c>
    </row>
    <row r="24">
      <c r="A24" s="11" t="inlineStr">
        <is>
          <t>gCutlist.Item[0].RoutingInformation</t>
        </is>
      </c>
      <c r="B24" s="12">
        <f>B9&amp;" "&amp;IF(B11=1,"RH","LH")&amp;" "&amp;IF(B12=1,"OS","IS")</f>
        <v/>
      </c>
      <c r="C24" s="12" t="inlineStr">
        <is>
          <t>Derived</t>
        </is>
      </c>
      <c r="D24" s="12" t="inlineStr">
        <is>
          <t>{series} {RH|LH} {OS|IS} — single door, no per-side logic</t>
        </is>
      </c>
      <c r="E24" s="12" t="inlineStr">
        <is>
          <t>Lines 956-961: door routing = series + hinge + swing</t>
        </is>
      </c>
    </row>
    <row r="25">
      <c r="A25" s="11" t="inlineStr">
        <is>
          <t>gCutlist.Item[0].SO</t>
        </is>
      </c>
      <c r="B25" s="12">
        <f>MID(B8,FIND("-",B8,FIND("-",B8)+1)+1,LEN(B8))</f>
        <v/>
      </c>
      <c r="C25" s="12" t="inlineStr">
        <is>
          <t>Extracted</t>
        </is>
      </c>
      <c r="D25" s="12" t="inlineStr">
        <is>
          <t>Extract order/SO from full ID (e.g. "IBUS12345" from "1-D1-IBUS12345")</t>
        </is>
      </c>
      <c r="E25" s="12" t="inlineStr">
        <is>
          <t>Line 1039: order_id</t>
        </is>
      </c>
    </row>
    <row r="26">
      <c r="A26" s="9" t="inlineStr">
        <is>
          <t>gCutlist.Item[0].FC</t>
        </is>
      </c>
      <c r="B26" s="10">
        <f>B10</f>
        <v/>
      </c>
      <c r="C26" s="10" t="inlineStr">
        <is>
          <t>Direct</t>
        </is>
      </c>
      <c r="D26" s="10" t="inlineStr">
        <is>
          <t>component_floor_clearance (single value for doors, not per-side)</t>
        </is>
      </c>
      <c r="E26" s="10" t="inlineStr">
        <is>
          <t>Lines 931-936: component_floor_clearance from JSON or model</t>
        </is>
      </c>
    </row>
    <row r="27">
      <c r="A27" s="11" t="inlineStr">
        <is>
          <t>gCutlist.Item[0].GappingSide1</t>
        </is>
      </c>
      <c r="B27" s="12">
        <f>IF(OR(B15=1,B16=1),1,0)</f>
        <v/>
      </c>
      <c r="C27" s="12" t="inlineStr">
        <is>
          <t>Derived</t>
        </is>
      </c>
      <c r="D27" s="12" t="inlineStr">
        <is>
          <t>1 if right side has any rabbeting (interior OR exterior), else 0</t>
        </is>
      </c>
      <c r="E27" s="12" t="inlineStr">
        <is>
          <t>Lines 970-972: has_right_rabbeting</t>
        </is>
      </c>
    </row>
    <row r="28">
      <c r="A28" s="11" t="inlineStr">
        <is>
          <t>gCutlist.Item[0].GappingSide2</t>
        </is>
      </c>
      <c r="B28" s="12">
        <f>IF(OR(B13=1,B14=1),1,0)</f>
        <v/>
      </c>
      <c r="C28" s="12" t="inlineStr">
        <is>
          <t>Derived</t>
        </is>
      </c>
      <c r="D28" s="12" t="inlineStr">
        <is>
          <t>1 if left side has any rabbeting (interior OR exterior), else 0</t>
        </is>
      </c>
      <c r="E28" s="12" t="inlineStr">
        <is>
          <t>Lines 970-973: has_left_rabbeting</t>
        </is>
      </c>
    </row>
    <row r="29">
      <c r="A29" s="7" t="inlineStr">
        <is>
          <t>gCutlist.Item[0].GappingSide3</t>
        </is>
      </c>
      <c r="B29" s="8" t="inlineStr">
        <is>
          <t>0</t>
        </is>
      </c>
      <c r="C29" s="8" t="inlineStr">
        <is>
          <t>Constant</t>
        </is>
      </c>
      <c r="D29" s="8" t="inlineStr">
        <is>
          <t>Always 0 (top edge — no rabbeting)</t>
        </is>
      </c>
      <c r="E29" s="8" t="inlineStr">
        <is>
          <t>Line 974: gapping_side3 = 0</t>
        </is>
      </c>
    </row>
    <row r="30">
      <c r="A30" s="7" t="inlineStr">
        <is>
          <t>gCutlist.Item[0].GappingSide4</t>
        </is>
      </c>
      <c r="B30" s="8" t="inlineStr">
        <is>
          <t>0</t>
        </is>
      </c>
      <c r="C30" s="8" t="inlineStr">
        <is>
          <t>Constant</t>
        </is>
      </c>
      <c r="D30" s="8" t="inlineStr">
        <is>
          <t>Always 0 (bottom edge — no rabbeting)</t>
        </is>
      </c>
      <c r="E30" s="8" t="inlineStr">
        <is>
          <t>Line 975: gapping_side4 = 0</t>
        </is>
      </c>
    </row>
    <row r="31">
      <c r="A31" s="7" t="inlineStr">
        <is>
          <t>gCutlist.Item[0].GappingStartSide1</t>
        </is>
      </c>
      <c r="B31" s="8" t="inlineStr">
        <is>
          <t>0</t>
        </is>
      </c>
      <c r="C31" s="8" t="inlineStr">
        <is>
          <t>Constant</t>
        </is>
      </c>
      <c r="D31" s="8" t="inlineStr">
        <is>
          <t>Door: always 0 (rabbeting runs full length, no offset)</t>
        </is>
      </c>
      <c r="E31" s="8" t="inlineStr">
        <is>
          <t>Line 994: gapping_start_side1 = 0</t>
        </is>
      </c>
    </row>
    <row r="32">
      <c r="A32" s="7" t="inlineStr">
        <is>
          <t>gCutlist.Item[0].GappingStartSide2</t>
        </is>
      </c>
      <c r="B32" s="8" t="inlineStr">
        <is>
          <t>0</t>
        </is>
      </c>
      <c r="C32" s="8" t="inlineStr">
        <is>
          <t>Constant</t>
        </is>
      </c>
      <c r="D32" s="8" t="inlineStr">
        <is>
          <t>Door: always 0 (rabbeting runs full length, no offset)</t>
        </is>
      </c>
      <c r="E32" s="8" t="inlineStr">
        <is>
          <t>Line 996: gapping_start_side2 = 0</t>
        </is>
      </c>
    </row>
    <row r="33">
      <c r="A33" s="11" t="inlineStr">
        <is>
          <t>gCutlist.Item[0].GappingLengthSide1</t>
        </is>
      </c>
      <c r="B33" s="12">
        <f>IF(OR(B15=1,B16=1),B5,0)</f>
        <v/>
      </c>
      <c r="C33" s="12" t="inlineStr">
        <is>
          <t>Conditional</t>
        </is>
      </c>
      <c r="D33" s="12" t="inlineStr">
        <is>
          <t>component_height if right side has rabbeting, else 0 (full-length rabbeting)</t>
        </is>
      </c>
      <c r="E33" s="12" t="inlineStr">
        <is>
          <t>Line 995: length_value if gapping_side1</t>
        </is>
      </c>
    </row>
    <row r="34">
      <c r="A34" s="11" t="inlineStr">
        <is>
          <t>gCutlist.Item[0].GappingLengthSide2</t>
        </is>
      </c>
      <c r="B34" s="12">
        <f>IF(OR(B13=1,B14=1),B5,0)</f>
        <v/>
      </c>
      <c r="C34" s="12" t="inlineStr">
        <is>
          <t>Conditional</t>
        </is>
      </c>
      <c r="D34" s="12" t="inlineStr">
        <is>
          <t>component_height if left side has rabbeting, else 0 (full-length rabbeting)</t>
        </is>
      </c>
      <c r="E34" s="12" t="inlineStr">
        <is>
          <t>Line 997: length_value if gapping_side2</t>
        </is>
      </c>
    </row>
    <row r="35">
      <c r="A35" s="7" t="inlineStr">
        <is>
          <t>gCutlist.Item[0].GappingStartSide3</t>
        </is>
      </c>
      <c r="B35" s="8" t="inlineStr">
        <is>
          <t>0</t>
        </is>
      </c>
      <c r="C35" s="8" t="inlineStr">
        <is>
          <t>Constant</t>
        </is>
      </c>
      <c r="D35" s="8" t="inlineStr">
        <is>
          <t>N/A (GappingSide3 is always 0)</t>
        </is>
      </c>
      <c r="E35" s="8" t="inlineStr">
        <is>
          <t>Line 998</t>
        </is>
      </c>
    </row>
    <row r="36">
      <c r="A36" s="7" t="inlineStr">
        <is>
          <t>gCutlist.Item[0].GappingStartSide4</t>
        </is>
      </c>
      <c r="B36" s="8" t="inlineStr">
        <is>
          <t>0</t>
        </is>
      </c>
      <c r="C36" s="8" t="inlineStr">
        <is>
          <t>Constant</t>
        </is>
      </c>
      <c r="D36" s="8" t="inlineStr">
        <is>
          <t>N/A (GappingSide4 is always 0)</t>
        </is>
      </c>
      <c r="E36" s="8" t="inlineStr">
        <is>
          <t>Line 999</t>
        </is>
      </c>
    </row>
    <row r="37">
      <c r="A37" s="7" t="inlineStr">
        <is>
          <t>gCutlist.Item[0].GappingLengthSide3</t>
        </is>
      </c>
      <c r="B37" s="8" t="inlineStr">
        <is>
          <t>0</t>
        </is>
      </c>
      <c r="C37" s="8" t="inlineStr">
        <is>
          <t>Constant</t>
        </is>
      </c>
      <c r="D37" s="8" t="inlineStr">
        <is>
          <t>N/A (GappingSide3 is always 0)</t>
        </is>
      </c>
      <c r="E37" s="8" t="inlineStr">
        <is>
          <t>Line 1000</t>
        </is>
      </c>
    </row>
    <row r="38">
      <c r="A38" s="7" t="inlineStr">
        <is>
          <t>gCutlist.Item[0].GappingLengthSide4</t>
        </is>
      </c>
      <c r="B38" s="8" t="inlineStr">
        <is>
          <t>0</t>
        </is>
      </c>
      <c r="C38" s="8" t="inlineStr">
        <is>
          <t>Constant</t>
        </is>
      </c>
      <c r="D38" s="8" t="inlineStr">
        <is>
          <t>N/A (GappingSide4 is always 0)</t>
        </is>
      </c>
      <c r="E38" s="8" t="inlineStr">
        <is>
          <t>Line 1001</t>
        </is>
      </c>
    </row>
    <row r="39">
      <c r="A39" s="11" t="inlineStr">
        <is>
          <t>gCutlist.Item[0].GappingTopSide1</t>
        </is>
      </c>
      <c r="B39" s="12">
        <f>IF(OR(B15=1,B16=1),IF(B16=1,1,0),0)</f>
        <v/>
      </c>
      <c r="C39" s="12" t="inlineStr">
        <is>
          <t>Conditional</t>
        </is>
      </c>
      <c r="D39" s="12" t="inlineStr">
        <is>
          <t>1 if right side has exterior rabbeting, 0 if interior only, 0 if no rabbeting</t>
        </is>
      </c>
      <c r="E39" s="12" t="inlineStr">
        <is>
          <t>Lines 1017-1020: right_exterior_rabbeting if gapping_side1</t>
        </is>
      </c>
    </row>
    <row r="40">
      <c r="A40" s="11" t="inlineStr">
        <is>
          <t>gCutlist.Item[0].GappingTopSide2</t>
        </is>
      </c>
      <c r="B40" s="12">
        <f>IF(OR(B13=1,B14=1),IF(B14=1,1,0),0)</f>
        <v/>
      </c>
      <c r="C40" s="12" t="inlineStr">
        <is>
          <t>Conditional</t>
        </is>
      </c>
      <c r="D40" s="12" t="inlineStr">
        <is>
          <t>1 if left side has exterior rabbeting, 0 if interior only, 0 if no rabbeting</t>
        </is>
      </c>
      <c r="E40" s="12" t="inlineStr">
        <is>
          <t>Lines 1021-1024: left_exterior_rabbeting if gapping_side2</t>
        </is>
      </c>
    </row>
    <row r="41">
      <c r="A41" s="7" t="inlineStr">
        <is>
          <t>gCutlist.Item[0].GappingTopSide3</t>
        </is>
      </c>
      <c r="B41" s="8" t="inlineStr">
        <is>
          <t>0</t>
        </is>
      </c>
      <c r="C41" s="8" t="inlineStr">
        <is>
          <t>Constant</t>
        </is>
      </c>
      <c r="D41" s="8" t="inlineStr">
        <is>
          <t>N/A (GappingSide3 is always 0)</t>
        </is>
      </c>
      <c r="E41" s="8" t="inlineStr">
        <is>
          <t>Line 1025</t>
        </is>
      </c>
    </row>
    <row r="42">
      <c r="A42" s="7" t="inlineStr">
        <is>
          <t>gCutlist.Item[0].GappingTopSide4</t>
        </is>
      </c>
      <c r="B42" s="8" t="inlineStr">
        <is>
          <t>0</t>
        </is>
      </c>
      <c r="C42" s="8" t="inlineStr">
        <is>
          <t>Constant</t>
        </is>
      </c>
      <c r="D42" s="8" t="inlineStr">
        <is>
          <t>N/A (GappingSide4 is always 0)</t>
        </is>
      </c>
      <c r="E42" s="8" t="inlineStr">
        <is>
          <t>Line 1026</t>
        </is>
      </c>
    </row>
    <row r="43">
      <c r="A43" s="11" t="inlineStr">
        <is>
          <t>gCutlist.Item[0].EdgeFinishingSide1</t>
        </is>
      </c>
      <c r="B43" s="12">
        <f>IF(OR(B15=1,B16=1),0,1)</f>
        <v/>
      </c>
      <c r="C43" s="12" t="inlineStr">
        <is>
          <t>Derived</t>
        </is>
      </c>
      <c r="D43" s="12" t="inlineStr">
        <is>
          <t>Inverse of GappingSide1: 0 if rabbeting on right, else 1</t>
        </is>
      </c>
      <c r="E43" s="12" t="inlineStr">
        <is>
          <t>Line 978: edge_finishing_side1 = 0 if gapping_side1 else 1</t>
        </is>
      </c>
    </row>
    <row r="44">
      <c r="A44" s="11" t="inlineStr">
        <is>
          <t>gCutlist.Item[0].EdgeFinishingSide2</t>
        </is>
      </c>
      <c r="B44" s="12">
        <f>IF(OR(B13=1,B14=1),0,1)</f>
        <v/>
      </c>
      <c r="C44" s="12" t="inlineStr">
        <is>
          <t>Derived</t>
        </is>
      </c>
      <c r="D44" s="12" t="inlineStr">
        <is>
          <t>Inverse of GappingSide2: 0 if rabbeting on left, else 1</t>
        </is>
      </c>
      <c r="E44" s="12" t="inlineStr">
        <is>
          <t>Line 979: edge_finishing_side2 = 0 if gapping_side2 else 1</t>
        </is>
      </c>
    </row>
    <row r="45">
      <c r="A45" s="7" t="inlineStr">
        <is>
          <t>gCutlist.Item[0].EdgeFinishingSide3</t>
        </is>
      </c>
      <c r="B45" s="8" t="inlineStr">
        <is>
          <t>1</t>
        </is>
      </c>
      <c r="C45" s="8" t="inlineStr">
        <is>
          <t>Constant</t>
        </is>
      </c>
      <c r="D45" s="8" t="inlineStr">
        <is>
          <t>Always 1 (top edge always edge-finished)</t>
        </is>
      </c>
      <c r="E45" s="8" t="inlineStr">
        <is>
          <t>Line 980: edge_finishing_side3 = 1</t>
        </is>
      </c>
    </row>
    <row r="46">
      <c r="A46" s="7" t="inlineStr">
        <is>
          <t>gCutlist.Item[0].EdgeFinishingSide4</t>
        </is>
      </c>
      <c r="B46" s="8" t="inlineStr">
        <is>
          <t>1</t>
        </is>
      </c>
      <c r="C46" s="8" t="inlineStr">
        <is>
          <t>Constant</t>
        </is>
      </c>
      <c r="D46" s="8" t="inlineStr">
        <is>
          <t>Always 1 (bottom edge always edge-finished)</t>
        </is>
      </c>
      <c r="E46" s="8" t="inlineStr">
        <is>
          <t>Line 981: edge_finishing_side4 = 1</t>
        </is>
      </c>
    </row>
    <row r="47">
      <c r="A47" s="9" t="inlineStr">
        <is>
          <t>gCutlist.Item[0].Thickness</t>
        </is>
      </c>
      <c r="B47" s="10">
        <f>B7</f>
        <v/>
      </c>
      <c r="C47" s="10" t="inlineStr">
        <is>
          <t>Direct</t>
        </is>
      </c>
      <c r="D47" s="10" t="inlineStr">
        <is>
          <t>component_thickness</t>
        </is>
      </c>
      <c r="E47" s="10" t="inlineStr">
        <is>
          <t>Line 1029: component_thickness</t>
        </is>
      </c>
    </row>
    <row r="48">
      <c r="A48" s="7" t="inlineStr">
        <is>
          <t>gCutlist.Item[0].Flip</t>
        </is>
      </c>
      <c r="B48" s="8" t="inlineStr">
        <is>
          <t>1</t>
        </is>
      </c>
      <c r="C48" s="8" t="inlineStr">
        <is>
          <t>Constant</t>
        </is>
      </c>
      <c r="D48" s="8" t="inlineStr">
        <is>
          <t>Door: always 1 (Rotate). Doors never use Flip.</t>
        </is>
      </c>
      <c r="E48" s="8" t="inlineStr">
        <is>
          <t>Line 1062: ('Flip', '1') — always 1 for doors</t>
        </is>
      </c>
    </row>
    <row r="49">
      <c r="A49" s="7" t="inlineStr">
        <is>
          <t>gCutlist.Item[0].Location</t>
        </is>
      </c>
      <c r="B49" s="8" t="inlineStr">
        <is>
          <t>BLA</t>
        </is>
      </c>
      <c r="C49" s="8" t="inlineStr">
        <is>
          <t>Constant</t>
        </is>
      </c>
      <c r="D49" s="8" t="inlineStr">
        <is>
          <t>Always BLA</t>
        </is>
      </c>
      <c r="E49" s="8" t="inlineStr">
        <is>
          <t>Line 1063: ('Location', 'BLA')</t>
        </is>
      </c>
    </row>
    <row r="50">
      <c r="A50" s="11" t="inlineStr">
        <is>
          <t>gCutlist.Item[0].ProgramName</t>
        </is>
      </c>
      <c r="B50" s="12">
        <f>B9&amp;" "&amp;IF(B11=1,"RH","LH")&amp;" "&amp;IF(B12=1,"O/S","I/S")&amp;" DOOR"</f>
        <v/>
      </c>
      <c r="C50" s="12" t="inlineStr">
        <is>
          <t>Derived</t>
        </is>
      </c>
      <c r="D50" s="12" t="inlineStr">
        <is>
          <t>{series} {RH|LH} {O/S|I/S} DOOR</t>
        </is>
      </c>
      <c r="E50" s="12" t="inlineStr">
        <is>
          <t>Lines 719-725: drill_name = series + hinge + swing + DOOR</t>
        </is>
      </c>
    </row>
    <row r="52">
      <c r="A52" s="13" t="inlineStr">
        <is>
          <t>KEY DIFFERENCES FROM STILE</t>
        </is>
      </c>
      <c r="B52" s="14" t="n"/>
      <c r="C52" s="14" t="n"/>
      <c r="D52" s="14" t="n"/>
      <c r="E52" s="15" t="n"/>
    </row>
    <row r="53">
      <c r="A53" s="7" t="inlineStr">
        <is>
          <t>Field</t>
        </is>
      </c>
      <c r="B53" s="7" t="inlineStr">
        <is>
          <t>Stile</t>
        </is>
      </c>
      <c r="C53" s="7" t="inlineStr">
        <is>
          <t>Door</t>
        </is>
      </c>
      <c r="D53" s="7" t="inlineStr">
        <is>
          <t>Notes</t>
        </is>
      </c>
      <c r="E53" s="8" t="n"/>
    </row>
    <row r="54">
      <c r="A54" s="7" t="inlineStr">
        <is>
          <t>FC</t>
        </is>
      </c>
      <c r="B54" s="8" t="inlineStr">
        <is>
          <t>Per-side: LD_floor_clearance / RD_floor_clearance</t>
        </is>
      </c>
      <c r="C54" s="8" t="inlineStr">
        <is>
          <t>Single: component_floor_clearance</t>
        </is>
      </c>
      <c r="D54" s="8" t="inlineStr">
        <is>
          <t>Stile has FC SIDE 1 and FC SIDE 2; Door has one FC</t>
        </is>
      </c>
      <c r="E54" s="8" t="n"/>
    </row>
    <row r="55">
      <c r="A55" s="7" t="inlineStr">
        <is>
          <t>RoutingInformation</t>
        </is>
      </c>
      <c r="B55" s="8" t="inlineStr">
        <is>
          <t>{series} {RH|LH} {OS|IS} per side, joined /</t>
        </is>
      </c>
      <c r="C55" s="8" t="inlineStr">
        <is>
          <t>{series} {RH|LH} {OS|IS}</t>
        </is>
      </c>
      <c r="D55" s="8" t="inlineStr">
        <is>
          <t>Door has single routing, no per-side</t>
        </is>
      </c>
      <c r="E55" s="8" t="n"/>
    </row>
    <row r="56">
      <c r="A56" s="7" t="inlineStr">
        <is>
          <t>ProgramName</t>
        </is>
      </c>
      <c r="B56" s="8" t="inlineStr">
        <is>
          <t>{series} {hinge} {swing} {HINGE|KEEP} per side</t>
        </is>
      </c>
      <c r="C56" s="8" t="inlineStr">
        <is>
          <t>{series} {RH|LH} {O/S|I/S} DOOR</t>
        </is>
      </c>
      <c r="D56" s="8" t="inlineStr">
        <is>
          <t>Door always ends with DOOR</t>
        </is>
      </c>
      <c r="E56" s="8" t="n"/>
    </row>
    <row r="57">
      <c r="A57" s="7" t="inlineStr">
        <is>
          <t>GappingSide1/2</t>
        </is>
      </c>
      <c r="B57" s="8" t="inlineStr">
        <is>
          <t>1 if that side has a door</t>
        </is>
      </c>
      <c r="C57" s="8" t="inlineStr">
        <is>
          <t>1 if that side has any rabbeting (int OR ext)</t>
        </is>
      </c>
      <c r="D57" s="8" t="inlineStr">
        <is>
          <t>Different trigger condition</t>
        </is>
      </c>
      <c r="E57" s="8" t="n"/>
    </row>
    <row r="58">
      <c r="A58" s="7" t="inlineStr">
        <is>
          <t>GappingStart</t>
        </is>
      </c>
      <c r="B58" s="8" t="inlineStr">
        <is>
          <t>right/left_rabbeting_top from model</t>
        </is>
      </c>
      <c r="C58" s="8" t="inlineStr">
        <is>
          <t>Always 0</t>
        </is>
      </c>
      <c r="D58" s="8" t="inlineStr">
        <is>
          <t>Door rabbeting has no offset</t>
        </is>
      </c>
      <c r="E58" s="8" t="n"/>
    </row>
    <row r="59">
      <c r="A59" s="7" t="inlineStr">
        <is>
          <t>GappingLength</t>
        </is>
      </c>
      <c r="B59" s="8" t="inlineStr">
        <is>
          <t>right/left_rabbeting_length from model</t>
        </is>
      </c>
      <c r="C59" s="8" t="inlineStr">
        <is>
          <t>component_height if gapping, else 0</t>
        </is>
      </c>
      <c r="D59" s="8" t="inlineStr">
        <is>
          <t>Door rabbeting runs full length</t>
        </is>
      </c>
      <c r="E59" s="8" t="n"/>
    </row>
    <row r="60">
      <c r="A60" s="7" t="inlineStr">
        <is>
          <t>Flip</t>
        </is>
      </c>
      <c r="B60" s="8" t="inlineStr">
        <is>
          <t>1 or 2 (based on opposite drilling)</t>
        </is>
      </c>
      <c r="C60" s="8" t="inlineStr">
        <is>
          <t>Always 1 (Rotate)</t>
        </is>
      </c>
      <c r="D60" s="8" t="inlineStr">
        <is>
          <t>Doors never flip</t>
        </is>
      </c>
      <c r="E60" s="8" t="n"/>
    </row>
    <row r="61">
      <c r="A61" s="7" t="inlineStr">
        <is>
          <t>Input params</t>
        </is>
      </c>
      <c r="B61" s="8" t="inlineStr">
        <is>
          <t>left_side_door, LD_hinging_right, LD_swinging_out, ...</t>
        </is>
      </c>
      <c r="C61" s="8" t="inlineStr">
        <is>
          <t>door_hinging_right, door_swinging_out</t>
        </is>
      </c>
      <c r="D61" s="8" t="inlineStr">
        <is>
          <t>Different JSON param names</t>
        </is>
      </c>
      <c r="E61" s="8" t="n"/>
    </row>
    <row r="63">
      <c r="A63" s="13" t="inlineStr">
        <is>
          <t>COLOR LEGEND</t>
        </is>
      </c>
      <c r="B63" s="14" t="n"/>
      <c r="C63" s="14" t="n"/>
      <c r="D63" s="14" t="n"/>
      <c r="E63" s="15" t="n"/>
    </row>
    <row r="64">
      <c r="A64" s="17" t="inlineStr">
        <is>
          <t>████</t>
        </is>
      </c>
      <c r="B64" t="inlineStr">
        <is>
          <t>Yellow — Editable INPUT parameters (change these to test)</t>
        </is>
      </c>
    </row>
    <row r="65">
      <c r="A65" s="18" t="inlineStr">
        <is>
          <t>████</t>
        </is>
      </c>
      <c r="B65" t="inlineStr">
        <is>
          <t>Blue — Direct mapping (input → output)</t>
        </is>
      </c>
    </row>
    <row r="66">
      <c r="A66" s="19" t="inlineStr">
        <is>
          <t>████</t>
        </is>
      </c>
      <c r="B66" t="inlineStr">
        <is>
          <t>Green — Derived/conditional formula (computed from inputs)</t>
        </is>
      </c>
    </row>
    <row r="67">
      <c r="A67" s="20" t="inlineStr">
        <is>
          <t>████</t>
        </is>
      </c>
      <c r="B67" t="inlineStr">
        <is>
          <t>Gray — Constant or reference information</t>
        </is>
      </c>
    </row>
  </sheetData>
  <mergeCells count="8">
    <mergeCell ref="B65:E65"/>
    <mergeCell ref="A2:E2"/>
    <mergeCell ref="A52:E52"/>
    <mergeCell ref="A63:E63"/>
    <mergeCell ref="B64:E64"/>
    <mergeCell ref="A1:E1"/>
    <mergeCell ref="B66:E66"/>
    <mergeCell ref="B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2026-04-07T20:23:27Z</dcterms:created>
  <dcterms:modified xmlns:dcterms="http://purl.org/dc/terms/" xmlns:xsi="http://www.w3.org/2001/XMLSchema-instance" xsi:type="dcterms:W3CDTF">2026-04-07T20:23:27Z</dcterms:modified>
</cp:coreProperties>
</file>