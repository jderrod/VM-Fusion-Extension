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0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obrick.sharepoint.com/sites/Spec2SawPre-Planning/Shared Documents/DPC Production Assets/Panel XX8X/"/>
    </mc:Choice>
  </mc:AlternateContent>
  <xr:revisionPtr revIDLastSave="0" documentId="8_{B5382DC6-0904-4C5D-8BA1-DEB160B1D8EB}" xr6:coauthVersionLast="47" xr6:coauthVersionMax="47" xr10:uidLastSave="{00000000-0000-0000-0000-000000000000}"/>
  <bookViews>
    <workbookView xWindow="-20184" yWindow="-17388" windowWidth="30936" windowHeight="17496" firstSheet="3" activeTab="3" xr2:uid="{34FA45C7-7A00-4095-9FED-7E70ED6ECB8E}"/>
  </bookViews>
  <sheets>
    <sheet name="Panel Calculated Values" sheetId="2" r:id="rId1"/>
    <sheet name="Cutouts" sheetId="5" r:id="rId2"/>
    <sheet name="ValidationScenarioGenerator" sheetId="3" r:id="rId3"/>
    <sheet name="ValidationScenarios vFin" sheetId="4" r:id="rId4"/>
    <sheet name="New drawings" sheetId="8" r:id="rId5"/>
    <sheet name="ScenarioAnalysis" sheetId="7" r:id="rId6"/>
    <sheet name="ValidationOutputs" sheetId="9" r:id="rId7"/>
  </sheets>
  <definedNames>
    <definedName name="_xlnm._FilterDatabase" localSheetId="4" hidden="1">'New drawings'!$A$3:$K$768</definedName>
    <definedName name="_xlnm._FilterDatabase" localSheetId="2" hidden="1">ValidationScenarioGenerator!$B$3:$M$723</definedName>
    <definedName name="_xlnm._FilterDatabase" localSheetId="3" hidden="1">'ValidationScenarios vFin'!$A$3:$K$1488</definedName>
    <definedName name="_xleta.FLOOR" hidden="1" xlm="1">#NAME?</definedName>
    <definedName name="_xlpm.k" hidden="1" xlm="1">#NAME?</definedName>
    <definedName name="_xlpm.minVal" hidden="1" xlm="1">#NAME?</definedName>
    <definedName name="_xlpm.r" hidden="1" xlm="1">#NAME?</definedName>
    <definedName name="_xlpm.step" hidden="1" xlm="1">#NAME?</definedName>
    <definedName name="B_347_357_height">'Panel Calculated Values'!$G$49</definedName>
    <definedName name="B_347_357_width">'Panel Calculated Values'!$G$44</definedName>
    <definedName name="B_347_357_x_dist_from_wall">'Panel Calculated Values'!$G$59</definedName>
    <definedName name="B_347_357_y_dist_from_floor">'Panel Calculated Values'!$G$54</definedName>
    <definedName name="B_3471_34715_3571_35715_height">'Panel Calculated Values'!$G$50</definedName>
    <definedName name="B_3471_34715_3571_35715_width">'Panel Calculated Values'!$G$45</definedName>
    <definedName name="B_3471_34715_3571_35715_x_dist_from_wall">'Panel Calculated Values'!$G$60</definedName>
    <definedName name="B_3471_34715_3571_35715_y_dist_from_floor">'Panel Calculated Values'!$G$55</definedName>
    <definedName name="B_354_height">'Panel Calculated Values'!$G$46</definedName>
    <definedName name="B_354_width">'Panel Calculated Values'!$G$41</definedName>
    <definedName name="B_354_x_dist_from_wall">'Panel Calculated Values'!$G$56</definedName>
    <definedName name="B_354_y_dist_from_floor">'Panel Calculated Values'!$G$51</definedName>
    <definedName name="B_386_height">'Panel Calculated Values'!$G$47</definedName>
    <definedName name="B_386_width">'Panel Calculated Values'!$G$42</definedName>
    <definedName name="B_386_x_dist_from_wall">'Panel Calculated Values'!$G$57</definedName>
    <definedName name="B_386_y_dist_from_floor">'Panel Calculated Values'!$G$52</definedName>
    <definedName name="B_4354_height">'Panel Calculated Values'!$G$48</definedName>
    <definedName name="B_4354_width">'Panel Calculated Values'!$G$43</definedName>
    <definedName name="B_4354_x_dist_from_wall">'Panel Calculated Values'!$G$58</definedName>
    <definedName name="B_4354_y_dist_from_floor">'Panel Calculated Values'!$G$53</definedName>
    <definedName name="bottom_notching_actual_y_dist">'Panel Calculated Values'!$G$17</definedName>
    <definedName name="bottom_notching_standard_y_dist">'Panel Calculated Values'!$G$16</definedName>
    <definedName name="component_ceiling_clearance">'Panel Calculated Values'!$G$5</definedName>
    <definedName name="component_floor_clearance">'Panel Calculated Values'!$G$4</definedName>
    <definedName name="component_height">'Panel Calculated Values'!$G$2</definedName>
    <definedName name="component_thickness">'Panel Calculated Values'!$G$14</definedName>
    <definedName name="component_width">'Panel Calculated Values'!$G$3</definedName>
    <definedName name="cutout_A">'Panel Calculated Values'!$G$12</definedName>
    <definedName name="cutout_A_height">'Panel Calculated Values'!$G$32</definedName>
    <definedName name="cutout_A_width">'Panel Calculated Values'!$G$31</definedName>
    <definedName name="cutout_A_x_coordinate">'Panel Calculated Values'!$G$33</definedName>
    <definedName name="cutout_A_y_coordinate">'Panel Calculated Values'!$G$34</definedName>
    <definedName name="cutout_B">'Panel Calculated Values'!$G$13</definedName>
    <definedName name="cutout_B_height">'Panel Calculated Values'!$G$36</definedName>
    <definedName name="cutout_B_width">'Panel Calculated Values'!$G$35</definedName>
    <definedName name="cutout_B_x_coordinate">'Panel Calculated Values'!$G$37</definedName>
    <definedName name="cutout_B_y_coordinate">'Panel Calculated Values'!$G$38</definedName>
    <definedName name="floor_to_ceiling">'Panel Calculated Values'!#REF!</definedName>
    <definedName name="notching_back_edge_bottom">'Panel Calculated Values'!$G$24</definedName>
    <definedName name="notching_back_edge_top">'Panel Calculated Values'!$G$26</definedName>
    <definedName name="notching_front_edge_bottom">'Panel Calculated Values'!$G$23</definedName>
    <definedName name="notching_front_edge_top">'Panel Calculated Values'!$G$25</definedName>
    <definedName name="notching_x_dist">'Panel Calculated Values'!$G$15</definedName>
    <definedName name="panel_abuts_inline_stile_back">'Panel Calculated Values'!$G$9</definedName>
    <definedName name="panel_abuts_inline_stile_front">'Panel Calculated Values'!$G$7</definedName>
    <definedName name="panel_back_inline_stile_floor_to_ceiling">'Panel Calculated Values'!$G$10</definedName>
    <definedName name="panel_front_inline_stile_floor_to_ceiling">'Panel Calculated Values'!$G$8</definedName>
    <definedName name="panel_section">'Panel Calculated Values'!$G$6</definedName>
    <definedName name="shoe_height">'Panel Calculated Values'!$G$19</definedName>
    <definedName name="shoe_top_notch_gap">'Panel Calculated Values'!$G$20</definedName>
    <definedName name="stile_in_the_back_width">'Panel Calculated Values'!$G$11</definedName>
    <definedName name="top_notching_y_dist">'Panel Calculated Values'!$G$18</definedName>
  </definedNames>
  <calcPr calcId="191028"/>
  <pivotCaches>
    <pivotCache cacheId="89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4" i="2" l="1"/>
  <c r="G38" i="2"/>
  <c r="G37" i="2"/>
  <c r="G34" i="2"/>
  <c r="G33" i="2"/>
  <c r="G36" i="2"/>
  <c r="G32" i="2"/>
  <c r="G35" i="2"/>
  <c r="G3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B57" i="2"/>
  <c r="B58" i="2" s="1"/>
  <c r="B59" i="2" s="1"/>
  <c r="B60" i="2" s="1"/>
  <c r="B52" i="2"/>
  <c r="B53" i="2" s="1"/>
  <c r="B54" i="2" s="1"/>
  <c r="B55" i="2" s="1"/>
  <c r="B47" i="2"/>
  <c r="B48" i="2" s="1"/>
  <c r="B49" i="2" s="1"/>
  <c r="B50" i="2" s="1"/>
  <c r="B43" i="2"/>
  <c r="B44" i="2" s="1"/>
  <c r="B45" i="2" s="1"/>
  <c r="B42" i="2"/>
  <c r="F41" i="2"/>
  <c r="G42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G60" i="2"/>
  <c r="G59" i="2"/>
  <c r="G58" i="2"/>
  <c r="G57" i="2"/>
  <c r="G56" i="2"/>
  <c r="G55" i="2"/>
  <c r="G53" i="2"/>
  <c r="G52" i="2"/>
  <c r="G51" i="2"/>
  <c r="G50" i="2"/>
  <c r="G49" i="2"/>
  <c r="G48" i="2"/>
  <c r="G47" i="2"/>
  <c r="G46" i="2"/>
  <c r="G45" i="2"/>
  <c r="G44" i="2"/>
  <c r="G43" i="2"/>
  <c r="G41" i="2"/>
  <c r="I19" i="5"/>
  <c r="D18" i="5"/>
  <c r="D20" i="5"/>
  <c r="H723" i="3"/>
  <c r="I723" i="3" s="1"/>
  <c r="H722" i="3"/>
  <c r="I722" i="3" s="1"/>
  <c r="H721" i="3"/>
  <c r="I721" i="3" s="1"/>
  <c r="H720" i="3"/>
  <c r="I720" i="3" s="1"/>
  <c r="H719" i="3"/>
  <c r="I719" i="3" s="1"/>
  <c r="H718" i="3"/>
  <c r="I718" i="3" s="1"/>
  <c r="H717" i="3"/>
  <c r="I717" i="3" s="1"/>
  <c r="H716" i="3"/>
  <c r="I716" i="3" s="1"/>
  <c r="H715" i="3"/>
  <c r="I715" i="3" s="1"/>
  <c r="H714" i="3"/>
  <c r="I714" i="3" s="1"/>
  <c r="H713" i="3"/>
  <c r="I713" i="3" s="1"/>
  <c r="H712" i="3"/>
  <c r="I712" i="3" s="1"/>
  <c r="H711" i="3"/>
  <c r="I711" i="3" s="1"/>
  <c r="H710" i="3"/>
  <c r="I710" i="3" s="1"/>
  <c r="H709" i="3"/>
  <c r="I709" i="3" s="1"/>
  <c r="H708" i="3"/>
  <c r="I708" i="3" s="1"/>
  <c r="H707" i="3"/>
  <c r="I707" i="3" s="1"/>
  <c r="H706" i="3"/>
  <c r="I706" i="3" s="1"/>
  <c r="H705" i="3"/>
  <c r="I705" i="3" s="1"/>
  <c r="H704" i="3"/>
  <c r="I704" i="3" s="1"/>
  <c r="H703" i="3"/>
  <c r="I703" i="3" s="1"/>
  <c r="H702" i="3"/>
  <c r="I702" i="3" s="1"/>
  <c r="H701" i="3"/>
  <c r="I701" i="3" s="1"/>
  <c r="H700" i="3"/>
  <c r="I700" i="3" s="1"/>
  <c r="H699" i="3"/>
  <c r="I699" i="3" s="1"/>
  <c r="H698" i="3"/>
  <c r="I698" i="3" s="1"/>
  <c r="H697" i="3"/>
  <c r="I697" i="3" s="1"/>
  <c r="H696" i="3"/>
  <c r="I696" i="3" s="1"/>
  <c r="H695" i="3"/>
  <c r="I695" i="3" s="1"/>
  <c r="H694" i="3"/>
  <c r="I694" i="3" s="1"/>
  <c r="H693" i="3"/>
  <c r="I693" i="3" s="1"/>
  <c r="H692" i="3"/>
  <c r="I692" i="3" s="1"/>
  <c r="H691" i="3"/>
  <c r="I691" i="3" s="1"/>
  <c r="H690" i="3"/>
  <c r="I690" i="3" s="1"/>
  <c r="H689" i="3"/>
  <c r="I689" i="3" s="1"/>
  <c r="H688" i="3"/>
  <c r="I688" i="3" s="1"/>
  <c r="H687" i="3"/>
  <c r="I687" i="3" s="1"/>
  <c r="H686" i="3"/>
  <c r="I686" i="3" s="1"/>
  <c r="H685" i="3"/>
  <c r="I685" i="3" s="1"/>
  <c r="H684" i="3"/>
  <c r="I684" i="3" s="1"/>
  <c r="H683" i="3"/>
  <c r="I683" i="3" s="1"/>
  <c r="H682" i="3"/>
  <c r="I682" i="3" s="1"/>
  <c r="H681" i="3"/>
  <c r="I681" i="3" s="1"/>
  <c r="H680" i="3"/>
  <c r="I680" i="3" s="1"/>
  <c r="H679" i="3"/>
  <c r="I679" i="3" s="1"/>
  <c r="H678" i="3"/>
  <c r="I678" i="3" s="1"/>
  <c r="H677" i="3"/>
  <c r="I677" i="3" s="1"/>
  <c r="H676" i="3"/>
  <c r="I676" i="3" s="1"/>
  <c r="H675" i="3"/>
  <c r="I675" i="3" s="1"/>
  <c r="H674" i="3"/>
  <c r="I674" i="3" s="1"/>
  <c r="H673" i="3"/>
  <c r="I673" i="3" s="1"/>
  <c r="H672" i="3"/>
  <c r="I672" i="3" s="1"/>
  <c r="H671" i="3"/>
  <c r="I671" i="3" s="1"/>
  <c r="H670" i="3"/>
  <c r="I670" i="3" s="1"/>
  <c r="H669" i="3"/>
  <c r="I669" i="3" s="1"/>
  <c r="H668" i="3"/>
  <c r="I668" i="3" s="1"/>
  <c r="H667" i="3"/>
  <c r="I667" i="3" s="1"/>
  <c r="H666" i="3"/>
  <c r="I666" i="3" s="1"/>
  <c r="H665" i="3"/>
  <c r="I665" i="3" s="1"/>
  <c r="H664" i="3"/>
  <c r="I664" i="3" s="1"/>
  <c r="H663" i="3"/>
  <c r="I663" i="3" s="1"/>
  <c r="H662" i="3"/>
  <c r="I662" i="3" s="1"/>
  <c r="H661" i="3"/>
  <c r="I661" i="3" s="1"/>
  <c r="H660" i="3"/>
  <c r="I660" i="3" s="1"/>
  <c r="H659" i="3"/>
  <c r="I659" i="3" s="1"/>
  <c r="H658" i="3"/>
  <c r="I658" i="3" s="1"/>
  <c r="H657" i="3"/>
  <c r="I657" i="3" s="1"/>
  <c r="H656" i="3"/>
  <c r="I656" i="3" s="1"/>
  <c r="H655" i="3"/>
  <c r="I655" i="3" s="1"/>
  <c r="H654" i="3"/>
  <c r="I654" i="3" s="1"/>
  <c r="H653" i="3"/>
  <c r="I653" i="3" s="1"/>
  <c r="H652" i="3"/>
  <c r="I652" i="3" s="1"/>
  <c r="H651" i="3"/>
  <c r="I651" i="3" s="1"/>
  <c r="H650" i="3"/>
  <c r="I650" i="3" s="1"/>
  <c r="H649" i="3"/>
  <c r="I649" i="3" s="1"/>
  <c r="H648" i="3"/>
  <c r="I648" i="3" s="1"/>
  <c r="H647" i="3"/>
  <c r="I647" i="3" s="1"/>
  <c r="H646" i="3"/>
  <c r="I646" i="3" s="1"/>
  <c r="H645" i="3"/>
  <c r="I645" i="3" s="1"/>
  <c r="H644" i="3"/>
  <c r="I644" i="3" s="1"/>
  <c r="H643" i="3"/>
  <c r="I643" i="3" s="1"/>
  <c r="H642" i="3"/>
  <c r="I642" i="3" s="1"/>
  <c r="H641" i="3"/>
  <c r="I641" i="3" s="1"/>
  <c r="H640" i="3"/>
  <c r="I640" i="3" s="1"/>
  <c r="H639" i="3"/>
  <c r="I639" i="3" s="1"/>
  <c r="H638" i="3"/>
  <c r="I638" i="3" s="1"/>
  <c r="H637" i="3"/>
  <c r="I637" i="3" s="1"/>
  <c r="H636" i="3"/>
  <c r="I636" i="3" s="1"/>
  <c r="H635" i="3"/>
  <c r="I635" i="3" s="1"/>
  <c r="H634" i="3"/>
  <c r="I634" i="3" s="1"/>
  <c r="H633" i="3"/>
  <c r="I633" i="3" s="1"/>
  <c r="H632" i="3"/>
  <c r="I632" i="3" s="1"/>
  <c r="H631" i="3"/>
  <c r="I631" i="3" s="1"/>
  <c r="H630" i="3"/>
  <c r="I630" i="3" s="1"/>
  <c r="H629" i="3"/>
  <c r="I629" i="3" s="1"/>
  <c r="H628" i="3"/>
  <c r="I628" i="3" s="1"/>
  <c r="H627" i="3"/>
  <c r="I627" i="3" s="1"/>
  <c r="H626" i="3"/>
  <c r="I626" i="3" s="1"/>
  <c r="H625" i="3"/>
  <c r="I625" i="3" s="1"/>
  <c r="H624" i="3"/>
  <c r="I624" i="3" s="1"/>
  <c r="H623" i="3"/>
  <c r="I623" i="3" s="1"/>
  <c r="H622" i="3"/>
  <c r="I622" i="3" s="1"/>
  <c r="H621" i="3"/>
  <c r="I621" i="3" s="1"/>
  <c r="H620" i="3"/>
  <c r="I620" i="3" s="1"/>
  <c r="H619" i="3"/>
  <c r="I619" i="3" s="1"/>
  <c r="H618" i="3"/>
  <c r="I618" i="3" s="1"/>
  <c r="H617" i="3"/>
  <c r="I617" i="3" s="1"/>
  <c r="H616" i="3"/>
  <c r="I616" i="3" s="1"/>
  <c r="H615" i="3"/>
  <c r="I615" i="3" s="1"/>
  <c r="H614" i="3"/>
  <c r="I614" i="3" s="1"/>
  <c r="H613" i="3"/>
  <c r="I613" i="3" s="1"/>
  <c r="H612" i="3"/>
  <c r="I612" i="3" s="1"/>
  <c r="H611" i="3"/>
  <c r="I611" i="3" s="1"/>
  <c r="H610" i="3"/>
  <c r="I610" i="3" s="1"/>
  <c r="H609" i="3"/>
  <c r="I609" i="3" s="1"/>
  <c r="H608" i="3"/>
  <c r="I608" i="3" s="1"/>
  <c r="H607" i="3"/>
  <c r="I607" i="3" s="1"/>
  <c r="H606" i="3"/>
  <c r="I606" i="3" s="1"/>
  <c r="H605" i="3"/>
  <c r="I605" i="3" s="1"/>
  <c r="H604" i="3"/>
  <c r="I604" i="3" s="1"/>
  <c r="H603" i="3"/>
  <c r="I603" i="3" s="1"/>
  <c r="H602" i="3"/>
  <c r="I602" i="3" s="1"/>
  <c r="H601" i="3"/>
  <c r="I601" i="3" s="1"/>
  <c r="H600" i="3"/>
  <c r="I600" i="3" s="1"/>
  <c r="H599" i="3"/>
  <c r="I599" i="3" s="1"/>
  <c r="H598" i="3"/>
  <c r="I598" i="3" s="1"/>
  <c r="H597" i="3"/>
  <c r="I597" i="3" s="1"/>
  <c r="H596" i="3"/>
  <c r="I596" i="3" s="1"/>
  <c r="H595" i="3"/>
  <c r="I595" i="3" s="1"/>
  <c r="H594" i="3"/>
  <c r="I594" i="3" s="1"/>
  <c r="H593" i="3"/>
  <c r="I593" i="3" s="1"/>
  <c r="H592" i="3"/>
  <c r="I592" i="3" s="1"/>
  <c r="H591" i="3"/>
  <c r="I591" i="3" s="1"/>
  <c r="H590" i="3"/>
  <c r="I590" i="3" s="1"/>
  <c r="H589" i="3"/>
  <c r="I589" i="3" s="1"/>
  <c r="H588" i="3"/>
  <c r="I588" i="3" s="1"/>
  <c r="H587" i="3"/>
  <c r="I587" i="3" s="1"/>
  <c r="H586" i="3"/>
  <c r="I586" i="3" s="1"/>
  <c r="H585" i="3"/>
  <c r="I585" i="3" s="1"/>
  <c r="H584" i="3"/>
  <c r="I584" i="3" s="1"/>
  <c r="H583" i="3"/>
  <c r="I583" i="3" s="1"/>
  <c r="H582" i="3"/>
  <c r="I582" i="3" s="1"/>
  <c r="H581" i="3"/>
  <c r="I581" i="3" s="1"/>
  <c r="H580" i="3"/>
  <c r="I580" i="3" s="1"/>
  <c r="H579" i="3"/>
  <c r="I579" i="3" s="1"/>
  <c r="H578" i="3"/>
  <c r="I578" i="3" s="1"/>
  <c r="H577" i="3"/>
  <c r="I577" i="3" s="1"/>
  <c r="H576" i="3"/>
  <c r="I576" i="3" s="1"/>
  <c r="H575" i="3"/>
  <c r="I575" i="3" s="1"/>
  <c r="H574" i="3"/>
  <c r="I574" i="3" s="1"/>
  <c r="H573" i="3"/>
  <c r="I573" i="3" s="1"/>
  <c r="H572" i="3"/>
  <c r="I572" i="3" s="1"/>
  <c r="H571" i="3"/>
  <c r="I571" i="3" s="1"/>
  <c r="H570" i="3"/>
  <c r="I570" i="3" s="1"/>
  <c r="H569" i="3"/>
  <c r="I569" i="3" s="1"/>
  <c r="H568" i="3"/>
  <c r="I568" i="3" s="1"/>
  <c r="H567" i="3"/>
  <c r="I567" i="3" s="1"/>
  <c r="H566" i="3"/>
  <c r="I566" i="3" s="1"/>
  <c r="H565" i="3"/>
  <c r="I565" i="3" s="1"/>
  <c r="H564" i="3"/>
  <c r="I564" i="3" s="1"/>
  <c r="H563" i="3"/>
  <c r="I563" i="3" s="1"/>
  <c r="H562" i="3"/>
  <c r="I562" i="3" s="1"/>
  <c r="H561" i="3"/>
  <c r="I561" i="3" s="1"/>
  <c r="H560" i="3"/>
  <c r="I560" i="3" s="1"/>
  <c r="H559" i="3"/>
  <c r="I559" i="3" s="1"/>
  <c r="H558" i="3"/>
  <c r="I558" i="3" s="1"/>
  <c r="H557" i="3"/>
  <c r="I557" i="3" s="1"/>
  <c r="H556" i="3"/>
  <c r="I556" i="3" s="1"/>
  <c r="H555" i="3"/>
  <c r="I555" i="3" s="1"/>
  <c r="H554" i="3"/>
  <c r="I554" i="3" s="1"/>
  <c r="H553" i="3"/>
  <c r="I553" i="3" s="1"/>
  <c r="H552" i="3"/>
  <c r="I552" i="3" s="1"/>
  <c r="H551" i="3"/>
  <c r="I551" i="3" s="1"/>
  <c r="H550" i="3"/>
  <c r="I550" i="3" s="1"/>
  <c r="H549" i="3"/>
  <c r="I549" i="3" s="1"/>
  <c r="H548" i="3"/>
  <c r="I548" i="3" s="1"/>
  <c r="H547" i="3"/>
  <c r="I547" i="3" s="1"/>
  <c r="H546" i="3"/>
  <c r="I546" i="3" s="1"/>
  <c r="H545" i="3"/>
  <c r="I545" i="3" s="1"/>
  <c r="H544" i="3"/>
  <c r="I544" i="3" s="1"/>
  <c r="H543" i="3"/>
  <c r="I543" i="3" s="1"/>
  <c r="H542" i="3"/>
  <c r="I542" i="3" s="1"/>
  <c r="H541" i="3"/>
  <c r="I541" i="3" s="1"/>
  <c r="H540" i="3"/>
  <c r="I540" i="3" s="1"/>
  <c r="H539" i="3"/>
  <c r="I539" i="3" s="1"/>
  <c r="H538" i="3"/>
  <c r="I538" i="3" s="1"/>
  <c r="H537" i="3"/>
  <c r="I537" i="3" s="1"/>
  <c r="H536" i="3"/>
  <c r="I536" i="3" s="1"/>
  <c r="H535" i="3"/>
  <c r="I535" i="3" s="1"/>
  <c r="H534" i="3"/>
  <c r="I534" i="3" s="1"/>
  <c r="H533" i="3"/>
  <c r="I533" i="3" s="1"/>
  <c r="H532" i="3"/>
  <c r="I532" i="3" s="1"/>
  <c r="H531" i="3"/>
  <c r="I531" i="3" s="1"/>
  <c r="H530" i="3"/>
  <c r="I530" i="3" s="1"/>
  <c r="H529" i="3"/>
  <c r="I529" i="3" s="1"/>
  <c r="H528" i="3"/>
  <c r="I528" i="3" s="1"/>
  <c r="H527" i="3"/>
  <c r="I527" i="3" s="1"/>
  <c r="H526" i="3"/>
  <c r="I526" i="3" s="1"/>
  <c r="H525" i="3"/>
  <c r="I525" i="3" s="1"/>
  <c r="H524" i="3"/>
  <c r="I524" i="3" s="1"/>
  <c r="H523" i="3"/>
  <c r="I523" i="3" s="1"/>
  <c r="H522" i="3"/>
  <c r="I522" i="3" s="1"/>
  <c r="H521" i="3"/>
  <c r="I521" i="3" s="1"/>
  <c r="H520" i="3"/>
  <c r="I520" i="3" s="1"/>
  <c r="H519" i="3"/>
  <c r="I519" i="3" s="1"/>
  <c r="H518" i="3"/>
  <c r="I518" i="3" s="1"/>
  <c r="H517" i="3"/>
  <c r="I517" i="3" s="1"/>
  <c r="H516" i="3"/>
  <c r="I516" i="3" s="1"/>
  <c r="H515" i="3"/>
  <c r="I515" i="3" s="1"/>
  <c r="H514" i="3"/>
  <c r="I514" i="3" s="1"/>
  <c r="H513" i="3"/>
  <c r="I513" i="3" s="1"/>
  <c r="H512" i="3"/>
  <c r="I512" i="3" s="1"/>
  <c r="H511" i="3"/>
  <c r="I511" i="3" s="1"/>
  <c r="H510" i="3"/>
  <c r="I510" i="3" s="1"/>
  <c r="H509" i="3"/>
  <c r="I509" i="3" s="1"/>
  <c r="H508" i="3"/>
  <c r="I508" i="3" s="1"/>
  <c r="H507" i="3"/>
  <c r="I507" i="3" s="1"/>
  <c r="H506" i="3"/>
  <c r="I506" i="3" s="1"/>
  <c r="H505" i="3"/>
  <c r="I505" i="3" s="1"/>
  <c r="H504" i="3"/>
  <c r="I504" i="3" s="1"/>
  <c r="H503" i="3"/>
  <c r="I503" i="3" s="1"/>
  <c r="H502" i="3"/>
  <c r="I502" i="3" s="1"/>
  <c r="H501" i="3"/>
  <c r="I501" i="3" s="1"/>
  <c r="H500" i="3"/>
  <c r="I500" i="3" s="1"/>
  <c r="H499" i="3"/>
  <c r="I499" i="3" s="1"/>
  <c r="H498" i="3"/>
  <c r="I498" i="3" s="1"/>
  <c r="H497" i="3"/>
  <c r="I497" i="3" s="1"/>
  <c r="H496" i="3"/>
  <c r="I496" i="3" s="1"/>
  <c r="H495" i="3"/>
  <c r="I495" i="3" s="1"/>
  <c r="H494" i="3"/>
  <c r="I494" i="3" s="1"/>
  <c r="H493" i="3"/>
  <c r="I493" i="3" s="1"/>
  <c r="H492" i="3"/>
  <c r="I492" i="3" s="1"/>
  <c r="H491" i="3"/>
  <c r="I491" i="3" s="1"/>
  <c r="H490" i="3"/>
  <c r="I490" i="3" s="1"/>
  <c r="H489" i="3"/>
  <c r="I489" i="3" s="1"/>
  <c r="H488" i="3"/>
  <c r="I488" i="3" s="1"/>
  <c r="H487" i="3"/>
  <c r="I487" i="3" s="1"/>
  <c r="H486" i="3"/>
  <c r="I486" i="3" s="1"/>
  <c r="H485" i="3"/>
  <c r="I485" i="3" s="1"/>
  <c r="H484" i="3"/>
  <c r="I484" i="3" s="1"/>
  <c r="H483" i="3"/>
  <c r="I483" i="3" s="1"/>
  <c r="H482" i="3"/>
  <c r="I482" i="3" s="1"/>
  <c r="H481" i="3"/>
  <c r="I481" i="3" s="1"/>
  <c r="H480" i="3"/>
  <c r="I480" i="3" s="1"/>
  <c r="H479" i="3"/>
  <c r="I479" i="3" s="1"/>
  <c r="H478" i="3"/>
  <c r="I478" i="3" s="1"/>
  <c r="H477" i="3"/>
  <c r="I477" i="3" s="1"/>
  <c r="H476" i="3"/>
  <c r="I476" i="3" s="1"/>
  <c r="H475" i="3"/>
  <c r="I475" i="3" s="1"/>
  <c r="H474" i="3"/>
  <c r="I474" i="3" s="1"/>
  <c r="H473" i="3"/>
  <c r="I473" i="3" s="1"/>
  <c r="H472" i="3"/>
  <c r="I472" i="3" s="1"/>
  <c r="H471" i="3"/>
  <c r="I471" i="3" s="1"/>
  <c r="H470" i="3"/>
  <c r="I470" i="3" s="1"/>
  <c r="H469" i="3"/>
  <c r="I469" i="3" s="1"/>
  <c r="H468" i="3"/>
  <c r="I468" i="3" s="1"/>
  <c r="H467" i="3"/>
  <c r="I467" i="3" s="1"/>
  <c r="H466" i="3"/>
  <c r="I466" i="3" s="1"/>
  <c r="H465" i="3"/>
  <c r="I465" i="3" s="1"/>
  <c r="H464" i="3"/>
  <c r="I464" i="3" s="1"/>
  <c r="H463" i="3"/>
  <c r="I463" i="3" s="1"/>
  <c r="H462" i="3"/>
  <c r="I462" i="3" s="1"/>
  <c r="H461" i="3"/>
  <c r="I461" i="3" s="1"/>
  <c r="H460" i="3"/>
  <c r="I460" i="3" s="1"/>
  <c r="H459" i="3"/>
  <c r="I459" i="3" s="1"/>
  <c r="H458" i="3"/>
  <c r="I458" i="3" s="1"/>
  <c r="H457" i="3"/>
  <c r="I457" i="3" s="1"/>
  <c r="H456" i="3"/>
  <c r="I456" i="3" s="1"/>
  <c r="H455" i="3"/>
  <c r="I455" i="3" s="1"/>
  <c r="H454" i="3"/>
  <c r="I454" i="3" s="1"/>
  <c r="H453" i="3"/>
  <c r="I453" i="3" s="1"/>
  <c r="H452" i="3"/>
  <c r="I452" i="3" s="1"/>
  <c r="H451" i="3"/>
  <c r="I451" i="3" s="1"/>
  <c r="H450" i="3"/>
  <c r="I450" i="3" s="1"/>
  <c r="H449" i="3"/>
  <c r="I449" i="3" s="1"/>
  <c r="H448" i="3"/>
  <c r="I448" i="3" s="1"/>
  <c r="H447" i="3"/>
  <c r="I447" i="3" s="1"/>
  <c r="H446" i="3"/>
  <c r="I446" i="3" s="1"/>
  <c r="H445" i="3"/>
  <c r="I445" i="3" s="1"/>
  <c r="H444" i="3"/>
  <c r="I444" i="3" s="1"/>
  <c r="H443" i="3"/>
  <c r="I443" i="3" s="1"/>
  <c r="H442" i="3"/>
  <c r="I442" i="3" s="1"/>
  <c r="H441" i="3"/>
  <c r="I441" i="3" s="1"/>
  <c r="H440" i="3"/>
  <c r="I440" i="3" s="1"/>
  <c r="H439" i="3"/>
  <c r="I439" i="3" s="1"/>
  <c r="H438" i="3"/>
  <c r="I438" i="3" s="1"/>
  <c r="H437" i="3"/>
  <c r="I437" i="3" s="1"/>
  <c r="H436" i="3"/>
  <c r="I436" i="3" s="1"/>
  <c r="H435" i="3"/>
  <c r="I435" i="3" s="1"/>
  <c r="H434" i="3"/>
  <c r="I434" i="3" s="1"/>
  <c r="H433" i="3"/>
  <c r="I433" i="3" s="1"/>
  <c r="H432" i="3"/>
  <c r="I432" i="3" s="1"/>
  <c r="H431" i="3"/>
  <c r="I431" i="3" s="1"/>
  <c r="H430" i="3"/>
  <c r="I430" i="3" s="1"/>
  <c r="H429" i="3"/>
  <c r="I429" i="3" s="1"/>
  <c r="H428" i="3"/>
  <c r="I428" i="3" s="1"/>
  <c r="H427" i="3"/>
  <c r="I427" i="3" s="1"/>
  <c r="H426" i="3"/>
  <c r="I426" i="3" s="1"/>
  <c r="H425" i="3"/>
  <c r="I425" i="3" s="1"/>
  <c r="H424" i="3"/>
  <c r="I424" i="3" s="1"/>
  <c r="H423" i="3"/>
  <c r="I423" i="3" s="1"/>
  <c r="H422" i="3"/>
  <c r="I422" i="3" s="1"/>
  <c r="H421" i="3"/>
  <c r="I421" i="3" s="1"/>
  <c r="H420" i="3"/>
  <c r="I420" i="3" s="1"/>
  <c r="H419" i="3"/>
  <c r="I419" i="3" s="1"/>
  <c r="H418" i="3"/>
  <c r="I418" i="3" s="1"/>
  <c r="H417" i="3"/>
  <c r="I417" i="3" s="1"/>
  <c r="H416" i="3"/>
  <c r="I416" i="3" s="1"/>
  <c r="H415" i="3"/>
  <c r="I415" i="3" s="1"/>
  <c r="H414" i="3"/>
  <c r="I414" i="3" s="1"/>
  <c r="H413" i="3"/>
  <c r="I413" i="3" s="1"/>
  <c r="H412" i="3"/>
  <c r="I412" i="3" s="1"/>
  <c r="H411" i="3"/>
  <c r="I411" i="3" s="1"/>
  <c r="H410" i="3"/>
  <c r="I410" i="3" s="1"/>
  <c r="H409" i="3"/>
  <c r="I409" i="3" s="1"/>
  <c r="H408" i="3"/>
  <c r="I408" i="3" s="1"/>
  <c r="H407" i="3"/>
  <c r="I407" i="3" s="1"/>
  <c r="H406" i="3"/>
  <c r="I406" i="3" s="1"/>
  <c r="H405" i="3"/>
  <c r="I405" i="3" s="1"/>
  <c r="H404" i="3"/>
  <c r="I404" i="3" s="1"/>
  <c r="H403" i="3"/>
  <c r="I403" i="3" s="1"/>
  <c r="H402" i="3"/>
  <c r="I402" i="3" s="1"/>
  <c r="H401" i="3"/>
  <c r="I401" i="3" s="1"/>
  <c r="H400" i="3"/>
  <c r="I400" i="3" s="1"/>
  <c r="H399" i="3"/>
  <c r="I399" i="3" s="1"/>
  <c r="H398" i="3"/>
  <c r="I398" i="3" s="1"/>
  <c r="H397" i="3"/>
  <c r="I397" i="3" s="1"/>
  <c r="H396" i="3"/>
  <c r="I396" i="3" s="1"/>
  <c r="H395" i="3"/>
  <c r="I395" i="3" s="1"/>
  <c r="H394" i="3"/>
  <c r="I394" i="3" s="1"/>
  <c r="H393" i="3"/>
  <c r="I393" i="3" s="1"/>
  <c r="H392" i="3"/>
  <c r="I392" i="3" s="1"/>
  <c r="H391" i="3"/>
  <c r="I391" i="3" s="1"/>
  <c r="H390" i="3"/>
  <c r="I390" i="3" s="1"/>
  <c r="H389" i="3"/>
  <c r="I389" i="3" s="1"/>
  <c r="H388" i="3"/>
  <c r="I388" i="3" s="1"/>
  <c r="H387" i="3"/>
  <c r="I387" i="3" s="1"/>
  <c r="H386" i="3"/>
  <c r="I386" i="3" s="1"/>
  <c r="H385" i="3"/>
  <c r="I385" i="3" s="1"/>
  <c r="H384" i="3"/>
  <c r="I384" i="3" s="1"/>
  <c r="H383" i="3"/>
  <c r="I383" i="3" s="1"/>
  <c r="H382" i="3"/>
  <c r="I382" i="3" s="1"/>
  <c r="H381" i="3"/>
  <c r="I381" i="3" s="1"/>
  <c r="H380" i="3"/>
  <c r="I380" i="3" s="1"/>
  <c r="H379" i="3"/>
  <c r="I379" i="3" s="1"/>
  <c r="H378" i="3"/>
  <c r="I378" i="3" s="1"/>
  <c r="H377" i="3"/>
  <c r="I377" i="3" s="1"/>
  <c r="H376" i="3"/>
  <c r="I376" i="3" s="1"/>
  <c r="H375" i="3"/>
  <c r="I375" i="3" s="1"/>
  <c r="H374" i="3"/>
  <c r="I374" i="3" s="1"/>
  <c r="H373" i="3"/>
  <c r="I373" i="3" s="1"/>
  <c r="H372" i="3"/>
  <c r="I372" i="3" s="1"/>
  <c r="H371" i="3"/>
  <c r="I371" i="3" s="1"/>
  <c r="H370" i="3"/>
  <c r="I370" i="3" s="1"/>
  <c r="H369" i="3"/>
  <c r="I369" i="3" s="1"/>
  <c r="H368" i="3"/>
  <c r="I368" i="3" s="1"/>
  <c r="H367" i="3"/>
  <c r="I367" i="3" s="1"/>
  <c r="H366" i="3"/>
  <c r="I366" i="3" s="1"/>
  <c r="H365" i="3"/>
  <c r="I365" i="3" s="1"/>
  <c r="H364" i="3"/>
  <c r="I364" i="3" s="1"/>
  <c r="H363" i="3"/>
  <c r="I363" i="3" s="1"/>
  <c r="H362" i="3"/>
  <c r="I362" i="3" s="1"/>
  <c r="H361" i="3"/>
  <c r="I361" i="3" s="1"/>
  <c r="H360" i="3"/>
  <c r="I360" i="3" s="1"/>
  <c r="H359" i="3"/>
  <c r="I359" i="3" s="1"/>
  <c r="H358" i="3"/>
  <c r="I358" i="3" s="1"/>
  <c r="H357" i="3"/>
  <c r="I357" i="3" s="1"/>
  <c r="H356" i="3"/>
  <c r="I356" i="3" s="1"/>
  <c r="H355" i="3"/>
  <c r="I355" i="3" s="1"/>
  <c r="H354" i="3"/>
  <c r="I354" i="3" s="1"/>
  <c r="H353" i="3"/>
  <c r="I353" i="3" s="1"/>
  <c r="H352" i="3"/>
  <c r="I352" i="3" s="1"/>
  <c r="H351" i="3"/>
  <c r="I351" i="3" s="1"/>
  <c r="H350" i="3"/>
  <c r="I350" i="3" s="1"/>
  <c r="H349" i="3"/>
  <c r="I349" i="3" s="1"/>
  <c r="H348" i="3"/>
  <c r="I348" i="3" s="1"/>
  <c r="H347" i="3"/>
  <c r="I347" i="3" s="1"/>
  <c r="H346" i="3"/>
  <c r="I346" i="3" s="1"/>
  <c r="H345" i="3"/>
  <c r="I345" i="3" s="1"/>
  <c r="H344" i="3"/>
  <c r="I344" i="3" s="1"/>
  <c r="H343" i="3"/>
  <c r="I343" i="3" s="1"/>
  <c r="H342" i="3"/>
  <c r="I342" i="3" s="1"/>
  <c r="H341" i="3"/>
  <c r="I341" i="3" s="1"/>
  <c r="H340" i="3"/>
  <c r="I340" i="3" s="1"/>
  <c r="H339" i="3"/>
  <c r="I339" i="3" s="1"/>
  <c r="H338" i="3"/>
  <c r="I338" i="3" s="1"/>
  <c r="H337" i="3"/>
  <c r="I337" i="3" s="1"/>
  <c r="H336" i="3"/>
  <c r="I336" i="3" s="1"/>
  <c r="H335" i="3"/>
  <c r="I335" i="3" s="1"/>
  <c r="H334" i="3"/>
  <c r="I334" i="3" s="1"/>
  <c r="H333" i="3"/>
  <c r="I333" i="3" s="1"/>
  <c r="H332" i="3"/>
  <c r="I332" i="3" s="1"/>
  <c r="H331" i="3"/>
  <c r="I331" i="3" s="1"/>
  <c r="H330" i="3"/>
  <c r="I330" i="3" s="1"/>
  <c r="H329" i="3"/>
  <c r="I329" i="3" s="1"/>
  <c r="H328" i="3"/>
  <c r="I328" i="3" s="1"/>
  <c r="H327" i="3"/>
  <c r="I327" i="3" s="1"/>
  <c r="H326" i="3"/>
  <c r="I326" i="3" s="1"/>
  <c r="H325" i="3"/>
  <c r="I325" i="3" s="1"/>
  <c r="H324" i="3"/>
  <c r="I324" i="3" s="1"/>
  <c r="H323" i="3"/>
  <c r="I323" i="3" s="1"/>
  <c r="H322" i="3"/>
  <c r="I322" i="3" s="1"/>
  <c r="H321" i="3"/>
  <c r="I321" i="3" s="1"/>
  <c r="H320" i="3"/>
  <c r="I320" i="3" s="1"/>
  <c r="H319" i="3"/>
  <c r="I319" i="3" s="1"/>
  <c r="H318" i="3"/>
  <c r="I318" i="3" s="1"/>
  <c r="H317" i="3"/>
  <c r="I317" i="3" s="1"/>
  <c r="H316" i="3"/>
  <c r="I316" i="3" s="1"/>
  <c r="H315" i="3"/>
  <c r="I315" i="3" s="1"/>
  <c r="H314" i="3"/>
  <c r="I314" i="3" s="1"/>
  <c r="H313" i="3"/>
  <c r="I313" i="3" s="1"/>
  <c r="H312" i="3"/>
  <c r="I312" i="3" s="1"/>
  <c r="H311" i="3"/>
  <c r="I311" i="3" s="1"/>
  <c r="H310" i="3"/>
  <c r="I310" i="3" s="1"/>
  <c r="H309" i="3"/>
  <c r="I309" i="3" s="1"/>
  <c r="H308" i="3"/>
  <c r="I308" i="3" s="1"/>
  <c r="H307" i="3"/>
  <c r="I307" i="3" s="1"/>
  <c r="H306" i="3"/>
  <c r="I306" i="3" s="1"/>
  <c r="H305" i="3"/>
  <c r="I305" i="3" s="1"/>
  <c r="H304" i="3"/>
  <c r="I304" i="3" s="1"/>
  <c r="H303" i="3"/>
  <c r="I303" i="3" s="1"/>
  <c r="H302" i="3"/>
  <c r="I302" i="3" s="1"/>
  <c r="H301" i="3"/>
  <c r="I301" i="3" s="1"/>
  <c r="H300" i="3"/>
  <c r="I300" i="3" s="1"/>
  <c r="H299" i="3"/>
  <c r="I299" i="3" s="1"/>
  <c r="H298" i="3"/>
  <c r="I298" i="3" s="1"/>
  <c r="H297" i="3"/>
  <c r="I297" i="3" s="1"/>
  <c r="H296" i="3"/>
  <c r="I296" i="3" s="1"/>
  <c r="H295" i="3"/>
  <c r="I295" i="3" s="1"/>
  <c r="H294" i="3"/>
  <c r="I294" i="3" s="1"/>
  <c r="H293" i="3"/>
  <c r="I293" i="3" s="1"/>
  <c r="H292" i="3"/>
  <c r="I292" i="3" s="1"/>
  <c r="H291" i="3"/>
  <c r="I291" i="3" s="1"/>
  <c r="H290" i="3"/>
  <c r="I290" i="3" s="1"/>
  <c r="H289" i="3"/>
  <c r="I289" i="3" s="1"/>
  <c r="H288" i="3"/>
  <c r="I288" i="3" s="1"/>
  <c r="H287" i="3"/>
  <c r="I287" i="3" s="1"/>
  <c r="H286" i="3"/>
  <c r="I286" i="3" s="1"/>
  <c r="H285" i="3"/>
  <c r="I285" i="3" s="1"/>
  <c r="H284" i="3"/>
  <c r="I284" i="3" s="1"/>
  <c r="H283" i="3"/>
  <c r="I283" i="3" s="1"/>
  <c r="H282" i="3"/>
  <c r="I282" i="3" s="1"/>
  <c r="H281" i="3"/>
  <c r="I281" i="3" s="1"/>
  <c r="H280" i="3"/>
  <c r="I280" i="3" s="1"/>
  <c r="H279" i="3"/>
  <c r="I279" i="3" s="1"/>
  <c r="H278" i="3"/>
  <c r="I278" i="3" s="1"/>
  <c r="H277" i="3"/>
  <c r="I277" i="3" s="1"/>
  <c r="H276" i="3"/>
  <c r="I276" i="3" s="1"/>
  <c r="H275" i="3"/>
  <c r="I275" i="3" s="1"/>
  <c r="H274" i="3"/>
  <c r="I274" i="3" s="1"/>
  <c r="H273" i="3"/>
  <c r="I273" i="3" s="1"/>
  <c r="H272" i="3"/>
  <c r="I272" i="3" s="1"/>
  <c r="H271" i="3"/>
  <c r="I271" i="3" s="1"/>
  <c r="H270" i="3"/>
  <c r="I270" i="3" s="1"/>
  <c r="H269" i="3"/>
  <c r="I269" i="3" s="1"/>
  <c r="H268" i="3"/>
  <c r="I268" i="3" s="1"/>
  <c r="H267" i="3"/>
  <c r="I267" i="3" s="1"/>
  <c r="H266" i="3"/>
  <c r="I266" i="3" s="1"/>
  <c r="H265" i="3"/>
  <c r="I265" i="3" s="1"/>
  <c r="H264" i="3"/>
  <c r="I264" i="3" s="1"/>
  <c r="H263" i="3"/>
  <c r="I263" i="3" s="1"/>
  <c r="H262" i="3"/>
  <c r="I262" i="3" s="1"/>
  <c r="H261" i="3"/>
  <c r="I261" i="3" s="1"/>
  <c r="H260" i="3"/>
  <c r="I260" i="3" s="1"/>
  <c r="H259" i="3"/>
  <c r="I259" i="3" s="1"/>
  <c r="H258" i="3"/>
  <c r="I258" i="3" s="1"/>
  <c r="H257" i="3"/>
  <c r="I257" i="3" s="1"/>
  <c r="H256" i="3"/>
  <c r="I256" i="3" s="1"/>
  <c r="H255" i="3"/>
  <c r="I255" i="3" s="1"/>
  <c r="H254" i="3"/>
  <c r="I254" i="3" s="1"/>
  <c r="H253" i="3"/>
  <c r="I253" i="3" s="1"/>
  <c r="H252" i="3"/>
  <c r="I252" i="3" s="1"/>
  <c r="H251" i="3"/>
  <c r="I251" i="3" s="1"/>
  <c r="H250" i="3"/>
  <c r="I250" i="3" s="1"/>
  <c r="H249" i="3"/>
  <c r="I249" i="3" s="1"/>
  <c r="H248" i="3"/>
  <c r="I248" i="3" s="1"/>
  <c r="H247" i="3"/>
  <c r="I247" i="3" s="1"/>
  <c r="H246" i="3"/>
  <c r="I246" i="3" s="1"/>
  <c r="H245" i="3"/>
  <c r="I245" i="3" s="1"/>
  <c r="H244" i="3"/>
  <c r="I244" i="3" s="1"/>
  <c r="H243" i="3"/>
  <c r="I243" i="3" s="1"/>
  <c r="H242" i="3"/>
  <c r="I242" i="3" s="1"/>
  <c r="H241" i="3"/>
  <c r="I241" i="3" s="1"/>
  <c r="H240" i="3"/>
  <c r="I240" i="3" s="1"/>
  <c r="H239" i="3"/>
  <c r="I239" i="3" s="1"/>
  <c r="H238" i="3"/>
  <c r="I238" i="3" s="1"/>
  <c r="H237" i="3"/>
  <c r="I237" i="3" s="1"/>
  <c r="H236" i="3"/>
  <c r="I236" i="3" s="1"/>
  <c r="H235" i="3"/>
  <c r="I235" i="3" s="1"/>
  <c r="H234" i="3"/>
  <c r="I234" i="3" s="1"/>
  <c r="H233" i="3"/>
  <c r="I233" i="3" s="1"/>
  <c r="H232" i="3"/>
  <c r="I232" i="3" s="1"/>
  <c r="H231" i="3"/>
  <c r="I231" i="3" s="1"/>
  <c r="H230" i="3"/>
  <c r="I230" i="3" s="1"/>
  <c r="H229" i="3"/>
  <c r="I229" i="3" s="1"/>
  <c r="H228" i="3"/>
  <c r="I228" i="3" s="1"/>
  <c r="H227" i="3"/>
  <c r="I227" i="3" s="1"/>
  <c r="H226" i="3"/>
  <c r="I226" i="3" s="1"/>
  <c r="H225" i="3"/>
  <c r="I225" i="3" s="1"/>
  <c r="H224" i="3"/>
  <c r="I224" i="3" s="1"/>
  <c r="H223" i="3"/>
  <c r="I223" i="3" s="1"/>
  <c r="H222" i="3"/>
  <c r="I222" i="3" s="1"/>
  <c r="H221" i="3"/>
  <c r="I221" i="3" s="1"/>
  <c r="H220" i="3"/>
  <c r="I220" i="3" s="1"/>
  <c r="H219" i="3"/>
  <c r="I219" i="3" s="1"/>
  <c r="H218" i="3"/>
  <c r="I218" i="3" s="1"/>
  <c r="H217" i="3"/>
  <c r="I217" i="3" s="1"/>
  <c r="H216" i="3"/>
  <c r="I216" i="3" s="1"/>
  <c r="H215" i="3"/>
  <c r="I215" i="3" s="1"/>
  <c r="H214" i="3"/>
  <c r="I214" i="3" s="1"/>
  <c r="H213" i="3"/>
  <c r="I213" i="3" s="1"/>
  <c r="H212" i="3"/>
  <c r="I212" i="3" s="1"/>
  <c r="H211" i="3"/>
  <c r="I211" i="3" s="1"/>
  <c r="H210" i="3"/>
  <c r="I210" i="3" s="1"/>
  <c r="H209" i="3"/>
  <c r="I209" i="3" s="1"/>
  <c r="H208" i="3"/>
  <c r="I208" i="3" s="1"/>
  <c r="H207" i="3"/>
  <c r="I207" i="3" s="1"/>
  <c r="H206" i="3"/>
  <c r="I206" i="3" s="1"/>
  <c r="H205" i="3"/>
  <c r="I205" i="3" s="1"/>
  <c r="H204" i="3"/>
  <c r="I204" i="3" s="1"/>
  <c r="H203" i="3"/>
  <c r="I203" i="3" s="1"/>
  <c r="H202" i="3"/>
  <c r="I202" i="3" s="1"/>
  <c r="H201" i="3"/>
  <c r="I201" i="3" s="1"/>
  <c r="H200" i="3"/>
  <c r="I200" i="3" s="1"/>
  <c r="H199" i="3"/>
  <c r="I199" i="3" s="1"/>
  <c r="H198" i="3"/>
  <c r="I198" i="3" s="1"/>
  <c r="H197" i="3"/>
  <c r="I197" i="3" s="1"/>
  <c r="H196" i="3"/>
  <c r="I196" i="3" s="1"/>
  <c r="H195" i="3"/>
  <c r="I195" i="3" s="1"/>
  <c r="H194" i="3"/>
  <c r="I194" i="3" s="1"/>
  <c r="H193" i="3"/>
  <c r="I193" i="3" s="1"/>
  <c r="H192" i="3"/>
  <c r="I192" i="3" s="1"/>
  <c r="H191" i="3"/>
  <c r="I191" i="3" s="1"/>
  <c r="H190" i="3"/>
  <c r="I190" i="3" s="1"/>
  <c r="H189" i="3"/>
  <c r="I189" i="3" s="1"/>
  <c r="H188" i="3"/>
  <c r="I188" i="3" s="1"/>
  <c r="H187" i="3"/>
  <c r="I187" i="3" s="1"/>
  <c r="H186" i="3"/>
  <c r="I186" i="3" s="1"/>
  <c r="H185" i="3"/>
  <c r="I185" i="3" s="1"/>
  <c r="H184" i="3"/>
  <c r="I184" i="3" s="1"/>
  <c r="H183" i="3"/>
  <c r="I183" i="3" s="1"/>
  <c r="H182" i="3"/>
  <c r="I182" i="3" s="1"/>
  <c r="H181" i="3"/>
  <c r="I181" i="3" s="1"/>
  <c r="H180" i="3"/>
  <c r="I180" i="3" s="1"/>
  <c r="H179" i="3"/>
  <c r="I179" i="3" s="1"/>
  <c r="H178" i="3"/>
  <c r="I178" i="3" s="1"/>
  <c r="H177" i="3"/>
  <c r="I177" i="3" s="1"/>
  <c r="H176" i="3"/>
  <c r="I176" i="3" s="1"/>
  <c r="H175" i="3"/>
  <c r="I175" i="3" s="1"/>
  <c r="H174" i="3"/>
  <c r="I174" i="3" s="1"/>
  <c r="H173" i="3"/>
  <c r="I173" i="3" s="1"/>
  <c r="H172" i="3"/>
  <c r="I172" i="3" s="1"/>
  <c r="H171" i="3"/>
  <c r="I171" i="3" s="1"/>
  <c r="H170" i="3"/>
  <c r="I170" i="3" s="1"/>
  <c r="H169" i="3"/>
  <c r="I169" i="3" s="1"/>
  <c r="H168" i="3"/>
  <c r="I168" i="3" s="1"/>
  <c r="H167" i="3"/>
  <c r="I167" i="3" s="1"/>
  <c r="H166" i="3"/>
  <c r="I166" i="3" s="1"/>
  <c r="H165" i="3"/>
  <c r="I165" i="3" s="1"/>
  <c r="H164" i="3"/>
  <c r="I164" i="3" s="1"/>
  <c r="H163" i="3"/>
  <c r="I163" i="3" s="1"/>
  <c r="H162" i="3"/>
  <c r="I162" i="3" s="1"/>
  <c r="H161" i="3"/>
  <c r="I161" i="3" s="1"/>
  <c r="H160" i="3"/>
  <c r="I160" i="3" s="1"/>
  <c r="H159" i="3"/>
  <c r="I159" i="3" s="1"/>
  <c r="H158" i="3"/>
  <c r="I158" i="3" s="1"/>
  <c r="H157" i="3"/>
  <c r="I157" i="3" s="1"/>
  <c r="H156" i="3"/>
  <c r="I156" i="3" s="1"/>
  <c r="H155" i="3"/>
  <c r="I155" i="3" s="1"/>
  <c r="H154" i="3"/>
  <c r="I154" i="3" s="1"/>
  <c r="H153" i="3"/>
  <c r="I153" i="3" s="1"/>
  <c r="H152" i="3"/>
  <c r="I152" i="3" s="1"/>
  <c r="H151" i="3"/>
  <c r="I151" i="3" s="1"/>
  <c r="H150" i="3"/>
  <c r="I150" i="3" s="1"/>
  <c r="H149" i="3"/>
  <c r="I149" i="3" s="1"/>
  <c r="H148" i="3"/>
  <c r="I148" i="3" s="1"/>
  <c r="H147" i="3"/>
  <c r="I147" i="3" s="1"/>
  <c r="H146" i="3"/>
  <c r="I146" i="3" s="1"/>
  <c r="H145" i="3"/>
  <c r="I145" i="3" s="1"/>
  <c r="H144" i="3"/>
  <c r="I144" i="3" s="1"/>
  <c r="H143" i="3"/>
  <c r="I143" i="3" s="1"/>
  <c r="H142" i="3"/>
  <c r="I142" i="3" s="1"/>
  <c r="H141" i="3"/>
  <c r="I141" i="3" s="1"/>
  <c r="H140" i="3"/>
  <c r="I140" i="3" s="1"/>
  <c r="H139" i="3"/>
  <c r="I139" i="3" s="1"/>
  <c r="H138" i="3"/>
  <c r="I138" i="3" s="1"/>
  <c r="H137" i="3"/>
  <c r="I137" i="3" s="1"/>
  <c r="H136" i="3"/>
  <c r="I136" i="3" s="1"/>
  <c r="H135" i="3"/>
  <c r="I135" i="3" s="1"/>
  <c r="H134" i="3"/>
  <c r="I134" i="3" s="1"/>
  <c r="H133" i="3"/>
  <c r="I133" i="3" s="1"/>
  <c r="H132" i="3"/>
  <c r="I132" i="3" s="1"/>
  <c r="H131" i="3"/>
  <c r="I131" i="3" s="1"/>
  <c r="H130" i="3"/>
  <c r="I130" i="3" s="1"/>
  <c r="H129" i="3"/>
  <c r="I129" i="3" s="1"/>
  <c r="H128" i="3"/>
  <c r="I128" i="3" s="1"/>
  <c r="H127" i="3"/>
  <c r="I127" i="3" s="1"/>
  <c r="H126" i="3"/>
  <c r="I126" i="3" s="1"/>
  <c r="H125" i="3"/>
  <c r="I125" i="3" s="1"/>
  <c r="H124" i="3"/>
  <c r="I124" i="3" s="1"/>
  <c r="H123" i="3"/>
  <c r="I123" i="3" s="1"/>
  <c r="H122" i="3"/>
  <c r="I122" i="3" s="1"/>
  <c r="H121" i="3"/>
  <c r="I121" i="3" s="1"/>
  <c r="H120" i="3"/>
  <c r="I120" i="3" s="1"/>
  <c r="H119" i="3"/>
  <c r="I119" i="3" s="1"/>
  <c r="H118" i="3"/>
  <c r="I118" i="3" s="1"/>
  <c r="H117" i="3"/>
  <c r="I117" i="3" s="1"/>
  <c r="H116" i="3"/>
  <c r="I116" i="3" s="1"/>
  <c r="H115" i="3"/>
  <c r="I115" i="3" s="1"/>
  <c r="H114" i="3"/>
  <c r="I114" i="3" s="1"/>
  <c r="H113" i="3"/>
  <c r="I113" i="3" s="1"/>
  <c r="H112" i="3"/>
  <c r="I112" i="3" s="1"/>
  <c r="H111" i="3"/>
  <c r="I111" i="3" s="1"/>
  <c r="H110" i="3"/>
  <c r="I110" i="3" s="1"/>
  <c r="H109" i="3"/>
  <c r="I109" i="3" s="1"/>
  <c r="H108" i="3"/>
  <c r="I108" i="3" s="1"/>
  <c r="H107" i="3"/>
  <c r="I107" i="3" s="1"/>
  <c r="H106" i="3"/>
  <c r="I106" i="3" s="1"/>
  <c r="H105" i="3"/>
  <c r="I105" i="3" s="1"/>
  <c r="H104" i="3"/>
  <c r="I104" i="3" s="1"/>
  <c r="H103" i="3"/>
  <c r="I103" i="3" s="1"/>
  <c r="H102" i="3"/>
  <c r="I102" i="3" s="1"/>
  <c r="H101" i="3"/>
  <c r="I101" i="3" s="1"/>
  <c r="H100" i="3"/>
  <c r="I100" i="3" s="1"/>
  <c r="H99" i="3"/>
  <c r="I99" i="3" s="1"/>
  <c r="H98" i="3"/>
  <c r="I98" i="3" s="1"/>
  <c r="H97" i="3"/>
  <c r="I97" i="3" s="1"/>
  <c r="H96" i="3"/>
  <c r="I96" i="3" s="1"/>
  <c r="H95" i="3"/>
  <c r="I95" i="3" s="1"/>
  <c r="H94" i="3"/>
  <c r="I94" i="3" s="1"/>
  <c r="H93" i="3"/>
  <c r="I93" i="3" s="1"/>
  <c r="H92" i="3"/>
  <c r="I92" i="3" s="1"/>
  <c r="H91" i="3"/>
  <c r="I91" i="3" s="1"/>
  <c r="H90" i="3"/>
  <c r="I90" i="3" s="1"/>
  <c r="H89" i="3"/>
  <c r="I89" i="3" s="1"/>
  <c r="H88" i="3"/>
  <c r="I88" i="3" s="1"/>
  <c r="H87" i="3"/>
  <c r="I87" i="3" s="1"/>
  <c r="H86" i="3"/>
  <c r="I86" i="3" s="1"/>
  <c r="H85" i="3"/>
  <c r="I85" i="3" s="1"/>
  <c r="H84" i="3"/>
  <c r="I84" i="3" s="1"/>
  <c r="H83" i="3"/>
  <c r="I83" i="3" s="1"/>
  <c r="H82" i="3"/>
  <c r="I82" i="3" s="1"/>
  <c r="H81" i="3"/>
  <c r="I81" i="3" s="1"/>
  <c r="H80" i="3"/>
  <c r="I80" i="3" s="1"/>
  <c r="H79" i="3"/>
  <c r="I79" i="3" s="1"/>
  <c r="H78" i="3"/>
  <c r="I78" i="3" s="1"/>
  <c r="H77" i="3"/>
  <c r="I77" i="3" s="1"/>
  <c r="H76" i="3"/>
  <c r="I76" i="3" s="1"/>
  <c r="H75" i="3"/>
  <c r="I75" i="3" s="1"/>
  <c r="H74" i="3"/>
  <c r="I74" i="3" s="1"/>
  <c r="H73" i="3"/>
  <c r="I73" i="3" s="1"/>
  <c r="H72" i="3"/>
  <c r="I72" i="3" s="1"/>
  <c r="H71" i="3"/>
  <c r="I71" i="3" s="1"/>
  <c r="H70" i="3"/>
  <c r="I70" i="3" s="1"/>
  <c r="H69" i="3"/>
  <c r="I69" i="3" s="1"/>
  <c r="H68" i="3"/>
  <c r="I68" i="3" s="1"/>
  <c r="H67" i="3"/>
  <c r="I67" i="3" s="1"/>
  <c r="H66" i="3"/>
  <c r="I66" i="3" s="1"/>
  <c r="H65" i="3"/>
  <c r="I65" i="3" s="1"/>
  <c r="H64" i="3"/>
  <c r="I64" i="3" s="1"/>
  <c r="H63" i="3"/>
  <c r="I63" i="3" s="1"/>
  <c r="H62" i="3"/>
  <c r="I62" i="3" s="1"/>
  <c r="H61" i="3"/>
  <c r="I61" i="3" s="1"/>
  <c r="H60" i="3"/>
  <c r="I60" i="3" s="1"/>
  <c r="H59" i="3"/>
  <c r="I59" i="3" s="1"/>
  <c r="H58" i="3"/>
  <c r="I58" i="3" s="1"/>
  <c r="H57" i="3"/>
  <c r="I57" i="3" s="1"/>
  <c r="H56" i="3"/>
  <c r="I56" i="3" s="1"/>
  <c r="H55" i="3"/>
  <c r="I55" i="3" s="1"/>
  <c r="H54" i="3"/>
  <c r="I54" i="3" s="1"/>
  <c r="H53" i="3"/>
  <c r="I53" i="3" s="1"/>
  <c r="H52" i="3"/>
  <c r="I52" i="3" s="1"/>
  <c r="H51" i="3"/>
  <c r="I51" i="3" s="1"/>
  <c r="H50" i="3"/>
  <c r="I50" i="3" s="1"/>
  <c r="H49" i="3"/>
  <c r="I49" i="3" s="1"/>
  <c r="H48" i="3"/>
  <c r="I48" i="3" s="1"/>
  <c r="H47" i="3"/>
  <c r="I47" i="3" s="1"/>
  <c r="H46" i="3"/>
  <c r="I46" i="3" s="1"/>
  <c r="H45" i="3"/>
  <c r="I45" i="3" s="1"/>
  <c r="H44" i="3"/>
  <c r="I44" i="3" s="1"/>
  <c r="H43" i="3"/>
  <c r="I43" i="3" s="1"/>
  <c r="H42" i="3"/>
  <c r="I42" i="3" s="1"/>
  <c r="H41" i="3"/>
  <c r="I41" i="3" s="1"/>
  <c r="H40" i="3"/>
  <c r="I40" i="3" s="1"/>
  <c r="H39" i="3"/>
  <c r="I39" i="3" s="1"/>
  <c r="H38" i="3"/>
  <c r="I38" i="3" s="1"/>
  <c r="H37" i="3"/>
  <c r="I37" i="3" s="1"/>
  <c r="H36" i="3"/>
  <c r="I36" i="3" s="1"/>
  <c r="H35" i="3"/>
  <c r="I35" i="3" s="1"/>
  <c r="H34" i="3"/>
  <c r="I34" i="3" s="1"/>
  <c r="H33" i="3"/>
  <c r="I33" i="3" s="1"/>
  <c r="H32" i="3"/>
  <c r="I32" i="3" s="1"/>
  <c r="H31" i="3"/>
  <c r="I31" i="3" s="1"/>
  <c r="H30" i="3"/>
  <c r="I30" i="3" s="1"/>
  <c r="H29" i="3"/>
  <c r="I29" i="3" s="1"/>
  <c r="H28" i="3"/>
  <c r="I28" i="3" s="1"/>
  <c r="H27" i="3"/>
  <c r="I27" i="3" s="1"/>
  <c r="H26" i="3"/>
  <c r="I26" i="3" s="1"/>
  <c r="H25" i="3"/>
  <c r="I25" i="3" s="1"/>
  <c r="H24" i="3"/>
  <c r="I24" i="3" s="1"/>
  <c r="H23" i="3"/>
  <c r="I23" i="3" s="1"/>
  <c r="H22" i="3"/>
  <c r="I22" i="3" s="1"/>
  <c r="H21" i="3"/>
  <c r="I21" i="3" s="1"/>
  <c r="H20" i="3"/>
  <c r="I20" i="3" s="1"/>
  <c r="H19" i="3"/>
  <c r="I19" i="3" s="1"/>
  <c r="H18" i="3"/>
  <c r="I18" i="3" s="1"/>
  <c r="H17" i="3"/>
  <c r="I17" i="3" s="1"/>
  <c r="H16" i="3"/>
  <c r="I16" i="3" s="1"/>
  <c r="H15" i="3"/>
  <c r="I15" i="3" s="1"/>
  <c r="H14" i="3"/>
  <c r="I14" i="3" s="1"/>
  <c r="H13" i="3"/>
  <c r="I13" i="3" s="1"/>
  <c r="H12" i="3"/>
  <c r="I12" i="3" s="1"/>
  <c r="H11" i="3"/>
  <c r="I11" i="3" s="1"/>
  <c r="H10" i="3"/>
  <c r="I10" i="3" s="1"/>
  <c r="H9" i="3"/>
  <c r="I9" i="3" s="1"/>
  <c r="H8" i="3"/>
  <c r="I8" i="3" s="1"/>
  <c r="H7" i="3"/>
  <c r="I7" i="3" s="1"/>
  <c r="H6" i="3"/>
  <c r="I6" i="3" s="1"/>
  <c r="H5" i="3"/>
  <c r="I5" i="3" s="1"/>
  <c r="H4" i="3"/>
  <c r="I4" i="3" s="1"/>
  <c r="G15" i="2" l="1"/>
  <c r="T1488" i="4" l="1"/>
  <c r="S1488" i="4"/>
  <c r="T1487" i="4"/>
  <c r="S1487" i="4"/>
  <c r="T1486" i="4"/>
  <c r="S1486" i="4"/>
  <c r="T1485" i="4"/>
  <c r="S1485" i="4"/>
  <c r="T1484" i="4"/>
  <c r="S1484" i="4"/>
  <c r="T1483" i="4"/>
  <c r="S1483" i="4"/>
  <c r="T1482" i="4"/>
  <c r="S1482" i="4"/>
  <c r="T1481" i="4"/>
  <c r="S1481" i="4"/>
  <c r="T1480" i="4"/>
  <c r="S1480" i="4"/>
  <c r="T1479" i="4"/>
  <c r="S1479" i="4"/>
  <c r="T1478" i="4"/>
  <c r="S1478" i="4"/>
  <c r="T1477" i="4"/>
  <c r="S1477" i="4"/>
  <c r="T1476" i="4"/>
  <c r="S1476" i="4"/>
  <c r="T1475" i="4"/>
  <c r="S1475" i="4"/>
  <c r="T1474" i="4"/>
  <c r="S1474" i="4"/>
  <c r="T1473" i="4"/>
  <c r="S1473" i="4"/>
  <c r="T1472" i="4"/>
  <c r="S1472" i="4"/>
  <c r="T1471" i="4"/>
  <c r="S1471" i="4"/>
  <c r="T1470" i="4"/>
  <c r="S1470" i="4"/>
  <c r="T1469" i="4"/>
  <c r="S1469" i="4"/>
  <c r="T1468" i="4"/>
  <c r="S1468" i="4"/>
  <c r="T1467" i="4"/>
  <c r="S1467" i="4"/>
  <c r="T1466" i="4"/>
  <c r="S1466" i="4"/>
  <c r="T1465" i="4"/>
  <c r="S1465" i="4"/>
  <c r="T1464" i="4"/>
  <c r="S1464" i="4"/>
  <c r="T1463" i="4"/>
  <c r="S1463" i="4"/>
  <c r="T1462" i="4"/>
  <c r="S1462" i="4"/>
  <c r="T1461" i="4"/>
  <c r="S1461" i="4"/>
  <c r="T1460" i="4"/>
  <c r="S1460" i="4"/>
  <c r="T1459" i="4"/>
  <c r="S1459" i="4"/>
  <c r="T1458" i="4"/>
  <c r="S1458" i="4"/>
  <c r="T1457" i="4"/>
  <c r="S1457" i="4"/>
  <c r="T1456" i="4"/>
  <c r="S1456" i="4"/>
  <c r="T1455" i="4"/>
  <c r="S1455" i="4"/>
  <c r="T1454" i="4"/>
  <c r="S1454" i="4"/>
  <c r="T1453" i="4"/>
  <c r="S1453" i="4"/>
  <c r="T1452" i="4"/>
  <c r="S1452" i="4"/>
  <c r="T1451" i="4"/>
  <c r="S1451" i="4"/>
  <c r="T1450" i="4"/>
  <c r="S1450" i="4"/>
  <c r="T1449" i="4"/>
  <c r="S1449" i="4"/>
  <c r="T1448" i="4"/>
  <c r="S1448" i="4"/>
  <c r="T1447" i="4"/>
  <c r="S1447" i="4"/>
  <c r="T1446" i="4"/>
  <c r="S1446" i="4"/>
  <c r="T1445" i="4"/>
  <c r="S1445" i="4"/>
  <c r="T1444" i="4"/>
  <c r="S1444" i="4"/>
  <c r="T1443" i="4"/>
  <c r="S1443" i="4"/>
  <c r="T1442" i="4"/>
  <c r="S1442" i="4"/>
  <c r="T1441" i="4"/>
  <c r="S1441" i="4"/>
  <c r="T1440" i="4"/>
  <c r="S1440" i="4"/>
  <c r="T1439" i="4"/>
  <c r="S1439" i="4"/>
  <c r="T1438" i="4"/>
  <c r="S1438" i="4"/>
  <c r="T1437" i="4"/>
  <c r="S1437" i="4"/>
  <c r="T1436" i="4"/>
  <c r="S1436" i="4"/>
  <c r="T1435" i="4"/>
  <c r="S1435" i="4"/>
  <c r="T1434" i="4"/>
  <c r="S1434" i="4"/>
  <c r="T1433" i="4"/>
  <c r="S1433" i="4"/>
  <c r="T1432" i="4"/>
  <c r="S1432" i="4"/>
  <c r="T1431" i="4"/>
  <c r="S1431" i="4"/>
  <c r="T1430" i="4"/>
  <c r="S1430" i="4"/>
  <c r="T1429" i="4"/>
  <c r="S1429" i="4"/>
  <c r="T1428" i="4"/>
  <c r="S1428" i="4"/>
  <c r="T1427" i="4"/>
  <c r="S1427" i="4"/>
  <c r="T1426" i="4"/>
  <c r="S1426" i="4"/>
  <c r="T1425" i="4"/>
  <c r="S1425" i="4"/>
  <c r="T1424" i="4"/>
  <c r="S1424" i="4"/>
  <c r="T1423" i="4"/>
  <c r="S1423" i="4"/>
  <c r="T1422" i="4"/>
  <c r="S1422" i="4"/>
  <c r="T1421" i="4"/>
  <c r="S1421" i="4"/>
  <c r="T1420" i="4"/>
  <c r="S1420" i="4"/>
  <c r="T1419" i="4"/>
  <c r="S1419" i="4"/>
  <c r="T1418" i="4"/>
  <c r="S1418" i="4"/>
  <c r="T1417" i="4"/>
  <c r="S1417" i="4"/>
  <c r="T1416" i="4"/>
  <c r="S1416" i="4"/>
  <c r="T1415" i="4"/>
  <c r="S1415" i="4"/>
  <c r="T1414" i="4"/>
  <c r="S1414" i="4"/>
  <c r="T1413" i="4"/>
  <c r="S1413" i="4"/>
  <c r="T1412" i="4"/>
  <c r="S1412" i="4"/>
  <c r="T1411" i="4"/>
  <c r="S1411" i="4"/>
  <c r="T1410" i="4"/>
  <c r="S1410" i="4"/>
  <c r="T1409" i="4"/>
  <c r="S1409" i="4"/>
  <c r="T1408" i="4"/>
  <c r="S1408" i="4"/>
  <c r="T1407" i="4"/>
  <c r="S1407" i="4"/>
  <c r="T1406" i="4"/>
  <c r="S1406" i="4"/>
  <c r="T1405" i="4"/>
  <c r="S1405" i="4"/>
  <c r="T1404" i="4"/>
  <c r="S1404" i="4"/>
  <c r="T1403" i="4"/>
  <c r="S1403" i="4"/>
  <c r="T1402" i="4"/>
  <c r="S1402" i="4"/>
  <c r="T1401" i="4"/>
  <c r="S1401" i="4"/>
  <c r="T1400" i="4"/>
  <c r="S1400" i="4"/>
  <c r="T1399" i="4"/>
  <c r="S1399" i="4"/>
  <c r="T1398" i="4"/>
  <c r="S1398" i="4"/>
  <c r="T1397" i="4"/>
  <c r="S1397" i="4"/>
  <c r="T1396" i="4"/>
  <c r="S1396" i="4"/>
  <c r="T1395" i="4"/>
  <c r="S1395" i="4"/>
  <c r="T1394" i="4"/>
  <c r="S1394" i="4"/>
  <c r="T1393" i="4"/>
  <c r="S1393" i="4"/>
  <c r="T1392" i="4"/>
  <c r="S1392" i="4"/>
  <c r="T1391" i="4"/>
  <c r="S1391" i="4"/>
  <c r="T1390" i="4"/>
  <c r="S1390" i="4"/>
  <c r="T1389" i="4"/>
  <c r="S1389" i="4"/>
  <c r="T1388" i="4"/>
  <c r="S1388" i="4"/>
  <c r="T1387" i="4"/>
  <c r="S1387" i="4"/>
  <c r="T1386" i="4"/>
  <c r="S1386" i="4"/>
  <c r="T1385" i="4"/>
  <c r="S1385" i="4"/>
  <c r="T1384" i="4"/>
  <c r="S1384" i="4"/>
  <c r="T1383" i="4"/>
  <c r="S1383" i="4"/>
  <c r="T1382" i="4"/>
  <c r="S1382" i="4"/>
  <c r="T1381" i="4"/>
  <c r="S1381" i="4"/>
  <c r="T1380" i="4"/>
  <c r="S1380" i="4"/>
  <c r="T1379" i="4"/>
  <c r="S1379" i="4"/>
  <c r="T1378" i="4"/>
  <c r="S1378" i="4"/>
  <c r="T1377" i="4"/>
  <c r="S1377" i="4"/>
  <c r="T1376" i="4"/>
  <c r="S1376" i="4"/>
  <c r="T1375" i="4"/>
  <c r="S1375" i="4"/>
  <c r="T1374" i="4"/>
  <c r="S1374" i="4"/>
  <c r="T1373" i="4"/>
  <c r="S1373" i="4"/>
  <c r="T1372" i="4"/>
  <c r="S1372" i="4"/>
  <c r="T1371" i="4"/>
  <c r="S1371" i="4"/>
  <c r="T1370" i="4"/>
  <c r="S1370" i="4"/>
  <c r="T1369" i="4"/>
  <c r="S1369" i="4"/>
  <c r="T1368" i="4"/>
  <c r="S1368" i="4"/>
  <c r="T1367" i="4"/>
  <c r="S1367" i="4"/>
  <c r="T1366" i="4"/>
  <c r="S1366" i="4"/>
  <c r="T1365" i="4"/>
  <c r="S1365" i="4"/>
  <c r="T1364" i="4"/>
  <c r="S1364" i="4"/>
  <c r="T1363" i="4"/>
  <c r="S1363" i="4"/>
  <c r="T1362" i="4"/>
  <c r="S1362" i="4"/>
  <c r="T1361" i="4"/>
  <c r="S1361" i="4"/>
  <c r="T1360" i="4"/>
  <c r="S1360" i="4"/>
  <c r="T1359" i="4"/>
  <c r="S1359" i="4"/>
  <c r="T1358" i="4"/>
  <c r="S1358" i="4"/>
  <c r="T1357" i="4"/>
  <c r="S1357" i="4"/>
  <c r="T1356" i="4"/>
  <c r="S1356" i="4"/>
  <c r="T1355" i="4"/>
  <c r="S1355" i="4"/>
  <c r="T1354" i="4"/>
  <c r="S1354" i="4"/>
  <c r="T1353" i="4"/>
  <c r="S1353" i="4"/>
  <c r="T1352" i="4"/>
  <c r="S1352" i="4"/>
  <c r="T1351" i="4"/>
  <c r="S1351" i="4"/>
  <c r="T1350" i="4"/>
  <c r="S1350" i="4"/>
  <c r="T1349" i="4"/>
  <c r="S1349" i="4"/>
  <c r="T1348" i="4"/>
  <c r="S1348" i="4"/>
  <c r="T1347" i="4"/>
  <c r="S1347" i="4"/>
  <c r="T1346" i="4"/>
  <c r="S1346" i="4"/>
  <c r="T1345" i="4"/>
  <c r="S1345" i="4"/>
  <c r="T1344" i="4"/>
  <c r="S1344" i="4"/>
  <c r="T1343" i="4"/>
  <c r="S1343" i="4"/>
  <c r="T1342" i="4"/>
  <c r="S1342" i="4"/>
  <c r="T1341" i="4"/>
  <c r="S1341" i="4"/>
  <c r="T1340" i="4"/>
  <c r="S1340" i="4"/>
  <c r="T1339" i="4"/>
  <c r="S1339" i="4"/>
  <c r="T1338" i="4"/>
  <c r="S1338" i="4"/>
  <c r="T1337" i="4"/>
  <c r="S1337" i="4"/>
  <c r="T1336" i="4"/>
  <c r="S1336" i="4"/>
  <c r="T1335" i="4"/>
  <c r="S1335" i="4"/>
  <c r="T1334" i="4"/>
  <c r="S1334" i="4"/>
  <c r="T1333" i="4"/>
  <c r="S1333" i="4"/>
  <c r="T1332" i="4"/>
  <c r="S1332" i="4"/>
  <c r="T1331" i="4"/>
  <c r="S1331" i="4"/>
  <c r="T1330" i="4"/>
  <c r="S1330" i="4"/>
  <c r="T1329" i="4"/>
  <c r="S1329" i="4"/>
  <c r="T1328" i="4"/>
  <c r="S1328" i="4"/>
  <c r="T1327" i="4"/>
  <c r="S1327" i="4"/>
  <c r="T1326" i="4"/>
  <c r="S1326" i="4"/>
  <c r="T1325" i="4"/>
  <c r="S1325" i="4"/>
  <c r="T1324" i="4"/>
  <c r="S1324" i="4"/>
  <c r="T1323" i="4"/>
  <c r="S1323" i="4"/>
  <c r="T1322" i="4"/>
  <c r="S1322" i="4"/>
  <c r="T1321" i="4"/>
  <c r="S1321" i="4"/>
  <c r="T1320" i="4"/>
  <c r="S1320" i="4"/>
  <c r="T1319" i="4"/>
  <c r="S1319" i="4"/>
  <c r="T1318" i="4"/>
  <c r="S1318" i="4"/>
  <c r="T1317" i="4"/>
  <c r="S1317" i="4"/>
  <c r="T1316" i="4"/>
  <c r="S1316" i="4"/>
  <c r="T1315" i="4"/>
  <c r="S1315" i="4"/>
  <c r="T1314" i="4"/>
  <c r="S1314" i="4"/>
  <c r="T1313" i="4"/>
  <c r="S1313" i="4"/>
  <c r="T1312" i="4"/>
  <c r="S1312" i="4"/>
  <c r="T1311" i="4"/>
  <c r="S1311" i="4"/>
  <c r="T1310" i="4"/>
  <c r="S1310" i="4"/>
  <c r="T1309" i="4"/>
  <c r="S1309" i="4"/>
  <c r="T1308" i="4"/>
  <c r="S1308" i="4"/>
  <c r="T1307" i="4"/>
  <c r="S1307" i="4"/>
  <c r="T1306" i="4"/>
  <c r="S1306" i="4"/>
  <c r="T1305" i="4"/>
  <c r="S1305" i="4"/>
  <c r="T1304" i="4"/>
  <c r="S1304" i="4"/>
  <c r="T1303" i="4"/>
  <c r="S1303" i="4"/>
  <c r="T1302" i="4"/>
  <c r="S1302" i="4"/>
  <c r="T1301" i="4"/>
  <c r="S1301" i="4"/>
  <c r="T1300" i="4"/>
  <c r="S1300" i="4"/>
  <c r="T1299" i="4"/>
  <c r="S1299" i="4"/>
  <c r="T1298" i="4"/>
  <c r="S1298" i="4"/>
  <c r="T1297" i="4"/>
  <c r="S1297" i="4"/>
  <c r="T1296" i="4"/>
  <c r="S1296" i="4"/>
  <c r="T1295" i="4"/>
  <c r="S1295" i="4"/>
  <c r="T1294" i="4"/>
  <c r="S1294" i="4"/>
  <c r="T1293" i="4"/>
  <c r="S1293" i="4"/>
  <c r="T1292" i="4"/>
  <c r="S1292" i="4"/>
  <c r="T1291" i="4"/>
  <c r="S1291" i="4"/>
  <c r="T1290" i="4"/>
  <c r="S1290" i="4"/>
  <c r="T1289" i="4"/>
  <c r="S1289" i="4"/>
  <c r="T1288" i="4"/>
  <c r="S1288" i="4"/>
  <c r="T1287" i="4"/>
  <c r="S1287" i="4"/>
  <c r="T1286" i="4"/>
  <c r="S1286" i="4"/>
  <c r="T1285" i="4"/>
  <c r="S1285" i="4"/>
  <c r="T1284" i="4"/>
  <c r="S1284" i="4"/>
  <c r="T1283" i="4"/>
  <c r="S1283" i="4"/>
  <c r="T1282" i="4"/>
  <c r="S1282" i="4"/>
  <c r="T1281" i="4"/>
  <c r="S1281" i="4"/>
  <c r="T1280" i="4"/>
  <c r="S1280" i="4"/>
  <c r="T1279" i="4"/>
  <c r="S1279" i="4"/>
  <c r="T1278" i="4"/>
  <c r="S1278" i="4"/>
  <c r="T1277" i="4"/>
  <c r="S1277" i="4"/>
  <c r="T1276" i="4"/>
  <c r="S1276" i="4"/>
  <c r="T1275" i="4"/>
  <c r="S1275" i="4"/>
  <c r="T1274" i="4"/>
  <c r="S1274" i="4"/>
  <c r="T1273" i="4"/>
  <c r="S1273" i="4"/>
  <c r="T1272" i="4"/>
  <c r="S1272" i="4"/>
  <c r="T1271" i="4"/>
  <c r="S1271" i="4"/>
  <c r="T1270" i="4"/>
  <c r="S1270" i="4"/>
  <c r="T1269" i="4"/>
  <c r="S1269" i="4"/>
  <c r="T1268" i="4"/>
  <c r="S1268" i="4"/>
  <c r="T1267" i="4"/>
  <c r="S1267" i="4"/>
  <c r="T1266" i="4"/>
  <c r="S1266" i="4"/>
  <c r="T1265" i="4"/>
  <c r="S1265" i="4"/>
  <c r="T1264" i="4"/>
  <c r="S1264" i="4"/>
  <c r="T1263" i="4"/>
  <c r="S1263" i="4"/>
  <c r="T1262" i="4"/>
  <c r="S1262" i="4"/>
  <c r="T1261" i="4"/>
  <c r="S1261" i="4"/>
  <c r="T1260" i="4"/>
  <c r="S1260" i="4"/>
  <c r="T1259" i="4"/>
  <c r="S1259" i="4"/>
  <c r="T1258" i="4"/>
  <c r="S1258" i="4"/>
  <c r="T1257" i="4"/>
  <c r="S1257" i="4"/>
  <c r="T1256" i="4"/>
  <c r="S1256" i="4"/>
  <c r="T1255" i="4"/>
  <c r="S1255" i="4"/>
  <c r="T1254" i="4"/>
  <c r="S1254" i="4"/>
  <c r="T1253" i="4"/>
  <c r="S1253" i="4"/>
  <c r="T1252" i="4"/>
  <c r="S1252" i="4"/>
  <c r="T1251" i="4"/>
  <c r="S1251" i="4"/>
  <c r="T1250" i="4"/>
  <c r="S1250" i="4"/>
  <c r="T1249" i="4"/>
  <c r="S1249" i="4"/>
  <c r="T1248" i="4"/>
  <c r="S1248" i="4"/>
  <c r="T1247" i="4"/>
  <c r="S1247" i="4"/>
  <c r="T1246" i="4"/>
  <c r="S1246" i="4"/>
  <c r="T1245" i="4"/>
  <c r="S1245" i="4"/>
  <c r="T1244" i="4"/>
  <c r="S1244" i="4"/>
  <c r="T1243" i="4"/>
  <c r="S1243" i="4"/>
  <c r="T1242" i="4"/>
  <c r="S1242" i="4"/>
  <c r="T1241" i="4"/>
  <c r="S1241" i="4"/>
  <c r="T1240" i="4"/>
  <c r="S1240" i="4"/>
  <c r="T1239" i="4"/>
  <c r="S1239" i="4"/>
  <c r="T1238" i="4"/>
  <c r="S1238" i="4"/>
  <c r="T1237" i="4"/>
  <c r="S1237" i="4"/>
  <c r="T1236" i="4"/>
  <c r="S1236" i="4"/>
  <c r="T1235" i="4"/>
  <c r="S1235" i="4"/>
  <c r="T1234" i="4"/>
  <c r="S1234" i="4"/>
  <c r="T1233" i="4"/>
  <c r="S1233" i="4"/>
  <c r="T1232" i="4"/>
  <c r="S1232" i="4"/>
  <c r="T1231" i="4"/>
  <c r="S1231" i="4"/>
  <c r="T1230" i="4"/>
  <c r="S1230" i="4"/>
  <c r="T1229" i="4"/>
  <c r="S1229" i="4"/>
  <c r="T1228" i="4"/>
  <c r="S1228" i="4"/>
  <c r="T1227" i="4"/>
  <c r="S1227" i="4"/>
  <c r="T1226" i="4"/>
  <c r="S1226" i="4"/>
  <c r="T1225" i="4"/>
  <c r="S1225" i="4"/>
  <c r="T1224" i="4"/>
  <c r="S1224" i="4"/>
  <c r="T1223" i="4"/>
  <c r="S1223" i="4"/>
  <c r="T1222" i="4"/>
  <c r="S1222" i="4"/>
  <c r="T1221" i="4"/>
  <c r="S1221" i="4"/>
  <c r="T1220" i="4"/>
  <c r="S1220" i="4"/>
  <c r="T1219" i="4"/>
  <c r="S1219" i="4"/>
  <c r="T1218" i="4"/>
  <c r="S1218" i="4"/>
  <c r="T1217" i="4"/>
  <c r="S1217" i="4"/>
  <c r="T1216" i="4"/>
  <c r="S1216" i="4"/>
  <c r="T1215" i="4"/>
  <c r="S1215" i="4"/>
  <c r="T1214" i="4"/>
  <c r="S1214" i="4"/>
  <c r="T1213" i="4"/>
  <c r="S1213" i="4"/>
  <c r="T1212" i="4"/>
  <c r="S1212" i="4"/>
  <c r="T1211" i="4"/>
  <c r="S1211" i="4"/>
  <c r="T1210" i="4"/>
  <c r="S1210" i="4"/>
  <c r="T1209" i="4"/>
  <c r="S1209" i="4"/>
  <c r="T1208" i="4"/>
  <c r="S1208" i="4"/>
  <c r="T1207" i="4"/>
  <c r="S1207" i="4"/>
  <c r="T1206" i="4"/>
  <c r="S1206" i="4"/>
  <c r="T1205" i="4"/>
  <c r="S1205" i="4"/>
  <c r="T1204" i="4"/>
  <c r="S1204" i="4"/>
  <c r="T1203" i="4"/>
  <c r="S1203" i="4"/>
  <c r="T1202" i="4"/>
  <c r="S1202" i="4"/>
  <c r="T1201" i="4"/>
  <c r="S1201" i="4"/>
  <c r="T1200" i="4"/>
  <c r="S1200" i="4"/>
  <c r="T1199" i="4"/>
  <c r="S1199" i="4"/>
  <c r="T1198" i="4"/>
  <c r="S1198" i="4"/>
  <c r="T1197" i="4"/>
  <c r="S1197" i="4"/>
  <c r="T1196" i="4"/>
  <c r="S1196" i="4"/>
  <c r="T1195" i="4"/>
  <c r="S1195" i="4"/>
  <c r="T1194" i="4"/>
  <c r="S1194" i="4"/>
  <c r="T1193" i="4"/>
  <c r="S1193" i="4"/>
  <c r="T1192" i="4"/>
  <c r="S1192" i="4"/>
  <c r="T1191" i="4"/>
  <c r="S1191" i="4"/>
  <c r="T1190" i="4"/>
  <c r="S1190" i="4"/>
  <c r="T1189" i="4"/>
  <c r="S1189" i="4"/>
  <c r="T1188" i="4"/>
  <c r="S1188" i="4"/>
  <c r="T1187" i="4"/>
  <c r="S1187" i="4"/>
  <c r="T1186" i="4"/>
  <c r="S1186" i="4"/>
  <c r="T1185" i="4"/>
  <c r="S1185" i="4"/>
  <c r="T1184" i="4"/>
  <c r="S1184" i="4"/>
  <c r="T1183" i="4"/>
  <c r="S1183" i="4"/>
  <c r="T1182" i="4"/>
  <c r="S1182" i="4"/>
  <c r="T1181" i="4"/>
  <c r="S1181" i="4"/>
  <c r="T1180" i="4"/>
  <c r="S1180" i="4"/>
  <c r="T1179" i="4"/>
  <c r="S1179" i="4"/>
  <c r="T1178" i="4"/>
  <c r="S1178" i="4"/>
  <c r="T1177" i="4"/>
  <c r="S1177" i="4"/>
  <c r="T1176" i="4"/>
  <c r="S1176" i="4"/>
  <c r="T1175" i="4"/>
  <c r="S1175" i="4"/>
  <c r="T1174" i="4"/>
  <c r="S1174" i="4"/>
  <c r="T1173" i="4"/>
  <c r="S1173" i="4"/>
  <c r="T1172" i="4"/>
  <c r="S1172" i="4"/>
  <c r="T1171" i="4"/>
  <c r="S1171" i="4"/>
  <c r="T1170" i="4"/>
  <c r="S1170" i="4"/>
  <c r="T1169" i="4"/>
  <c r="S1169" i="4"/>
  <c r="T1168" i="4"/>
  <c r="S1168" i="4"/>
  <c r="T1167" i="4"/>
  <c r="S1167" i="4"/>
  <c r="T1166" i="4"/>
  <c r="S1166" i="4"/>
  <c r="T1165" i="4"/>
  <c r="S1165" i="4"/>
  <c r="T1164" i="4"/>
  <c r="S1164" i="4"/>
  <c r="T1163" i="4"/>
  <c r="S1163" i="4"/>
  <c r="T1162" i="4"/>
  <c r="S1162" i="4"/>
  <c r="T1161" i="4"/>
  <c r="S1161" i="4"/>
  <c r="T1160" i="4"/>
  <c r="S1160" i="4"/>
  <c r="T1159" i="4"/>
  <c r="S1159" i="4"/>
  <c r="T1158" i="4"/>
  <c r="S1158" i="4"/>
  <c r="T1157" i="4"/>
  <c r="S1157" i="4"/>
  <c r="T1156" i="4"/>
  <c r="S1156" i="4"/>
  <c r="T1155" i="4"/>
  <c r="S1155" i="4"/>
  <c r="T1154" i="4"/>
  <c r="S1154" i="4"/>
  <c r="T1153" i="4"/>
  <c r="S1153" i="4"/>
  <c r="T1152" i="4"/>
  <c r="S1152" i="4"/>
  <c r="T1151" i="4"/>
  <c r="S1151" i="4"/>
  <c r="T1150" i="4"/>
  <c r="S1150" i="4"/>
  <c r="T1149" i="4"/>
  <c r="S1149" i="4"/>
  <c r="T1148" i="4"/>
  <c r="S1148" i="4"/>
  <c r="T1147" i="4"/>
  <c r="S1147" i="4"/>
  <c r="T1146" i="4"/>
  <c r="S1146" i="4"/>
  <c r="T1145" i="4"/>
  <c r="S1145" i="4"/>
  <c r="T1144" i="4"/>
  <c r="S1144" i="4"/>
  <c r="T1143" i="4"/>
  <c r="S1143" i="4"/>
  <c r="T1142" i="4"/>
  <c r="S1142" i="4"/>
  <c r="T1141" i="4"/>
  <c r="S1141" i="4"/>
  <c r="T1140" i="4"/>
  <c r="S1140" i="4"/>
  <c r="T1139" i="4"/>
  <c r="S1139" i="4"/>
  <c r="T1138" i="4"/>
  <c r="S1138" i="4"/>
  <c r="T1137" i="4"/>
  <c r="S1137" i="4"/>
  <c r="T1136" i="4"/>
  <c r="S1136" i="4"/>
  <c r="T1135" i="4"/>
  <c r="S1135" i="4"/>
  <c r="T1134" i="4"/>
  <c r="S1134" i="4"/>
  <c r="T1133" i="4"/>
  <c r="S1133" i="4"/>
  <c r="T1132" i="4"/>
  <c r="S1132" i="4"/>
  <c r="T1131" i="4"/>
  <c r="S1131" i="4"/>
  <c r="T1130" i="4"/>
  <c r="S1130" i="4"/>
  <c r="T1129" i="4"/>
  <c r="S1129" i="4"/>
  <c r="T1128" i="4"/>
  <c r="S1128" i="4"/>
  <c r="T1127" i="4"/>
  <c r="S1127" i="4"/>
  <c r="T1126" i="4"/>
  <c r="S1126" i="4"/>
  <c r="T1125" i="4"/>
  <c r="S1125" i="4"/>
  <c r="T1124" i="4"/>
  <c r="S1124" i="4"/>
  <c r="T1123" i="4"/>
  <c r="S1123" i="4"/>
  <c r="T1122" i="4"/>
  <c r="S1122" i="4"/>
  <c r="T1121" i="4"/>
  <c r="S1121" i="4"/>
  <c r="T1120" i="4"/>
  <c r="S1120" i="4"/>
  <c r="T1119" i="4"/>
  <c r="S1119" i="4"/>
  <c r="T1118" i="4"/>
  <c r="S1118" i="4"/>
  <c r="T1117" i="4"/>
  <c r="S1117" i="4"/>
  <c r="T1116" i="4"/>
  <c r="S1116" i="4"/>
  <c r="T1115" i="4"/>
  <c r="S1115" i="4"/>
  <c r="T1114" i="4"/>
  <c r="S1114" i="4"/>
  <c r="T1113" i="4"/>
  <c r="S1113" i="4"/>
  <c r="T1112" i="4"/>
  <c r="S1112" i="4"/>
  <c r="T1111" i="4"/>
  <c r="S1111" i="4"/>
  <c r="T1110" i="4"/>
  <c r="S1110" i="4"/>
  <c r="T1109" i="4"/>
  <c r="S1109" i="4"/>
  <c r="T1108" i="4"/>
  <c r="S1108" i="4"/>
  <c r="T1107" i="4"/>
  <c r="S1107" i="4"/>
  <c r="T1106" i="4"/>
  <c r="S1106" i="4"/>
  <c r="T1105" i="4"/>
  <c r="S1105" i="4"/>
  <c r="T1104" i="4"/>
  <c r="S1104" i="4"/>
  <c r="T1103" i="4"/>
  <c r="S1103" i="4"/>
  <c r="T1102" i="4"/>
  <c r="S1102" i="4"/>
  <c r="T1101" i="4"/>
  <c r="S1101" i="4"/>
  <c r="T1100" i="4"/>
  <c r="S1100" i="4"/>
  <c r="T1099" i="4"/>
  <c r="S1099" i="4"/>
  <c r="T1098" i="4"/>
  <c r="S1098" i="4"/>
  <c r="T1097" i="4"/>
  <c r="S1097" i="4"/>
  <c r="T1096" i="4"/>
  <c r="S1096" i="4"/>
  <c r="T1095" i="4"/>
  <c r="S1095" i="4"/>
  <c r="T1094" i="4"/>
  <c r="S1094" i="4"/>
  <c r="T1093" i="4"/>
  <c r="S1093" i="4"/>
  <c r="T1092" i="4"/>
  <c r="S1092" i="4"/>
  <c r="T1091" i="4"/>
  <c r="S1091" i="4"/>
  <c r="T1090" i="4"/>
  <c r="S1090" i="4"/>
  <c r="T1089" i="4"/>
  <c r="S1089" i="4"/>
  <c r="T1088" i="4"/>
  <c r="S1088" i="4"/>
  <c r="T1087" i="4"/>
  <c r="S1087" i="4"/>
  <c r="T1086" i="4"/>
  <c r="S1086" i="4"/>
  <c r="T1085" i="4"/>
  <c r="S1085" i="4"/>
  <c r="T1084" i="4"/>
  <c r="S1084" i="4"/>
  <c r="T1083" i="4"/>
  <c r="S1083" i="4"/>
  <c r="T1082" i="4"/>
  <c r="S1082" i="4"/>
  <c r="T1081" i="4"/>
  <c r="S1081" i="4"/>
  <c r="T1080" i="4"/>
  <c r="S1080" i="4"/>
  <c r="T1079" i="4"/>
  <c r="S1079" i="4"/>
  <c r="T1078" i="4"/>
  <c r="S1078" i="4"/>
  <c r="T1077" i="4"/>
  <c r="S1077" i="4"/>
  <c r="T1076" i="4"/>
  <c r="S1076" i="4"/>
  <c r="T1075" i="4"/>
  <c r="S1075" i="4"/>
  <c r="T1074" i="4"/>
  <c r="S1074" i="4"/>
  <c r="T1073" i="4"/>
  <c r="S1073" i="4"/>
  <c r="T1072" i="4"/>
  <c r="S1072" i="4"/>
  <c r="T1071" i="4"/>
  <c r="S1071" i="4"/>
  <c r="T1070" i="4"/>
  <c r="S1070" i="4"/>
  <c r="T1069" i="4"/>
  <c r="S1069" i="4"/>
  <c r="T1068" i="4"/>
  <c r="S1068" i="4"/>
  <c r="T1067" i="4"/>
  <c r="S1067" i="4"/>
  <c r="T1066" i="4"/>
  <c r="S1066" i="4"/>
  <c r="T1065" i="4"/>
  <c r="S1065" i="4"/>
  <c r="T1064" i="4"/>
  <c r="S1064" i="4"/>
  <c r="T1063" i="4"/>
  <c r="S1063" i="4"/>
  <c r="T1062" i="4"/>
  <c r="S1062" i="4"/>
  <c r="T1061" i="4"/>
  <c r="S1061" i="4"/>
  <c r="T1060" i="4"/>
  <c r="S1060" i="4"/>
  <c r="T1059" i="4"/>
  <c r="S1059" i="4"/>
  <c r="T1058" i="4"/>
  <c r="S1058" i="4"/>
  <c r="T1057" i="4"/>
  <c r="S1057" i="4"/>
  <c r="T1056" i="4"/>
  <c r="S1056" i="4"/>
  <c r="T1055" i="4"/>
  <c r="S1055" i="4"/>
  <c r="T1054" i="4"/>
  <c r="S1054" i="4"/>
  <c r="T1053" i="4"/>
  <c r="S1053" i="4"/>
  <c r="T1052" i="4"/>
  <c r="S1052" i="4"/>
  <c r="T1051" i="4"/>
  <c r="S1051" i="4"/>
  <c r="T1050" i="4"/>
  <c r="S1050" i="4"/>
  <c r="T1049" i="4"/>
  <c r="S1049" i="4"/>
  <c r="T1048" i="4"/>
  <c r="S1048" i="4"/>
  <c r="T1047" i="4"/>
  <c r="S1047" i="4"/>
  <c r="T1046" i="4"/>
  <c r="S1046" i="4"/>
  <c r="T1045" i="4"/>
  <c r="S1045" i="4"/>
  <c r="T1044" i="4"/>
  <c r="S1044" i="4"/>
  <c r="T1043" i="4"/>
  <c r="S1043" i="4"/>
  <c r="T1042" i="4"/>
  <c r="S1042" i="4"/>
  <c r="T1041" i="4"/>
  <c r="S1041" i="4"/>
  <c r="T1040" i="4"/>
  <c r="S1040" i="4"/>
  <c r="T1039" i="4"/>
  <c r="S1039" i="4"/>
  <c r="T1038" i="4"/>
  <c r="S1038" i="4"/>
  <c r="T1037" i="4"/>
  <c r="S1037" i="4"/>
  <c r="T1036" i="4"/>
  <c r="S1036" i="4"/>
  <c r="T1035" i="4"/>
  <c r="S1035" i="4"/>
  <c r="T1034" i="4"/>
  <c r="S1034" i="4"/>
  <c r="T1033" i="4"/>
  <c r="S1033" i="4"/>
  <c r="T1032" i="4"/>
  <c r="S1032" i="4"/>
  <c r="T1031" i="4"/>
  <c r="S1031" i="4"/>
  <c r="T1030" i="4"/>
  <c r="S1030" i="4"/>
  <c r="T1029" i="4"/>
  <c r="S1029" i="4"/>
  <c r="T1028" i="4"/>
  <c r="S1028" i="4"/>
  <c r="T1027" i="4"/>
  <c r="S1027" i="4"/>
  <c r="T1026" i="4"/>
  <c r="S1026" i="4"/>
  <c r="T1025" i="4"/>
  <c r="S1025" i="4"/>
  <c r="T1024" i="4"/>
  <c r="S1024" i="4"/>
  <c r="T1023" i="4"/>
  <c r="S1023" i="4"/>
  <c r="T1022" i="4"/>
  <c r="S1022" i="4"/>
  <c r="T1021" i="4"/>
  <c r="S1021" i="4"/>
  <c r="T1020" i="4"/>
  <c r="S1020" i="4"/>
  <c r="T1019" i="4"/>
  <c r="S1019" i="4"/>
  <c r="T1018" i="4"/>
  <c r="S1018" i="4"/>
  <c r="T1017" i="4"/>
  <c r="S1017" i="4"/>
  <c r="T1016" i="4"/>
  <c r="S1016" i="4"/>
  <c r="T1015" i="4"/>
  <c r="S1015" i="4"/>
  <c r="T1014" i="4"/>
  <c r="S1014" i="4"/>
  <c r="T1013" i="4"/>
  <c r="S1013" i="4"/>
  <c r="T1012" i="4"/>
  <c r="S1012" i="4"/>
  <c r="T1011" i="4"/>
  <c r="S1011" i="4"/>
  <c r="T1010" i="4"/>
  <c r="S1010" i="4"/>
  <c r="T1009" i="4"/>
  <c r="S1009" i="4"/>
  <c r="T1008" i="4"/>
  <c r="S1008" i="4"/>
  <c r="T1007" i="4"/>
  <c r="S1007" i="4"/>
  <c r="T1006" i="4"/>
  <c r="S1006" i="4"/>
  <c r="T1005" i="4"/>
  <c r="S1005" i="4"/>
  <c r="T1004" i="4"/>
  <c r="S1004" i="4"/>
  <c r="T1003" i="4"/>
  <c r="S1003" i="4"/>
  <c r="T1002" i="4"/>
  <c r="S1002" i="4"/>
  <c r="T1001" i="4"/>
  <c r="S1001" i="4"/>
  <c r="T1000" i="4"/>
  <c r="S1000" i="4"/>
  <c r="T999" i="4"/>
  <c r="S999" i="4"/>
  <c r="T998" i="4"/>
  <c r="S998" i="4"/>
  <c r="T997" i="4"/>
  <c r="S997" i="4"/>
  <c r="T996" i="4"/>
  <c r="S996" i="4"/>
  <c r="T995" i="4"/>
  <c r="S995" i="4"/>
  <c r="T994" i="4"/>
  <c r="S994" i="4"/>
  <c r="T993" i="4"/>
  <c r="S993" i="4"/>
  <c r="T992" i="4"/>
  <c r="S992" i="4"/>
  <c r="T991" i="4"/>
  <c r="S991" i="4"/>
  <c r="T990" i="4"/>
  <c r="S990" i="4"/>
  <c r="T989" i="4"/>
  <c r="S989" i="4"/>
  <c r="T988" i="4"/>
  <c r="S988" i="4"/>
  <c r="T987" i="4"/>
  <c r="S987" i="4"/>
  <c r="T986" i="4"/>
  <c r="S986" i="4"/>
  <c r="T985" i="4"/>
  <c r="S985" i="4"/>
  <c r="T984" i="4"/>
  <c r="S984" i="4"/>
  <c r="T983" i="4"/>
  <c r="S983" i="4"/>
  <c r="T982" i="4"/>
  <c r="S982" i="4"/>
  <c r="T981" i="4"/>
  <c r="S981" i="4"/>
  <c r="T980" i="4"/>
  <c r="S980" i="4"/>
  <c r="T979" i="4"/>
  <c r="S979" i="4"/>
  <c r="T978" i="4"/>
  <c r="S978" i="4"/>
  <c r="T977" i="4"/>
  <c r="S977" i="4"/>
  <c r="T976" i="4"/>
  <c r="S976" i="4"/>
  <c r="T975" i="4"/>
  <c r="S975" i="4"/>
  <c r="T974" i="4"/>
  <c r="S974" i="4"/>
  <c r="T973" i="4"/>
  <c r="S973" i="4"/>
  <c r="T972" i="4"/>
  <c r="S972" i="4"/>
  <c r="T971" i="4"/>
  <c r="S971" i="4"/>
  <c r="T970" i="4"/>
  <c r="S970" i="4"/>
  <c r="T969" i="4"/>
  <c r="S969" i="4"/>
  <c r="T968" i="4"/>
  <c r="S968" i="4"/>
  <c r="T967" i="4"/>
  <c r="S967" i="4"/>
  <c r="T966" i="4"/>
  <c r="S966" i="4"/>
  <c r="T965" i="4"/>
  <c r="S965" i="4"/>
  <c r="T964" i="4"/>
  <c r="S964" i="4"/>
  <c r="T963" i="4"/>
  <c r="S963" i="4"/>
  <c r="T962" i="4"/>
  <c r="S962" i="4"/>
  <c r="T961" i="4"/>
  <c r="S961" i="4"/>
  <c r="T960" i="4"/>
  <c r="S960" i="4"/>
  <c r="T959" i="4"/>
  <c r="S959" i="4"/>
  <c r="T958" i="4"/>
  <c r="S958" i="4"/>
  <c r="T957" i="4"/>
  <c r="S957" i="4"/>
  <c r="T956" i="4"/>
  <c r="S956" i="4"/>
  <c r="T955" i="4"/>
  <c r="S955" i="4"/>
  <c r="T954" i="4"/>
  <c r="S954" i="4"/>
  <c r="T953" i="4"/>
  <c r="S953" i="4"/>
  <c r="T952" i="4"/>
  <c r="S952" i="4"/>
  <c r="T951" i="4"/>
  <c r="S951" i="4"/>
  <c r="T950" i="4"/>
  <c r="S950" i="4"/>
  <c r="T949" i="4"/>
  <c r="S949" i="4"/>
  <c r="T948" i="4"/>
  <c r="S948" i="4"/>
  <c r="T947" i="4"/>
  <c r="S947" i="4"/>
  <c r="T946" i="4"/>
  <c r="S946" i="4"/>
  <c r="T945" i="4"/>
  <c r="S945" i="4"/>
  <c r="T944" i="4"/>
  <c r="S944" i="4"/>
  <c r="T943" i="4"/>
  <c r="S943" i="4"/>
  <c r="T942" i="4"/>
  <c r="S942" i="4"/>
  <c r="T941" i="4"/>
  <c r="S941" i="4"/>
  <c r="T940" i="4"/>
  <c r="S940" i="4"/>
  <c r="T939" i="4"/>
  <c r="S939" i="4"/>
  <c r="T938" i="4"/>
  <c r="S938" i="4"/>
  <c r="T937" i="4"/>
  <c r="S937" i="4"/>
  <c r="T936" i="4"/>
  <c r="S936" i="4"/>
  <c r="T935" i="4"/>
  <c r="S935" i="4"/>
  <c r="T934" i="4"/>
  <c r="S934" i="4"/>
  <c r="T933" i="4"/>
  <c r="S933" i="4"/>
  <c r="T932" i="4"/>
  <c r="S932" i="4"/>
  <c r="T931" i="4"/>
  <c r="S931" i="4"/>
  <c r="T930" i="4"/>
  <c r="S930" i="4"/>
  <c r="T929" i="4"/>
  <c r="S929" i="4"/>
  <c r="T928" i="4"/>
  <c r="S928" i="4"/>
  <c r="T927" i="4"/>
  <c r="S927" i="4"/>
  <c r="T926" i="4"/>
  <c r="S926" i="4"/>
  <c r="T925" i="4"/>
  <c r="S925" i="4"/>
  <c r="T924" i="4"/>
  <c r="S924" i="4"/>
  <c r="T923" i="4"/>
  <c r="S923" i="4"/>
  <c r="T922" i="4"/>
  <c r="S922" i="4"/>
  <c r="T921" i="4"/>
  <c r="S921" i="4"/>
  <c r="T920" i="4"/>
  <c r="S920" i="4"/>
  <c r="T919" i="4"/>
  <c r="S919" i="4"/>
  <c r="T918" i="4"/>
  <c r="S918" i="4"/>
  <c r="T917" i="4"/>
  <c r="S917" i="4"/>
  <c r="T916" i="4"/>
  <c r="S916" i="4"/>
  <c r="T915" i="4"/>
  <c r="S915" i="4"/>
  <c r="T914" i="4"/>
  <c r="S914" i="4"/>
  <c r="T913" i="4"/>
  <c r="S913" i="4"/>
  <c r="T912" i="4"/>
  <c r="S912" i="4"/>
  <c r="T911" i="4"/>
  <c r="S911" i="4"/>
  <c r="T910" i="4"/>
  <c r="S910" i="4"/>
  <c r="T909" i="4"/>
  <c r="S909" i="4"/>
  <c r="T908" i="4"/>
  <c r="S908" i="4"/>
  <c r="T907" i="4"/>
  <c r="S907" i="4"/>
  <c r="T906" i="4"/>
  <c r="S906" i="4"/>
  <c r="T905" i="4"/>
  <c r="S905" i="4"/>
  <c r="T904" i="4"/>
  <c r="S904" i="4"/>
  <c r="T903" i="4"/>
  <c r="S903" i="4"/>
  <c r="T902" i="4"/>
  <c r="S902" i="4"/>
  <c r="T901" i="4"/>
  <c r="S901" i="4"/>
  <c r="T900" i="4"/>
  <c r="S900" i="4"/>
  <c r="T899" i="4"/>
  <c r="S899" i="4"/>
  <c r="T898" i="4"/>
  <c r="S898" i="4"/>
  <c r="T897" i="4"/>
  <c r="S897" i="4"/>
  <c r="T896" i="4"/>
  <c r="S896" i="4"/>
  <c r="T895" i="4"/>
  <c r="S895" i="4"/>
  <c r="T894" i="4"/>
  <c r="S894" i="4"/>
  <c r="T893" i="4"/>
  <c r="S893" i="4"/>
  <c r="T892" i="4"/>
  <c r="S892" i="4"/>
  <c r="T891" i="4"/>
  <c r="S891" i="4"/>
  <c r="T890" i="4"/>
  <c r="S890" i="4"/>
  <c r="T889" i="4"/>
  <c r="S889" i="4"/>
  <c r="T888" i="4"/>
  <c r="S888" i="4"/>
  <c r="T887" i="4"/>
  <c r="S887" i="4"/>
  <c r="T886" i="4"/>
  <c r="S886" i="4"/>
  <c r="T885" i="4"/>
  <c r="S885" i="4"/>
  <c r="T884" i="4"/>
  <c r="S884" i="4"/>
  <c r="T883" i="4"/>
  <c r="S883" i="4"/>
  <c r="T882" i="4"/>
  <c r="S882" i="4"/>
  <c r="T881" i="4"/>
  <c r="S881" i="4"/>
  <c r="T880" i="4"/>
  <c r="S880" i="4"/>
  <c r="T879" i="4"/>
  <c r="S879" i="4"/>
  <c r="T878" i="4"/>
  <c r="S878" i="4"/>
  <c r="T877" i="4"/>
  <c r="S877" i="4"/>
  <c r="T876" i="4"/>
  <c r="S876" i="4"/>
  <c r="T875" i="4"/>
  <c r="S875" i="4"/>
  <c r="T874" i="4"/>
  <c r="S874" i="4"/>
  <c r="T873" i="4"/>
  <c r="S873" i="4"/>
  <c r="T872" i="4"/>
  <c r="S872" i="4"/>
  <c r="T871" i="4"/>
  <c r="S871" i="4"/>
  <c r="T870" i="4"/>
  <c r="S870" i="4"/>
  <c r="T869" i="4"/>
  <c r="S869" i="4"/>
  <c r="T868" i="4"/>
  <c r="S868" i="4"/>
  <c r="T867" i="4"/>
  <c r="S867" i="4"/>
  <c r="T866" i="4"/>
  <c r="S866" i="4"/>
  <c r="T865" i="4"/>
  <c r="S865" i="4"/>
  <c r="T864" i="4"/>
  <c r="S864" i="4"/>
  <c r="T863" i="4"/>
  <c r="S863" i="4"/>
  <c r="T862" i="4"/>
  <c r="S862" i="4"/>
  <c r="T861" i="4"/>
  <c r="S861" i="4"/>
  <c r="T860" i="4"/>
  <c r="S860" i="4"/>
  <c r="T859" i="4"/>
  <c r="S859" i="4"/>
  <c r="T858" i="4"/>
  <c r="S858" i="4"/>
  <c r="T857" i="4"/>
  <c r="S857" i="4"/>
  <c r="T856" i="4"/>
  <c r="S856" i="4"/>
  <c r="T855" i="4"/>
  <c r="S855" i="4"/>
  <c r="T854" i="4"/>
  <c r="S854" i="4"/>
  <c r="T853" i="4"/>
  <c r="S853" i="4"/>
  <c r="T852" i="4"/>
  <c r="S852" i="4"/>
  <c r="T851" i="4"/>
  <c r="S851" i="4"/>
  <c r="T850" i="4"/>
  <c r="S850" i="4"/>
  <c r="T849" i="4"/>
  <c r="S849" i="4"/>
  <c r="T848" i="4"/>
  <c r="S848" i="4"/>
  <c r="T847" i="4"/>
  <c r="S847" i="4"/>
  <c r="T846" i="4"/>
  <c r="S846" i="4"/>
  <c r="T845" i="4"/>
  <c r="S845" i="4"/>
  <c r="T844" i="4"/>
  <c r="S844" i="4"/>
  <c r="T843" i="4"/>
  <c r="S843" i="4"/>
  <c r="T842" i="4"/>
  <c r="S842" i="4"/>
  <c r="T841" i="4"/>
  <c r="S841" i="4"/>
  <c r="T840" i="4"/>
  <c r="S840" i="4"/>
  <c r="T839" i="4"/>
  <c r="S839" i="4"/>
  <c r="T838" i="4"/>
  <c r="S838" i="4"/>
  <c r="T837" i="4"/>
  <c r="S837" i="4"/>
  <c r="T836" i="4"/>
  <c r="S836" i="4"/>
  <c r="T835" i="4"/>
  <c r="S835" i="4"/>
  <c r="T834" i="4"/>
  <c r="S834" i="4"/>
  <c r="T833" i="4"/>
  <c r="S833" i="4"/>
  <c r="T832" i="4"/>
  <c r="S832" i="4"/>
  <c r="T831" i="4"/>
  <c r="S831" i="4"/>
  <c r="T830" i="4"/>
  <c r="S830" i="4"/>
  <c r="T829" i="4"/>
  <c r="S829" i="4"/>
  <c r="T828" i="4"/>
  <c r="S828" i="4"/>
  <c r="T827" i="4"/>
  <c r="S827" i="4"/>
  <c r="T826" i="4"/>
  <c r="S826" i="4"/>
  <c r="T825" i="4"/>
  <c r="S825" i="4"/>
  <c r="T824" i="4"/>
  <c r="S824" i="4"/>
  <c r="T823" i="4"/>
  <c r="S823" i="4"/>
  <c r="T822" i="4"/>
  <c r="S822" i="4"/>
  <c r="T821" i="4"/>
  <c r="S821" i="4"/>
  <c r="T820" i="4"/>
  <c r="S820" i="4"/>
  <c r="T819" i="4"/>
  <c r="S819" i="4"/>
  <c r="T818" i="4"/>
  <c r="S818" i="4"/>
  <c r="T817" i="4"/>
  <c r="S817" i="4"/>
  <c r="T816" i="4"/>
  <c r="S816" i="4"/>
  <c r="T815" i="4"/>
  <c r="S815" i="4"/>
  <c r="T814" i="4"/>
  <c r="S814" i="4"/>
  <c r="T813" i="4"/>
  <c r="S813" i="4"/>
  <c r="T812" i="4"/>
  <c r="S812" i="4"/>
  <c r="T811" i="4"/>
  <c r="S811" i="4"/>
  <c r="T810" i="4"/>
  <c r="S810" i="4"/>
  <c r="T809" i="4"/>
  <c r="S809" i="4"/>
  <c r="T808" i="4"/>
  <c r="S808" i="4"/>
  <c r="T807" i="4"/>
  <c r="S807" i="4"/>
  <c r="T806" i="4"/>
  <c r="S806" i="4"/>
  <c r="T805" i="4"/>
  <c r="S805" i="4"/>
  <c r="T804" i="4"/>
  <c r="S804" i="4"/>
  <c r="T803" i="4"/>
  <c r="S803" i="4"/>
  <c r="T802" i="4"/>
  <c r="S802" i="4"/>
  <c r="T801" i="4"/>
  <c r="S801" i="4"/>
  <c r="T800" i="4"/>
  <c r="S800" i="4"/>
  <c r="T799" i="4"/>
  <c r="S799" i="4"/>
  <c r="T798" i="4"/>
  <c r="S798" i="4"/>
  <c r="T797" i="4"/>
  <c r="S797" i="4"/>
  <c r="T796" i="4"/>
  <c r="S796" i="4"/>
  <c r="T795" i="4"/>
  <c r="S795" i="4"/>
  <c r="T794" i="4"/>
  <c r="S794" i="4"/>
  <c r="T793" i="4"/>
  <c r="S793" i="4"/>
  <c r="T792" i="4"/>
  <c r="S792" i="4"/>
  <c r="T791" i="4"/>
  <c r="S791" i="4"/>
  <c r="T790" i="4"/>
  <c r="S790" i="4"/>
  <c r="T789" i="4"/>
  <c r="S789" i="4"/>
  <c r="T788" i="4"/>
  <c r="S788" i="4"/>
  <c r="T787" i="4"/>
  <c r="S787" i="4"/>
  <c r="T786" i="4"/>
  <c r="S786" i="4"/>
  <c r="T785" i="4"/>
  <c r="S785" i="4"/>
  <c r="T784" i="4"/>
  <c r="S784" i="4"/>
  <c r="T783" i="4"/>
  <c r="S783" i="4"/>
  <c r="T782" i="4"/>
  <c r="S782" i="4"/>
  <c r="T781" i="4"/>
  <c r="S781" i="4"/>
  <c r="T780" i="4"/>
  <c r="S780" i="4"/>
  <c r="T779" i="4"/>
  <c r="S779" i="4"/>
  <c r="T778" i="4"/>
  <c r="S778" i="4"/>
  <c r="T777" i="4"/>
  <c r="S777" i="4"/>
  <c r="T776" i="4"/>
  <c r="S776" i="4"/>
  <c r="T775" i="4"/>
  <c r="S775" i="4"/>
  <c r="T774" i="4"/>
  <c r="S774" i="4"/>
  <c r="T773" i="4"/>
  <c r="S773" i="4"/>
  <c r="T772" i="4"/>
  <c r="S772" i="4"/>
  <c r="T771" i="4"/>
  <c r="S771" i="4"/>
  <c r="T770" i="4"/>
  <c r="S770" i="4"/>
  <c r="T769" i="4"/>
  <c r="S769" i="4"/>
  <c r="M723" i="3"/>
  <c r="M722" i="3"/>
  <c r="M721" i="3"/>
  <c r="M720" i="3"/>
  <c r="M719" i="3"/>
  <c r="M718" i="3"/>
  <c r="M717" i="3"/>
  <c r="M716" i="3"/>
  <c r="M715" i="3"/>
  <c r="M714" i="3"/>
  <c r="M713" i="3"/>
  <c r="M712" i="3"/>
  <c r="M711" i="3"/>
  <c r="M710" i="3"/>
  <c r="M709" i="3"/>
  <c r="M708" i="3"/>
  <c r="M707" i="3"/>
  <c r="M706" i="3"/>
  <c r="M705" i="3"/>
  <c r="M704" i="3"/>
  <c r="M703" i="3"/>
  <c r="M702" i="3"/>
  <c r="M701" i="3"/>
  <c r="M700" i="3"/>
  <c r="M699" i="3"/>
  <c r="M698" i="3"/>
  <c r="M697" i="3"/>
  <c r="M696" i="3"/>
  <c r="M695" i="3"/>
  <c r="M694" i="3"/>
  <c r="M693" i="3"/>
  <c r="M692" i="3"/>
  <c r="M691" i="3"/>
  <c r="M690" i="3"/>
  <c r="M689" i="3"/>
  <c r="M688" i="3"/>
  <c r="M687" i="3"/>
  <c r="M686" i="3"/>
  <c r="M685" i="3"/>
  <c r="M684" i="3"/>
  <c r="M683" i="3"/>
  <c r="M682" i="3"/>
  <c r="M681" i="3"/>
  <c r="M680" i="3"/>
  <c r="M679" i="3"/>
  <c r="M678" i="3"/>
  <c r="M677" i="3"/>
  <c r="M676" i="3"/>
  <c r="M675" i="3"/>
  <c r="M674" i="3"/>
  <c r="M673" i="3"/>
  <c r="M672" i="3"/>
  <c r="M671" i="3"/>
  <c r="M670" i="3"/>
  <c r="M669" i="3"/>
  <c r="M668" i="3"/>
  <c r="M667" i="3"/>
  <c r="M666" i="3"/>
  <c r="M665" i="3"/>
  <c r="M664" i="3"/>
  <c r="M663" i="3"/>
  <c r="M662" i="3"/>
  <c r="M661" i="3"/>
  <c r="M660" i="3"/>
  <c r="M659" i="3"/>
  <c r="M658" i="3"/>
  <c r="M657" i="3"/>
  <c r="M656" i="3"/>
  <c r="M655" i="3"/>
  <c r="M654" i="3"/>
  <c r="M653" i="3"/>
  <c r="M652" i="3"/>
  <c r="M651" i="3"/>
  <c r="M650" i="3"/>
  <c r="M649" i="3"/>
  <c r="M648" i="3"/>
  <c r="M647" i="3"/>
  <c r="M646" i="3"/>
  <c r="M645" i="3"/>
  <c r="M644" i="3"/>
  <c r="M643" i="3"/>
  <c r="M642" i="3"/>
  <c r="M641" i="3"/>
  <c r="M640" i="3"/>
  <c r="M639" i="3"/>
  <c r="M638" i="3"/>
  <c r="M637" i="3"/>
  <c r="M636" i="3"/>
  <c r="M635" i="3"/>
  <c r="M634" i="3"/>
  <c r="M633" i="3"/>
  <c r="M632" i="3"/>
  <c r="M631" i="3"/>
  <c r="M630" i="3"/>
  <c r="M629" i="3"/>
  <c r="M628" i="3"/>
  <c r="M627" i="3"/>
  <c r="M626" i="3"/>
  <c r="M625" i="3"/>
  <c r="M624" i="3"/>
  <c r="M623" i="3"/>
  <c r="M622" i="3"/>
  <c r="M621" i="3"/>
  <c r="M620" i="3"/>
  <c r="M619" i="3"/>
  <c r="M618" i="3"/>
  <c r="M617" i="3"/>
  <c r="M616" i="3"/>
  <c r="M615" i="3"/>
  <c r="M614" i="3"/>
  <c r="M613" i="3"/>
  <c r="M612" i="3"/>
  <c r="M611" i="3"/>
  <c r="M610" i="3"/>
  <c r="M609" i="3"/>
  <c r="M608" i="3"/>
  <c r="M607" i="3"/>
  <c r="M606" i="3"/>
  <c r="M605" i="3"/>
  <c r="M604" i="3"/>
  <c r="M603" i="3"/>
  <c r="M602" i="3"/>
  <c r="M601" i="3"/>
  <c r="M600" i="3"/>
  <c r="M599" i="3"/>
  <c r="M598" i="3"/>
  <c r="M597" i="3"/>
  <c r="M596" i="3"/>
  <c r="M595" i="3"/>
  <c r="M594" i="3"/>
  <c r="M593" i="3"/>
  <c r="M592" i="3"/>
  <c r="M591" i="3"/>
  <c r="M590" i="3"/>
  <c r="M589" i="3"/>
  <c r="M588" i="3"/>
  <c r="M587" i="3"/>
  <c r="M586" i="3"/>
  <c r="M585" i="3"/>
  <c r="M584" i="3"/>
  <c r="M583" i="3"/>
  <c r="M582" i="3"/>
  <c r="M581" i="3"/>
  <c r="M580" i="3"/>
  <c r="M579" i="3"/>
  <c r="M578" i="3"/>
  <c r="M577" i="3"/>
  <c r="M576" i="3"/>
  <c r="M575" i="3"/>
  <c r="M574" i="3"/>
  <c r="M573" i="3"/>
  <c r="M572" i="3"/>
  <c r="M571" i="3"/>
  <c r="M570" i="3"/>
  <c r="M569" i="3"/>
  <c r="M568" i="3"/>
  <c r="M567" i="3"/>
  <c r="M566" i="3"/>
  <c r="M565" i="3"/>
  <c r="M564" i="3"/>
  <c r="M563" i="3"/>
  <c r="M562" i="3"/>
  <c r="M561" i="3"/>
  <c r="M560" i="3"/>
  <c r="M559" i="3"/>
  <c r="M558" i="3"/>
  <c r="M557" i="3"/>
  <c r="M556" i="3"/>
  <c r="M555" i="3"/>
  <c r="M554" i="3"/>
  <c r="M553" i="3"/>
  <c r="M552" i="3"/>
  <c r="M551" i="3"/>
  <c r="M550" i="3"/>
  <c r="M549" i="3"/>
  <c r="M548" i="3"/>
  <c r="M547" i="3"/>
  <c r="M546" i="3"/>
  <c r="M545" i="3"/>
  <c r="M544" i="3"/>
  <c r="M543" i="3"/>
  <c r="M542" i="3"/>
  <c r="M541" i="3"/>
  <c r="M540" i="3"/>
  <c r="M539" i="3"/>
  <c r="M538" i="3"/>
  <c r="M537" i="3"/>
  <c r="M536" i="3"/>
  <c r="M535" i="3"/>
  <c r="M534" i="3"/>
  <c r="M533" i="3"/>
  <c r="M532" i="3"/>
  <c r="M531" i="3"/>
  <c r="M530" i="3"/>
  <c r="M529" i="3"/>
  <c r="M528" i="3"/>
  <c r="M527" i="3"/>
  <c r="M526" i="3"/>
  <c r="M525" i="3"/>
  <c r="M524" i="3"/>
  <c r="M523" i="3"/>
  <c r="M522" i="3"/>
  <c r="M521" i="3"/>
  <c r="M520" i="3"/>
  <c r="M519" i="3"/>
  <c r="M518" i="3"/>
  <c r="M517" i="3"/>
  <c r="M516" i="3"/>
  <c r="M515" i="3"/>
  <c r="M514" i="3"/>
  <c r="M513" i="3"/>
  <c r="M512" i="3"/>
  <c r="M511" i="3"/>
  <c r="M510" i="3"/>
  <c r="M509" i="3"/>
  <c r="M508" i="3"/>
  <c r="M507" i="3"/>
  <c r="M506" i="3"/>
  <c r="M505" i="3"/>
  <c r="M504" i="3"/>
  <c r="M503" i="3"/>
  <c r="M502" i="3"/>
  <c r="M501" i="3"/>
  <c r="M500" i="3"/>
  <c r="M499" i="3"/>
  <c r="M498" i="3"/>
  <c r="M497" i="3"/>
  <c r="M496" i="3"/>
  <c r="M495" i="3"/>
  <c r="M494" i="3"/>
  <c r="M493" i="3"/>
  <c r="M492" i="3"/>
  <c r="M491" i="3"/>
  <c r="M490" i="3"/>
  <c r="M489" i="3"/>
  <c r="M488" i="3"/>
  <c r="M487" i="3"/>
  <c r="M486" i="3"/>
  <c r="M485" i="3"/>
  <c r="M484" i="3"/>
  <c r="M483" i="3"/>
  <c r="M482" i="3"/>
  <c r="M481" i="3"/>
  <c r="M480" i="3"/>
  <c r="M479" i="3"/>
  <c r="M478" i="3"/>
  <c r="M477" i="3"/>
  <c r="M476" i="3"/>
  <c r="M475" i="3"/>
  <c r="M474" i="3"/>
  <c r="M473" i="3"/>
  <c r="M472" i="3"/>
  <c r="M471" i="3"/>
  <c r="M470" i="3"/>
  <c r="M469" i="3"/>
  <c r="M468" i="3"/>
  <c r="M467" i="3"/>
  <c r="M466" i="3"/>
  <c r="M465" i="3"/>
  <c r="M464" i="3"/>
  <c r="M463" i="3"/>
  <c r="M462" i="3"/>
  <c r="M461" i="3"/>
  <c r="M460" i="3"/>
  <c r="M459" i="3"/>
  <c r="M458" i="3"/>
  <c r="M457" i="3"/>
  <c r="M456" i="3"/>
  <c r="M455" i="3"/>
  <c r="M454" i="3"/>
  <c r="M453" i="3"/>
  <c r="M452" i="3"/>
  <c r="M451" i="3"/>
  <c r="M450" i="3"/>
  <c r="M449" i="3"/>
  <c r="M448" i="3"/>
  <c r="M447" i="3"/>
  <c r="M446" i="3"/>
  <c r="M445" i="3"/>
  <c r="M444" i="3"/>
  <c r="M443" i="3"/>
  <c r="M442" i="3"/>
  <c r="M441" i="3"/>
  <c r="M440" i="3"/>
  <c r="M439" i="3"/>
  <c r="M438" i="3"/>
  <c r="M437" i="3"/>
  <c r="M436" i="3"/>
  <c r="M435" i="3"/>
  <c r="M434" i="3"/>
  <c r="M433" i="3"/>
  <c r="M432" i="3"/>
  <c r="M431" i="3"/>
  <c r="M430" i="3"/>
  <c r="M429" i="3"/>
  <c r="M428" i="3"/>
  <c r="M427" i="3"/>
  <c r="M426" i="3"/>
  <c r="M425" i="3"/>
  <c r="M424" i="3"/>
  <c r="M423" i="3"/>
  <c r="M422" i="3"/>
  <c r="M421" i="3"/>
  <c r="M420" i="3"/>
  <c r="M419" i="3"/>
  <c r="M418" i="3"/>
  <c r="M417" i="3"/>
  <c r="M416" i="3"/>
  <c r="M415" i="3"/>
  <c r="M414" i="3"/>
  <c r="M413" i="3"/>
  <c r="M412" i="3"/>
  <c r="M411" i="3"/>
  <c r="M410" i="3"/>
  <c r="M409" i="3"/>
  <c r="M408" i="3"/>
  <c r="M407" i="3"/>
  <c r="M406" i="3"/>
  <c r="M405" i="3"/>
  <c r="M404" i="3"/>
  <c r="M403" i="3"/>
  <c r="M402" i="3"/>
  <c r="M401" i="3"/>
  <c r="M400" i="3"/>
  <c r="M399" i="3"/>
  <c r="M398" i="3"/>
  <c r="M397" i="3"/>
  <c r="M396" i="3"/>
  <c r="M395" i="3"/>
  <c r="M394" i="3"/>
  <c r="M393" i="3"/>
  <c r="M392" i="3"/>
  <c r="M391" i="3"/>
  <c r="M390" i="3"/>
  <c r="M389" i="3"/>
  <c r="M388" i="3"/>
  <c r="M387" i="3"/>
  <c r="M386" i="3"/>
  <c r="M385" i="3"/>
  <c r="M384" i="3"/>
  <c r="M383" i="3"/>
  <c r="M382" i="3"/>
  <c r="M381" i="3"/>
  <c r="M380" i="3"/>
  <c r="M379" i="3"/>
  <c r="M378" i="3"/>
  <c r="M377" i="3"/>
  <c r="M376" i="3"/>
  <c r="M375" i="3"/>
  <c r="M374" i="3"/>
  <c r="M373" i="3"/>
  <c r="M372" i="3"/>
  <c r="M371" i="3"/>
  <c r="M370" i="3"/>
  <c r="M369" i="3"/>
  <c r="M368" i="3"/>
  <c r="M367" i="3"/>
  <c r="M366" i="3"/>
  <c r="M365" i="3"/>
  <c r="M364" i="3"/>
  <c r="M363" i="3"/>
  <c r="M362" i="3"/>
  <c r="M361" i="3"/>
  <c r="M360" i="3"/>
  <c r="M359" i="3"/>
  <c r="M358" i="3"/>
  <c r="M357" i="3"/>
  <c r="M356" i="3"/>
  <c r="M355" i="3"/>
  <c r="M354" i="3"/>
  <c r="M353" i="3"/>
  <c r="M352" i="3"/>
  <c r="M351" i="3"/>
  <c r="M350" i="3"/>
  <c r="M349" i="3"/>
  <c r="M348" i="3"/>
  <c r="M347" i="3"/>
  <c r="M346" i="3"/>
  <c r="M345" i="3"/>
  <c r="M344" i="3"/>
  <c r="M343" i="3"/>
  <c r="M342" i="3"/>
  <c r="M341" i="3"/>
  <c r="M340" i="3"/>
  <c r="M339" i="3"/>
  <c r="M338" i="3"/>
  <c r="M337" i="3"/>
  <c r="M336" i="3"/>
  <c r="M335" i="3"/>
  <c r="M334" i="3"/>
  <c r="M333" i="3"/>
  <c r="M332" i="3"/>
  <c r="M331" i="3"/>
  <c r="M330" i="3"/>
  <c r="M329" i="3"/>
  <c r="M328" i="3"/>
  <c r="M327" i="3"/>
  <c r="M326" i="3"/>
  <c r="M325" i="3"/>
  <c r="M324" i="3"/>
  <c r="M323" i="3"/>
  <c r="M322" i="3"/>
  <c r="M321" i="3"/>
  <c r="M320" i="3"/>
  <c r="M319" i="3"/>
  <c r="M318" i="3"/>
  <c r="M317" i="3"/>
  <c r="M316" i="3"/>
  <c r="M315" i="3"/>
  <c r="M314" i="3"/>
  <c r="M313" i="3"/>
  <c r="M312" i="3"/>
  <c r="M311" i="3"/>
  <c r="M310" i="3"/>
  <c r="M309" i="3"/>
  <c r="M308" i="3"/>
  <c r="M307" i="3"/>
  <c r="M306" i="3"/>
  <c r="M305" i="3"/>
  <c r="M304" i="3"/>
  <c r="M303" i="3"/>
  <c r="M302" i="3"/>
  <c r="M301" i="3"/>
  <c r="M300" i="3"/>
  <c r="M299" i="3"/>
  <c r="M298" i="3"/>
  <c r="M297" i="3"/>
  <c r="M296" i="3"/>
  <c r="M295" i="3"/>
  <c r="M294" i="3"/>
  <c r="M293" i="3"/>
  <c r="M292" i="3"/>
  <c r="M291" i="3"/>
  <c r="M290" i="3"/>
  <c r="M289" i="3"/>
  <c r="M288" i="3"/>
  <c r="M287" i="3"/>
  <c r="M286" i="3"/>
  <c r="M285" i="3"/>
  <c r="M284" i="3"/>
  <c r="M283" i="3"/>
  <c r="M282" i="3"/>
  <c r="M281" i="3"/>
  <c r="M280" i="3"/>
  <c r="M279" i="3"/>
  <c r="M278" i="3"/>
  <c r="M277" i="3"/>
  <c r="M276" i="3"/>
  <c r="M275" i="3"/>
  <c r="M274" i="3"/>
  <c r="M273" i="3"/>
  <c r="M272" i="3"/>
  <c r="M271" i="3"/>
  <c r="M270" i="3"/>
  <c r="M269" i="3"/>
  <c r="M268" i="3"/>
  <c r="M267" i="3"/>
  <c r="M266" i="3"/>
  <c r="M265" i="3"/>
  <c r="M264" i="3"/>
  <c r="M263" i="3"/>
  <c r="M262" i="3"/>
  <c r="M261" i="3"/>
  <c r="M260" i="3"/>
  <c r="M259" i="3"/>
  <c r="M258" i="3"/>
  <c r="M257" i="3"/>
  <c r="M256" i="3"/>
  <c r="M255" i="3"/>
  <c r="M254" i="3"/>
  <c r="M253" i="3"/>
  <c r="M252" i="3"/>
  <c r="M251" i="3"/>
  <c r="M250" i="3"/>
  <c r="M249" i="3"/>
  <c r="M248" i="3"/>
  <c r="M247" i="3"/>
  <c r="M246" i="3"/>
  <c r="M245" i="3"/>
  <c r="M244" i="3"/>
  <c r="M243" i="3"/>
  <c r="M242" i="3"/>
  <c r="M241" i="3"/>
  <c r="M240" i="3"/>
  <c r="M239" i="3"/>
  <c r="M238" i="3"/>
  <c r="M237" i="3"/>
  <c r="M236" i="3"/>
  <c r="M235" i="3"/>
  <c r="M234" i="3"/>
  <c r="M233" i="3"/>
  <c r="M232" i="3"/>
  <c r="M231" i="3"/>
  <c r="M230" i="3"/>
  <c r="M229" i="3"/>
  <c r="M228" i="3"/>
  <c r="M227" i="3"/>
  <c r="M226" i="3"/>
  <c r="M225" i="3"/>
  <c r="M224" i="3"/>
  <c r="M223" i="3"/>
  <c r="M222" i="3"/>
  <c r="M221" i="3"/>
  <c r="M220" i="3"/>
  <c r="M219" i="3"/>
  <c r="M218" i="3"/>
  <c r="M217" i="3"/>
  <c r="M216" i="3"/>
  <c r="M215" i="3"/>
  <c r="M214" i="3"/>
  <c r="M213" i="3"/>
  <c r="M212" i="3"/>
  <c r="M211" i="3"/>
  <c r="M210" i="3"/>
  <c r="M209" i="3"/>
  <c r="M208" i="3"/>
  <c r="M207" i="3"/>
  <c r="M206" i="3"/>
  <c r="M205" i="3"/>
  <c r="M204" i="3"/>
  <c r="M203" i="3"/>
  <c r="M202" i="3"/>
  <c r="M201" i="3"/>
  <c r="M200" i="3"/>
  <c r="M199" i="3"/>
  <c r="M198" i="3"/>
  <c r="M197" i="3"/>
  <c r="M196" i="3"/>
  <c r="M195" i="3"/>
  <c r="M194" i="3"/>
  <c r="M193" i="3"/>
  <c r="M192" i="3"/>
  <c r="M191" i="3"/>
  <c r="M190" i="3"/>
  <c r="M189" i="3"/>
  <c r="M188" i="3"/>
  <c r="M187" i="3"/>
  <c r="M186" i="3"/>
  <c r="M185" i="3"/>
  <c r="M184" i="3"/>
  <c r="M183" i="3"/>
  <c r="M182" i="3"/>
  <c r="M181" i="3"/>
  <c r="M180" i="3"/>
  <c r="M179" i="3"/>
  <c r="M178" i="3"/>
  <c r="M177" i="3"/>
  <c r="M176" i="3"/>
  <c r="M175" i="3"/>
  <c r="M174" i="3"/>
  <c r="M173" i="3"/>
  <c r="M172" i="3"/>
  <c r="M171" i="3"/>
  <c r="M170" i="3"/>
  <c r="M169" i="3"/>
  <c r="M168" i="3"/>
  <c r="M167" i="3"/>
  <c r="M166" i="3"/>
  <c r="M165" i="3"/>
  <c r="M164" i="3"/>
  <c r="M163" i="3"/>
  <c r="M162" i="3"/>
  <c r="M161" i="3"/>
  <c r="M160" i="3"/>
  <c r="M159" i="3"/>
  <c r="M158" i="3"/>
  <c r="M157" i="3"/>
  <c r="M156" i="3"/>
  <c r="M155" i="3"/>
  <c r="M154" i="3"/>
  <c r="M153" i="3"/>
  <c r="M152" i="3"/>
  <c r="M151" i="3"/>
  <c r="M150" i="3"/>
  <c r="M149" i="3"/>
  <c r="M148" i="3"/>
  <c r="M147" i="3"/>
  <c r="M146" i="3"/>
  <c r="M145" i="3"/>
  <c r="M144" i="3"/>
  <c r="M143" i="3"/>
  <c r="M142" i="3"/>
  <c r="M141" i="3"/>
  <c r="M140" i="3"/>
  <c r="M139" i="3"/>
  <c r="M138" i="3"/>
  <c r="M137" i="3"/>
  <c r="M136" i="3"/>
  <c r="M135" i="3"/>
  <c r="M134" i="3"/>
  <c r="M133" i="3"/>
  <c r="M132" i="3"/>
  <c r="M131" i="3"/>
  <c r="M130" i="3"/>
  <c r="M129" i="3"/>
  <c r="M128" i="3"/>
  <c r="M127" i="3"/>
  <c r="M126" i="3"/>
  <c r="M125" i="3"/>
  <c r="M124" i="3"/>
  <c r="M123" i="3"/>
  <c r="M122" i="3"/>
  <c r="M121" i="3"/>
  <c r="M120" i="3"/>
  <c r="M119" i="3"/>
  <c r="M118" i="3"/>
  <c r="M117" i="3"/>
  <c r="M116" i="3"/>
  <c r="M115" i="3"/>
  <c r="M114" i="3"/>
  <c r="M113" i="3"/>
  <c r="M112" i="3"/>
  <c r="M111" i="3"/>
  <c r="M110" i="3"/>
  <c r="M109" i="3"/>
  <c r="M108" i="3"/>
  <c r="M107" i="3"/>
  <c r="M106" i="3"/>
  <c r="M105" i="3"/>
  <c r="M104" i="3"/>
  <c r="M103" i="3"/>
  <c r="M102" i="3"/>
  <c r="M101" i="3"/>
  <c r="M100" i="3"/>
  <c r="M99" i="3"/>
  <c r="M98" i="3"/>
  <c r="M97" i="3"/>
  <c r="M96" i="3"/>
  <c r="M95" i="3"/>
  <c r="M94" i="3"/>
  <c r="M93" i="3"/>
  <c r="M92" i="3"/>
  <c r="M91" i="3"/>
  <c r="M90" i="3"/>
  <c r="M89" i="3"/>
  <c r="M88" i="3"/>
  <c r="M87" i="3"/>
  <c r="M86" i="3"/>
  <c r="M85" i="3"/>
  <c r="M84" i="3"/>
  <c r="M83" i="3"/>
  <c r="M82" i="3"/>
  <c r="M81" i="3"/>
  <c r="M80" i="3"/>
  <c r="M79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44" i="3"/>
  <c r="M43" i="3"/>
  <c r="M42" i="3"/>
  <c r="M41" i="3"/>
  <c r="M40" i="3"/>
  <c r="M39" i="3"/>
  <c r="M38" i="3"/>
  <c r="M37" i="3"/>
  <c r="M36" i="3"/>
  <c r="M35" i="3"/>
  <c r="M34" i="3"/>
  <c r="M33" i="3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L723" i="3"/>
  <c r="J723" i="3"/>
  <c r="L722" i="3"/>
  <c r="J722" i="3"/>
  <c r="K722" i="3"/>
  <c r="L721" i="3"/>
  <c r="J721" i="3"/>
  <c r="L720" i="3"/>
  <c r="J720" i="3"/>
  <c r="K720" i="3"/>
  <c r="L719" i="3"/>
  <c r="J719" i="3"/>
  <c r="L718" i="3"/>
  <c r="J718" i="3"/>
  <c r="K718" i="3"/>
  <c r="L717" i="3"/>
  <c r="J717" i="3"/>
  <c r="L716" i="3"/>
  <c r="J716" i="3"/>
  <c r="K716" i="3"/>
  <c r="L715" i="3"/>
  <c r="J715" i="3"/>
  <c r="K715" i="3"/>
  <c r="L714" i="3"/>
  <c r="J714" i="3"/>
  <c r="K714" i="3"/>
  <c r="L713" i="3"/>
  <c r="J713" i="3"/>
  <c r="L712" i="3"/>
  <c r="J712" i="3"/>
  <c r="K712" i="3"/>
  <c r="L711" i="3"/>
  <c r="J711" i="3"/>
  <c r="K711" i="3"/>
  <c r="L710" i="3"/>
  <c r="J710" i="3"/>
  <c r="K710" i="3"/>
  <c r="L709" i="3"/>
  <c r="J709" i="3"/>
  <c r="L708" i="3"/>
  <c r="J708" i="3"/>
  <c r="K708" i="3"/>
  <c r="L707" i="3"/>
  <c r="J707" i="3"/>
  <c r="K707" i="3"/>
  <c r="L706" i="3"/>
  <c r="J706" i="3"/>
  <c r="K706" i="3"/>
  <c r="L705" i="3"/>
  <c r="J705" i="3"/>
  <c r="L704" i="3"/>
  <c r="J704" i="3"/>
  <c r="K704" i="3"/>
  <c r="L703" i="3"/>
  <c r="J703" i="3"/>
  <c r="K703" i="3"/>
  <c r="L702" i="3"/>
  <c r="J702" i="3"/>
  <c r="K702" i="3"/>
  <c r="L701" i="3"/>
  <c r="J701" i="3"/>
  <c r="L700" i="3"/>
  <c r="J700" i="3"/>
  <c r="K700" i="3"/>
  <c r="L699" i="3"/>
  <c r="J699" i="3"/>
  <c r="L698" i="3"/>
  <c r="J698" i="3"/>
  <c r="K698" i="3"/>
  <c r="L697" i="3"/>
  <c r="J697" i="3"/>
  <c r="L696" i="3"/>
  <c r="J696" i="3"/>
  <c r="K696" i="3"/>
  <c r="L695" i="3"/>
  <c r="J695" i="3"/>
  <c r="K695" i="3"/>
  <c r="L694" i="3"/>
  <c r="J694" i="3"/>
  <c r="K694" i="3"/>
  <c r="L693" i="3"/>
  <c r="J693" i="3"/>
  <c r="L692" i="3"/>
  <c r="J692" i="3"/>
  <c r="K692" i="3"/>
  <c r="L691" i="3"/>
  <c r="J691" i="3"/>
  <c r="L690" i="3"/>
  <c r="J690" i="3"/>
  <c r="K690" i="3"/>
  <c r="L689" i="3"/>
  <c r="J689" i="3"/>
  <c r="L688" i="3"/>
  <c r="J688" i="3"/>
  <c r="K688" i="3"/>
  <c r="L687" i="3"/>
  <c r="J687" i="3"/>
  <c r="L686" i="3"/>
  <c r="J686" i="3"/>
  <c r="K686" i="3"/>
  <c r="L685" i="3"/>
  <c r="J685" i="3"/>
  <c r="K685" i="3"/>
  <c r="L684" i="3"/>
  <c r="J684" i="3"/>
  <c r="K684" i="3"/>
  <c r="L683" i="3"/>
  <c r="J683" i="3"/>
  <c r="L682" i="3"/>
  <c r="J682" i="3"/>
  <c r="K682" i="3"/>
  <c r="L681" i="3"/>
  <c r="J681" i="3"/>
  <c r="K681" i="3"/>
  <c r="L680" i="3"/>
  <c r="J680" i="3"/>
  <c r="K680" i="3"/>
  <c r="L679" i="3"/>
  <c r="J679" i="3"/>
  <c r="L678" i="3"/>
  <c r="J678" i="3"/>
  <c r="K678" i="3"/>
  <c r="L677" i="3"/>
  <c r="J677" i="3"/>
  <c r="K677" i="3"/>
  <c r="L676" i="3"/>
  <c r="J676" i="3"/>
  <c r="K676" i="3"/>
  <c r="L675" i="3"/>
  <c r="J675" i="3"/>
  <c r="L674" i="3"/>
  <c r="J674" i="3"/>
  <c r="K674" i="3"/>
  <c r="L673" i="3"/>
  <c r="J673" i="3"/>
  <c r="K673" i="3"/>
  <c r="L672" i="3"/>
  <c r="J672" i="3"/>
  <c r="L671" i="3"/>
  <c r="J671" i="3"/>
  <c r="K671" i="3"/>
  <c r="L670" i="3"/>
  <c r="J670" i="3"/>
  <c r="K670" i="3"/>
  <c r="L669" i="3"/>
  <c r="J669" i="3"/>
  <c r="L668" i="3"/>
  <c r="J668" i="3"/>
  <c r="K668" i="3"/>
  <c r="L667" i="3"/>
  <c r="J667" i="3"/>
  <c r="K667" i="3"/>
  <c r="L666" i="3"/>
  <c r="J666" i="3"/>
  <c r="L665" i="3"/>
  <c r="J665" i="3"/>
  <c r="K665" i="3"/>
  <c r="L664" i="3"/>
  <c r="J664" i="3"/>
  <c r="L663" i="3"/>
  <c r="J663" i="3"/>
  <c r="K663" i="3"/>
  <c r="L662" i="3"/>
  <c r="J662" i="3"/>
  <c r="L661" i="3"/>
  <c r="J661" i="3"/>
  <c r="K661" i="3"/>
  <c r="L660" i="3"/>
  <c r="J660" i="3"/>
  <c r="L659" i="3"/>
  <c r="J659" i="3"/>
  <c r="K659" i="3"/>
  <c r="L658" i="3"/>
  <c r="J658" i="3"/>
  <c r="L657" i="3"/>
  <c r="J657" i="3"/>
  <c r="K657" i="3"/>
  <c r="L656" i="3"/>
  <c r="J656" i="3"/>
  <c r="K656" i="3"/>
  <c r="L655" i="3"/>
  <c r="J655" i="3"/>
  <c r="K655" i="3"/>
  <c r="L654" i="3"/>
  <c r="J654" i="3"/>
  <c r="L653" i="3"/>
  <c r="J653" i="3"/>
  <c r="K653" i="3"/>
  <c r="L652" i="3"/>
  <c r="J652" i="3"/>
  <c r="L651" i="3"/>
  <c r="J651" i="3"/>
  <c r="K651" i="3"/>
  <c r="L650" i="3"/>
  <c r="J650" i="3"/>
  <c r="K650" i="3"/>
  <c r="L649" i="3"/>
  <c r="J649" i="3"/>
  <c r="K649" i="3"/>
  <c r="L648" i="3"/>
  <c r="J648" i="3"/>
  <c r="L647" i="3"/>
  <c r="J647" i="3"/>
  <c r="K647" i="3"/>
  <c r="L646" i="3"/>
  <c r="J646" i="3"/>
  <c r="L645" i="3"/>
  <c r="J645" i="3"/>
  <c r="K645" i="3"/>
  <c r="L644" i="3"/>
  <c r="J644" i="3"/>
  <c r="L643" i="3"/>
  <c r="J643" i="3"/>
  <c r="K643" i="3"/>
  <c r="L642" i="3"/>
  <c r="J642" i="3"/>
  <c r="K642" i="3"/>
  <c r="L641" i="3"/>
  <c r="J641" i="3"/>
  <c r="K641" i="3"/>
  <c r="L640" i="3"/>
  <c r="J640" i="3"/>
  <c r="L639" i="3"/>
  <c r="J639" i="3"/>
  <c r="K639" i="3"/>
  <c r="L638" i="3"/>
  <c r="J638" i="3"/>
  <c r="L637" i="3"/>
  <c r="J637" i="3"/>
  <c r="K637" i="3"/>
  <c r="L636" i="3"/>
  <c r="J636" i="3"/>
  <c r="K636" i="3"/>
  <c r="L635" i="3"/>
  <c r="J635" i="3"/>
  <c r="K635" i="3"/>
  <c r="L634" i="3"/>
  <c r="J634" i="3"/>
  <c r="K634" i="3"/>
  <c r="L633" i="3"/>
  <c r="J633" i="3"/>
  <c r="K633" i="3"/>
  <c r="L632" i="3"/>
  <c r="J632" i="3"/>
  <c r="K632" i="3"/>
  <c r="L631" i="3"/>
  <c r="J631" i="3"/>
  <c r="K631" i="3"/>
  <c r="L630" i="3"/>
  <c r="J630" i="3"/>
  <c r="K630" i="3"/>
  <c r="L629" i="3"/>
  <c r="J629" i="3"/>
  <c r="K629" i="3"/>
  <c r="L628" i="3"/>
  <c r="J628" i="3"/>
  <c r="L627" i="3"/>
  <c r="J627" i="3"/>
  <c r="K627" i="3"/>
  <c r="L626" i="3"/>
  <c r="J626" i="3"/>
  <c r="K626" i="3"/>
  <c r="L625" i="3"/>
  <c r="J625" i="3"/>
  <c r="K625" i="3"/>
  <c r="L624" i="3"/>
  <c r="J624" i="3"/>
  <c r="K624" i="3"/>
  <c r="L623" i="3"/>
  <c r="J623" i="3"/>
  <c r="K623" i="3"/>
  <c r="L622" i="3"/>
  <c r="J622" i="3"/>
  <c r="L621" i="3"/>
  <c r="J621" i="3"/>
  <c r="K621" i="3"/>
  <c r="L620" i="3"/>
  <c r="J620" i="3"/>
  <c r="L619" i="3"/>
  <c r="J619" i="3"/>
  <c r="K619" i="3"/>
  <c r="L618" i="3"/>
  <c r="J618" i="3"/>
  <c r="K618" i="3"/>
  <c r="L617" i="3"/>
  <c r="J617" i="3"/>
  <c r="K617" i="3"/>
  <c r="L616" i="3"/>
  <c r="J616" i="3"/>
  <c r="L615" i="3"/>
  <c r="J615" i="3"/>
  <c r="K615" i="3"/>
  <c r="L614" i="3"/>
  <c r="J614" i="3"/>
  <c r="L613" i="3"/>
  <c r="J613" i="3"/>
  <c r="K613" i="3"/>
  <c r="L612" i="3"/>
  <c r="J612" i="3"/>
  <c r="K612" i="3"/>
  <c r="L611" i="3"/>
  <c r="J611" i="3"/>
  <c r="K611" i="3"/>
  <c r="L610" i="3"/>
  <c r="J610" i="3"/>
  <c r="L609" i="3"/>
  <c r="J609" i="3"/>
  <c r="K609" i="3"/>
  <c r="L608" i="3"/>
  <c r="J608" i="3"/>
  <c r="K608" i="3"/>
  <c r="L607" i="3"/>
  <c r="J607" i="3"/>
  <c r="K607" i="3"/>
  <c r="L606" i="3"/>
  <c r="J606" i="3"/>
  <c r="K606" i="3"/>
  <c r="L605" i="3"/>
  <c r="J605" i="3"/>
  <c r="K605" i="3"/>
  <c r="L604" i="3"/>
  <c r="J604" i="3"/>
  <c r="L603" i="3"/>
  <c r="J603" i="3"/>
  <c r="K603" i="3"/>
  <c r="L602" i="3"/>
  <c r="J602" i="3"/>
  <c r="K602" i="3"/>
  <c r="L601" i="3"/>
  <c r="J601" i="3"/>
  <c r="K601" i="3"/>
  <c r="L600" i="3"/>
  <c r="J600" i="3"/>
  <c r="K600" i="3"/>
  <c r="L599" i="3"/>
  <c r="J599" i="3"/>
  <c r="K599" i="3"/>
  <c r="L598" i="3"/>
  <c r="J598" i="3"/>
  <c r="K598" i="3"/>
  <c r="L597" i="3"/>
  <c r="J597" i="3"/>
  <c r="K597" i="3"/>
  <c r="L596" i="3"/>
  <c r="J596" i="3"/>
  <c r="L595" i="3"/>
  <c r="J595" i="3"/>
  <c r="L594" i="3"/>
  <c r="J594" i="3"/>
  <c r="L593" i="3"/>
  <c r="J593" i="3"/>
  <c r="L592" i="3"/>
  <c r="J592" i="3"/>
  <c r="L591" i="3"/>
  <c r="J591" i="3"/>
  <c r="K591" i="3"/>
  <c r="L590" i="3"/>
  <c r="J590" i="3"/>
  <c r="L589" i="3"/>
  <c r="J589" i="3"/>
  <c r="L588" i="3"/>
  <c r="J588" i="3"/>
  <c r="K588" i="3"/>
  <c r="L587" i="3"/>
  <c r="J587" i="3"/>
  <c r="K587" i="3"/>
  <c r="L586" i="3"/>
  <c r="J586" i="3"/>
  <c r="L585" i="3"/>
  <c r="J585" i="3"/>
  <c r="L584" i="3"/>
  <c r="J584" i="3"/>
  <c r="K584" i="3"/>
  <c r="L583" i="3"/>
  <c r="J583" i="3"/>
  <c r="K583" i="3"/>
  <c r="L582" i="3"/>
  <c r="J582" i="3"/>
  <c r="L581" i="3"/>
  <c r="J581" i="3"/>
  <c r="K581" i="3"/>
  <c r="L580" i="3"/>
  <c r="J580" i="3"/>
  <c r="L579" i="3"/>
  <c r="J579" i="3"/>
  <c r="L578" i="3"/>
  <c r="J578" i="3"/>
  <c r="K578" i="3"/>
  <c r="L577" i="3"/>
  <c r="J577" i="3"/>
  <c r="K577" i="3"/>
  <c r="L576" i="3"/>
  <c r="J576" i="3"/>
  <c r="L575" i="3"/>
  <c r="J575" i="3"/>
  <c r="K575" i="3"/>
  <c r="L574" i="3"/>
  <c r="J574" i="3"/>
  <c r="K574" i="3"/>
  <c r="L573" i="3"/>
  <c r="J573" i="3"/>
  <c r="K573" i="3"/>
  <c r="L572" i="3"/>
  <c r="J572" i="3"/>
  <c r="K572" i="3"/>
  <c r="L571" i="3"/>
  <c r="J571" i="3"/>
  <c r="K571" i="3"/>
  <c r="L570" i="3"/>
  <c r="J570" i="3"/>
  <c r="K570" i="3"/>
  <c r="L569" i="3"/>
  <c r="J569" i="3"/>
  <c r="L568" i="3"/>
  <c r="J568" i="3"/>
  <c r="K568" i="3"/>
  <c r="L567" i="3"/>
  <c r="J567" i="3"/>
  <c r="K567" i="3"/>
  <c r="L566" i="3"/>
  <c r="J566" i="3"/>
  <c r="L565" i="3"/>
  <c r="J565" i="3"/>
  <c r="L564" i="3"/>
  <c r="J564" i="3"/>
  <c r="L563" i="3"/>
  <c r="J563" i="3"/>
  <c r="K563" i="3"/>
  <c r="L562" i="3"/>
  <c r="J562" i="3"/>
  <c r="K562" i="3"/>
  <c r="L561" i="3"/>
  <c r="J561" i="3"/>
  <c r="K561" i="3"/>
  <c r="L560" i="3"/>
  <c r="J560" i="3"/>
  <c r="K560" i="3"/>
  <c r="L559" i="3"/>
  <c r="J559" i="3"/>
  <c r="K559" i="3"/>
  <c r="L558" i="3"/>
  <c r="J558" i="3"/>
  <c r="K558" i="3"/>
  <c r="L557" i="3"/>
  <c r="J557" i="3"/>
  <c r="K557" i="3"/>
  <c r="L556" i="3"/>
  <c r="J556" i="3"/>
  <c r="L555" i="3"/>
  <c r="J555" i="3"/>
  <c r="L554" i="3"/>
  <c r="J554" i="3"/>
  <c r="K554" i="3"/>
  <c r="L553" i="3"/>
  <c r="J553" i="3"/>
  <c r="K553" i="3"/>
  <c r="L552" i="3"/>
  <c r="J552" i="3"/>
  <c r="K552" i="3"/>
  <c r="L551" i="3"/>
  <c r="J551" i="3"/>
  <c r="L550" i="3"/>
  <c r="J550" i="3"/>
  <c r="K550" i="3"/>
  <c r="L549" i="3"/>
  <c r="J549" i="3"/>
  <c r="K549" i="3"/>
  <c r="L548" i="3"/>
  <c r="J548" i="3"/>
  <c r="L547" i="3"/>
  <c r="J547" i="3"/>
  <c r="L546" i="3"/>
  <c r="J546" i="3"/>
  <c r="K546" i="3"/>
  <c r="L545" i="3"/>
  <c r="J545" i="3"/>
  <c r="L544" i="3"/>
  <c r="J544" i="3"/>
  <c r="L543" i="3"/>
  <c r="J543" i="3"/>
  <c r="K543" i="3"/>
  <c r="L542" i="3"/>
  <c r="J542" i="3"/>
  <c r="L541" i="3"/>
  <c r="J541" i="3"/>
  <c r="K541" i="3"/>
  <c r="L540" i="3"/>
  <c r="J540" i="3"/>
  <c r="L539" i="3"/>
  <c r="J539" i="3"/>
  <c r="K539" i="3"/>
  <c r="L538" i="3"/>
  <c r="J538" i="3"/>
  <c r="L537" i="3"/>
  <c r="J537" i="3"/>
  <c r="L536" i="3"/>
  <c r="J536" i="3"/>
  <c r="K536" i="3"/>
  <c r="L535" i="3"/>
  <c r="J535" i="3"/>
  <c r="K535" i="3"/>
  <c r="L534" i="3"/>
  <c r="J534" i="3"/>
  <c r="K534" i="3"/>
  <c r="L533" i="3"/>
  <c r="J533" i="3"/>
  <c r="K533" i="3"/>
  <c r="L532" i="3"/>
  <c r="J532" i="3"/>
  <c r="L531" i="3"/>
  <c r="J531" i="3"/>
  <c r="L530" i="3"/>
  <c r="J530" i="3"/>
  <c r="L529" i="3"/>
  <c r="J529" i="3"/>
  <c r="K529" i="3"/>
  <c r="L528" i="3"/>
  <c r="J528" i="3"/>
  <c r="L527" i="3"/>
  <c r="J527" i="3"/>
  <c r="K527" i="3"/>
  <c r="L526" i="3"/>
  <c r="J526" i="3"/>
  <c r="K526" i="3"/>
  <c r="L525" i="3"/>
  <c r="J525" i="3"/>
  <c r="L524" i="3"/>
  <c r="J524" i="3"/>
  <c r="K524" i="3"/>
  <c r="L523" i="3"/>
  <c r="J523" i="3"/>
  <c r="K523" i="3"/>
  <c r="L522" i="3"/>
  <c r="J522" i="3"/>
  <c r="K522" i="3"/>
  <c r="L521" i="3"/>
  <c r="J521" i="3"/>
  <c r="L520" i="3"/>
  <c r="J520" i="3"/>
  <c r="L519" i="3"/>
  <c r="J519" i="3"/>
  <c r="K519" i="3"/>
  <c r="L518" i="3"/>
  <c r="J518" i="3"/>
  <c r="K518" i="3"/>
  <c r="L517" i="3"/>
  <c r="J517" i="3"/>
  <c r="K517" i="3"/>
  <c r="L516" i="3"/>
  <c r="J516" i="3"/>
  <c r="K516" i="3"/>
  <c r="L515" i="3"/>
  <c r="J515" i="3"/>
  <c r="L514" i="3"/>
  <c r="J514" i="3"/>
  <c r="K514" i="3"/>
  <c r="L513" i="3"/>
  <c r="J513" i="3"/>
  <c r="K513" i="3"/>
  <c r="L512" i="3"/>
  <c r="J512" i="3"/>
  <c r="L511" i="3"/>
  <c r="J511" i="3"/>
  <c r="K511" i="3"/>
  <c r="L510" i="3"/>
  <c r="J510" i="3"/>
  <c r="L509" i="3"/>
  <c r="J509" i="3"/>
  <c r="K509" i="3"/>
  <c r="L508" i="3"/>
  <c r="J508" i="3"/>
  <c r="L507" i="3"/>
  <c r="J507" i="3"/>
  <c r="K507" i="3"/>
  <c r="L506" i="3"/>
  <c r="J506" i="3"/>
  <c r="L505" i="3"/>
  <c r="J505" i="3"/>
  <c r="L504" i="3"/>
  <c r="J504" i="3"/>
  <c r="L503" i="3"/>
  <c r="J503" i="3"/>
  <c r="L502" i="3"/>
  <c r="J502" i="3"/>
  <c r="K502" i="3"/>
  <c r="L501" i="3"/>
  <c r="J501" i="3"/>
  <c r="K501" i="3"/>
  <c r="L500" i="3"/>
  <c r="J500" i="3"/>
  <c r="K500" i="3"/>
  <c r="L499" i="3"/>
  <c r="J499" i="3"/>
  <c r="K499" i="3"/>
  <c r="L498" i="3"/>
  <c r="J498" i="3"/>
  <c r="L497" i="3"/>
  <c r="J497" i="3"/>
  <c r="L496" i="3"/>
  <c r="J496" i="3"/>
  <c r="K496" i="3"/>
  <c r="L495" i="3"/>
  <c r="J495" i="3"/>
  <c r="K495" i="3"/>
  <c r="L494" i="3"/>
  <c r="J494" i="3"/>
  <c r="L493" i="3"/>
  <c r="J493" i="3"/>
  <c r="K493" i="3"/>
  <c r="L492" i="3"/>
  <c r="J492" i="3"/>
  <c r="L491" i="3"/>
  <c r="J491" i="3"/>
  <c r="K491" i="3"/>
  <c r="L490" i="3"/>
  <c r="J490" i="3"/>
  <c r="L489" i="3"/>
  <c r="J489" i="3"/>
  <c r="K489" i="3"/>
  <c r="L488" i="3"/>
  <c r="J488" i="3"/>
  <c r="K488" i="3"/>
  <c r="L487" i="3"/>
  <c r="J487" i="3"/>
  <c r="L486" i="3"/>
  <c r="J486" i="3"/>
  <c r="L485" i="3"/>
  <c r="J485" i="3"/>
  <c r="K485" i="3"/>
  <c r="L484" i="3"/>
  <c r="J484" i="3"/>
  <c r="L483" i="3"/>
  <c r="J483" i="3"/>
  <c r="K483" i="3"/>
  <c r="L482" i="3"/>
  <c r="J482" i="3"/>
  <c r="K482" i="3"/>
  <c r="L481" i="3"/>
  <c r="J481" i="3"/>
  <c r="K481" i="3"/>
  <c r="L480" i="3"/>
  <c r="J480" i="3"/>
  <c r="K480" i="3"/>
  <c r="L479" i="3"/>
  <c r="J479" i="3"/>
  <c r="K479" i="3"/>
  <c r="L478" i="3"/>
  <c r="J478" i="3"/>
  <c r="L477" i="3"/>
  <c r="J477" i="3"/>
  <c r="L476" i="3"/>
  <c r="J476" i="3"/>
  <c r="K476" i="3"/>
  <c r="L475" i="3"/>
  <c r="J475" i="3"/>
  <c r="K475" i="3"/>
  <c r="L474" i="3"/>
  <c r="J474" i="3"/>
  <c r="L473" i="3"/>
  <c r="J473" i="3"/>
  <c r="L472" i="3"/>
  <c r="J472" i="3"/>
  <c r="K472" i="3"/>
  <c r="L471" i="3"/>
  <c r="J471" i="3"/>
  <c r="K471" i="3"/>
  <c r="L470" i="3"/>
  <c r="J470" i="3"/>
  <c r="K470" i="3"/>
  <c r="L469" i="3"/>
  <c r="J469" i="3"/>
  <c r="K469" i="3"/>
  <c r="L468" i="3"/>
  <c r="J468" i="3"/>
  <c r="L467" i="3"/>
  <c r="J467" i="3"/>
  <c r="K467" i="3"/>
  <c r="L466" i="3"/>
  <c r="J466" i="3"/>
  <c r="L465" i="3"/>
  <c r="J465" i="3"/>
  <c r="K465" i="3"/>
  <c r="L464" i="3"/>
  <c r="J464" i="3"/>
  <c r="K464" i="3"/>
  <c r="L463" i="3"/>
  <c r="J463" i="3"/>
  <c r="K463" i="3"/>
  <c r="L462" i="3"/>
  <c r="J462" i="3"/>
  <c r="L461" i="3"/>
  <c r="J461" i="3"/>
  <c r="K461" i="3"/>
  <c r="L460" i="3"/>
  <c r="J460" i="3"/>
  <c r="L459" i="3"/>
  <c r="J459" i="3"/>
  <c r="L458" i="3"/>
  <c r="J458" i="3"/>
  <c r="L457" i="3"/>
  <c r="J457" i="3"/>
  <c r="K457" i="3"/>
  <c r="L456" i="3"/>
  <c r="J456" i="3"/>
  <c r="K456" i="3"/>
  <c r="L455" i="3"/>
  <c r="J455" i="3"/>
  <c r="K455" i="3"/>
  <c r="L454" i="3"/>
  <c r="J454" i="3"/>
  <c r="L453" i="3"/>
  <c r="J453" i="3"/>
  <c r="K453" i="3"/>
  <c r="L452" i="3"/>
  <c r="J452" i="3"/>
  <c r="K452" i="3"/>
  <c r="L451" i="3"/>
  <c r="J451" i="3"/>
  <c r="L450" i="3"/>
  <c r="J450" i="3"/>
  <c r="K450" i="3"/>
  <c r="L449" i="3"/>
  <c r="J449" i="3"/>
  <c r="L448" i="3"/>
  <c r="J448" i="3"/>
  <c r="L447" i="3"/>
  <c r="J447" i="3"/>
  <c r="K447" i="3"/>
  <c r="L446" i="3"/>
  <c r="J446" i="3"/>
  <c r="L445" i="3"/>
  <c r="J445" i="3"/>
  <c r="L444" i="3"/>
  <c r="J444" i="3"/>
  <c r="L443" i="3"/>
  <c r="J443" i="3"/>
  <c r="K443" i="3"/>
  <c r="L442" i="3"/>
  <c r="J442" i="3"/>
  <c r="K442" i="3"/>
  <c r="L441" i="3"/>
  <c r="J441" i="3"/>
  <c r="L440" i="3"/>
  <c r="J440" i="3"/>
  <c r="K440" i="3"/>
  <c r="L439" i="3"/>
  <c r="J439" i="3"/>
  <c r="L438" i="3"/>
  <c r="J438" i="3"/>
  <c r="K438" i="3"/>
  <c r="L437" i="3"/>
  <c r="J437" i="3"/>
  <c r="K437" i="3"/>
  <c r="L436" i="3"/>
  <c r="J436" i="3"/>
  <c r="L435" i="3"/>
  <c r="J435" i="3"/>
  <c r="K435" i="3"/>
  <c r="L434" i="3"/>
  <c r="J434" i="3"/>
  <c r="L433" i="3"/>
  <c r="J433" i="3"/>
  <c r="K433" i="3"/>
  <c r="L432" i="3"/>
  <c r="J432" i="3"/>
  <c r="K432" i="3"/>
  <c r="L431" i="3"/>
  <c r="J431" i="3"/>
  <c r="K431" i="3"/>
  <c r="L430" i="3"/>
  <c r="J430" i="3"/>
  <c r="L429" i="3"/>
  <c r="J429" i="3"/>
  <c r="K429" i="3"/>
  <c r="L428" i="3"/>
  <c r="J428" i="3"/>
  <c r="L427" i="3"/>
  <c r="J427" i="3"/>
  <c r="K427" i="3"/>
  <c r="L426" i="3"/>
  <c r="J426" i="3"/>
  <c r="L425" i="3"/>
  <c r="J425" i="3"/>
  <c r="L424" i="3"/>
  <c r="J424" i="3"/>
  <c r="K424" i="3"/>
  <c r="L423" i="3"/>
  <c r="J423" i="3"/>
  <c r="K423" i="3"/>
  <c r="L422" i="3"/>
  <c r="J422" i="3"/>
  <c r="L421" i="3"/>
  <c r="J421" i="3"/>
  <c r="K421" i="3"/>
  <c r="L420" i="3"/>
  <c r="J420" i="3"/>
  <c r="L419" i="3"/>
  <c r="J419" i="3"/>
  <c r="L418" i="3"/>
  <c r="J418" i="3"/>
  <c r="K418" i="3"/>
  <c r="L417" i="3"/>
  <c r="J417" i="3"/>
  <c r="K417" i="3"/>
  <c r="L416" i="3"/>
  <c r="J416" i="3"/>
  <c r="L415" i="3"/>
  <c r="J415" i="3"/>
  <c r="K415" i="3"/>
  <c r="L414" i="3"/>
  <c r="J414" i="3"/>
  <c r="K414" i="3"/>
  <c r="L413" i="3"/>
  <c r="J413" i="3"/>
  <c r="K413" i="3"/>
  <c r="L412" i="3"/>
  <c r="J412" i="3"/>
  <c r="L411" i="3"/>
  <c r="J411" i="3"/>
  <c r="K411" i="3"/>
  <c r="L410" i="3"/>
  <c r="J410" i="3"/>
  <c r="L409" i="3"/>
  <c r="J409" i="3"/>
  <c r="K409" i="3"/>
  <c r="L408" i="3"/>
  <c r="J408" i="3"/>
  <c r="L407" i="3"/>
  <c r="J407" i="3"/>
  <c r="L406" i="3"/>
  <c r="J406" i="3"/>
  <c r="K406" i="3"/>
  <c r="L405" i="3"/>
  <c r="J405" i="3"/>
  <c r="K405" i="3"/>
  <c r="L404" i="3"/>
  <c r="J404" i="3"/>
  <c r="K404" i="3"/>
  <c r="L403" i="3"/>
  <c r="J403" i="3"/>
  <c r="K403" i="3"/>
  <c r="L402" i="3"/>
  <c r="J402" i="3"/>
  <c r="K402" i="3"/>
  <c r="L401" i="3"/>
  <c r="J401" i="3"/>
  <c r="L400" i="3"/>
  <c r="J400" i="3"/>
  <c r="K400" i="3"/>
  <c r="L399" i="3"/>
  <c r="J399" i="3"/>
  <c r="K399" i="3"/>
  <c r="L398" i="3"/>
  <c r="J398" i="3"/>
  <c r="K398" i="3"/>
  <c r="L397" i="3"/>
  <c r="J397" i="3"/>
  <c r="K397" i="3"/>
  <c r="L396" i="3"/>
  <c r="J396" i="3"/>
  <c r="L395" i="3"/>
  <c r="J395" i="3"/>
  <c r="K395" i="3"/>
  <c r="L394" i="3"/>
  <c r="J394" i="3"/>
  <c r="K394" i="3"/>
  <c r="L393" i="3"/>
  <c r="J393" i="3"/>
  <c r="K393" i="3"/>
  <c r="L392" i="3"/>
  <c r="J392" i="3"/>
  <c r="K392" i="3"/>
  <c r="L391" i="3"/>
  <c r="J391" i="3"/>
  <c r="L390" i="3"/>
  <c r="J390" i="3"/>
  <c r="L389" i="3"/>
  <c r="J389" i="3"/>
  <c r="K389" i="3"/>
  <c r="L388" i="3"/>
  <c r="J388" i="3"/>
  <c r="L387" i="3"/>
  <c r="J387" i="3"/>
  <c r="K387" i="3"/>
  <c r="L386" i="3"/>
  <c r="J386" i="3"/>
  <c r="K386" i="3"/>
  <c r="L385" i="3"/>
  <c r="J385" i="3"/>
  <c r="K385" i="3"/>
  <c r="L384" i="3"/>
  <c r="J384" i="3"/>
  <c r="L383" i="3"/>
  <c r="J383" i="3"/>
  <c r="L382" i="3"/>
  <c r="J382" i="3"/>
  <c r="L381" i="3"/>
  <c r="J381" i="3"/>
  <c r="L380" i="3"/>
  <c r="J380" i="3"/>
  <c r="K380" i="3"/>
  <c r="L379" i="3"/>
  <c r="J379" i="3"/>
  <c r="K379" i="3"/>
  <c r="L378" i="3"/>
  <c r="J378" i="3"/>
  <c r="K378" i="3"/>
  <c r="L377" i="3"/>
  <c r="J377" i="3"/>
  <c r="L376" i="3"/>
  <c r="J376" i="3"/>
  <c r="K376" i="3"/>
  <c r="L375" i="3"/>
  <c r="J375" i="3"/>
  <c r="K375" i="3"/>
  <c r="L374" i="3"/>
  <c r="J374" i="3"/>
  <c r="K374" i="3"/>
  <c r="L373" i="3"/>
  <c r="J373" i="3"/>
  <c r="K373" i="3"/>
  <c r="L372" i="3"/>
  <c r="J372" i="3"/>
  <c r="K372" i="3"/>
  <c r="L371" i="3"/>
  <c r="J371" i="3"/>
  <c r="L370" i="3"/>
  <c r="J370" i="3"/>
  <c r="L369" i="3"/>
  <c r="J369" i="3"/>
  <c r="K369" i="3"/>
  <c r="L368" i="3"/>
  <c r="J368" i="3"/>
  <c r="K368" i="3"/>
  <c r="L367" i="3"/>
  <c r="J367" i="3"/>
  <c r="K367" i="3"/>
  <c r="L366" i="3"/>
  <c r="J366" i="3"/>
  <c r="K366" i="3"/>
  <c r="L365" i="3"/>
  <c r="J365" i="3"/>
  <c r="K365" i="3"/>
  <c r="L364" i="3"/>
  <c r="J364" i="3"/>
  <c r="L363" i="3"/>
  <c r="J363" i="3"/>
  <c r="L362" i="3"/>
  <c r="J362" i="3"/>
  <c r="K362" i="3"/>
  <c r="L361" i="3"/>
  <c r="J361" i="3"/>
  <c r="K361" i="3"/>
  <c r="L360" i="3"/>
  <c r="J360" i="3"/>
  <c r="L359" i="3"/>
  <c r="J359" i="3"/>
  <c r="K359" i="3"/>
  <c r="L358" i="3"/>
  <c r="J358" i="3"/>
  <c r="L357" i="3"/>
  <c r="J357" i="3"/>
  <c r="K357" i="3"/>
  <c r="L356" i="3"/>
  <c r="J356" i="3"/>
  <c r="L355" i="3"/>
  <c r="J355" i="3"/>
  <c r="K355" i="3"/>
  <c r="L354" i="3"/>
  <c r="J354" i="3"/>
  <c r="K354" i="3"/>
  <c r="L353" i="3"/>
  <c r="J353" i="3"/>
  <c r="L352" i="3"/>
  <c r="J352" i="3"/>
  <c r="L351" i="3"/>
  <c r="J351" i="3"/>
  <c r="K351" i="3"/>
  <c r="L350" i="3"/>
  <c r="J350" i="3"/>
  <c r="L349" i="3"/>
  <c r="J349" i="3"/>
  <c r="L348" i="3"/>
  <c r="J348" i="3"/>
  <c r="L347" i="3"/>
  <c r="J347" i="3"/>
  <c r="K347" i="3"/>
  <c r="L346" i="3"/>
  <c r="J346" i="3"/>
  <c r="L345" i="3"/>
  <c r="J345" i="3"/>
  <c r="L344" i="3"/>
  <c r="J344" i="3"/>
  <c r="K344" i="3"/>
  <c r="L343" i="3"/>
  <c r="J343" i="3"/>
  <c r="L342" i="3"/>
  <c r="J342" i="3"/>
  <c r="K342" i="3"/>
  <c r="L341" i="3"/>
  <c r="J341" i="3"/>
  <c r="K341" i="3"/>
  <c r="L340" i="3"/>
  <c r="J340" i="3"/>
  <c r="L339" i="3"/>
  <c r="J339" i="3"/>
  <c r="K339" i="3"/>
  <c r="L338" i="3"/>
  <c r="J338" i="3"/>
  <c r="K338" i="3"/>
  <c r="L337" i="3"/>
  <c r="J337" i="3"/>
  <c r="K337" i="3"/>
  <c r="L336" i="3"/>
  <c r="J336" i="3"/>
  <c r="K336" i="3"/>
  <c r="L335" i="3"/>
  <c r="J335" i="3"/>
  <c r="K335" i="3"/>
  <c r="L334" i="3"/>
  <c r="J334" i="3"/>
  <c r="K334" i="3"/>
  <c r="L333" i="3"/>
  <c r="J333" i="3"/>
  <c r="L332" i="3"/>
  <c r="J332" i="3"/>
  <c r="K332" i="3"/>
  <c r="L331" i="3"/>
  <c r="J331" i="3"/>
  <c r="K331" i="3"/>
  <c r="L330" i="3"/>
  <c r="J330" i="3"/>
  <c r="L329" i="3"/>
  <c r="J329" i="3"/>
  <c r="K329" i="3"/>
  <c r="L328" i="3"/>
  <c r="J328" i="3"/>
  <c r="L327" i="3"/>
  <c r="J327" i="3"/>
  <c r="L326" i="3"/>
  <c r="J326" i="3"/>
  <c r="L325" i="3"/>
  <c r="J325" i="3"/>
  <c r="K325" i="3"/>
  <c r="L324" i="3"/>
  <c r="J324" i="3"/>
  <c r="K324" i="3"/>
  <c r="L323" i="3"/>
  <c r="J323" i="3"/>
  <c r="K323" i="3"/>
  <c r="L322" i="3"/>
  <c r="J322" i="3"/>
  <c r="L321" i="3"/>
  <c r="J321" i="3"/>
  <c r="K321" i="3"/>
  <c r="L320" i="3"/>
  <c r="J320" i="3"/>
  <c r="L319" i="3"/>
  <c r="J319" i="3"/>
  <c r="L318" i="3"/>
  <c r="J318" i="3"/>
  <c r="K318" i="3"/>
  <c r="L317" i="3"/>
  <c r="J317" i="3"/>
  <c r="K317" i="3"/>
  <c r="L316" i="3"/>
  <c r="J316" i="3"/>
  <c r="K316" i="3"/>
  <c r="L315" i="3"/>
  <c r="J315" i="3"/>
  <c r="K315" i="3"/>
  <c r="L314" i="3"/>
  <c r="J314" i="3"/>
  <c r="L313" i="3"/>
  <c r="J313" i="3"/>
  <c r="K313" i="3"/>
  <c r="L312" i="3"/>
  <c r="J312" i="3"/>
  <c r="L311" i="3"/>
  <c r="J311" i="3"/>
  <c r="K311" i="3"/>
  <c r="L310" i="3"/>
  <c r="J310" i="3"/>
  <c r="K310" i="3"/>
  <c r="L309" i="3"/>
  <c r="J309" i="3"/>
  <c r="L308" i="3"/>
  <c r="J308" i="3"/>
  <c r="K308" i="3"/>
  <c r="L307" i="3"/>
  <c r="J307" i="3"/>
  <c r="K307" i="3"/>
  <c r="L306" i="3"/>
  <c r="J306" i="3"/>
  <c r="L305" i="3"/>
  <c r="J305" i="3"/>
  <c r="K305" i="3"/>
  <c r="L304" i="3"/>
  <c r="J304" i="3"/>
  <c r="L303" i="3"/>
  <c r="J303" i="3"/>
  <c r="L302" i="3"/>
  <c r="J302" i="3"/>
  <c r="L301" i="3"/>
  <c r="J301" i="3"/>
  <c r="K301" i="3"/>
  <c r="L300" i="3"/>
  <c r="J300" i="3"/>
  <c r="K300" i="3"/>
  <c r="L299" i="3"/>
  <c r="J299" i="3"/>
  <c r="K299" i="3"/>
  <c r="L298" i="3"/>
  <c r="J298" i="3"/>
  <c r="L297" i="3"/>
  <c r="J297" i="3"/>
  <c r="K297" i="3"/>
  <c r="L296" i="3"/>
  <c r="J296" i="3"/>
  <c r="K296" i="3"/>
  <c r="L295" i="3"/>
  <c r="J295" i="3"/>
  <c r="L294" i="3"/>
  <c r="J294" i="3"/>
  <c r="K294" i="3"/>
  <c r="L293" i="3"/>
  <c r="J293" i="3"/>
  <c r="K293" i="3"/>
  <c r="L292" i="3"/>
  <c r="J292" i="3"/>
  <c r="K292" i="3"/>
  <c r="L291" i="3"/>
  <c r="J291" i="3"/>
  <c r="K291" i="3"/>
  <c r="L290" i="3"/>
  <c r="J290" i="3"/>
  <c r="L289" i="3"/>
  <c r="J289" i="3"/>
  <c r="K289" i="3"/>
  <c r="L288" i="3"/>
  <c r="J288" i="3"/>
  <c r="K288" i="3"/>
  <c r="L287" i="3"/>
  <c r="J287" i="3"/>
  <c r="K287" i="3"/>
  <c r="L286" i="3"/>
  <c r="J286" i="3"/>
  <c r="K286" i="3"/>
  <c r="L285" i="3"/>
  <c r="J285" i="3"/>
  <c r="K285" i="3"/>
  <c r="L284" i="3"/>
  <c r="J284" i="3"/>
  <c r="K284" i="3"/>
  <c r="L283" i="3"/>
  <c r="J283" i="3"/>
  <c r="K283" i="3"/>
  <c r="L282" i="3"/>
  <c r="J282" i="3"/>
  <c r="L281" i="3"/>
  <c r="J281" i="3"/>
  <c r="K281" i="3"/>
  <c r="L280" i="3"/>
  <c r="J280" i="3"/>
  <c r="L279" i="3"/>
  <c r="J279" i="3"/>
  <c r="L278" i="3"/>
  <c r="J278" i="3"/>
  <c r="L277" i="3"/>
  <c r="J277" i="3"/>
  <c r="K277" i="3"/>
  <c r="L276" i="3"/>
  <c r="J276" i="3"/>
  <c r="K276" i="3"/>
  <c r="L275" i="3"/>
  <c r="J275" i="3"/>
  <c r="K275" i="3"/>
  <c r="L274" i="3"/>
  <c r="J274" i="3"/>
  <c r="K274" i="3"/>
  <c r="L273" i="3"/>
  <c r="J273" i="3"/>
  <c r="K273" i="3"/>
  <c r="L272" i="3"/>
  <c r="J272" i="3"/>
  <c r="L271" i="3"/>
  <c r="J271" i="3"/>
  <c r="L270" i="3"/>
  <c r="J270" i="3"/>
  <c r="K270" i="3"/>
  <c r="L269" i="3"/>
  <c r="J269" i="3"/>
  <c r="K269" i="3"/>
  <c r="L268" i="3"/>
  <c r="J268" i="3"/>
  <c r="L267" i="3"/>
  <c r="J267" i="3"/>
  <c r="K267" i="3"/>
  <c r="L266" i="3"/>
  <c r="J266" i="3"/>
  <c r="L265" i="3"/>
  <c r="J265" i="3"/>
  <c r="L264" i="3"/>
  <c r="J264" i="3"/>
  <c r="K264" i="3"/>
  <c r="L263" i="3"/>
  <c r="J263" i="3"/>
  <c r="K263" i="3"/>
  <c r="L262" i="3"/>
  <c r="J262" i="3"/>
  <c r="K262" i="3"/>
  <c r="L261" i="3"/>
  <c r="J261" i="3"/>
  <c r="K261" i="3"/>
  <c r="L260" i="3"/>
  <c r="J260" i="3"/>
  <c r="K260" i="3"/>
  <c r="L259" i="3"/>
  <c r="J259" i="3"/>
  <c r="K259" i="3"/>
  <c r="L258" i="3"/>
  <c r="J258" i="3"/>
  <c r="L257" i="3"/>
  <c r="J257" i="3"/>
  <c r="K257" i="3"/>
  <c r="L256" i="3"/>
  <c r="J256" i="3"/>
  <c r="L255" i="3"/>
  <c r="J255" i="3"/>
  <c r="L254" i="3"/>
  <c r="J254" i="3"/>
  <c r="L253" i="3"/>
  <c r="J253" i="3"/>
  <c r="K253" i="3"/>
  <c r="L252" i="3"/>
  <c r="J252" i="3"/>
  <c r="K252" i="3"/>
  <c r="L251" i="3"/>
  <c r="J251" i="3"/>
  <c r="L250" i="3"/>
  <c r="J250" i="3"/>
  <c r="K250" i="3"/>
  <c r="L249" i="3"/>
  <c r="J249" i="3"/>
  <c r="K249" i="3"/>
  <c r="L248" i="3"/>
  <c r="J248" i="3"/>
  <c r="L247" i="3"/>
  <c r="J247" i="3"/>
  <c r="L246" i="3"/>
  <c r="J246" i="3"/>
  <c r="K246" i="3"/>
  <c r="L245" i="3"/>
  <c r="J245" i="3"/>
  <c r="K245" i="3"/>
  <c r="L244" i="3"/>
  <c r="J244" i="3"/>
  <c r="L243" i="3"/>
  <c r="J243" i="3"/>
  <c r="K243" i="3"/>
  <c r="L242" i="3"/>
  <c r="J242" i="3"/>
  <c r="L241" i="3"/>
  <c r="J241" i="3"/>
  <c r="K241" i="3"/>
  <c r="L240" i="3"/>
  <c r="J240" i="3"/>
  <c r="L239" i="3"/>
  <c r="J239" i="3"/>
  <c r="K239" i="3"/>
  <c r="L238" i="3"/>
  <c r="J238" i="3"/>
  <c r="K238" i="3"/>
  <c r="L237" i="3"/>
  <c r="J237" i="3"/>
  <c r="K237" i="3"/>
  <c r="L236" i="3"/>
  <c r="J236" i="3"/>
  <c r="K236" i="3"/>
  <c r="L235" i="3"/>
  <c r="J235" i="3"/>
  <c r="L234" i="3"/>
  <c r="J234" i="3"/>
  <c r="K234" i="3"/>
  <c r="L233" i="3"/>
  <c r="J233" i="3"/>
  <c r="L232" i="3"/>
  <c r="J232" i="3"/>
  <c r="K232" i="3"/>
  <c r="L231" i="3"/>
  <c r="J231" i="3"/>
  <c r="K231" i="3"/>
  <c r="L230" i="3"/>
  <c r="J230" i="3"/>
  <c r="K230" i="3"/>
  <c r="L229" i="3"/>
  <c r="J229" i="3"/>
  <c r="L228" i="3"/>
  <c r="J228" i="3"/>
  <c r="K228" i="3"/>
  <c r="L227" i="3"/>
  <c r="J227" i="3"/>
  <c r="K227" i="3"/>
  <c r="L226" i="3"/>
  <c r="J226" i="3"/>
  <c r="K226" i="3"/>
  <c r="L225" i="3"/>
  <c r="J225" i="3"/>
  <c r="L224" i="3"/>
  <c r="J224" i="3"/>
  <c r="L223" i="3"/>
  <c r="J223" i="3"/>
  <c r="K223" i="3"/>
  <c r="L222" i="3"/>
  <c r="J222" i="3"/>
  <c r="K222" i="3"/>
  <c r="L221" i="3"/>
  <c r="J221" i="3"/>
  <c r="L220" i="3"/>
  <c r="J220" i="3"/>
  <c r="K220" i="3"/>
  <c r="L219" i="3"/>
  <c r="J219" i="3"/>
  <c r="K219" i="3"/>
  <c r="L218" i="3"/>
  <c r="J218" i="3"/>
  <c r="K218" i="3"/>
  <c r="L217" i="3"/>
  <c r="J217" i="3"/>
  <c r="K217" i="3"/>
  <c r="L216" i="3"/>
  <c r="J216" i="3"/>
  <c r="K216" i="3"/>
  <c r="L215" i="3"/>
  <c r="J215" i="3"/>
  <c r="L214" i="3"/>
  <c r="J214" i="3"/>
  <c r="K214" i="3"/>
  <c r="L213" i="3"/>
  <c r="J213" i="3"/>
  <c r="K213" i="3"/>
  <c r="L212" i="3"/>
  <c r="J212" i="3"/>
  <c r="K212" i="3"/>
  <c r="L211" i="3"/>
  <c r="J211" i="3"/>
  <c r="L210" i="3"/>
  <c r="J210" i="3"/>
  <c r="L209" i="3"/>
  <c r="J209" i="3"/>
  <c r="L208" i="3"/>
  <c r="J208" i="3"/>
  <c r="K208" i="3"/>
  <c r="L207" i="3"/>
  <c r="J207" i="3"/>
  <c r="K207" i="3"/>
  <c r="L206" i="3"/>
  <c r="J206" i="3"/>
  <c r="K206" i="3"/>
  <c r="L205" i="3"/>
  <c r="J205" i="3"/>
  <c r="L204" i="3"/>
  <c r="J204" i="3"/>
  <c r="K204" i="3"/>
  <c r="L203" i="3"/>
  <c r="J203" i="3"/>
  <c r="L202" i="3"/>
  <c r="J202" i="3"/>
  <c r="K202" i="3"/>
  <c r="L201" i="3"/>
  <c r="J201" i="3"/>
  <c r="K201" i="3"/>
  <c r="L200" i="3"/>
  <c r="J200" i="3"/>
  <c r="L199" i="3"/>
  <c r="J199" i="3"/>
  <c r="L198" i="3"/>
  <c r="J198" i="3"/>
  <c r="K198" i="3"/>
  <c r="L197" i="3"/>
  <c r="J197" i="3"/>
  <c r="K197" i="3"/>
  <c r="L196" i="3"/>
  <c r="J196" i="3"/>
  <c r="K196" i="3"/>
  <c r="L195" i="3"/>
  <c r="J195" i="3"/>
  <c r="L194" i="3"/>
  <c r="J194" i="3"/>
  <c r="K194" i="3"/>
  <c r="L193" i="3"/>
  <c r="J193" i="3"/>
  <c r="K193" i="3"/>
  <c r="L192" i="3"/>
  <c r="J192" i="3"/>
  <c r="K192" i="3"/>
  <c r="L191" i="3"/>
  <c r="J191" i="3"/>
  <c r="K191" i="3"/>
  <c r="L190" i="3"/>
  <c r="J190" i="3"/>
  <c r="K190" i="3"/>
  <c r="L189" i="3"/>
  <c r="J189" i="3"/>
  <c r="K189" i="3"/>
  <c r="L188" i="3"/>
  <c r="J188" i="3"/>
  <c r="K188" i="3"/>
  <c r="L187" i="3"/>
  <c r="J187" i="3"/>
  <c r="L186" i="3"/>
  <c r="J186" i="3"/>
  <c r="K186" i="3"/>
  <c r="L185" i="3"/>
  <c r="J185" i="3"/>
  <c r="L184" i="3"/>
  <c r="J184" i="3"/>
  <c r="K184" i="3"/>
  <c r="L183" i="3"/>
  <c r="J183" i="3"/>
  <c r="K183" i="3"/>
  <c r="L182" i="3"/>
  <c r="J182" i="3"/>
  <c r="K182" i="3"/>
  <c r="L181" i="3"/>
  <c r="J181" i="3"/>
  <c r="L180" i="3"/>
  <c r="J180" i="3"/>
  <c r="K180" i="3"/>
  <c r="L179" i="3"/>
  <c r="J179" i="3"/>
  <c r="L178" i="3"/>
  <c r="J178" i="3"/>
  <c r="K178" i="3"/>
  <c r="L177" i="3"/>
  <c r="J177" i="3"/>
  <c r="K177" i="3"/>
  <c r="L176" i="3"/>
  <c r="J176" i="3"/>
  <c r="L175" i="3"/>
  <c r="J175" i="3"/>
  <c r="L174" i="3"/>
  <c r="J174" i="3"/>
  <c r="K174" i="3"/>
  <c r="L173" i="3"/>
  <c r="J173" i="3"/>
  <c r="K173" i="3"/>
  <c r="L172" i="3"/>
  <c r="J172" i="3"/>
  <c r="K172" i="3"/>
  <c r="L171" i="3"/>
  <c r="J171" i="3"/>
  <c r="K171" i="3"/>
  <c r="L170" i="3"/>
  <c r="J170" i="3"/>
  <c r="K170" i="3"/>
  <c r="L169" i="3"/>
  <c r="J169" i="3"/>
  <c r="L168" i="3"/>
  <c r="J168" i="3"/>
  <c r="K168" i="3"/>
  <c r="L167" i="3"/>
  <c r="J167" i="3"/>
  <c r="K167" i="3"/>
  <c r="L166" i="3"/>
  <c r="J166" i="3"/>
  <c r="K166" i="3"/>
  <c r="L165" i="3"/>
  <c r="J165" i="3"/>
  <c r="K165" i="3"/>
  <c r="L164" i="3"/>
  <c r="J164" i="3"/>
  <c r="K164" i="3"/>
  <c r="L163" i="3"/>
  <c r="J163" i="3"/>
  <c r="L162" i="3"/>
  <c r="J162" i="3"/>
  <c r="K162" i="3"/>
  <c r="L161" i="3"/>
  <c r="J161" i="3"/>
  <c r="K161" i="3"/>
  <c r="L160" i="3"/>
  <c r="J160" i="3"/>
  <c r="K160" i="3"/>
  <c r="L159" i="3"/>
  <c r="J159" i="3"/>
  <c r="K159" i="3"/>
  <c r="L158" i="3"/>
  <c r="J158" i="3"/>
  <c r="K158" i="3"/>
  <c r="L157" i="3"/>
  <c r="J157" i="3"/>
  <c r="L156" i="3"/>
  <c r="J156" i="3"/>
  <c r="K156" i="3"/>
  <c r="L155" i="3"/>
  <c r="J155" i="3"/>
  <c r="K155" i="3"/>
  <c r="L154" i="3"/>
  <c r="J154" i="3"/>
  <c r="K154" i="3"/>
  <c r="L153" i="3"/>
  <c r="J153" i="3"/>
  <c r="L152" i="3"/>
  <c r="J152" i="3"/>
  <c r="L151" i="3"/>
  <c r="J151" i="3"/>
  <c r="K151" i="3"/>
  <c r="L150" i="3"/>
  <c r="J150" i="3"/>
  <c r="K150" i="3"/>
  <c r="L149" i="3"/>
  <c r="J149" i="3"/>
  <c r="K149" i="3"/>
  <c r="L148" i="3"/>
  <c r="J148" i="3"/>
  <c r="K148" i="3"/>
  <c r="L147" i="3"/>
  <c r="J147" i="3"/>
  <c r="K147" i="3"/>
  <c r="L146" i="3"/>
  <c r="J146" i="3"/>
  <c r="K146" i="3"/>
  <c r="L145" i="3"/>
  <c r="J145" i="3"/>
  <c r="K145" i="3"/>
  <c r="L144" i="3"/>
  <c r="J144" i="3"/>
  <c r="K144" i="3"/>
  <c r="L143" i="3"/>
  <c r="J143" i="3"/>
  <c r="K143" i="3"/>
  <c r="L142" i="3"/>
  <c r="J142" i="3"/>
  <c r="K142" i="3"/>
  <c r="L141" i="3"/>
  <c r="J141" i="3"/>
  <c r="K141" i="3"/>
  <c r="L140" i="3"/>
  <c r="J140" i="3"/>
  <c r="L139" i="3"/>
  <c r="J139" i="3"/>
  <c r="L138" i="3"/>
  <c r="J138" i="3"/>
  <c r="K138" i="3"/>
  <c r="L137" i="3"/>
  <c r="J137" i="3"/>
  <c r="L136" i="3"/>
  <c r="J136" i="3"/>
  <c r="K136" i="3"/>
  <c r="L135" i="3"/>
  <c r="J135" i="3"/>
  <c r="K135" i="3"/>
  <c r="L134" i="3"/>
  <c r="J134" i="3"/>
  <c r="K134" i="3"/>
  <c r="L133" i="3"/>
  <c r="J133" i="3"/>
  <c r="L132" i="3"/>
  <c r="J132" i="3"/>
  <c r="K132" i="3"/>
  <c r="L131" i="3"/>
  <c r="J131" i="3"/>
  <c r="K131" i="3"/>
  <c r="L130" i="3"/>
  <c r="J130" i="3"/>
  <c r="L129" i="3"/>
  <c r="J129" i="3"/>
  <c r="K129" i="3"/>
  <c r="L128" i="3"/>
  <c r="J128" i="3"/>
  <c r="L127" i="3"/>
  <c r="J127" i="3"/>
  <c r="L126" i="3"/>
  <c r="J126" i="3"/>
  <c r="K126" i="3"/>
  <c r="L125" i="3"/>
  <c r="J125" i="3"/>
  <c r="K125" i="3"/>
  <c r="L124" i="3"/>
  <c r="J124" i="3"/>
  <c r="K124" i="3"/>
  <c r="L123" i="3"/>
  <c r="J123" i="3"/>
  <c r="L122" i="3"/>
  <c r="J122" i="3"/>
  <c r="K122" i="3"/>
  <c r="L121" i="3"/>
  <c r="J121" i="3"/>
  <c r="K121" i="3"/>
  <c r="L120" i="3"/>
  <c r="J120" i="3"/>
  <c r="K120" i="3"/>
  <c r="L119" i="3"/>
  <c r="J119" i="3"/>
  <c r="K119" i="3"/>
  <c r="L118" i="3"/>
  <c r="J118" i="3"/>
  <c r="K118" i="3"/>
  <c r="L117" i="3"/>
  <c r="J117" i="3"/>
  <c r="K117" i="3"/>
  <c r="L116" i="3"/>
  <c r="J116" i="3"/>
  <c r="K116" i="3"/>
  <c r="L115" i="3"/>
  <c r="J115" i="3"/>
  <c r="L114" i="3"/>
  <c r="J114" i="3"/>
  <c r="K114" i="3"/>
  <c r="L113" i="3"/>
  <c r="J113" i="3"/>
  <c r="K113" i="3"/>
  <c r="L112" i="3"/>
  <c r="J112" i="3"/>
  <c r="K112" i="3"/>
  <c r="L111" i="3"/>
  <c r="J111" i="3"/>
  <c r="K111" i="3"/>
  <c r="L110" i="3"/>
  <c r="J110" i="3"/>
  <c r="K110" i="3"/>
  <c r="L109" i="3"/>
  <c r="J109" i="3"/>
  <c r="L108" i="3"/>
  <c r="J108" i="3"/>
  <c r="L107" i="3"/>
  <c r="J107" i="3"/>
  <c r="K107" i="3"/>
  <c r="L106" i="3"/>
  <c r="J106" i="3"/>
  <c r="K106" i="3"/>
  <c r="L105" i="3"/>
  <c r="J105" i="3"/>
  <c r="K105" i="3"/>
  <c r="L104" i="3"/>
  <c r="J104" i="3"/>
  <c r="L103" i="3"/>
  <c r="J103" i="3"/>
  <c r="K103" i="3"/>
  <c r="L102" i="3"/>
  <c r="J102" i="3"/>
  <c r="K102" i="3"/>
  <c r="L101" i="3"/>
  <c r="J101" i="3"/>
  <c r="K101" i="3"/>
  <c r="L100" i="3"/>
  <c r="J100" i="3"/>
  <c r="K100" i="3"/>
  <c r="L99" i="3"/>
  <c r="J99" i="3"/>
  <c r="K99" i="3"/>
  <c r="L98" i="3"/>
  <c r="J98" i="3"/>
  <c r="K98" i="3"/>
  <c r="L97" i="3"/>
  <c r="J97" i="3"/>
  <c r="K97" i="3"/>
  <c r="L96" i="3"/>
  <c r="J96" i="3"/>
  <c r="K96" i="3"/>
  <c r="L95" i="3"/>
  <c r="J95" i="3"/>
  <c r="K95" i="3"/>
  <c r="L94" i="3"/>
  <c r="J94" i="3"/>
  <c r="K94" i="3"/>
  <c r="L93" i="3"/>
  <c r="J93" i="3"/>
  <c r="K93" i="3"/>
  <c r="L92" i="3"/>
  <c r="J92" i="3"/>
  <c r="K92" i="3"/>
  <c r="L91" i="3"/>
  <c r="J91" i="3"/>
  <c r="L90" i="3"/>
  <c r="J90" i="3"/>
  <c r="K90" i="3"/>
  <c r="L89" i="3"/>
  <c r="J89" i="3"/>
  <c r="L88" i="3"/>
  <c r="J88" i="3"/>
  <c r="K88" i="3"/>
  <c r="L87" i="3"/>
  <c r="J87" i="3"/>
  <c r="K87" i="3"/>
  <c r="L86" i="3"/>
  <c r="J86" i="3"/>
  <c r="K86" i="3"/>
  <c r="L85" i="3"/>
  <c r="J85" i="3"/>
  <c r="L84" i="3"/>
  <c r="J84" i="3"/>
  <c r="K84" i="3"/>
  <c r="L83" i="3"/>
  <c r="J83" i="3"/>
  <c r="K83" i="3"/>
  <c r="L82" i="3"/>
  <c r="J82" i="3"/>
  <c r="K82" i="3"/>
  <c r="L81" i="3"/>
  <c r="J81" i="3"/>
  <c r="L80" i="3"/>
  <c r="J80" i="3"/>
  <c r="L79" i="3"/>
  <c r="J79" i="3"/>
  <c r="K79" i="3"/>
  <c r="L78" i="3"/>
  <c r="J78" i="3"/>
  <c r="K78" i="3"/>
  <c r="L77" i="3"/>
  <c r="J77" i="3"/>
  <c r="L76" i="3"/>
  <c r="J76" i="3"/>
  <c r="K76" i="3"/>
  <c r="L75" i="3"/>
  <c r="J75" i="3"/>
  <c r="K75" i="3"/>
  <c r="L74" i="3"/>
  <c r="J74" i="3"/>
  <c r="K74" i="3"/>
  <c r="L73" i="3"/>
  <c r="J73" i="3"/>
  <c r="K73" i="3"/>
  <c r="L72" i="3"/>
  <c r="J72" i="3"/>
  <c r="K72" i="3"/>
  <c r="L71" i="3"/>
  <c r="J71" i="3"/>
  <c r="K71" i="3"/>
  <c r="L70" i="3"/>
  <c r="J70" i="3"/>
  <c r="K70" i="3"/>
  <c r="L69" i="3"/>
  <c r="J69" i="3"/>
  <c r="K69" i="3"/>
  <c r="L68" i="3"/>
  <c r="J68" i="3"/>
  <c r="K68" i="3"/>
  <c r="L67" i="3"/>
  <c r="J67" i="3"/>
  <c r="K67" i="3"/>
  <c r="L66" i="3"/>
  <c r="J66" i="3"/>
  <c r="L65" i="3"/>
  <c r="J65" i="3"/>
  <c r="K65" i="3"/>
  <c r="L64" i="3"/>
  <c r="J64" i="3"/>
  <c r="K64" i="3"/>
  <c r="L63" i="3"/>
  <c r="J63" i="3"/>
  <c r="K63" i="3"/>
  <c r="L62" i="3"/>
  <c r="J62" i="3"/>
  <c r="K62" i="3"/>
  <c r="L61" i="3"/>
  <c r="J61" i="3"/>
  <c r="L60" i="3"/>
  <c r="J60" i="3"/>
  <c r="L59" i="3"/>
  <c r="J59" i="3"/>
  <c r="K59" i="3"/>
  <c r="L58" i="3"/>
  <c r="J58" i="3"/>
  <c r="K58" i="3"/>
  <c r="L57" i="3"/>
  <c r="J57" i="3"/>
  <c r="K57" i="3"/>
  <c r="L56" i="3"/>
  <c r="J56" i="3"/>
  <c r="L55" i="3"/>
  <c r="J55" i="3"/>
  <c r="K55" i="3"/>
  <c r="L54" i="3"/>
  <c r="J54" i="3"/>
  <c r="K54" i="3"/>
  <c r="L53" i="3"/>
  <c r="J53" i="3"/>
  <c r="K53" i="3"/>
  <c r="L52" i="3"/>
  <c r="J52" i="3"/>
  <c r="L51" i="3"/>
  <c r="J51" i="3"/>
  <c r="K51" i="3"/>
  <c r="L50" i="3"/>
  <c r="J50" i="3"/>
  <c r="L49" i="3"/>
  <c r="J49" i="3"/>
  <c r="K49" i="3"/>
  <c r="K4" i="3"/>
  <c r="S5" i="8"/>
  <c r="R5" i="8"/>
  <c r="S4" i="8"/>
  <c r="R4" i="8"/>
  <c r="S768" i="8"/>
  <c r="R768" i="8"/>
  <c r="S767" i="8"/>
  <c r="R767" i="8"/>
  <c r="S766" i="8"/>
  <c r="R766" i="8"/>
  <c r="S765" i="8"/>
  <c r="R765" i="8"/>
  <c r="S764" i="8"/>
  <c r="R764" i="8"/>
  <c r="S763" i="8"/>
  <c r="R763" i="8"/>
  <c r="S762" i="8"/>
  <c r="R762" i="8"/>
  <c r="S761" i="8"/>
  <c r="R761" i="8"/>
  <c r="S760" i="8"/>
  <c r="R760" i="8"/>
  <c r="S759" i="8"/>
  <c r="R759" i="8"/>
  <c r="S758" i="8"/>
  <c r="R758" i="8"/>
  <c r="S757" i="8"/>
  <c r="R757" i="8"/>
  <c r="S756" i="8"/>
  <c r="R756" i="8"/>
  <c r="S755" i="8"/>
  <c r="R755" i="8"/>
  <c r="S754" i="8"/>
  <c r="R754" i="8"/>
  <c r="S753" i="8"/>
  <c r="R753" i="8"/>
  <c r="S752" i="8"/>
  <c r="R752" i="8"/>
  <c r="S751" i="8"/>
  <c r="R751" i="8"/>
  <c r="S750" i="8"/>
  <c r="R750" i="8"/>
  <c r="S749" i="8"/>
  <c r="R749" i="8"/>
  <c r="S748" i="8"/>
  <c r="R748" i="8"/>
  <c r="S747" i="8"/>
  <c r="R747" i="8"/>
  <c r="S746" i="8"/>
  <c r="R746" i="8"/>
  <c r="S745" i="8"/>
  <c r="R745" i="8"/>
  <c r="S744" i="8"/>
  <c r="R744" i="8"/>
  <c r="S743" i="8"/>
  <c r="R743" i="8"/>
  <c r="S742" i="8"/>
  <c r="R742" i="8"/>
  <c r="S741" i="8"/>
  <c r="R741" i="8"/>
  <c r="S740" i="8"/>
  <c r="R740" i="8"/>
  <c r="S739" i="8"/>
  <c r="R739" i="8"/>
  <c r="S738" i="8"/>
  <c r="R738" i="8"/>
  <c r="S737" i="8"/>
  <c r="R737" i="8"/>
  <c r="S736" i="8"/>
  <c r="R736" i="8"/>
  <c r="S735" i="8"/>
  <c r="R735" i="8"/>
  <c r="S734" i="8"/>
  <c r="R734" i="8"/>
  <c r="S733" i="8"/>
  <c r="R733" i="8"/>
  <c r="S732" i="8"/>
  <c r="R732" i="8"/>
  <c r="S731" i="8"/>
  <c r="R731" i="8"/>
  <c r="S730" i="8"/>
  <c r="R730" i="8"/>
  <c r="S729" i="8"/>
  <c r="R729" i="8"/>
  <c r="S728" i="8"/>
  <c r="R728" i="8"/>
  <c r="S727" i="8"/>
  <c r="R727" i="8"/>
  <c r="S726" i="8"/>
  <c r="R726" i="8"/>
  <c r="S725" i="8"/>
  <c r="R725" i="8"/>
  <c r="S724" i="8"/>
  <c r="R724" i="8"/>
  <c r="S723" i="8"/>
  <c r="R723" i="8"/>
  <c r="S722" i="8"/>
  <c r="R722" i="8"/>
  <c r="S721" i="8"/>
  <c r="R721" i="8"/>
  <c r="S720" i="8"/>
  <c r="R720" i="8"/>
  <c r="S719" i="8"/>
  <c r="R719" i="8"/>
  <c r="S718" i="8"/>
  <c r="R718" i="8"/>
  <c r="S717" i="8"/>
  <c r="R717" i="8"/>
  <c r="S716" i="8"/>
  <c r="R716" i="8"/>
  <c r="S715" i="8"/>
  <c r="R715" i="8"/>
  <c r="S714" i="8"/>
  <c r="R714" i="8"/>
  <c r="S713" i="8"/>
  <c r="R713" i="8"/>
  <c r="S712" i="8"/>
  <c r="R712" i="8"/>
  <c r="S711" i="8"/>
  <c r="R711" i="8"/>
  <c r="S710" i="8"/>
  <c r="R710" i="8"/>
  <c r="S709" i="8"/>
  <c r="R709" i="8"/>
  <c r="S708" i="8"/>
  <c r="R708" i="8"/>
  <c r="S707" i="8"/>
  <c r="R707" i="8"/>
  <c r="S706" i="8"/>
  <c r="R706" i="8"/>
  <c r="S705" i="8"/>
  <c r="R705" i="8"/>
  <c r="S704" i="8"/>
  <c r="R704" i="8"/>
  <c r="S703" i="8"/>
  <c r="R703" i="8"/>
  <c r="S702" i="8"/>
  <c r="R702" i="8"/>
  <c r="S701" i="8"/>
  <c r="R701" i="8"/>
  <c r="S700" i="8"/>
  <c r="R700" i="8"/>
  <c r="S699" i="8"/>
  <c r="R699" i="8"/>
  <c r="S698" i="8"/>
  <c r="R698" i="8"/>
  <c r="S697" i="8"/>
  <c r="R697" i="8"/>
  <c r="S696" i="8"/>
  <c r="R696" i="8"/>
  <c r="S695" i="8"/>
  <c r="R695" i="8"/>
  <c r="S694" i="8"/>
  <c r="R694" i="8"/>
  <c r="S693" i="8"/>
  <c r="R693" i="8"/>
  <c r="S692" i="8"/>
  <c r="R692" i="8"/>
  <c r="S691" i="8"/>
  <c r="R691" i="8"/>
  <c r="S690" i="8"/>
  <c r="R690" i="8"/>
  <c r="S689" i="8"/>
  <c r="R689" i="8"/>
  <c r="S688" i="8"/>
  <c r="R688" i="8"/>
  <c r="S687" i="8"/>
  <c r="R687" i="8"/>
  <c r="S686" i="8"/>
  <c r="R686" i="8"/>
  <c r="S685" i="8"/>
  <c r="R685" i="8"/>
  <c r="S684" i="8"/>
  <c r="R684" i="8"/>
  <c r="S683" i="8"/>
  <c r="R683" i="8"/>
  <c r="S682" i="8"/>
  <c r="R682" i="8"/>
  <c r="S681" i="8"/>
  <c r="R681" i="8"/>
  <c r="S680" i="8"/>
  <c r="R680" i="8"/>
  <c r="S679" i="8"/>
  <c r="R679" i="8"/>
  <c r="S678" i="8"/>
  <c r="R678" i="8"/>
  <c r="S677" i="8"/>
  <c r="R677" i="8"/>
  <c r="S676" i="8"/>
  <c r="R676" i="8"/>
  <c r="S675" i="8"/>
  <c r="R675" i="8"/>
  <c r="S674" i="8"/>
  <c r="R674" i="8"/>
  <c r="S673" i="8"/>
  <c r="R673" i="8"/>
  <c r="S672" i="8"/>
  <c r="R672" i="8"/>
  <c r="S671" i="8"/>
  <c r="R671" i="8"/>
  <c r="S670" i="8"/>
  <c r="R670" i="8"/>
  <c r="S669" i="8"/>
  <c r="R669" i="8"/>
  <c r="S668" i="8"/>
  <c r="R668" i="8"/>
  <c r="S667" i="8"/>
  <c r="R667" i="8"/>
  <c r="S666" i="8"/>
  <c r="R666" i="8"/>
  <c r="S665" i="8"/>
  <c r="R665" i="8"/>
  <c r="S664" i="8"/>
  <c r="R664" i="8"/>
  <c r="S663" i="8"/>
  <c r="R663" i="8"/>
  <c r="S662" i="8"/>
  <c r="R662" i="8"/>
  <c r="S661" i="8"/>
  <c r="R661" i="8"/>
  <c r="S660" i="8"/>
  <c r="R660" i="8"/>
  <c r="S659" i="8"/>
  <c r="R659" i="8"/>
  <c r="S658" i="8"/>
  <c r="R658" i="8"/>
  <c r="S657" i="8"/>
  <c r="R657" i="8"/>
  <c r="S656" i="8"/>
  <c r="R656" i="8"/>
  <c r="S655" i="8"/>
  <c r="R655" i="8"/>
  <c r="S654" i="8"/>
  <c r="R654" i="8"/>
  <c r="S653" i="8"/>
  <c r="R653" i="8"/>
  <c r="S652" i="8"/>
  <c r="R652" i="8"/>
  <c r="S651" i="8"/>
  <c r="R651" i="8"/>
  <c r="S650" i="8"/>
  <c r="R650" i="8"/>
  <c r="S649" i="8"/>
  <c r="R649" i="8"/>
  <c r="S648" i="8"/>
  <c r="R648" i="8"/>
  <c r="S647" i="8"/>
  <c r="R647" i="8"/>
  <c r="S646" i="8"/>
  <c r="R646" i="8"/>
  <c r="S645" i="8"/>
  <c r="R645" i="8"/>
  <c r="S644" i="8"/>
  <c r="R644" i="8"/>
  <c r="S643" i="8"/>
  <c r="R643" i="8"/>
  <c r="S642" i="8"/>
  <c r="R642" i="8"/>
  <c r="S641" i="8"/>
  <c r="R641" i="8"/>
  <c r="S640" i="8"/>
  <c r="R640" i="8"/>
  <c r="S639" i="8"/>
  <c r="R639" i="8"/>
  <c r="S638" i="8"/>
  <c r="R638" i="8"/>
  <c r="S637" i="8"/>
  <c r="R637" i="8"/>
  <c r="S636" i="8"/>
  <c r="R636" i="8"/>
  <c r="S635" i="8"/>
  <c r="R635" i="8"/>
  <c r="S634" i="8"/>
  <c r="R634" i="8"/>
  <c r="S633" i="8"/>
  <c r="R633" i="8"/>
  <c r="S632" i="8"/>
  <c r="R632" i="8"/>
  <c r="S631" i="8"/>
  <c r="R631" i="8"/>
  <c r="S630" i="8"/>
  <c r="R630" i="8"/>
  <c r="S629" i="8"/>
  <c r="R629" i="8"/>
  <c r="S628" i="8"/>
  <c r="R628" i="8"/>
  <c r="S627" i="8"/>
  <c r="R627" i="8"/>
  <c r="S626" i="8"/>
  <c r="R626" i="8"/>
  <c r="S625" i="8"/>
  <c r="R625" i="8"/>
  <c r="S624" i="8"/>
  <c r="R624" i="8"/>
  <c r="S623" i="8"/>
  <c r="R623" i="8"/>
  <c r="S622" i="8"/>
  <c r="R622" i="8"/>
  <c r="S621" i="8"/>
  <c r="R621" i="8"/>
  <c r="S620" i="8"/>
  <c r="R620" i="8"/>
  <c r="S619" i="8"/>
  <c r="R619" i="8"/>
  <c r="S618" i="8"/>
  <c r="R618" i="8"/>
  <c r="S617" i="8"/>
  <c r="R617" i="8"/>
  <c r="S616" i="8"/>
  <c r="R616" i="8"/>
  <c r="S615" i="8"/>
  <c r="R615" i="8"/>
  <c r="S614" i="8"/>
  <c r="R614" i="8"/>
  <c r="S613" i="8"/>
  <c r="R613" i="8"/>
  <c r="S612" i="8"/>
  <c r="R612" i="8"/>
  <c r="S611" i="8"/>
  <c r="R611" i="8"/>
  <c r="S610" i="8"/>
  <c r="R610" i="8"/>
  <c r="S609" i="8"/>
  <c r="R609" i="8"/>
  <c r="S608" i="8"/>
  <c r="R608" i="8"/>
  <c r="S607" i="8"/>
  <c r="R607" i="8"/>
  <c r="S606" i="8"/>
  <c r="R606" i="8"/>
  <c r="S605" i="8"/>
  <c r="R605" i="8"/>
  <c r="S604" i="8"/>
  <c r="R604" i="8"/>
  <c r="S603" i="8"/>
  <c r="R603" i="8"/>
  <c r="S602" i="8"/>
  <c r="R602" i="8"/>
  <c r="S601" i="8"/>
  <c r="R601" i="8"/>
  <c r="S600" i="8"/>
  <c r="R600" i="8"/>
  <c r="S599" i="8"/>
  <c r="R599" i="8"/>
  <c r="S598" i="8"/>
  <c r="R598" i="8"/>
  <c r="S597" i="8"/>
  <c r="R597" i="8"/>
  <c r="S596" i="8"/>
  <c r="R596" i="8"/>
  <c r="S595" i="8"/>
  <c r="R595" i="8"/>
  <c r="S594" i="8"/>
  <c r="R594" i="8"/>
  <c r="S593" i="8"/>
  <c r="R593" i="8"/>
  <c r="S592" i="8"/>
  <c r="R592" i="8"/>
  <c r="S591" i="8"/>
  <c r="R591" i="8"/>
  <c r="S590" i="8"/>
  <c r="R590" i="8"/>
  <c r="S589" i="8"/>
  <c r="R589" i="8"/>
  <c r="S588" i="8"/>
  <c r="R588" i="8"/>
  <c r="S587" i="8"/>
  <c r="R587" i="8"/>
  <c r="S586" i="8"/>
  <c r="R586" i="8"/>
  <c r="S585" i="8"/>
  <c r="R585" i="8"/>
  <c r="S584" i="8"/>
  <c r="R584" i="8"/>
  <c r="S583" i="8"/>
  <c r="R583" i="8"/>
  <c r="S582" i="8"/>
  <c r="R582" i="8"/>
  <c r="S581" i="8"/>
  <c r="R581" i="8"/>
  <c r="S580" i="8"/>
  <c r="R580" i="8"/>
  <c r="S579" i="8"/>
  <c r="R579" i="8"/>
  <c r="S578" i="8"/>
  <c r="R578" i="8"/>
  <c r="S577" i="8"/>
  <c r="R577" i="8"/>
  <c r="S576" i="8"/>
  <c r="R576" i="8"/>
  <c r="S575" i="8"/>
  <c r="R575" i="8"/>
  <c r="S574" i="8"/>
  <c r="R574" i="8"/>
  <c r="S573" i="8"/>
  <c r="R573" i="8"/>
  <c r="S572" i="8"/>
  <c r="R572" i="8"/>
  <c r="S571" i="8"/>
  <c r="R571" i="8"/>
  <c r="S570" i="8"/>
  <c r="R570" i="8"/>
  <c r="S569" i="8"/>
  <c r="R569" i="8"/>
  <c r="S568" i="8"/>
  <c r="R568" i="8"/>
  <c r="S567" i="8"/>
  <c r="R567" i="8"/>
  <c r="S566" i="8"/>
  <c r="R566" i="8"/>
  <c r="S565" i="8"/>
  <c r="R565" i="8"/>
  <c r="S564" i="8"/>
  <c r="R564" i="8"/>
  <c r="S563" i="8"/>
  <c r="R563" i="8"/>
  <c r="S562" i="8"/>
  <c r="R562" i="8"/>
  <c r="S561" i="8"/>
  <c r="R561" i="8"/>
  <c r="S560" i="8"/>
  <c r="R560" i="8"/>
  <c r="S559" i="8"/>
  <c r="R559" i="8"/>
  <c r="S558" i="8"/>
  <c r="R558" i="8"/>
  <c r="S557" i="8"/>
  <c r="R557" i="8"/>
  <c r="S556" i="8"/>
  <c r="R556" i="8"/>
  <c r="S555" i="8"/>
  <c r="R555" i="8"/>
  <c r="S554" i="8"/>
  <c r="R554" i="8"/>
  <c r="S553" i="8"/>
  <c r="R553" i="8"/>
  <c r="S552" i="8"/>
  <c r="R552" i="8"/>
  <c r="S551" i="8"/>
  <c r="R551" i="8"/>
  <c r="S550" i="8"/>
  <c r="R550" i="8"/>
  <c r="S549" i="8"/>
  <c r="R549" i="8"/>
  <c r="S548" i="8"/>
  <c r="R548" i="8"/>
  <c r="S547" i="8"/>
  <c r="R547" i="8"/>
  <c r="S546" i="8"/>
  <c r="R546" i="8"/>
  <c r="S545" i="8"/>
  <c r="R545" i="8"/>
  <c r="S544" i="8"/>
  <c r="R544" i="8"/>
  <c r="S543" i="8"/>
  <c r="R543" i="8"/>
  <c r="S542" i="8"/>
  <c r="R542" i="8"/>
  <c r="S541" i="8"/>
  <c r="R541" i="8"/>
  <c r="S540" i="8"/>
  <c r="R540" i="8"/>
  <c r="S539" i="8"/>
  <c r="R539" i="8"/>
  <c r="S538" i="8"/>
  <c r="R538" i="8"/>
  <c r="S537" i="8"/>
  <c r="R537" i="8"/>
  <c r="S536" i="8"/>
  <c r="R536" i="8"/>
  <c r="S535" i="8"/>
  <c r="R535" i="8"/>
  <c r="S534" i="8"/>
  <c r="R534" i="8"/>
  <c r="S533" i="8"/>
  <c r="R533" i="8"/>
  <c r="S532" i="8"/>
  <c r="R532" i="8"/>
  <c r="S531" i="8"/>
  <c r="R531" i="8"/>
  <c r="S530" i="8"/>
  <c r="R530" i="8"/>
  <c r="S529" i="8"/>
  <c r="R529" i="8"/>
  <c r="S528" i="8"/>
  <c r="R528" i="8"/>
  <c r="S527" i="8"/>
  <c r="R527" i="8"/>
  <c r="S526" i="8"/>
  <c r="R526" i="8"/>
  <c r="S525" i="8"/>
  <c r="R525" i="8"/>
  <c r="S524" i="8"/>
  <c r="R524" i="8"/>
  <c r="S523" i="8"/>
  <c r="R523" i="8"/>
  <c r="S522" i="8"/>
  <c r="R522" i="8"/>
  <c r="S521" i="8"/>
  <c r="R521" i="8"/>
  <c r="S520" i="8"/>
  <c r="R520" i="8"/>
  <c r="S519" i="8"/>
  <c r="R519" i="8"/>
  <c r="S518" i="8"/>
  <c r="R518" i="8"/>
  <c r="S517" i="8"/>
  <c r="R517" i="8"/>
  <c r="S516" i="8"/>
  <c r="R516" i="8"/>
  <c r="S515" i="8"/>
  <c r="R515" i="8"/>
  <c r="S514" i="8"/>
  <c r="R514" i="8"/>
  <c r="S513" i="8"/>
  <c r="R513" i="8"/>
  <c r="S512" i="8"/>
  <c r="R512" i="8"/>
  <c r="S511" i="8"/>
  <c r="R511" i="8"/>
  <c r="S510" i="8"/>
  <c r="R510" i="8"/>
  <c r="S509" i="8"/>
  <c r="R509" i="8"/>
  <c r="S508" i="8"/>
  <c r="R508" i="8"/>
  <c r="S507" i="8"/>
  <c r="R507" i="8"/>
  <c r="S506" i="8"/>
  <c r="R506" i="8"/>
  <c r="S505" i="8"/>
  <c r="R505" i="8"/>
  <c r="S504" i="8"/>
  <c r="R504" i="8"/>
  <c r="S503" i="8"/>
  <c r="R503" i="8"/>
  <c r="S502" i="8"/>
  <c r="R502" i="8"/>
  <c r="S501" i="8"/>
  <c r="R501" i="8"/>
  <c r="S500" i="8"/>
  <c r="R500" i="8"/>
  <c r="S499" i="8"/>
  <c r="R499" i="8"/>
  <c r="S498" i="8"/>
  <c r="R498" i="8"/>
  <c r="S497" i="8"/>
  <c r="R497" i="8"/>
  <c r="S496" i="8"/>
  <c r="R496" i="8"/>
  <c r="S495" i="8"/>
  <c r="R495" i="8"/>
  <c r="S494" i="8"/>
  <c r="R494" i="8"/>
  <c r="S493" i="8"/>
  <c r="R493" i="8"/>
  <c r="S492" i="8"/>
  <c r="R492" i="8"/>
  <c r="S491" i="8"/>
  <c r="R491" i="8"/>
  <c r="S490" i="8"/>
  <c r="R490" i="8"/>
  <c r="S489" i="8"/>
  <c r="R489" i="8"/>
  <c r="S488" i="8"/>
  <c r="R488" i="8"/>
  <c r="S487" i="8"/>
  <c r="R487" i="8"/>
  <c r="S486" i="8"/>
  <c r="R486" i="8"/>
  <c r="S485" i="8"/>
  <c r="R485" i="8"/>
  <c r="S484" i="8"/>
  <c r="R484" i="8"/>
  <c r="S483" i="8"/>
  <c r="R483" i="8"/>
  <c r="S482" i="8"/>
  <c r="R482" i="8"/>
  <c r="S481" i="8"/>
  <c r="R481" i="8"/>
  <c r="S480" i="8"/>
  <c r="R480" i="8"/>
  <c r="S479" i="8"/>
  <c r="R479" i="8"/>
  <c r="S478" i="8"/>
  <c r="R478" i="8"/>
  <c r="S477" i="8"/>
  <c r="R477" i="8"/>
  <c r="S476" i="8"/>
  <c r="R476" i="8"/>
  <c r="S475" i="8"/>
  <c r="R475" i="8"/>
  <c r="S474" i="8"/>
  <c r="R474" i="8"/>
  <c r="S473" i="8"/>
  <c r="R473" i="8"/>
  <c r="S472" i="8"/>
  <c r="R472" i="8"/>
  <c r="S471" i="8"/>
  <c r="R471" i="8"/>
  <c r="S470" i="8"/>
  <c r="R470" i="8"/>
  <c r="S469" i="8"/>
  <c r="R469" i="8"/>
  <c r="S468" i="8"/>
  <c r="R468" i="8"/>
  <c r="S467" i="8"/>
  <c r="R467" i="8"/>
  <c r="S466" i="8"/>
  <c r="R466" i="8"/>
  <c r="S465" i="8"/>
  <c r="R465" i="8"/>
  <c r="S464" i="8"/>
  <c r="R464" i="8"/>
  <c r="S463" i="8"/>
  <c r="R463" i="8"/>
  <c r="S462" i="8"/>
  <c r="R462" i="8"/>
  <c r="S461" i="8"/>
  <c r="R461" i="8"/>
  <c r="S460" i="8"/>
  <c r="R460" i="8"/>
  <c r="S459" i="8"/>
  <c r="R459" i="8"/>
  <c r="S458" i="8"/>
  <c r="R458" i="8"/>
  <c r="S457" i="8"/>
  <c r="R457" i="8"/>
  <c r="S456" i="8"/>
  <c r="R456" i="8"/>
  <c r="S455" i="8"/>
  <c r="R455" i="8"/>
  <c r="S454" i="8"/>
  <c r="R454" i="8"/>
  <c r="S453" i="8"/>
  <c r="R453" i="8"/>
  <c r="S452" i="8"/>
  <c r="R452" i="8"/>
  <c r="S451" i="8"/>
  <c r="R451" i="8"/>
  <c r="S450" i="8"/>
  <c r="R450" i="8"/>
  <c r="S449" i="8"/>
  <c r="R449" i="8"/>
  <c r="S448" i="8"/>
  <c r="R448" i="8"/>
  <c r="S447" i="8"/>
  <c r="R447" i="8"/>
  <c r="S446" i="8"/>
  <c r="R446" i="8"/>
  <c r="S445" i="8"/>
  <c r="R445" i="8"/>
  <c r="S444" i="8"/>
  <c r="R444" i="8"/>
  <c r="S443" i="8"/>
  <c r="R443" i="8"/>
  <c r="S442" i="8"/>
  <c r="R442" i="8"/>
  <c r="S441" i="8"/>
  <c r="R441" i="8"/>
  <c r="S440" i="8"/>
  <c r="R440" i="8"/>
  <c r="S439" i="8"/>
  <c r="R439" i="8"/>
  <c r="S438" i="8"/>
  <c r="R438" i="8"/>
  <c r="S437" i="8"/>
  <c r="R437" i="8"/>
  <c r="S436" i="8"/>
  <c r="R436" i="8"/>
  <c r="S435" i="8"/>
  <c r="R435" i="8"/>
  <c r="S434" i="8"/>
  <c r="R434" i="8"/>
  <c r="S433" i="8"/>
  <c r="R433" i="8"/>
  <c r="S432" i="8"/>
  <c r="R432" i="8"/>
  <c r="S431" i="8"/>
  <c r="R431" i="8"/>
  <c r="S430" i="8"/>
  <c r="R430" i="8"/>
  <c r="S429" i="8"/>
  <c r="R429" i="8"/>
  <c r="S428" i="8"/>
  <c r="R428" i="8"/>
  <c r="S427" i="8"/>
  <c r="R427" i="8"/>
  <c r="S426" i="8"/>
  <c r="R426" i="8"/>
  <c r="S425" i="8"/>
  <c r="R425" i="8"/>
  <c r="S424" i="8"/>
  <c r="R424" i="8"/>
  <c r="S423" i="8"/>
  <c r="R423" i="8"/>
  <c r="S422" i="8"/>
  <c r="R422" i="8"/>
  <c r="S421" i="8"/>
  <c r="R421" i="8"/>
  <c r="S420" i="8"/>
  <c r="R420" i="8"/>
  <c r="S419" i="8"/>
  <c r="R419" i="8"/>
  <c r="S418" i="8"/>
  <c r="R418" i="8"/>
  <c r="S417" i="8"/>
  <c r="R417" i="8"/>
  <c r="S416" i="8"/>
  <c r="R416" i="8"/>
  <c r="S415" i="8"/>
  <c r="R415" i="8"/>
  <c r="S414" i="8"/>
  <c r="R414" i="8"/>
  <c r="S413" i="8"/>
  <c r="R413" i="8"/>
  <c r="S412" i="8"/>
  <c r="R412" i="8"/>
  <c r="S411" i="8"/>
  <c r="R411" i="8"/>
  <c r="S410" i="8"/>
  <c r="R410" i="8"/>
  <c r="S409" i="8"/>
  <c r="R409" i="8"/>
  <c r="S408" i="8"/>
  <c r="R408" i="8"/>
  <c r="S407" i="8"/>
  <c r="R407" i="8"/>
  <c r="S406" i="8"/>
  <c r="R406" i="8"/>
  <c r="S405" i="8"/>
  <c r="R405" i="8"/>
  <c r="S404" i="8"/>
  <c r="R404" i="8"/>
  <c r="S403" i="8"/>
  <c r="R403" i="8"/>
  <c r="S402" i="8"/>
  <c r="R402" i="8"/>
  <c r="S401" i="8"/>
  <c r="R401" i="8"/>
  <c r="S400" i="8"/>
  <c r="R400" i="8"/>
  <c r="S399" i="8"/>
  <c r="R399" i="8"/>
  <c r="S398" i="8"/>
  <c r="R398" i="8"/>
  <c r="S397" i="8"/>
  <c r="R397" i="8"/>
  <c r="S396" i="8"/>
  <c r="R396" i="8"/>
  <c r="S395" i="8"/>
  <c r="R395" i="8"/>
  <c r="S394" i="8"/>
  <c r="R394" i="8"/>
  <c r="S393" i="8"/>
  <c r="R393" i="8"/>
  <c r="S392" i="8"/>
  <c r="R392" i="8"/>
  <c r="S391" i="8"/>
  <c r="R391" i="8"/>
  <c r="S390" i="8"/>
  <c r="R390" i="8"/>
  <c r="S389" i="8"/>
  <c r="R389" i="8"/>
  <c r="S388" i="8"/>
  <c r="R388" i="8"/>
  <c r="S387" i="8"/>
  <c r="R387" i="8"/>
  <c r="S386" i="8"/>
  <c r="R386" i="8"/>
  <c r="S385" i="8"/>
  <c r="R385" i="8"/>
  <c r="S384" i="8"/>
  <c r="R384" i="8"/>
  <c r="S383" i="8"/>
  <c r="R383" i="8"/>
  <c r="S382" i="8"/>
  <c r="R382" i="8"/>
  <c r="S381" i="8"/>
  <c r="R381" i="8"/>
  <c r="S380" i="8"/>
  <c r="R380" i="8"/>
  <c r="S379" i="8"/>
  <c r="R379" i="8"/>
  <c r="S378" i="8"/>
  <c r="R378" i="8"/>
  <c r="S377" i="8"/>
  <c r="R377" i="8"/>
  <c r="S376" i="8"/>
  <c r="R376" i="8"/>
  <c r="S375" i="8"/>
  <c r="R375" i="8"/>
  <c r="S374" i="8"/>
  <c r="R374" i="8"/>
  <c r="S373" i="8"/>
  <c r="R373" i="8"/>
  <c r="S372" i="8"/>
  <c r="R372" i="8"/>
  <c r="S371" i="8"/>
  <c r="R371" i="8"/>
  <c r="S370" i="8"/>
  <c r="R370" i="8"/>
  <c r="S369" i="8"/>
  <c r="R369" i="8"/>
  <c r="S368" i="8"/>
  <c r="R368" i="8"/>
  <c r="S367" i="8"/>
  <c r="R367" i="8"/>
  <c r="S366" i="8"/>
  <c r="R366" i="8"/>
  <c r="S365" i="8"/>
  <c r="R365" i="8"/>
  <c r="S364" i="8"/>
  <c r="R364" i="8"/>
  <c r="S363" i="8"/>
  <c r="R363" i="8"/>
  <c r="S362" i="8"/>
  <c r="R362" i="8"/>
  <c r="S361" i="8"/>
  <c r="R361" i="8"/>
  <c r="S360" i="8"/>
  <c r="R360" i="8"/>
  <c r="S359" i="8"/>
  <c r="R359" i="8"/>
  <c r="S358" i="8"/>
  <c r="R358" i="8"/>
  <c r="S357" i="8"/>
  <c r="R357" i="8"/>
  <c r="S356" i="8"/>
  <c r="R356" i="8"/>
  <c r="S355" i="8"/>
  <c r="R355" i="8"/>
  <c r="S354" i="8"/>
  <c r="R354" i="8"/>
  <c r="S353" i="8"/>
  <c r="R353" i="8"/>
  <c r="S352" i="8"/>
  <c r="R352" i="8"/>
  <c r="S351" i="8"/>
  <c r="R351" i="8"/>
  <c r="S350" i="8"/>
  <c r="R350" i="8"/>
  <c r="S349" i="8"/>
  <c r="R349" i="8"/>
  <c r="S348" i="8"/>
  <c r="R348" i="8"/>
  <c r="S347" i="8"/>
  <c r="R347" i="8"/>
  <c r="S346" i="8"/>
  <c r="R346" i="8"/>
  <c r="S345" i="8"/>
  <c r="R345" i="8"/>
  <c r="S344" i="8"/>
  <c r="R344" i="8"/>
  <c r="S343" i="8"/>
  <c r="R343" i="8"/>
  <c r="S342" i="8"/>
  <c r="R342" i="8"/>
  <c r="S341" i="8"/>
  <c r="R341" i="8"/>
  <c r="S340" i="8"/>
  <c r="R340" i="8"/>
  <c r="S339" i="8"/>
  <c r="R339" i="8"/>
  <c r="S338" i="8"/>
  <c r="R338" i="8"/>
  <c r="S337" i="8"/>
  <c r="R337" i="8"/>
  <c r="S336" i="8"/>
  <c r="R336" i="8"/>
  <c r="S335" i="8"/>
  <c r="R335" i="8"/>
  <c r="S334" i="8"/>
  <c r="R334" i="8"/>
  <c r="S333" i="8"/>
  <c r="R333" i="8"/>
  <c r="S332" i="8"/>
  <c r="R332" i="8"/>
  <c r="S331" i="8"/>
  <c r="R331" i="8"/>
  <c r="S330" i="8"/>
  <c r="R330" i="8"/>
  <c r="S329" i="8"/>
  <c r="R329" i="8"/>
  <c r="S328" i="8"/>
  <c r="R328" i="8"/>
  <c r="S327" i="8"/>
  <c r="R327" i="8"/>
  <c r="S326" i="8"/>
  <c r="R326" i="8"/>
  <c r="S325" i="8"/>
  <c r="R325" i="8"/>
  <c r="S324" i="8"/>
  <c r="R324" i="8"/>
  <c r="S323" i="8"/>
  <c r="R323" i="8"/>
  <c r="S322" i="8"/>
  <c r="R322" i="8"/>
  <c r="S321" i="8"/>
  <c r="R321" i="8"/>
  <c r="S320" i="8"/>
  <c r="R320" i="8"/>
  <c r="S319" i="8"/>
  <c r="R319" i="8"/>
  <c r="S318" i="8"/>
  <c r="R318" i="8"/>
  <c r="S317" i="8"/>
  <c r="R317" i="8"/>
  <c r="S316" i="8"/>
  <c r="R316" i="8"/>
  <c r="S315" i="8"/>
  <c r="R315" i="8"/>
  <c r="S314" i="8"/>
  <c r="R314" i="8"/>
  <c r="S313" i="8"/>
  <c r="R313" i="8"/>
  <c r="S312" i="8"/>
  <c r="R312" i="8"/>
  <c r="S311" i="8"/>
  <c r="R311" i="8"/>
  <c r="S310" i="8"/>
  <c r="R310" i="8"/>
  <c r="S309" i="8"/>
  <c r="R309" i="8"/>
  <c r="S308" i="8"/>
  <c r="R308" i="8"/>
  <c r="S307" i="8"/>
  <c r="R307" i="8"/>
  <c r="S306" i="8"/>
  <c r="R306" i="8"/>
  <c r="S305" i="8"/>
  <c r="R305" i="8"/>
  <c r="S304" i="8"/>
  <c r="R304" i="8"/>
  <c r="S303" i="8"/>
  <c r="R303" i="8"/>
  <c r="S302" i="8"/>
  <c r="R302" i="8"/>
  <c r="S301" i="8"/>
  <c r="R301" i="8"/>
  <c r="S300" i="8"/>
  <c r="R300" i="8"/>
  <c r="S299" i="8"/>
  <c r="R299" i="8"/>
  <c r="S298" i="8"/>
  <c r="R298" i="8"/>
  <c r="S297" i="8"/>
  <c r="R297" i="8"/>
  <c r="S296" i="8"/>
  <c r="R296" i="8"/>
  <c r="S295" i="8"/>
  <c r="R295" i="8"/>
  <c r="S294" i="8"/>
  <c r="R294" i="8"/>
  <c r="S293" i="8"/>
  <c r="R293" i="8"/>
  <c r="S292" i="8"/>
  <c r="R292" i="8"/>
  <c r="S291" i="8"/>
  <c r="R291" i="8"/>
  <c r="S290" i="8"/>
  <c r="R290" i="8"/>
  <c r="S289" i="8"/>
  <c r="R289" i="8"/>
  <c r="S288" i="8"/>
  <c r="R288" i="8"/>
  <c r="S287" i="8"/>
  <c r="R287" i="8"/>
  <c r="S286" i="8"/>
  <c r="R286" i="8"/>
  <c r="S285" i="8"/>
  <c r="R285" i="8"/>
  <c r="S284" i="8"/>
  <c r="R284" i="8"/>
  <c r="S283" i="8"/>
  <c r="R283" i="8"/>
  <c r="S282" i="8"/>
  <c r="R282" i="8"/>
  <c r="S281" i="8"/>
  <c r="R281" i="8"/>
  <c r="S280" i="8"/>
  <c r="R280" i="8"/>
  <c r="S279" i="8"/>
  <c r="R279" i="8"/>
  <c r="S278" i="8"/>
  <c r="R278" i="8"/>
  <c r="S277" i="8"/>
  <c r="R277" i="8"/>
  <c r="S276" i="8"/>
  <c r="R276" i="8"/>
  <c r="S275" i="8"/>
  <c r="R275" i="8"/>
  <c r="S274" i="8"/>
  <c r="R274" i="8"/>
  <c r="S273" i="8"/>
  <c r="R273" i="8"/>
  <c r="S272" i="8"/>
  <c r="R272" i="8"/>
  <c r="S271" i="8"/>
  <c r="R271" i="8"/>
  <c r="S270" i="8"/>
  <c r="R270" i="8"/>
  <c r="S269" i="8"/>
  <c r="R269" i="8"/>
  <c r="S268" i="8"/>
  <c r="R268" i="8"/>
  <c r="S267" i="8"/>
  <c r="R267" i="8"/>
  <c r="S266" i="8"/>
  <c r="R266" i="8"/>
  <c r="S265" i="8"/>
  <c r="R265" i="8"/>
  <c r="S264" i="8"/>
  <c r="R264" i="8"/>
  <c r="S263" i="8"/>
  <c r="R263" i="8"/>
  <c r="S262" i="8"/>
  <c r="R262" i="8"/>
  <c r="S261" i="8"/>
  <c r="R261" i="8"/>
  <c r="S260" i="8"/>
  <c r="R260" i="8"/>
  <c r="S259" i="8"/>
  <c r="R259" i="8"/>
  <c r="S258" i="8"/>
  <c r="R258" i="8"/>
  <c r="S257" i="8"/>
  <c r="R257" i="8"/>
  <c r="S256" i="8"/>
  <c r="R256" i="8"/>
  <c r="S255" i="8"/>
  <c r="R255" i="8"/>
  <c r="S254" i="8"/>
  <c r="R254" i="8"/>
  <c r="S253" i="8"/>
  <c r="R253" i="8"/>
  <c r="S252" i="8"/>
  <c r="R252" i="8"/>
  <c r="S251" i="8"/>
  <c r="R251" i="8"/>
  <c r="S250" i="8"/>
  <c r="R250" i="8"/>
  <c r="S249" i="8"/>
  <c r="R249" i="8"/>
  <c r="S248" i="8"/>
  <c r="R248" i="8"/>
  <c r="S247" i="8"/>
  <c r="R247" i="8"/>
  <c r="S246" i="8"/>
  <c r="R246" i="8"/>
  <c r="S245" i="8"/>
  <c r="R245" i="8"/>
  <c r="S244" i="8"/>
  <c r="R244" i="8"/>
  <c r="S243" i="8"/>
  <c r="R243" i="8"/>
  <c r="S242" i="8"/>
  <c r="R242" i="8"/>
  <c r="S241" i="8"/>
  <c r="R241" i="8"/>
  <c r="S240" i="8"/>
  <c r="R240" i="8"/>
  <c r="S239" i="8"/>
  <c r="R239" i="8"/>
  <c r="S238" i="8"/>
  <c r="R238" i="8"/>
  <c r="S237" i="8"/>
  <c r="R237" i="8"/>
  <c r="S236" i="8"/>
  <c r="R236" i="8"/>
  <c r="S235" i="8"/>
  <c r="R235" i="8"/>
  <c r="S234" i="8"/>
  <c r="R234" i="8"/>
  <c r="S233" i="8"/>
  <c r="R233" i="8"/>
  <c r="S232" i="8"/>
  <c r="R232" i="8"/>
  <c r="S231" i="8"/>
  <c r="R231" i="8"/>
  <c r="S230" i="8"/>
  <c r="R230" i="8"/>
  <c r="S229" i="8"/>
  <c r="R229" i="8"/>
  <c r="S228" i="8"/>
  <c r="R228" i="8"/>
  <c r="S227" i="8"/>
  <c r="R227" i="8"/>
  <c r="S226" i="8"/>
  <c r="R226" i="8"/>
  <c r="S225" i="8"/>
  <c r="R225" i="8"/>
  <c r="S224" i="8"/>
  <c r="R224" i="8"/>
  <c r="S223" i="8"/>
  <c r="R223" i="8"/>
  <c r="S222" i="8"/>
  <c r="R222" i="8"/>
  <c r="S221" i="8"/>
  <c r="R221" i="8"/>
  <c r="S220" i="8"/>
  <c r="R220" i="8"/>
  <c r="S219" i="8"/>
  <c r="R219" i="8"/>
  <c r="S218" i="8"/>
  <c r="R218" i="8"/>
  <c r="S217" i="8"/>
  <c r="R217" i="8"/>
  <c r="S216" i="8"/>
  <c r="R216" i="8"/>
  <c r="S215" i="8"/>
  <c r="R215" i="8"/>
  <c r="S214" i="8"/>
  <c r="R214" i="8"/>
  <c r="S213" i="8"/>
  <c r="R213" i="8"/>
  <c r="S212" i="8"/>
  <c r="R212" i="8"/>
  <c r="S211" i="8"/>
  <c r="R211" i="8"/>
  <c r="S210" i="8"/>
  <c r="R210" i="8"/>
  <c r="S209" i="8"/>
  <c r="R209" i="8"/>
  <c r="S208" i="8"/>
  <c r="R208" i="8"/>
  <c r="S207" i="8"/>
  <c r="R207" i="8"/>
  <c r="S206" i="8"/>
  <c r="R206" i="8"/>
  <c r="S205" i="8"/>
  <c r="R205" i="8"/>
  <c r="S204" i="8"/>
  <c r="R204" i="8"/>
  <c r="S203" i="8"/>
  <c r="R203" i="8"/>
  <c r="S202" i="8"/>
  <c r="R202" i="8"/>
  <c r="S201" i="8"/>
  <c r="R201" i="8"/>
  <c r="S200" i="8"/>
  <c r="R200" i="8"/>
  <c r="S199" i="8"/>
  <c r="R199" i="8"/>
  <c r="S198" i="8"/>
  <c r="R198" i="8"/>
  <c r="S197" i="8"/>
  <c r="R197" i="8"/>
  <c r="S196" i="8"/>
  <c r="R196" i="8"/>
  <c r="S195" i="8"/>
  <c r="R195" i="8"/>
  <c r="S194" i="8"/>
  <c r="R194" i="8"/>
  <c r="S193" i="8"/>
  <c r="R193" i="8"/>
  <c r="S192" i="8"/>
  <c r="R192" i="8"/>
  <c r="S191" i="8"/>
  <c r="R191" i="8"/>
  <c r="S190" i="8"/>
  <c r="R190" i="8"/>
  <c r="S189" i="8"/>
  <c r="R189" i="8"/>
  <c r="S188" i="8"/>
  <c r="R188" i="8"/>
  <c r="S187" i="8"/>
  <c r="R187" i="8"/>
  <c r="S186" i="8"/>
  <c r="R186" i="8"/>
  <c r="S185" i="8"/>
  <c r="R185" i="8"/>
  <c r="S184" i="8"/>
  <c r="R184" i="8"/>
  <c r="S183" i="8"/>
  <c r="R183" i="8"/>
  <c r="S182" i="8"/>
  <c r="R182" i="8"/>
  <c r="S181" i="8"/>
  <c r="R181" i="8"/>
  <c r="S180" i="8"/>
  <c r="R180" i="8"/>
  <c r="S179" i="8"/>
  <c r="R179" i="8"/>
  <c r="S178" i="8"/>
  <c r="R178" i="8"/>
  <c r="S177" i="8"/>
  <c r="R177" i="8"/>
  <c r="S176" i="8"/>
  <c r="R176" i="8"/>
  <c r="S175" i="8"/>
  <c r="R175" i="8"/>
  <c r="S174" i="8"/>
  <c r="R174" i="8"/>
  <c r="S173" i="8"/>
  <c r="R173" i="8"/>
  <c r="S172" i="8"/>
  <c r="R172" i="8"/>
  <c r="S171" i="8"/>
  <c r="R171" i="8"/>
  <c r="S170" i="8"/>
  <c r="R170" i="8"/>
  <c r="S169" i="8"/>
  <c r="R169" i="8"/>
  <c r="S168" i="8"/>
  <c r="R168" i="8"/>
  <c r="S167" i="8"/>
  <c r="R167" i="8"/>
  <c r="S166" i="8"/>
  <c r="R166" i="8"/>
  <c r="S165" i="8"/>
  <c r="R165" i="8"/>
  <c r="S164" i="8"/>
  <c r="R164" i="8"/>
  <c r="S163" i="8"/>
  <c r="R163" i="8"/>
  <c r="S162" i="8"/>
  <c r="R162" i="8"/>
  <c r="S161" i="8"/>
  <c r="R161" i="8"/>
  <c r="S160" i="8"/>
  <c r="R160" i="8"/>
  <c r="S159" i="8"/>
  <c r="R159" i="8"/>
  <c r="S158" i="8"/>
  <c r="R158" i="8"/>
  <c r="S157" i="8"/>
  <c r="R157" i="8"/>
  <c r="S156" i="8"/>
  <c r="R156" i="8"/>
  <c r="S155" i="8"/>
  <c r="R155" i="8"/>
  <c r="S154" i="8"/>
  <c r="R154" i="8"/>
  <c r="S153" i="8"/>
  <c r="R153" i="8"/>
  <c r="S152" i="8"/>
  <c r="R152" i="8"/>
  <c r="S151" i="8"/>
  <c r="R151" i="8"/>
  <c r="S150" i="8"/>
  <c r="R150" i="8"/>
  <c r="S149" i="8"/>
  <c r="R149" i="8"/>
  <c r="S148" i="8"/>
  <c r="R148" i="8"/>
  <c r="S147" i="8"/>
  <c r="R147" i="8"/>
  <c r="S146" i="8"/>
  <c r="R146" i="8"/>
  <c r="S145" i="8"/>
  <c r="R145" i="8"/>
  <c r="S144" i="8"/>
  <c r="R144" i="8"/>
  <c r="S143" i="8"/>
  <c r="R143" i="8"/>
  <c r="S142" i="8"/>
  <c r="R142" i="8"/>
  <c r="S141" i="8"/>
  <c r="R141" i="8"/>
  <c r="S140" i="8"/>
  <c r="R140" i="8"/>
  <c r="S139" i="8"/>
  <c r="R139" i="8"/>
  <c r="S138" i="8"/>
  <c r="R138" i="8"/>
  <c r="S137" i="8"/>
  <c r="R137" i="8"/>
  <c r="S136" i="8"/>
  <c r="R136" i="8"/>
  <c r="S135" i="8"/>
  <c r="R135" i="8"/>
  <c r="S134" i="8"/>
  <c r="R134" i="8"/>
  <c r="S133" i="8"/>
  <c r="R133" i="8"/>
  <c r="S132" i="8"/>
  <c r="R132" i="8"/>
  <c r="S131" i="8"/>
  <c r="R131" i="8"/>
  <c r="S130" i="8"/>
  <c r="R130" i="8"/>
  <c r="S129" i="8"/>
  <c r="R129" i="8"/>
  <c r="S128" i="8"/>
  <c r="R128" i="8"/>
  <c r="S127" i="8"/>
  <c r="R127" i="8"/>
  <c r="S126" i="8"/>
  <c r="R126" i="8"/>
  <c r="S125" i="8"/>
  <c r="R125" i="8"/>
  <c r="S124" i="8"/>
  <c r="R124" i="8"/>
  <c r="S123" i="8"/>
  <c r="R123" i="8"/>
  <c r="S122" i="8"/>
  <c r="R122" i="8"/>
  <c r="S121" i="8"/>
  <c r="R121" i="8"/>
  <c r="S120" i="8"/>
  <c r="R120" i="8"/>
  <c r="S119" i="8"/>
  <c r="R119" i="8"/>
  <c r="S118" i="8"/>
  <c r="R118" i="8"/>
  <c r="S117" i="8"/>
  <c r="R117" i="8"/>
  <c r="S116" i="8"/>
  <c r="R116" i="8"/>
  <c r="S115" i="8"/>
  <c r="R115" i="8"/>
  <c r="S114" i="8"/>
  <c r="R114" i="8"/>
  <c r="S113" i="8"/>
  <c r="R113" i="8"/>
  <c r="S112" i="8"/>
  <c r="R112" i="8"/>
  <c r="S111" i="8"/>
  <c r="R111" i="8"/>
  <c r="S110" i="8"/>
  <c r="R110" i="8"/>
  <c r="S109" i="8"/>
  <c r="R109" i="8"/>
  <c r="S108" i="8"/>
  <c r="R108" i="8"/>
  <c r="S107" i="8"/>
  <c r="R107" i="8"/>
  <c r="S106" i="8"/>
  <c r="R106" i="8"/>
  <c r="S105" i="8"/>
  <c r="R105" i="8"/>
  <c r="S104" i="8"/>
  <c r="R104" i="8"/>
  <c r="S103" i="8"/>
  <c r="R103" i="8"/>
  <c r="S102" i="8"/>
  <c r="R102" i="8"/>
  <c r="S101" i="8"/>
  <c r="R101" i="8"/>
  <c r="S100" i="8"/>
  <c r="R100" i="8"/>
  <c r="S99" i="8"/>
  <c r="R99" i="8"/>
  <c r="S98" i="8"/>
  <c r="R98" i="8"/>
  <c r="S97" i="8"/>
  <c r="R97" i="8"/>
  <c r="S96" i="8"/>
  <c r="R96" i="8"/>
  <c r="S95" i="8"/>
  <c r="R95" i="8"/>
  <c r="S94" i="8"/>
  <c r="R94" i="8"/>
  <c r="S93" i="8"/>
  <c r="R93" i="8"/>
  <c r="S92" i="8"/>
  <c r="R92" i="8"/>
  <c r="S91" i="8"/>
  <c r="R91" i="8"/>
  <c r="S90" i="8"/>
  <c r="R90" i="8"/>
  <c r="S89" i="8"/>
  <c r="R89" i="8"/>
  <c r="S88" i="8"/>
  <c r="R88" i="8"/>
  <c r="S87" i="8"/>
  <c r="R87" i="8"/>
  <c r="S86" i="8"/>
  <c r="R86" i="8"/>
  <c r="S85" i="8"/>
  <c r="R85" i="8"/>
  <c r="S84" i="8"/>
  <c r="R84" i="8"/>
  <c r="S83" i="8"/>
  <c r="R83" i="8"/>
  <c r="S82" i="8"/>
  <c r="R82" i="8"/>
  <c r="S81" i="8"/>
  <c r="R81" i="8"/>
  <c r="S80" i="8"/>
  <c r="R80" i="8"/>
  <c r="S79" i="8"/>
  <c r="R79" i="8"/>
  <c r="S78" i="8"/>
  <c r="R78" i="8"/>
  <c r="S77" i="8"/>
  <c r="R77" i="8"/>
  <c r="S76" i="8"/>
  <c r="R76" i="8"/>
  <c r="S75" i="8"/>
  <c r="R75" i="8"/>
  <c r="S74" i="8"/>
  <c r="R74" i="8"/>
  <c r="S73" i="8"/>
  <c r="R73" i="8"/>
  <c r="S72" i="8"/>
  <c r="R72" i="8"/>
  <c r="S71" i="8"/>
  <c r="R71" i="8"/>
  <c r="S70" i="8"/>
  <c r="R70" i="8"/>
  <c r="S69" i="8"/>
  <c r="R69" i="8"/>
  <c r="S68" i="8"/>
  <c r="R68" i="8"/>
  <c r="S67" i="8"/>
  <c r="R67" i="8"/>
  <c r="S66" i="8"/>
  <c r="R66" i="8"/>
  <c r="S65" i="8"/>
  <c r="R65" i="8"/>
  <c r="S64" i="8"/>
  <c r="R64" i="8"/>
  <c r="S63" i="8"/>
  <c r="R63" i="8"/>
  <c r="S62" i="8"/>
  <c r="R62" i="8"/>
  <c r="S61" i="8"/>
  <c r="R61" i="8"/>
  <c r="S60" i="8"/>
  <c r="R60" i="8"/>
  <c r="S59" i="8"/>
  <c r="R59" i="8"/>
  <c r="S58" i="8"/>
  <c r="R58" i="8"/>
  <c r="S57" i="8"/>
  <c r="R57" i="8"/>
  <c r="S56" i="8"/>
  <c r="R56" i="8"/>
  <c r="S55" i="8"/>
  <c r="R55" i="8"/>
  <c r="S54" i="8"/>
  <c r="R54" i="8"/>
  <c r="S53" i="8"/>
  <c r="R53" i="8"/>
  <c r="S52" i="8"/>
  <c r="R52" i="8"/>
  <c r="S51" i="8"/>
  <c r="R51" i="8"/>
  <c r="S50" i="8"/>
  <c r="R50" i="8"/>
  <c r="S49" i="8"/>
  <c r="R49" i="8"/>
  <c r="S48" i="8"/>
  <c r="R48" i="8"/>
  <c r="S47" i="8"/>
  <c r="R47" i="8"/>
  <c r="S46" i="8"/>
  <c r="R46" i="8"/>
  <c r="S45" i="8"/>
  <c r="R45" i="8"/>
  <c r="S44" i="8"/>
  <c r="R44" i="8"/>
  <c r="S43" i="8"/>
  <c r="R43" i="8"/>
  <c r="S42" i="8"/>
  <c r="R42" i="8"/>
  <c r="S41" i="8"/>
  <c r="R41" i="8"/>
  <c r="S40" i="8"/>
  <c r="R40" i="8"/>
  <c r="S39" i="8"/>
  <c r="R39" i="8"/>
  <c r="S38" i="8"/>
  <c r="R38" i="8"/>
  <c r="S37" i="8"/>
  <c r="R37" i="8"/>
  <c r="S36" i="8"/>
  <c r="R36" i="8"/>
  <c r="S35" i="8"/>
  <c r="R35" i="8"/>
  <c r="S34" i="8"/>
  <c r="R34" i="8"/>
  <c r="S33" i="8"/>
  <c r="R33" i="8"/>
  <c r="S32" i="8"/>
  <c r="R32" i="8"/>
  <c r="S31" i="8"/>
  <c r="R31" i="8"/>
  <c r="S30" i="8"/>
  <c r="R30" i="8"/>
  <c r="S29" i="8"/>
  <c r="R29" i="8"/>
  <c r="S28" i="8"/>
  <c r="R28" i="8"/>
  <c r="S27" i="8"/>
  <c r="R27" i="8"/>
  <c r="S26" i="8"/>
  <c r="R26" i="8"/>
  <c r="S25" i="8"/>
  <c r="R25" i="8"/>
  <c r="S24" i="8"/>
  <c r="R24" i="8"/>
  <c r="S23" i="8"/>
  <c r="R23" i="8"/>
  <c r="S22" i="8"/>
  <c r="R22" i="8"/>
  <c r="S21" i="8"/>
  <c r="R21" i="8"/>
  <c r="S20" i="8"/>
  <c r="R20" i="8"/>
  <c r="S19" i="8"/>
  <c r="R19" i="8"/>
  <c r="S18" i="8"/>
  <c r="R18" i="8"/>
  <c r="S17" i="8"/>
  <c r="R17" i="8"/>
  <c r="S16" i="8"/>
  <c r="R16" i="8"/>
  <c r="S15" i="8"/>
  <c r="R15" i="8"/>
  <c r="S14" i="8"/>
  <c r="R14" i="8"/>
  <c r="S13" i="8"/>
  <c r="R13" i="8"/>
  <c r="S12" i="8"/>
  <c r="R12" i="8"/>
  <c r="S11" i="8"/>
  <c r="R11" i="8"/>
  <c r="S10" i="8"/>
  <c r="R10" i="8"/>
  <c r="S9" i="8"/>
  <c r="R9" i="8"/>
  <c r="S8" i="8"/>
  <c r="R8" i="8"/>
  <c r="S7" i="8"/>
  <c r="R7" i="8"/>
  <c r="S6" i="8"/>
  <c r="R6" i="8"/>
  <c r="B2" i="8"/>
  <c r="T768" i="4"/>
  <c r="S768" i="4"/>
  <c r="T767" i="4"/>
  <c r="S767" i="4"/>
  <c r="T766" i="4"/>
  <c r="S766" i="4"/>
  <c r="T765" i="4"/>
  <c r="S765" i="4"/>
  <c r="T764" i="4"/>
  <c r="S764" i="4"/>
  <c r="T763" i="4"/>
  <c r="S763" i="4"/>
  <c r="T762" i="4"/>
  <c r="S762" i="4"/>
  <c r="T761" i="4"/>
  <c r="S761" i="4"/>
  <c r="T760" i="4"/>
  <c r="S760" i="4"/>
  <c r="T759" i="4"/>
  <c r="S759" i="4"/>
  <c r="T758" i="4"/>
  <c r="S758" i="4"/>
  <c r="T757" i="4"/>
  <c r="S757" i="4"/>
  <c r="T756" i="4"/>
  <c r="S756" i="4"/>
  <c r="T755" i="4"/>
  <c r="S755" i="4"/>
  <c r="T754" i="4"/>
  <c r="S754" i="4"/>
  <c r="T753" i="4"/>
  <c r="S753" i="4"/>
  <c r="T752" i="4"/>
  <c r="S752" i="4"/>
  <c r="T751" i="4"/>
  <c r="S751" i="4"/>
  <c r="T750" i="4"/>
  <c r="S750" i="4"/>
  <c r="T749" i="4"/>
  <c r="S749" i="4"/>
  <c r="T748" i="4"/>
  <c r="S748" i="4"/>
  <c r="T747" i="4"/>
  <c r="S747" i="4"/>
  <c r="T746" i="4"/>
  <c r="S746" i="4"/>
  <c r="T745" i="4"/>
  <c r="S745" i="4"/>
  <c r="T744" i="4"/>
  <c r="S744" i="4"/>
  <c r="T743" i="4"/>
  <c r="S743" i="4"/>
  <c r="T742" i="4"/>
  <c r="S742" i="4"/>
  <c r="T741" i="4"/>
  <c r="S741" i="4"/>
  <c r="T740" i="4"/>
  <c r="S740" i="4"/>
  <c r="T739" i="4"/>
  <c r="S739" i="4"/>
  <c r="T738" i="4"/>
  <c r="S738" i="4"/>
  <c r="T737" i="4"/>
  <c r="S737" i="4"/>
  <c r="T736" i="4"/>
  <c r="S736" i="4"/>
  <c r="T735" i="4"/>
  <c r="S735" i="4"/>
  <c r="T734" i="4"/>
  <c r="S734" i="4"/>
  <c r="T733" i="4"/>
  <c r="S733" i="4"/>
  <c r="T732" i="4"/>
  <c r="S732" i="4"/>
  <c r="T731" i="4"/>
  <c r="S731" i="4"/>
  <c r="T730" i="4"/>
  <c r="S730" i="4"/>
  <c r="T729" i="4"/>
  <c r="S729" i="4"/>
  <c r="T728" i="4"/>
  <c r="S728" i="4"/>
  <c r="T727" i="4"/>
  <c r="S727" i="4"/>
  <c r="T726" i="4"/>
  <c r="S726" i="4"/>
  <c r="T725" i="4"/>
  <c r="S725" i="4"/>
  <c r="T724" i="4"/>
  <c r="S724" i="4"/>
  <c r="T723" i="4"/>
  <c r="S723" i="4"/>
  <c r="T722" i="4"/>
  <c r="S722" i="4"/>
  <c r="T721" i="4"/>
  <c r="S721" i="4"/>
  <c r="T720" i="4"/>
  <c r="S720" i="4"/>
  <c r="T719" i="4"/>
  <c r="S719" i="4"/>
  <c r="T718" i="4"/>
  <c r="S718" i="4"/>
  <c r="T717" i="4"/>
  <c r="S717" i="4"/>
  <c r="T716" i="4"/>
  <c r="S716" i="4"/>
  <c r="T715" i="4"/>
  <c r="S715" i="4"/>
  <c r="T714" i="4"/>
  <c r="S714" i="4"/>
  <c r="T713" i="4"/>
  <c r="S713" i="4"/>
  <c r="T712" i="4"/>
  <c r="S712" i="4"/>
  <c r="T711" i="4"/>
  <c r="S711" i="4"/>
  <c r="T710" i="4"/>
  <c r="S710" i="4"/>
  <c r="T709" i="4"/>
  <c r="S709" i="4"/>
  <c r="T708" i="4"/>
  <c r="S708" i="4"/>
  <c r="T707" i="4"/>
  <c r="S707" i="4"/>
  <c r="T706" i="4"/>
  <c r="S706" i="4"/>
  <c r="T705" i="4"/>
  <c r="S705" i="4"/>
  <c r="T704" i="4"/>
  <c r="S704" i="4"/>
  <c r="T703" i="4"/>
  <c r="S703" i="4"/>
  <c r="T702" i="4"/>
  <c r="S702" i="4"/>
  <c r="T701" i="4"/>
  <c r="S701" i="4"/>
  <c r="T700" i="4"/>
  <c r="S700" i="4"/>
  <c r="T699" i="4"/>
  <c r="S699" i="4"/>
  <c r="T698" i="4"/>
  <c r="S698" i="4"/>
  <c r="T697" i="4"/>
  <c r="S697" i="4"/>
  <c r="T696" i="4"/>
  <c r="S696" i="4"/>
  <c r="T695" i="4"/>
  <c r="S695" i="4"/>
  <c r="T694" i="4"/>
  <c r="S694" i="4"/>
  <c r="T693" i="4"/>
  <c r="S693" i="4"/>
  <c r="T692" i="4"/>
  <c r="S692" i="4"/>
  <c r="T691" i="4"/>
  <c r="S691" i="4"/>
  <c r="T690" i="4"/>
  <c r="S690" i="4"/>
  <c r="T689" i="4"/>
  <c r="S689" i="4"/>
  <c r="T688" i="4"/>
  <c r="S688" i="4"/>
  <c r="T687" i="4"/>
  <c r="S687" i="4"/>
  <c r="T686" i="4"/>
  <c r="S686" i="4"/>
  <c r="T685" i="4"/>
  <c r="S685" i="4"/>
  <c r="T684" i="4"/>
  <c r="S684" i="4"/>
  <c r="T683" i="4"/>
  <c r="S683" i="4"/>
  <c r="T682" i="4"/>
  <c r="S682" i="4"/>
  <c r="T681" i="4"/>
  <c r="S681" i="4"/>
  <c r="T680" i="4"/>
  <c r="S680" i="4"/>
  <c r="T679" i="4"/>
  <c r="S679" i="4"/>
  <c r="T678" i="4"/>
  <c r="S678" i="4"/>
  <c r="T677" i="4"/>
  <c r="S677" i="4"/>
  <c r="T676" i="4"/>
  <c r="S676" i="4"/>
  <c r="T675" i="4"/>
  <c r="S675" i="4"/>
  <c r="T674" i="4"/>
  <c r="S674" i="4"/>
  <c r="T673" i="4"/>
  <c r="S673" i="4"/>
  <c r="T672" i="4"/>
  <c r="S672" i="4"/>
  <c r="T671" i="4"/>
  <c r="S671" i="4"/>
  <c r="T670" i="4"/>
  <c r="S670" i="4"/>
  <c r="T669" i="4"/>
  <c r="S669" i="4"/>
  <c r="T668" i="4"/>
  <c r="S668" i="4"/>
  <c r="T667" i="4"/>
  <c r="S667" i="4"/>
  <c r="T666" i="4"/>
  <c r="S666" i="4"/>
  <c r="T665" i="4"/>
  <c r="S665" i="4"/>
  <c r="T664" i="4"/>
  <c r="S664" i="4"/>
  <c r="T663" i="4"/>
  <c r="S663" i="4"/>
  <c r="T662" i="4"/>
  <c r="S662" i="4"/>
  <c r="T661" i="4"/>
  <c r="S661" i="4"/>
  <c r="T660" i="4"/>
  <c r="S660" i="4"/>
  <c r="T659" i="4"/>
  <c r="S659" i="4"/>
  <c r="R1111" i="4" l="1"/>
  <c r="R1477" i="4"/>
  <c r="R1398" i="4"/>
  <c r="Q22" i="8"/>
  <c r="Q46" i="8"/>
  <c r="Q94" i="8"/>
  <c r="Q142" i="8"/>
  <c r="Q178" i="8"/>
  <c r="Q190" i="8"/>
  <c r="Q226" i="8"/>
  <c r="Q274" i="8"/>
  <c r="Q298" i="8"/>
  <c r="Q508" i="8"/>
  <c r="Q640" i="8"/>
  <c r="Q676" i="8"/>
  <c r="Q700" i="8"/>
  <c r="Q760" i="8"/>
  <c r="Q768" i="8"/>
  <c r="Q761" i="8"/>
  <c r="Q38" i="8"/>
  <c r="Q86" i="8"/>
  <c r="Q110" i="8"/>
  <c r="Q122" i="8"/>
  <c r="Q146" i="8"/>
  <c r="Q182" i="8"/>
  <c r="Q290" i="8"/>
  <c r="Q314" i="8"/>
  <c r="Q350" i="8"/>
  <c r="Q422" i="8"/>
  <c r="Q482" i="8"/>
  <c r="Q488" i="8"/>
  <c r="Q500" i="8"/>
  <c r="Q506" i="8"/>
  <c r="Q524" i="8"/>
  <c r="Q530" i="8"/>
  <c r="Q716" i="8"/>
  <c r="Q294" i="8"/>
  <c r="Q306" i="8"/>
  <c r="Q354" i="8"/>
  <c r="Q378" i="8"/>
  <c r="Q402" i="8"/>
  <c r="Q480" i="8"/>
  <c r="Q528" i="8"/>
  <c r="Q540" i="8"/>
  <c r="Q553" i="8"/>
  <c r="Q565" i="8"/>
  <c r="Q601" i="8"/>
  <c r="Q613" i="8"/>
  <c r="Q721" i="8"/>
  <c r="Q757" i="8"/>
  <c r="Q609" i="8"/>
  <c r="Q735" i="8"/>
  <c r="Q617" i="8"/>
  <c r="Q231" i="8"/>
  <c r="Q285" i="8"/>
  <c r="Q177" i="8"/>
  <c r="Q194" i="8"/>
  <c r="Q278" i="8"/>
  <c r="Q469" i="8"/>
  <c r="Q744" i="8"/>
  <c r="Q750" i="8"/>
  <c r="Q9" i="8"/>
  <c r="Q21" i="8"/>
  <c r="Q27" i="8"/>
  <c r="Q51" i="8"/>
  <c r="Q87" i="8"/>
  <c r="Q99" i="8"/>
  <c r="Q129" i="8"/>
  <c r="Q153" i="8"/>
  <c r="Q159" i="8"/>
  <c r="Q171" i="8"/>
  <c r="Q542" i="8"/>
  <c r="Q662" i="8"/>
  <c r="Q668" i="8"/>
  <c r="Q674" i="8"/>
  <c r="Q393" i="8"/>
  <c r="Q423" i="8"/>
  <c r="Q447" i="8"/>
  <c r="Q597" i="8"/>
  <c r="Q621" i="8"/>
  <c r="Q705" i="8"/>
  <c r="Q765" i="8"/>
  <c r="Q216" i="8"/>
  <c r="Q181" i="8"/>
  <c r="Q205" i="8"/>
  <c r="Q229" i="8"/>
  <c r="Q253" i="8"/>
  <c r="Q259" i="8"/>
  <c r="Q678" i="8"/>
  <c r="Q684" i="8"/>
  <c r="Q696" i="8"/>
  <c r="Q702" i="8"/>
  <c r="Q214" i="8"/>
  <c r="Q358" i="8"/>
  <c r="Q556" i="8"/>
  <c r="Q562" i="8"/>
  <c r="Q568" i="8"/>
  <c r="Q580" i="8"/>
  <c r="Q592" i="8"/>
  <c r="Q728" i="8"/>
  <c r="Q30" i="8"/>
  <c r="Q42" i="8"/>
  <c r="Q90" i="8"/>
  <c r="Q102" i="8"/>
  <c r="Q126" i="8"/>
  <c r="Q293" i="8"/>
  <c r="Q299" i="8"/>
  <c r="Q311" i="8"/>
  <c r="Q317" i="8"/>
  <c r="Q323" i="8"/>
  <c r="Q341" i="8"/>
  <c r="Q347" i="8"/>
  <c r="Q353" i="8"/>
  <c r="Q389" i="8"/>
  <c r="Q473" i="8"/>
  <c r="Q479" i="8"/>
  <c r="Q497" i="8"/>
  <c r="Q616" i="8"/>
  <c r="Q628" i="8"/>
  <c r="Q345" i="8"/>
  <c r="Q258" i="8"/>
  <c r="Q741" i="8"/>
  <c r="Q43" i="8"/>
  <c r="Q277" i="8"/>
  <c r="Q576" i="8"/>
  <c r="Q385" i="8"/>
  <c r="Q403" i="8"/>
  <c r="Q445" i="8"/>
  <c r="Q713" i="8"/>
  <c r="R1163" i="4"/>
  <c r="Q339" i="8"/>
  <c r="Q91" i="8"/>
  <c r="Q163" i="8"/>
  <c r="Q452" i="8"/>
  <c r="Q572" i="8"/>
  <c r="Q596" i="8"/>
  <c r="Q454" i="8"/>
  <c r="Q573" i="8"/>
  <c r="Q544" i="8"/>
  <c r="Q550" i="8"/>
  <c r="Q604" i="8"/>
  <c r="Q93" i="8"/>
  <c r="Q195" i="8"/>
  <c r="Q207" i="8"/>
  <c r="Q213" i="8"/>
  <c r="Q301" i="8"/>
  <c r="Q325" i="8"/>
  <c r="Q331" i="8"/>
  <c r="Q349" i="8"/>
  <c r="Q355" i="8"/>
  <c r="Q390" i="8"/>
  <c r="Q396" i="8"/>
  <c r="Q420" i="8"/>
  <c r="Q426" i="8"/>
  <c r="Q545" i="8"/>
  <c r="Q670" i="8"/>
  <c r="Q4" i="8"/>
  <c r="Q514" i="8"/>
  <c r="Q407" i="8"/>
  <c r="Q16" i="8"/>
  <c r="Q82" i="8"/>
  <c r="Q154" i="8"/>
  <c r="Q219" i="8"/>
  <c r="Q242" i="8"/>
  <c r="Q254" i="8"/>
  <c r="Q415" i="8"/>
  <c r="Q717" i="8"/>
  <c r="Q764" i="8"/>
  <c r="Q555" i="8"/>
  <c r="Q23" i="8"/>
  <c r="Q35" i="8"/>
  <c r="Q47" i="8"/>
  <c r="Q65" i="8"/>
  <c r="Q71" i="8"/>
  <c r="Q83" i="8"/>
  <c r="Q131" i="8"/>
  <c r="Q149" i="8"/>
  <c r="Q161" i="8"/>
  <c r="Q237" i="8"/>
  <c r="Q249" i="8"/>
  <c r="Q267" i="8"/>
  <c r="Q273" i="8"/>
  <c r="Q326" i="8"/>
  <c r="Q410" i="8"/>
  <c r="Q517" i="8"/>
  <c r="Q541" i="8"/>
  <c r="Q552" i="8"/>
  <c r="Q612" i="8"/>
  <c r="Q636" i="8"/>
  <c r="Q647" i="8"/>
  <c r="Q659" i="8"/>
  <c r="Q671" i="8"/>
  <c r="Q718" i="8"/>
  <c r="Q203" i="8"/>
  <c r="Q209" i="8"/>
  <c r="Q303" i="8"/>
  <c r="Q309" i="8"/>
  <c r="Q321" i="8"/>
  <c r="Q440" i="8"/>
  <c r="Q92" i="8"/>
  <c r="Q577" i="8"/>
  <c r="Q595" i="8"/>
  <c r="Q648" i="8"/>
  <c r="Q672" i="8"/>
  <c r="Q755" i="8"/>
  <c r="Q766" i="8"/>
  <c r="Q460" i="8"/>
  <c r="Q8" i="8"/>
  <c r="Q170" i="8"/>
  <c r="Q54" i="8"/>
  <c r="Q66" i="8"/>
  <c r="Q162" i="8"/>
  <c r="Q168" i="8"/>
  <c r="Q174" i="8"/>
  <c r="Q215" i="8"/>
  <c r="Q232" i="8"/>
  <c r="Q363" i="8"/>
  <c r="Q375" i="8"/>
  <c r="Q411" i="8"/>
  <c r="Q602" i="8"/>
  <c r="Q13" i="8"/>
  <c r="Q31" i="8"/>
  <c r="Q49" i="8"/>
  <c r="Q67" i="8"/>
  <c r="Q97" i="8"/>
  <c r="Q109" i="8"/>
  <c r="Q127" i="8"/>
  <c r="Q269" i="8"/>
  <c r="Q322" i="8"/>
  <c r="Q346" i="8"/>
  <c r="Q370" i="8"/>
  <c r="Q382" i="8"/>
  <c r="Q418" i="8"/>
  <c r="Q495" i="8"/>
  <c r="Q578" i="8"/>
  <c r="Q584" i="8"/>
  <c r="Q626" i="8"/>
  <c r="Q632" i="8"/>
  <c r="Q125" i="8"/>
  <c r="Q622" i="8"/>
  <c r="Q61" i="8"/>
  <c r="Q155" i="8"/>
  <c r="Q167" i="8"/>
  <c r="Q255" i="8"/>
  <c r="Q337" i="8"/>
  <c r="Q465" i="8"/>
  <c r="Q33" i="8"/>
  <c r="Q74" i="8"/>
  <c r="Q132" i="8"/>
  <c r="Q138" i="8"/>
  <c r="Q179" i="8"/>
  <c r="Q250" i="8"/>
  <c r="Q367" i="8"/>
  <c r="Q413" i="8"/>
  <c r="Q419" i="8"/>
  <c r="Q430" i="8"/>
  <c r="Q477" i="8"/>
  <c r="Q501" i="8"/>
  <c r="Q513" i="8"/>
  <c r="Q548" i="8"/>
  <c r="Q606" i="8"/>
  <c r="Q665" i="8"/>
  <c r="Q11" i="8"/>
  <c r="Q17" i="8"/>
  <c r="Q34" i="8"/>
  <c r="Q40" i="8"/>
  <c r="Q57" i="8"/>
  <c r="Q63" i="8"/>
  <c r="Q75" i="8"/>
  <c r="Q103" i="8"/>
  <c r="Q145" i="8"/>
  <c r="Q151" i="8"/>
  <c r="Q157" i="8"/>
  <c r="Q227" i="8"/>
  <c r="Q239" i="8"/>
  <c r="Q245" i="8"/>
  <c r="Q257" i="8"/>
  <c r="Q262" i="8"/>
  <c r="Q286" i="8"/>
  <c r="Q297" i="8"/>
  <c r="Q315" i="8"/>
  <c r="Q362" i="8"/>
  <c r="Q374" i="8"/>
  <c r="Q391" i="8"/>
  <c r="Q397" i="8"/>
  <c r="Q414" i="8"/>
  <c r="Q425" i="8"/>
  <c r="Q549" i="8"/>
  <c r="Q590" i="8"/>
  <c r="Q660" i="8"/>
  <c r="Q494" i="8"/>
  <c r="Q610" i="8"/>
  <c r="Q6" i="8"/>
  <c r="Q18" i="8"/>
  <c r="Q58" i="8"/>
  <c r="Q98" i="8"/>
  <c r="Q199" i="8"/>
  <c r="Q223" i="8"/>
  <c r="Q246" i="8"/>
  <c r="Q275" i="8"/>
  <c r="Q287" i="8"/>
  <c r="Q292" i="8"/>
  <c r="Q304" i="8"/>
  <c r="Q351" i="8"/>
  <c r="Q381" i="8"/>
  <c r="Q386" i="8"/>
  <c r="Q398" i="8"/>
  <c r="Q468" i="8"/>
  <c r="Q526" i="8"/>
  <c r="Q538" i="8"/>
  <c r="Q567" i="8"/>
  <c r="Q608" i="8"/>
  <c r="Q625" i="8"/>
  <c r="Q661" i="8"/>
  <c r="Q742" i="8"/>
  <c r="Q748" i="8"/>
  <c r="Q754" i="8"/>
  <c r="Q599" i="8"/>
  <c r="Q184" i="8"/>
  <c r="Q123" i="8"/>
  <c r="Q282" i="8"/>
  <c r="Q427" i="8"/>
  <c r="Q691" i="8"/>
  <c r="Q24" i="8"/>
  <c r="Q270" i="8"/>
  <c r="Q19" i="8"/>
  <c r="Q77" i="8"/>
  <c r="Q119" i="8"/>
  <c r="Q319" i="8"/>
  <c r="Q53" i="8"/>
  <c r="Q111" i="8"/>
  <c r="Q200" i="8"/>
  <c r="Q305" i="8"/>
  <c r="Q433" i="8"/>
  <c r="Q504" i="8"/>
  <c r="Q521" i="8"/>
  <c r="Q527" i="8"/>
  <c r="Q539" i="8"/>
  <c r="Q59" i="8"/>
  <c r="Q218" i="8"/>
  <c r="Q224" i="8"/>
  <c r="Q235" i="8"/>
  <c r="Q399" i="8"/>
  <c r="Q586" i="8"/>
  <c r="Q644" i="8"/>
  <c r="Q709" i="8"/>
  <c r="Q14" i="8"/>
  <c r="Q78" i="8"/>
  <c r="Q100" i="8"/>
  <c r="Q106" i="8"/>
  <c r="Q166" i="8"/>
  <c r="Q183" i="8"/>
  <c r="Q271" i="8"/>
  <c r="Q318" i="8"/>
  <c r="Q330" i="8"/>
  <c r="Q359" i="8"/>
  <c r="Q365" i="8"/>
  <c r="Q371" i="8"/>
  <c r="Q388" i="8"/>
  <c r="Q394" i="8"/>
  <c r="Q417" i="8"/>
  <c r="Q458" i="8"/>
  <c r="Q511" i="8"/>
  <c r="Q593" i="8"/>
  <c r="Q615" i="8"/>
  <c r="Q645" i="8"/>
  <c r="Q669" i="8"/>
  <c r="Q680" i="8"/>
  <c r="Q692" i="8"/>
  <c r="Q704" i="8"/>
  <c r="Q710" i="8"/>
  <c r="Q726" i="8"/>
  <c r="Q279" i="8"/>
  <c r="Q81" i="8"/>
  <c r="Q198" i="8"/>
  <c r="Q70" i="8"/>
  <c r="Q76" i="8"/>
  <c r="Q193" i="8"/>
  <c r="Q48" i="8"/>
  <c r="Q118" i="8"/>
  <c r="Q247" i="8"/>
  <c r="Q570" i="8"/>
  <c r="Q657" i="8"/>
  <c r="Q701" i="8"/>
  <c r="Q113" i="8"/>
  <c r="Q134" i="8"/>
  <c r="Q188" i="8"/>
  <c r="Q220" i="8"/>
  <c r="Q263" i="8"/>
  <c r="Q327" i="8"/>
  <c r="Q338" i="8"/>
  <c r="Q376" i="8"/>
  <c r="Q387" i="8"/>
  <c r="Q429" i="8"/>
  <c r="Q464" i="8"/>
  <c r="Q486" i="8"/>
  <c r="Q587" i="8"/>
  <c r="Q624" i="8"/>
  <c r="Q707" i="8"/>
  <c r="Q729" i="8"/>
  <c r="Q752" i="8"/>
  <c r="Q7" i="8"/>
  <c r="Q39" i="8"/>
  <c r="Q60" i="8"/>
  <c r="Q114" i="8"/>
  <c r="Q135" i="8"/>
  <c r="Q141" i="8"/>
  <c r="Q152" i="8"/>
  <c r="Q221" i="8"/>
  <c r="Q238" i="8"/>
  <c r="Q248" i="8"/>
  <c r="Q307" i="8"/>
  <c r="Q312" i="8"/>
  <c r="Q333" i="8"/>
  <c r="Q366" i="8"/>
  <c r="Q436" i="8"/>
  <c r="Q453" i="8"/>
  <c r="Q459" i="8"/>
  <c r="Q470" i="8"/>
  <c r="Q481" i="8"/>
  <c r="Q487" i="8"/>
  <c r="Q520" i="8"/>
  <c r="Q525" i="8"/>
  <c r="Q554" i="8"/>
  <c r="Q559" i="8"/>
  <c r="Q582" i="8"/>
  <c r="Q588" i="8"/>
  <c r="Q619" i="8"/>
  <c r="Q630" i="8"/>
  <c r="Q641" i="8"/>
  <c r="Q652" i="8"/>
  <c r="Q658" i="8"/>
  <c r="Q663" i="8"/>
  <c r="Q685" i="8"/>
  <c r="Q708" i="8"/>
  <c r="Q724" i="8"/>
  <c r="Q730" i="8"/>
  <c r="Q736" i="8"/>
  <c r="Q753" i="8"/>
  <c r="Q758" i="8"/>
  <c r="Q575" i="8"/>
  <c r="Q50" i="8"/>
  <c r="Q55" i="8"/>
  <c r="Q130" i="8"/>
  <c r="Q147" i="8"/>
  <c r="Q210" i="8"/>
  <c r="Q291" i="8"/>
  <c r="Q302" i="8"/>
  <c r="Q334" i="8"/>
  <c r="Q383" i="8"/>
  <c r="Q442" i="8"/>
  <c r="Q476" i="8"/>
  <c r="Q493" i="8"/>
  <c r="Q510" i="8"/>
  <c r="Q560" i="8"/>
  <c r="Q566" i="8"/>
  <c r="Q664" i="8"/>
  <c r="Q719" i="8"/>
  <c r="Q29" i="8"/>
  <c r="Q45" i="8"/>
  <c r="Q115" i="8"/>
  <c r="Q222" i="8"/>
  <c r="Q431" i="8"/>
  <c r="Q466" i="8"/>
  <c r="Q505" i="8"/>
  <c r="Q589" i="8"/>
  <c r="Q686" i="8"/>
  <c r="Q731" i="8"/>
  <c r="Q743" i="8"/>
  <c r="Q759" i="8"/>
  <c r="Q268" i="8"/>
  <c r="Q62" i="8"/>
  <c r="Q158" i="8"/>
  <c r="Q211" i="8"/>
  <c r="Q335" i="8"/>
  <c r="Q357" i="8"/>
  <c r="Q373" i="8"/>
  <c r="Q421" i="8"/>
  <c r="Q516" i="8"/>
  <c r="Q561" i="8"/>
  <c r="Q637" i="8"/>
  <c r="Q654" i="8"/>
  <c r="Q720" i="8"/>
  <c r="Q5" i="8"/>
  <c r="Q332" i="8"/>
  <c r="Q137" i="8"/>
  <c r="Q320" i="8"/>
  <c r="Q438" i="8"/>
  <c r="Q687" i="8"/>
  <c r="Q699" i="8"/>
  <c r="Q732" i="8"/>
  <c r="Q295" i="8"/>
  <c r="Q536" i="8"/>
  <c r="Q105" i="8"/>
  <c r="Q201" i="8"/>
  <c r="Q206" i="8"/>
  <c r="Q234" i="8"/>
  <c r="Q256" i="8"/>
  <c r="Q266" i="8"/>
  <c r="Q461" i="8"/>
  <c r="Q522" i="8"/>
  <c r="Q10" i="8"/>
  <c r="Q15" i="8"/>
  <c r="Q79" i="8"/>
  <c r="Q95" i="8"/>
  <c r="Q117" i="8"/>
  <c r="Q143" i="8"/>
  <c r="Q165" i="8"/>
  <c r="Q180" i="8"/>
  <c r="Q186" i="8"/>
  <c r="Q191" i="8"/>
  <c r="Q197" i="8"/>
  <c r="Q202" i="8"/>
  <c r="Q251" i="8"/>
  <c r="Q283" i="8"/>
  <c r="Q310" i="8"/>
  <c r="Q342" i="8"/>
  <c r="Q368" i="8"/>
  <c r="Q379" i="8"/>
  <c r="Q395" i="8"/>
  <c r="Q456" i="8"/>
  <c r="Q462" i="8"/>
  <c r="Q478" i="8"/>
  <c r="Q484" i="8"/>
  <c r="Q489" i="8"/>
  <c r="Q579" i="8"/>
  <c r="Q682" i="8"/>
  <c r="Q688" i="8"/>
  <c r="Q733" i="8"/>
  <c r="Q656" i="8"/>
  <c r="Q722" i="8"/>
  <c r="Q745" i="8"/>
  <c r="Q756" i="8"/>
  <c r="Q767" i="8"/>
  <c r="Q26" i="8"/>
  <c r="Q37" i="8"/>
  <c r="Q80" i="8"/>
  <c r="Q101" i="8"/>
  <c r="Q107" i="8"/>
  <c r="Q133" i="8"/>
  <c r="Q139" i="8"/>
  <c r="Q150" i="8"/>
  <c r="Q160" i="8"/>
  <c r="Q187" i="8"/>
  <c r="Q230" i="8"/>
  <c r="Q241" i="8"/>
  <c r="Q284" i="8"/>
  <c r="Q289" i="8"/>
  <c r="Q343" i="8"/>
  <c r="Q369" i="8"/>
  <c r="Q401" i="8"/>
  <c r="Q434" i="8"/>
  <c r="Q457" i="8"/>
  <c r="Q490" i="8"/>
  <c r="Q496" i="8"/>
  <c r="Q518" i="8"/>
  <c r="Q563" i="8"/>
  <c r="Q574" i="8"/>
  <c r="Q634" i="8"/>
  <c r="Q639" i="8"/>
  <c r="Q706" i="8"/>
  <c r="Q712" i="8"/>
  <c r="Q734" i="8"/>
  <c r="Q740" i="8"/>
  <c r="Q751" i="8"/>
  <c r="R1110" i="4"/>
  <c r="R1146" i="4"/>
  <c r="R1194" i="4"/>
  <c r="R1278" i="4"/>
  <c r="R1302" i="4"/>
  <c r="R1326" i="4"/>
  <c r="R1386" i="4"/>
  <c r="R1422" i="4"/>
  <c r="R1434" i="4"/>
  <c r="R1470" i="4"/>
  <c r="R1094" i="4"/>
  <c r="R1106" i="4"/>
  <c r="R1118" i="4"/>
  <c r="R1142" i="4"/>
  <c r="R1154" i="4"/>
  <c r="R1202" i="4"/>
  <c r="R1250" i="4"/>
  <c r="R701" i="4"/>
  <c r="R1083" i="4"/>
  <c r="R662" i="4"/>
  <c r="R668" i="4"/>
  <c r="R686" i="4"/>
  <c r="R716" i="4"/>
  <c r="R734" i="4"/>
  <c r="R740" i="4"/>
  <c r="R729" i="4"/>
  <c r="R783" i="4"/>
  <c r="R843" i="4"/>
  <c r="R915" i="4"/>
  <c r="R927" i="4"/>
  <c r="R981" i="4"/>
  <c r="R993" i="4"/>
  <c r="R1005" i="4"/>
  <c r="R1023" i="4"/>
  <c r="R1029" i="4"/>
  <c r="R742" i="4"/>
  <c r="R859" i="4"/>
  <c r="R937" i="4"/>
  <c r="R979" i="4"/>
  <c r="R1057" i="4"/>
  <c r="R1063" i="4"/>
  <c r="R1081" i="4"/>
  <c r="R673" i="4"/>
  <c r="R679" i="4"/>
  <c r="R721" i="4"/>
  <c r="R1059" i="4"/>
  <c r="R1071" i="4"/>
  <c r="R1101" i="4"/>
  <c r="R1149" i="4"/>
  <c r="R1323" i="4"/>
  <c r="R1419" i="4"/>
  <c r="R1461" i="4"/>
  <c r="R1485" i="4"/>
  <c r="R725" i="4"/>
  <c r="R678" i="4"/>
  <c r="R690" i="4"/>
  <c r="R714" i="4"/>
  <c r="R762" i="4"/>
  <c r="R768" i="4"/>
  <c r="R684" i="4"/>
  <c r="R746" i="4"/>
  <c r="R664" i="4"/>
  <c r="R670" i="4"/>
  <c r="R688" i="4"/>
  <c r="R694" i="4"/>
  <c r="R700" i="4"/>
  <c r="R712" i="4"/>
  <c r="R713" i="4"/>
  <c r="R737" i="4"/>
  <c r="R761" i="4"/>
  <c r="R724" i="4"/>
  <c r="R747" i="4"/>
  <c r="R776" i="4"/>
  <c r="R782" i="4"/>
  <c r="R800" i="4"/>
  <c r="R806" i="4"/>
  <c r="R824" i="4"/>
  <c r="R830" i="4"/>
  <c r="R836" i="4"/>
  <c r="R848" i="4"/>
  <c r="R872" i="4"/>
  <c r="R884" i="4"/>
  <c r="R896" i="4"/>
  <c r="R914" i="4"/>
  <c r="R920" i="4"/>
  <c r="R950" i="4"/>
  <c r="R962" i="4"/>
  <c r="R709" i="4"/>
  <c r="R749" i="4"/>
  <c r="R766" i="4"/>
  <c r="R778" i="4"/>
  <c r="R784" i="4"/>
  <c r="R796" i="4"/>
  <c r="R808" i="4"/>
  <c r="R832" i="4"/>
  <c r="R838" i="4"/>
  <c r="R856" i="4"/>
  <c r="R880" i="4"/>
  <c r="R892" i="4"/>
  <c r="R904" i="4"/>
  <c r="R946" i="4"/>
  <c r="R1018" i="4"/>
  <c r="R1042" i="4"/>
  <c r="R675" i="4"/>
  <c r="R692" i="4"/>
  <c r="R698" i="4"/>
  <c r="R726" i="4"/>
  <c r="R1390" i="4"/>
  <c r="R745" i="4"/>
  <c r="R665" i="4"/>
  <c r="R711" i="4"/>
  <c r="R660" i="4"/>
  <c r="R672" i="4"/>
  <c r="R706" i="4"/>
  <c r="R752" i="4"/>
  <c r="R758" i="4"/>
  <c r="R763" i="4"/>
  <c r="R704" i="4"/>
  <c r="R748" i="4"/>
  <c r="R754" i="4"/>
  <c r="R760" i="4"/>
  <c r="R765" i="4"/>
  <c r="R935" i="4"/>
  <c r="R971" i="4"/>
  <c r="R983" i="4"/>
  <c r="R1019" i="4"/>
  <c r="R1031" i="4"/>
  <c r="R1049" i="4"/>
  <c r="R1246" i="4"/>
  <c r="R1438" i="4"/>
  <c r="R682" i="4"/>
  <c r="R693" i="4"/>
  <c r="R699" i="4"/>
  <c r="R1217" i="4"/>
  <c r="R1481" i="4"/>
  <c r="R774" i="4"/>
  <c r="R786" i="4"/>
  <c r="R810" i="4"/>
  <c r="R816" i="4"/>
  <c r="R822" i="4"/>
  <c r="R858" i="4"/>
  <c r="R864" i="4"/>
  <c r="R894" i="4"/>
  <c r="R900" i="4"/>
  <c r="R918" i="4"/>
  <c r="R680" i="4"/>
  <c r="R661" i="4"/>
  <c r="R722" i="4"/>
  <c r="R756" i="4"/>
  <c r="R1198" i="4"/>
  <c r="R844" i="4"/>
  <c r="R1351" i="4"/>
  <c r="R708" i="4"/>
  <c r="R1158" i="4"/>
  <c r="R1182" i="4"/>
  <c r="R1338" i="4"/>
  <c r="R1374" i="4"/>
  <c r="R710" i="4"/>
  <c r="R1097" i="4"/>
  <c r="R663" i="4"/>
  <c r="R702" i="4"/>
  <c r="R728" i="4"/>
  <c r="R739" i="4"/>
  <c r="R750" i="4"/>
  <c r="R736" i="4"/>
  <c r="R764" i="4"/>
  <c r="R791" i="4"/>
  <c r="R887" i="4"/>
  <c r="R691" i="4"/>
  <c r="R697" i="4"/>
  <c r="R718" i="4"/>
  <c r="R659" i="4"/>
  <c r="R669" i="4"/>
  <c r="R674" i="4"/>
  <c r="R685" i="4"/>
  <c r="R720" i="4"/>
  <c r="R730" i="4"/>
  <c r="R741" i="4"/>
  <c r="R705" i="4"/>
  <c r="R779" i="4"/>
  <c r="R803" i="4"/>
  <c r="R899" i="4"/>
  <c r="R941" i="4"/>
  <c r="R965" i="4"/>
  <c r="R676" i="4"/>
  <c r="R681" i="4"/>
  <c r="R732" i="4"/>
  <c r="R753" i="4"/>
  <c r="R666" i="4"/>
  <c r="R677" i="4"/>
  <c r="R707" i="4"/>
  <c r="R717" i="4"/>
  <c r="R733" i="4"/>
  <c r="R738" i="4"/>
  <c r="R744" i="4"/>
  <c r="R689" i="4"/>
  <c r="R723" i="4"/>
  <c r="R759" i="4"/>
  <c r="R1482" i="4"/>
  <c r="R1129" i="4"/>
  <c r="R1141" i="4"/>
  <c r="R1153" i="4"/>
  <c r="R1159" i="4"/>
  <c r="R1219" i="4"/>
  <c r="R1255" i="4"/>
  <c r="R1447" i="4"/>
  <c r="R974" i="4"/>
  <c r="R1010" i="4"/>
  <c r="R1046" i="4"/>
  <c r="R715" i="4"/>
  <c r="R767" i="4"/>
  <c r="R1341" i="4"/>
  <c r="R671" i="4"/>
  <c r="R703" i="4"/>
  <c r="R727" i="4"/>
  <c r="R755" i="4"/>
  <c r="R994" i="4"/>
  <c r="R1066" i="4"/>
  <c r="R667" i="4"/>
  <c r="R719" i="4"/>
  <c r="R751" i="4"/>
  <c r="R696" i="4"/>
  <c r="R757" i="4"/>
  <c r="R1486" i="4"/>
  <c r="R695" i="4"/>
  <c r="R743" i="4"/>
  <c r="R1133" i="4"/>
  <c r="R1169" i="4"/>
  <c r="R1313" i="4"/>
  <c r="R1337" i="4"/>
  <c r="R1403" i="4"/>
  <c r="R1457" i="4"/>
  <c r="R687" i="4"/>
  <c r="R735" i="4"/>
  <c r="R775" i="4"/>
  <c r="R787" i="4"/>
  <c r="R895" i="4"/>
  <c r="R1098" i="4"/>
  <c r="R683" i="4"/>
  <c r="R731" i="4"/>
  <c r="R1455" i="4"/>
  <c r="R773" i="4"/>
  <c r="R1285" i="4"/>
  <c r="R883" i="4"/>
  <c r="R1119" i="4"/>
  <c r="R1207" i="4"/>
  <c r="R819" i="4"/>
  <c r="R1245" i="4"/>
  <c r="R1251" i="4"/>
  <c r="R1474" i="4"/>
  <c r="R975" i="4"/>
  <c r="R1033" i="4"/>
  <c r="R1275" i="4"/>
  <c r="R1333" i="4"/>
  <c r="R1393" i="4"/>
  <c r="R814" i="4"/>
  <c r="R831" i="4"/>
  <c r="R871" i="4"/>
  <c r="R932" i="4"/>
  <c r="R943" i="4"/>
  <c r="R1192" i="4"/>
  <c r="R1293" i="4"/>
  <c r="R1299" i="4"/>
  <c r="R1328" i="4"/>
  <c r="R1345" i="4"/>
  <c r="R1381" i="4"/>
  <c r="R1433" i="4"/>
  <c r="R1462" i="4"/>
  <c r="R1480" i="4"/>
  <c r="R953" i="4"/>
  <c r="R1009" i="4"/>
  <c r="R1131" i="4"/>
  <c r="R1409" i="4"/>
  <c r="R781" i="4"/>
  <c r="R826" i="4"/>
  <c r="R854" i="4"/>
  <c r="R860" i="4"/>
  <c r="R865" i="4"/>
  <c r="R949" i="4"/>
  <c r="R989" i="4"/>
  <c r="R1001" i="4"/>
  <c r="R1058" i="4"/>
  <c r="R1091" i="4"/>
  <c r="R1113" i="4"/>
  <c r="R1174" i="4"/>
  <c r="R1258" i="4"/>
  <c r="R1317" i="4"/>
  <c r="R1428" i="4"/>
  <c r="R987" i="4"/>
  <c r="R1079" i="4"/>
  <c r="R1269" i="4"/>
  <c r="R1361" i="4"/>
  <c r="R813" i="4"/>
  <c r="R770" i="4"/>
  <c r="R815" i="4"/>
  <c r="R878" i="4"/>
  <c r="R911" i="4"/>
  <c r="R921" i="4"/>
  <c r="R973" i="4"/>
  <c r="R1053" i="4"/>
  <c r="R1211" i="4"/>
  <c r="R1270" i="4"/>
  <c r="R1282" i="4"/>
  <c r="R1399" i="4"/>
  <c r="R1405" i="4"/>
  <c r="R1417" i="4"/>
  <c r="R1446" i="4"/>
  <c r="R1452" i="4"/>
  <c r="R1469" i="4"/>
  <c r="R1475" i="4"/>
  <c r="R849" i="4"/>
  <c r="R889" i="4"/>
  <c r="R1036" i="4"/>
  <c r="R1069" i="4"/>
  <c r="R1114" i="4"/>
  <c r="R1126" i="4"/>
  <c r="R1137" i="4"/>
  <c r="R1181" i="4"/>
  <c r="R1394" i="4"/>
  <c r="R1400" i="4"/>
  <c r="R1411" i="4"/>
  <c r="R771" i="4"/>
  <c r="R798" i="4"/>
  <c r="R804" i="4"/>
  <c r="R833" i="4"/>
  <c r="R906" i="4"/>
  <c r="R945" i="4"/>
  <c r="R963" i="4"/>
  <c r="R969" i="4"/>
  <c r="R1054" i="4"/>
  <c r="R1109" i="4"/>
  <c r="R1164" i="4"/>
  <c r="R1206" i="4"/>
  <c r="R1307" i="4"/>
  <c r="R867" i="4"/>
  <c r="R772" i="4"/>
  <c r="R777" i="4"/>
  <c r="R799" i="4"/>
  <c r="R839" i="4"/>
  <c r="R873" i="4"/>
  <c r="R879" i="4"/>
  <c r="R917" i="4"/>
  <c r="R997" i="4"/>
  <c r="R1026" i="4"/>
  <c r="R1037" i="4"/>
  <c r="R1093" i="4"/>
  <c r="R1127" i="4"/>
  <c r="R1283" i="4"/>
  <c r="R1471" i="4"/>
  <c r="R812" i="4"/>
  <c r="R852" i="4"/>
  <c r="R908" i="4"/>
  <c r="R930" i="4"/>
  <c r="R1050" i="4"/>
  <c r="R795" i="4"/>
  <c r="R847" i="4"/>
  <c r="R1039" i="4"/>
  <c r="R1145" i="4"/>
  <c r="R1385" i="4"/>
  <c r="R933" i="4"/>
  <c r="R985" i="4"/>
  <c r="R1041" i="4"/>
  <c r="R1105" i="4"/>
  <c r="R1123" i="4"/>
  <c r="R1297" i="4"/>
  <c r="R1365" i="4"/>
  <c r="R1451" i="4"/>
  <c r="R807" i="4"/>
  <c r="R842" i="4"/>
  <c r="R870" i="4"/>
  <c r="R876" i="4"/>
  <c r="R898" i="4"/>
  <c r="R925" i="4"/>
  <c r="R931" i="4"/>
  <c r="R948" i="4"/>
  <c r="R988" i="4"/>
  <c r="R1051" i="4"/>
  <c r="R1089" i="4"/>
  <c r="R1197" i="4"/>
  <c r="R1298" i="4"/>
  <c r="R1304" i="4"/>
  <c r="R793" i="4"/>
  <c r="R823" i="4"/>
  <c r="R851" i="4"/>
  <c r="R940" i="4"/>
  <c r="R998" i="4"/>
  <c r="R1076" i="4"/>
  <c r="R1189" i="4"/>
  <c r="R1201" i="4"/>
  <c r="R1389" i="4"/>
  <c r="R1407" i="4"/>
  <c r="R1413" i="4"/>
  <c r="R1289" i="4"/>
  <c r="R1371" i="4"/>
  <c r="R1429" i="4"/>
  <c r="R811" i="4"/>
  <c r="R817" i="4"/>
  <c r="R829" i="4"/>
  <c r="R891" i="4"/>
  <c r="R1021" i="4"/>
  <c r="R1027" i="4"/>
  <c r="R1150" i="4"/>
  <c r="R1155" i="4"/>
  <c r="R1160" i="4"/>
  <c r="R1171" i="4"/>
  <c r="R1225" i="4"/>
  <c r="R1237" i="4"/>
  <c r="R1261" i="4"/>
  <c r="R1331" i="4"/>
  <c r="R978" i="4"/>
  <c r="R788" i="4"/>
  <c r="R828" i="4"/>
  <c r="R850" i="4"/>
  <c r="R1448" i="4"/>
  <c r="R866" i="4"/>
  <c r="R1166" i="4"/>
  <c r="R1178" i="4"/>
  <c r="R1214" i="4"/>
  <c r="R1134" i="4"/>
  <c r="R1342" i="4"/>
  <c r="R1354" i="4"/>
  <c r="R1442" i="4"/>
  <c r="R794" i="4"/>
  <c r="R834" i="4"/>
  <c r="R922" i="4"/>
  <c r="R868" i="4"/>
  <c r="R874" i="4"/>
  <c r="R957" i="4"/>
  <c r="R1084" i="4"/>
  <c r="R1096" i="4"/>
  <c r="R1227" i="4"/>
  <c r="R1454" i="4"/>
  <c r="R780" i="4"/>
  <c r="R882" i="4"/>
  <c r="R992" i="4"/>
  <c r="R1024" i="4"/>
  <c r="R1078" i="4"/>
  <c r="R1222" i="4"/>
  <c r="R1370" i="4"/>
  <c r="R1130" i="4"/>
  <c r="R790" i="4"/>
  <c r="R805" i="4"/>
  <c r="R846" i="4"/>
  <c r="R861" i="4"/>
  <c r="R902" i="4"/>
  <c r="R907" i="4"/>
  <c r="R928" i="4"/>
  <c r="R955" i="4"/>
  <c r="R972" i="4"/>
  <c r="R977" i="4"/>
  <c r="R982" i="4"/>
  <c r="R1003" i="4"/>
  <c r="R1014" i="4"/>
  <c r="R1241" i="4"/>
  <c r="R1336" i="4"/>
  <c r="R1347" i="4"/>
  <c r="R1359" i="4"/>
  <c r="R1376" i="4"/>
  <c r="R1230" i="4"/>
  <c r="R1242" i="4"/>
  <c r="R1290" i="4"/>
  <c r="R821" i="4"/>
  <c r="R862" i="4"/>
  <c r="R903" i="4"/>
  <c r="R913" i="4"/>
  <c r="R923" i="4"/>
  <c r="R961" i="4"/>
  <c r="R967" i="4"/>
  <c r="R1062" i="4"/>
  <c r="R1115" i="4"/>
  <c r="R1186" i="4"/>
  <c r="R1212" i="4"/>
  <c r="R1280" i="4"/>
  <c r="R1427" i="4"/>
  <c r="R818" i="4"/>
  <c r="R890" i="4"/>
  <c r="R910" i="4"/>
  <c r="R958" i="4"/>
  <c r="R1006" i="4"/>
  <c r="R1022" i="4"/>
  <c r="R1086" i="4"/>
  <c r="R1220" i="4"/>
  <c r="R1254" i="4"/>
  <c r="R1260" i="4"/>
  <c r="R1294" i="4"/>
  <c r="R1316" i="4"/>
  <c r="R1350" i="4"/>
  <c r="R1424" i="4"/>
  <c r="R919" i="4"/>
  <c r="R939" i="4"/>
  <c r="R959" i="4"/>
  <c r="R1007" i="4"/>
  <c r="R1035" i="4"/>
  <c r="R1075" i="4"/>
  <c r="R1085" i="4"/>
  <c r="R1107" i="4"/>
  <c r="R1173" i="4"/>
  <c r="R1193" i="4"/>
  <c r="R1221" i="4"/>
  <c r="R1259" i="4"/>
  <c r="R1265" i="4"/>
  <c r="R1303" i="4"/>
  <c r="R875" i="4"/>
  <c r="R926" i="4"/>
  <c r="R970" i="4"/>
  <c r="R980" i="4"/>
  <c r="R1028" i="4"/>
  <c r="R1044" i="4"/>
  <c r="R1070" i="4"/>
  <c r="R1139" i="4"/>
  <c r="R1177" i="4"/>
  <c r="R1183" i="4"/>
  <c r="R1249" i="4"/>
  <c r="R1277" i="4"/>
  <c r="R1441" i="4"/>
  <c r="R820" i="4"/>
  <c r="R835" i="4"/>
  <c r="R840" i="4"/>
  <c r="R886" i="4"/>
  <c r="R901" i="4"/>
  <c r="R912" i="4"/>
  <c r="R954" i="4"/>
  <c r="R1002" i="4"/>
  <c r="R1013" i="4"/>
  <c r="R1045" i="4"/>
  <c r="R1061" i="4"/>
  <c r="R1234" i="4"/>
  <c r="R1240" i="4"/>
  <c r="R1256" i="4"/>
  <c r="R1364" i="4"/>
  <c r="R1375" i="4"/>
  <c r="R1437" i="4"/>
  <c r="R1443" i="4"/>
  <c r="R1466" i="4"/>
  <c r="R792" i="4"/>
  <c r="R801" i="4"/>
  <c r="R881" i="4"/>
  <c r="R984" i="4"/>
  <c r="R1124" i="4"/>
  <c r="R1187" i="4"/>
  <c r="R1229" i="4"/>
  <c r="R1311" i="4"/>
  <c r="R1322" i="4"/>
  <c r="R1327" i="4"/>
  <c r="R1355" i="4"/>
  <c r="R1432" i="4"/>
  <c r="R1453" i="4"/>
  <c r="R1476" i="4"/>
  <c r="R769" i="4"/>
  <c r="R802" i="4"/>
  <c r="R825" i="4"/>
  <c r="R853" i="4"/>
  <c r="R863" i="4"/>
  <c r="R877" i="4"/>
  <c r="R909" i="4"/>
  <c r="R924" i="4"/>
  <c r="R929" i="4"/>
  <c r="R934" i="4"/>
  <c r="R944" i="4"/>
  <c r="R1015" i="4"/>
  <c r="R1020" i="4"/>
  <c r="R1025" i="4"/>
  <c r="R1030" i="4"/>
  <c r="R1040" i="4"/>
  <c r="R1065" i="4"/>
  <c r="R1080" i="4"/>
  <c r="R1100" i="4"/>
  <c r="R1135" i="4"/>
  <c r="R1140" i="4"/>
  <c r="R1165" i="4"/>
  <c r="R1188" i="4"/>
  <c r="R1213" i="4"/>
  <c r="R1236" i="4"/>
  <c r="R1268" i="4"/>
  <c r="R1306" i="4"/>
  <c r="R1366" i="4"/>
  <c r="R1421" i="4"/>
  <c r="R1459" i="4"/>
  <c r="R1465" i="4"/>
  <c r="R827" i="4"/>
  <c r="R855" i="4"/>
  <c r="R869" i="4"/>
  <c r="R916" i="4"/>
  <c r="R966" i="4"/>
  <c r="R976" i="4"/>
  <c r="R991" i="4"/>
  <c r="R996" i="4"/>
  <c r="R1011" i="4"/>
  <c r="R1017" i="4"/>
  <c r="R1102" i="4"/>
  <c r="R1167" i="4"/>
  <c r="R1379" i="4"/>
  <c r="R1395" i="4"/>
  <c r="R1406" i="4"/>
  <c r="R1412" i="4"/>
  <c r="R1418" i="4"/>
  <c r="R1423" i="4"/>
  <c r="R1467" i="4"/>
  <c r="R785" i="4"/>
  <c r="R841" i="4"/>
  <c r="R888" i="4"/>
  <c r="R897" i="4"/>
  <c r="R936" i="4"/>
  <c r="R1032" i="4"/>
  <c r="R1067" i="4"/>
  <c r="R1082" i="4"/>
  <c r="R1122" i="4"/>
  <c r="R1147" i="4"/>
  <c r="R1162" i="4"/>
  <c r="R1179" i="4"/>
  <c r="R1210" i="4"/>
  <c r="R1308" i="4"/>
  <c r="R1330" i="4"/>
  <c r="R1346" i="4"/>
  <c r="R1352" i="4"/>
  <c r="R1358" i="4"/>
  <c r="R1363" i="4"/>
  <c r="R1369" i="4"/>
  <c r="R1380" i="4"/>
  <c r="R1450" i="4"/>
  <c r="R1090" i="4"/>
  <c r="R1138" i="4"/>
  <c r="R809" i="4"/>
  <c r="R857" i="4"/>
  <c r="R905" i="4"/>
  <c r="R942" i="4"/>
  <c r="R947" i="4"/>
  <c r="R952" i="4"/>
  <c r="R990" i="4"/>
  <c r="R995" i="4"/>
  <c r="R1000" i="4"/>
  <c r="R1038" i="4"/>
  <c r="R1043" i="4"/>
  <c r="R1048" i="4"/>
  <c r="R1087" i="4"/>
  <c r="R1092" i="4"/>
  <c r="R1121" i="4"/>
  <c r="R1136" i="4"/>
  <c r="R1172" i="4"/>
  <c r="R1203" i="4"/>
  <c r="R1208" i="4"/>
  <c r="R1235" i="4"/>
  <c r="R1288" i="4"/>
  <c r="R1318" i="4"/>
  <c r="R1402" i="4"/>
  <c r="R1460" i="4"/>
  <c r="R797" i="4"/>
  <c r="R845" i="4"/>
  <c r="R893" i="4"/>
  <c r="R938" i="4"/>
  <c r="R986" i="4"/>
  <c r="R1034" i="4"/>
  <c r="R1073" i="4"/>
  <c r="R1088" i="4"/>
  <c r="R1117" i="4"/>
  <c r="R1132" i="4"/>
  <c r="R1184" i="4"/>
  <c r="R1215" i="4"/>
  <c r="R1226" i="4"/>
  <c r="R1231" i="4"/>
  <c r="R1262" i="4"/>
  <c r="R1267" i="4"/>
  <c r="R1273" i="4"/>
  <c r="R1284" i="4"/>
  <c r="R1309" i="4"/>
  <c r="R1325" i="4"/>
  <c r="R1356" i="4"/>
  <c r="R1378" i="4"/>
  <c r="R1472" i="4"/>
  <c r="R1384" i="4"/>
  <c r="R1414" i="4"/>
  <c r="R951" i="4"/>
  <c r="R999" i="4"/>
  <c r="R1047" i="4"/>
  <c r="R1055" i="4"/>
  <c r="R1077" i="4"/>
  <c r="R1095" i="4"/>
  <c r="R1103" i="4"/>
  <c r="R1125" i="4"/>
  <c r="R1143" i="4"/>
  <c r="R1151" i="4"/>
  <c r="R1175" i="4"/>
  <c r="R1185" i="4"/>
  <c r="R1195" i="4"/>
  <c r="R1199" i="4"/>
  <c r="R1223" i="4"/>
  <c r="R1233" i="4"/>
  <c r="R1243" i="4"/>
  <c r="R1247" i="4"/>
  <c r="R1271" i="4"/>
  <c r="R1281" i="4"/>
  <c r="R1291" i="4"/>
  <c r="R1295" i="4"/>
  <c r="R1319" i="4"/>
  <c r="R1329" i="4"/>
  <c r="R1339" i="4"/>
  <c r="R1343" i="4"/>
  <c r="R1367" i="4"/>
  <c r="R1377" i="4"/>
  <c r="R1387" i="4"/>
  <c r="R1391" i="4"/>
  <c r="R1415" i="4"/>
  <c r="R1425" i="4"/>
  <c r="R1435" i="4"/>
  <c r="R1439" i="4"/>
  <c r="R1463" i="4"/>
  <c r="R1473" i="4"/>
  <c r="R1483" i="4"/>
  <c r="R1487" i="4"/>
  <c r="R789" i="4"/>
  <c r="R837" i="4"/>
  <c r="R885" i="4"/>
  <c r="R1074" i="4"/>
  <c r="R1099" i="4"/>
  <c r="R1128" i="4"/>
  <c r="R1232" i="4"/>
  <c r="R1263" i="4"/>
  <c r="R1274" i="4"/>
  <c r="R1279" i="4"/>
  <c r="R1310" i="4"/>
  <c r="R1315" i="4"/>
  <c r="R1321" i="4"/>
  <c r="R1332" i="4"/>
  <c r="R1357" i="4"/>
  <c r="R1373" i="4"/>
  <c r="R1404" i="4"/>
  <c r="R1426" i="4"/>
  <c r="R1068" i="4"/>
  <c r="R1072" i="4"/>
  <c r="R1120" i="4"/>
  <c r="R1170" i="4"/>
  <c r="R1180" i="4"/>
  <c r="R1218" i="4"/>
  <c r="R1228" i="4"/>
  <c r="R1266" i="4"/>
  <c r="R1276" i="4"/>
  <c r="R1314" i="4"/>
  <c r="R1324" i="4"/>
  <c r="R1362" i="4"/>
  <c r="R1372" i="4"/>
  <c r="R1410" i="4"/>
  <c r="R1420" i="4"/>
  <c r="R1458" i="4"/>
  <c r="R1468" i="4"/>
  <c r="R968" i="4"/>
  <c r="R1016" i="4"/>
  <c r="R1064" i="4"/>
  <c r="R1116" i="4"/>
  <c r="R1190" i="4"/>
  <c r="R1238" i="4"/>
  <c r="R1286" i="4"/>
  <c r="R1334" i="4"/>
  <c r="R1382" i="4"/>
  <c r="R1430" i="4"/>
  <c r="R1478" i="4"/>
  <c r="R964" i="4"/>
  <c r="R1012" i="4"/>
  <c r="R1060" i="4"/>
  <c r="R1112" i="4"/>
  <c r="R1161" i="4"/>
  <c r="R1209" i="4"/>
  <c r="R1257" i="4"/>
  <c r="R1305" i="4"/>
  <c r="R1353" i="4"/>
  <c r="R1401" i="4"/>
  <c r="R1449" i="4"/>
  <c r="R960" i="4"/>
  <c r="R1008" i="4"/>
  <c r="R1056" i="4"/>
  <c r="R1108" i="4"/>
  <c r="R1157" i="4"/>
  <c r="R1176" i="4"/>
  <c r="R1191" i="4"/>
  <c r="R1205" i="4"/>
  <c r="R1224" i="4"/>
  <c r="R1239" i="4"/>
  <c r="R1253" i="4"/>
  <c r="R1272" i="4"/>
  <c r="R1287" i="4"/>
  <c r="R1301" i="4"/>
  <c r="R1320" i="4"/>
  <c r="R1335" i="4"/>
  <c r="R1349" i="4"/>
  <c r="R1368" i="4"/>
  <c r="R1383" i="4"/>
  <c r="R1397" i="4"/>
  <c r="R1416" i="4"/>
  <c r="R1431" i="4"/>
  <c r="R1445" i="4"/>
  <c r="R1464" i="4"/>
  <c r="R1479" i="4"/>
  <c r="R1144" i="4"/>
  <c r="R1148" i="4"/>
  <c r="R956" i="4"/>
  <c r="R1004" i="4"/>
  <c r="R1052" i="4"/>
  <c r="R1104" i="4"/>
  <c r="R1168" i="4"/>
  <c r="R1216" i="4"/>
  <c r="R1264" i="4"/>
  <c r="R1312" i="4"/>
  <c r="R1360" i="4"/>
  <c r="R1408" i="4"/>
  <c r="R1456" i="4"/>
  <c r="R1156" i="4"/>
  <c r="R1204" i="4"/>
  <c r="R1252" i="4"/>
  <c r="R1300" i="4"/>
  <c r="R1348" i="4"/>
  <c r="R1396" i="4"/>
  <c r="R1444" i="4"/>
  <c r="R1152" i="4"/>
  <c r="R1200" i="4"/>
  <c r="R1248" i="4"/>
  <c r="R1296" i="4"/>
  <c r="R1344" i="4"/>
  <c r="R1392" i="4"/>
  <c r="R1440" i="4"/>
  <c r="R1488" i="4"/>
  <c r="R1196" i="4"/>
  <c r="R1244" i="4"/>
  <c r="R1292" i="4"/>
  <c r="R1340" i="4"/>
  <c r="R1388" i="4"/>
  <c r="R1436" i="4"/>
  <c r="R1484" i="4"/>
  <c r="K693" i="3"/>
  <c r="K709" i="3"/>
  <c r="K717" i="3"/>
  <c r="K490" i="3"/>
  <c r="K240" i="3"/>
  <c r="K358" i="3"/>
  <c r="K444" i="3"/>
  <c r="K225" i="3"/>
  <c r="K370" i="3"/>
  <c r="K719" i="3"/>
  <c r="K616" i="3"/>
  <c r="K396" i="3"/>
  <c r="K679" i="3"/>
  <c r="K350" i="3"/>
  <c r="K586" i="3"/>
  <c r="K614" i="3"/>
  <c r="K52" i="3"/>
  <c r="K179" i="3"/>
  <c r="K320" i="3"/>
  <c r="K81" i="3"/>
  <c r="K229" i="3"/>
  <c r="K326" i="3"/>
  <c r="K691" i="3"/>
  <c r="K50" i="3"/>
  <c r="K256" i="3"/>
  <c r="K312" i="3"/>
  <c r="K420" i="3"/>
  <c r="K462" i="3"/>
  <c r="K506" i="3"/>
  <c r="K540" i="3"/>
  <c r="K644" i="3"/>
  <c r="K705" i="3"/>
  <c r="K203" i="3"/>
  <c r="K181" i="3"/>
  <c r="K360" i="3"/>
  <c r="K683" i="3"/>
  <c r="K697" i="3"/>
  <c r="K721" i="3"/>
  <c r="K304" i="3"/>
  <c r="K604" i="3"/>
  <c r="K66" i="3"/>
  <c r="K127" i="3"/>
  <c r="K628" i="3"/>
  <c r="K56" i="3"/>
  <c r="K662" i="3"/>
  <c r="K205" i="3"/>
  <c r="K302" i="3"/>
  <c r="K328" i="3"/>
  <c r="K530" i="3"/>
  <c r="K564" i="3"/>
  <c r="K620" i="3"/>
  <c r="K474" i="3"/>
  <c r="K504" i="3"/>
  <c r="K723" i="3"/>
  <c r="K528" i="3"/>
  <c r="K669" i="3"/>
  <c r="K278" i="3"/>
  <c r="K330" i="3"/>
  <c r="K157" i="3"/>
  <c r="K195" i="3"/>
  <c r="K254" i="3"/>
  <c r="K280" i="3"/>
  <c r="K388" i="3"/>
  <c r="K638" i="3"/>
  <c r="K133" i="3"/>
  <c r="K460" i="3"/>
  <c r="K384" i="3"/>
  <c r="K60" i="3"/>
  <c r="K153" i="3"/>
  <c r="K175" i="3"/>
  <c r="K199" i="3"/>
  <c r="K268" i="3"/>
  <c r="K346" i="3"/>
  <c r="K410" i="3"/>
  <c r="K426" i="3"/>
  <c r="K434" i="3"/>
  <c r="K458" i="3"/>
  <c r="K484" i="3"/>
  <c r="K544" i="3"/>
  <c r="K687" i="3"/>
  <c r="K713" i="3"/>
  <c r="K576" i="3"/>
  <c r="K221" i="3"/>
  <c r="K306" i="3"/>
  <c r="K322" i="3"/>
  <c r="K382" i="3"/>
  <c r="K510" i="3"/>
  <c r="K592" i="3"/>
  <c r="K646" i="3"/>
  <c r="K699" i="3"/>
  <c r="K660" i="3"/>
  <c r="K689" i="3"/>
  <c r="K348" i="3"/>
  <c r="K356" i="3"/>
  <c r="K648" i="3"/>
  <c r="K675" i="3"/>
  <c r="K701" i="3"/>
  <c r="K266" i="3"/>
  <c r="K408" i="3"/>
  <c r="K85" i="3"/>
  <c r="K248" i="3"/>
  <c r="K109" i="3"/>
  <c r="K436" i="3"/>
  <c r="K486" i="3"/>
  <c r="K422" i="3"/>
  <c r="K446" i="3"/>
  <c r="K538" i="3"/>
  <c r="K664" i="3"/>
  <c r="K391" i="3"/>
  <c r="K451" i="3"/>
  <c r="K224" i="3"/>
  <c r="K363" i="3"/>
  <c r="K505" i="3"/>
  <c r="K430" i="3"/>
  <c r="K77" i="3"/>
  <c r="K271" i="3"/>
  <c r="K498" i="3"/>
  <c r="K672" i="3"/>
  <c r="K448" i="3"/>
  <c r="K593" i="3"/>
  <c r="K139" i="3"/>
  <c r="K244" i="3"/>
  <c r="K309" i="3"/>
  <c r="K371" i="3"/>
  <c r="K441" i="3"/>
  <c r="K108" i="3"/>
  <c r="K140" i="3"/>
  <c r="K176" i="3"/>
  <c r="K258" i="3"/>
  <c r="K512" i="3"/>
  <c r="K596" i="3"/>
  <c r="K251" i="3"/>
  <c r="K333" i="3"/>
  <c r="K478" i="3"/>
  <c r="K545" i="3"/>
  <c r="K61" i="3"/>
  <c r="K130" i="3"/>
  <c r="K215" i="3"/>
  <c r="K272" i="3"/>
  <c r="K468" i="3"/>
  <c r="K548" i="3"/>
  <c r="K610" i="3"/>
  <c r="K91" i="3"/>
  <c r="K169" i="3"/>
  <c r="K210" i="3"/>
  <c r="K200" i="3"/>
  <c r="K383" i="3"/>
  <c r="K115" i="3"/>
  <c r="K123" i="3"/>
  <c r="K520" i="3"/>
  <c r="K515" i="3"/>
  <c r="K555" i="3"/>
  <c r="K152" i="3"/>
  <c r="K314" i="3"/>
  <c r="K319" i="3"/>
  <c r="K565" i="3"/>
  <c r="K128" i="3"/>
  <c r="K364" i="3"/>
  <c r="K503" i="3"/>
  <c r="K658" i="3"/>
  <c r="K104" i="3"/>
  <c r="K349" i="3"/>
  <c r="K401" i="3"/>
  <c r="K439" i="3"/>
  <c r="K449" i="3"/>
  <c r="K454" i="3"/>
  <c r="K551" i="3"/>
  <c r="K594" i="3"/>
  <c r="K80" i="3"/>
  <c r="K235" i="3"/>
  <c r="K377" i="3"/>
  <c r="K589" i="3"/>
  <c r="K211" i="3"/>
  <c r="K265" i="3"/>
  <c r="K327" i="3"/>
  <c r="K352" i="3"/>
  <c r="K494" i="3"/>
  <c r="K654" i="3"/>
  <c r="K187" i="3"/>
  <c r="K255" i="3"/>
  <c r="K295" i="3"/>
  <c r="K345" i="3"/>
  <c r="K412" i="3"/>
  <c r="K532" i="3"/>
  <c r="K163" i="3"/>
  <c r="K290" i="3"/>
  <c r="K298" i="3"/>
  <c r="K407" i="3"/>
  <c r="K477" i="3"/>
  <c r="K487" i="3"/>
  <c r="K525" i="3"/>
  <c r="K582" i="3"/>
  <c r="K640" i="3"/>
  <c r="K473" i="3"/>
  <c r="K666" i="3"/>
  <c r="K381" i="3"/>
  <c r="K459" i="3"/>
  <c r="K537" i="3"/>
  <c r="K556" i="3"/>
  <c r="K622" i="3"/>
  <c r="K247" i="3"/>
  <c r="K340" i="3"/>
  <c r="K343" i="3"/>
  <c r="K390" i="3"/>
  <c r="K416" i="3"/>
  <c r="K466" i="3"/>
  <c r="K542" i="3"/>
  <c r="K547" i="3"/>
  <c r="K580" i="3"/>
  <c r="K585" i="3"/>
  <c r="K652" i="3"/>
  <c r="K89" i="3"/>
  <c r="K137" i="3"/>
  <c r="K185" i="3"/>
  <c r="K209" i="3"/>
  <c r="K233" i="3"/>
  <c r="K242" i="3"/>
  <c r="K303" i="3"/>
  <c r="K419" i="3"/>
  <c r="K428" i="3"/>
  <c r="K445" i="3"/>
  <c r="K492" i="3"/>
  <c r="K497" i="3"/>
  <c r="K590" i="3"/>
  <c r="K595" i="3"/>
  <c r="K279" i="3"/>
  <c r="K508" i="3"/>
  <c r="K282" i="3"/>
  <c r="K353" i="3"/>
  <c r="K566" i="3"/>
  <c r="K425" i="3"/>
  <c r="K521" i="3"/>
  <c r="K569" i="3"/>
  <c r="K531" i="3"/>
  <c r="K579" i="3"/>
  <c r="Q217" i="8"/>
  <c r="Q244" i="8"/>
  <c r="Q535" i="8"/>
  <c r="Q148" i="8"/>
  <c r="Q172" i="8"/>
  <c r="Q281" i="8"/>
  <c r="Q655" i="8"/>
  <c r="Q762" i="8"/>
  <c r="Q32" i="8"/>
  <c r="Q73" i="8"/>
  <c r="Q108" i="8"/>
  <c r="Q189" i="8"/>
  <c r="Q208" i="8"/>
  <c r="Q225" i="8"/>
  <c r="Q240" i="8"/>
  <c r="Q261" i="8"/>
  <c r="Q276" i="8"/>
  <c r="Q348" i="8"/>
  <c r="Q384" i="8"/>
  <c r="Q492" i="8"/>
  <c r="Q498" i="8"/>
  <c r="Q503" i="8"/>
  <c r="Q564" i="8"/>
  <c r="Q581" i="8"/>
  <c r="Q650" i="8"/>
  <c r="Q693" i="8"/>
  <c r="Q714" i="8"/>
  <c r="Q763" i="8"/>
  <c r="Q176" i="8"/>
  <c r="Q585" i="8"/>
  <c r="Q72" i="8"/>
  <c r="Q112" i="8"/>
  <c r="Q28" i="8"/>
  <c r="Q104" i="8"/>
  <c r="Q380" i="8"/>
  <c r="Q571" i="8"/>
  <c r="Q651" i="8"/>
  <c r="Q694" i="8"/>
  <c r="Q737" i="8"/>
  <c r="Q116" i="8"/>
  <c r="Q356" i="8"/>
  <c r="Q361" i="8"/>
  <c r="Q534" i="8"/>
  <c r="Q507" i="8"/>
  <c r="Q523" i="8"/>
  <c r="Q611" i="8"/>
  <c r="Q679" i="8"/>
  <c r="Q316" i="8"/>
  <c r="Q446" i="8"/>
  <c r="Q502" i="8"/>
  <c r="Q591" i="8"/>
  <c r="Q607" i="8"/>
  <c r="Q144" i="8"/>
  <c r="Q252" i="8"/>
  <c r="Q85" i="8"/>
  <c r="Q140" i="8"/>
  <c r="Q175" i="8"/>
  <c r="Q185" i="8"/>
  <c r="Q344" i="8"/>
  <c r="Q406" i="8"/>
  <c r="Q416" i="8"/>
  <c r="Q467" i="8"/>
  <c r="Q472" i="8"/>
  <c r="Q620" i="8"/>
  <c r="Q635" i="8"/>
  <c r="Q673" i="8"/>
  <c r="Q683" i="8"/>
  <c r="Q689" i="8"/>
  <c r="Q727" i="8"/>
  <c r="Q41" i="8"/>
  <c r="Q121" i="8"/>
  <c r="Q412" i="8"/>
  <c r="Q136" i="8"/>
  <c r="Q36" i="8"/>
  <c r="Q212" i="8"/>
  <c r="Q280" i="8"/>
  <c r="Q529" i="8"/>
  <c r="Q352" i="8"/>
  <c r="Q68" i="8"/>
  <c r="Q243" i="8"/>
  <c r="Q236" i="8"/>
  <c r="Q272" i="8"/>
  <c r="Q340" i="8"/>
  <c r="Q441" i="8"/>
  <c r="Q646" i="8"/>
  <c r="Q695" i="8"/>
  <c r="Q749" i="8"/>
  <c r="Q64" i="8"/>
  <c r="Q69" i="8"/>
  <c r="Q96" i="8"/>
  <c r="Q173" i="8"/>
  <c r="Q204" i="8"/>
  <c r="Q308" i="8"/>
  <c r="Q313" i="8"/>
  <c r="Q336" i="8"/>
  <c r="Q372" i="8"/>
  <c r="Q377" i="8"/>
  <c r="Q408" i="8"/>
  <c r="Q432" i="8"/>
  <c r="Q437" i="8"/>
  <c r="Q483" i="8"/>
  <c r="Q499" i="8"/>
  <c r="Q509" i="8"/>
  <c r="Q519" i="8"/>
  <c r="Q551" i="8"/>
  <c r="Q603" i="8"/>
  <c r="Q631" i="8"/>
  <c r="Q666" i="8"/>
  <c r="Q675" i="8"/>
  <c r="Q196" i="8"/>
  <c r="Q300" i="8"/>
  <c r="Q404" i="8"/>
  <c r="Q409" i="8"/>
  <c r="Q448" i="8"/>
  <c r="Q474" i="8"/>
  <c r="Q515" i="8"/>
  <c r="Q531" i="8"/>
  <c r="Q547" i="8"/>
  <c r="Q557" i="8"/>
  <c r="Q598" i="8"/>
  <c r="Q618" i="8"/>
  <c r="Q627" i="8"/>
  <c r="Q667" i="8"/>
  <c r="Q711" i="8"/>
  <c r="Q56" i="8"/>
  <c r="Q128" i="8"/>
  <c r="Q20" i="8"/>
  <c r="Q25" i="8"/>
  <c r="Q52" i="8"/>
  <c r="Q88" i="8"/>
  <c r="Q124" i="8"/>
  <c r="Q164" i="8"/>
  <c r="Q169" i="8"/>
  <c r="Q192" i="8"/>
  <c r="Q228" i="8"/>
  <c r="Q233" i="8"/>
  <c r="Q264" i="8"/>
  <c r="Q296" i="8"/>
  <c r="Q328" i="8"/>
  <c r="Q364" i="8"/>
  <c r="Q400" i="8"/>
  <c r="Q405" i="8"/>
  <c r="Q428" i="8"/>
  <c r="Q443" i="8"/>
  <c r="Q449" i="8"/>
  <c r="Q485" i="8"/>
  <c r="Q532" i="8"/>
  <c r="Q537" i="8"/>
  <c r="Q558" i="8"/>
  <c r="Q583" i="8"/>
  <c r="Q614" i="8"/>
  <c r="Q623" i="8"/>
  <c r="Q638" i="8"/>
  <c r="Q643" i="8"/>
  <c r="Q653" i="8"/>
  <c r="Q681" i="8"/>
  <c r="Q697" i="8"/>
  <c r="Q746" i="8"/>
  <c r="Q12" i="8"/>
  <c r="Q44" i="8"/>
  <c r="Q84" i="8"/>
  <c r="Q89" i="8"/>
  <c r="Q120" i="8"/>
  <c r="Q156" i="8"/>
  <c r="Q260" i="8"/>
  <c r="Q265" i="8"/>
  <c r="Q288" i="8"/>
  <c r="Q324" i="8"/>
  <c r="Q329" i="8"/>
  <c r="Q360" i="8"/>
  <c r="Q392" i="8"/>
  <c r="Q424" i="8"/>
  <c r="Q439" i="8"/>
  <c r="Q444" i="8"/>
  <c r="Q491" i="8"/>
  <c r="Q512" i="8"/>
  <c r="Q533" i="8"/>
  <c r="Q543" i="8"/>
  <c r="Q569" i="8"/>
  <c r="Q600" i="8"/>
  <c r="Q605" i="8"/>
  <c r="Q633" i="8"/>
  <c r="Q649" i="8"/>
  <c r="Q698" i="8"/>
  <c r="Q703" i="8"/>
  <c r="Q747" i="8"/>
  <c r="Q450" i="8"/>
  <c r="Q455" i="8"/>
  <c r="Q594" i="8"/>
  <c r="Q642" i="8"/>
  <c r="Q690" i="8"/>
  <c r="Q738" i="8"/>
  <c r="Q451" i="8"/>
  <c r="Q739" i="8"/>
  <c r="Q546" i="8"/>
  <c r="Q629" i="8"/>
  <c r="Q677" i="8"/>
  <c r="Q725" i="8"/>
  <c r="Q435" i="8"/>
  <c r="Q723" i="8"/>
  <c r="Q475" i="8"/>
  <c r="Q715" i="8"/>
  <c r="Q471" i="8"/>
  <c r="Q463" i="8"/>
  <c r="S18" i="4" l="1"/>
  <c r="T18" i="4"/>
  <c r="S19" i="4"/>
  <c r="T19" i="4"/>
  <c r="S20" i="4"/>
  <c r="T20" i="4"/>
  <c r="S21" i="4"/>
  <c r="T21" i="4"/>
  <c r="S22" i="4"/>
  <c r="T22" i="4"/>
  <c r="S23" i="4"/>
  <c r="T23" i="4"/>
  <c r="S24" i="4"/>
  <c r="T24" i="4"/>
  <c r="S25" i="4"/>
  <c r="T25" i="4"/>
  <c r="S26" i="4"/>
  <c r="T26" i="4"/>
  <c r="S27" i="4"/>
  <c r="T27" i="4"/>
  <c r="S28" i="4"/>
  <c r="T28" i="4"/>
  <c r="S29" i="4"/>
  <c r="T29" i="4"/>
  <c r="S30" i="4"/>
  <c r="T30" i="4"/>
  <c r="S31" i="4"/>
  <c r="T31" i="4"/>
  <c r="S32" i="4"/>
  <c r="T32" i="4"/>
  <c r="S33" i="4"/>
  <c r="T33" i="4"/>
  <c r="S34" i="4"/>
  <c r="T34" i="4"/>
  <c r="S35" i="4"/>
  <c r="T35" i="4"/>
  <c r="S36" i="4"/>
  <c r="T36" i="4"/>
  <c r="S37" i="4"/>
  <c r="T37" i="4"/>
  <c r="S38" i="4"/>
  <c r="T38" i="4"/>
  <c r="S39" i="4"/>
  <c r="T39" i="4"/>
  <c r="S40" i="4"/>
  <c r="T40" i="4"/>
  <c r="S41" i="4"/>
  <c r="T41" i="4"/>
  <c r="S42" i="4"/>
  <c r="T42" i="4"/>
  <c r="S43" i="4"/>
  <c r="T43" i="4"/>
  <c r="S44" i="4"/>
  <c r="T44" i="4"/>
  <c r="S45" i="4"/>
  <c r="T45" i="4"/>
  <c r="S46" i="4"/>
  <c r="T46" i="4"/>
  <c r="S47" i="4"/>
  <c r="T47" i="4"/>
  <c r="S48" i="4"/>
  <c r="T48" i="4"/>
  <c r="S49" i="4"/>
  <c r="T49" i="4"/>
  <c r="S50" i="4"/>
  <c r="T50" i="4"/>
  <c r="S51" i="4"/>
  <c r="T51" i="4"/>
  <c r="S52" i="4"/>
  <c r="T52" i="4"/>
  <c r="S53" i="4"/>
  <c r="T53" i="4"/>
  <c r="S54" i="4"/>
  <c r="T54" i="4"/>
  <c r="S55" i="4"/>
  <c r="T55" i="4"/>
  <c r="S56" i="4"/>
  <c r="T56" i="4"/>
  <c r="S57" i="4"/>
  <c r="T57" i="4"/>
  <c r="S58" i="4"/>
  <c r="T58" i="4"/>
  <c r="S59" i="4"/>
  <c r="T59" i="4"/>
  <c r="S60" i="4"/>
  <c r="T60" i="4"/>
  <c r="S61" i="4"/>
  <c r="T61" i="4"/>
  <c r="S62" i="4"/>
  <c r="T62" i="4"/>
  <c r="S63" i="4"/>
  <c r="T63" i="4"/>
  <c r="S64" i="4"/>
  <c r="T64" i="4"/>
  <c r="S65" i="4"/>
  <c r="T65" i="4"/>
  <c r="S66" i="4"/>
  <c r="T66" i="4"/>
  <c r="S67" i="4"/>
  <c r="T67" i="4"/>
  <c r="S68" i="4"/>
  <c r="T68" i="4"/>
  <c r="S69" i="4"/>
  <c r="T69" i="4"/>
  <c r="S70" i="4"/>
  <c r="T70" i="4"/>
  <c r="S71" i="4"/>
  <c r="T71" i="4"/>
  <c r="S72" i="4"/>
  <c r="T72" i="4"/>
  <c r="S73" i="4"/>
  <c r="T73" i="4"/>
  <c r="S74" i="4"/>
  <c r="T74" i="4"/>
  <c r="S75" i="4"/>
  <c r="T75" i="4"/>
  <c r="S76" i="4"/>
  <c r="T76" i="4"/>
  <c r="S77" i="4"/>
  <c r="T77" i="4"/>
  <c r="S78" i="4"/>
  <c r="T78" i="4"/>
  <c r="S79" i="4"/>
  <c r="T79" i="4"/>
  <c r="S80" i="4"/>
  <c r="T80" i="4"/>
  <c r="S81" i="4"/>
  <c r="T81" i="4"/>
  <c r="S82" i="4"/>
  <c r="T82" i="4"/>
  <c r="S83" i="4"/>
  <c r="T83" i="4"/>
  <c r="S84" i="4"/>
  <c r="T84" i="4"/>
  <c r="S85" i="4"/>
  <c r="T85" i="4"/>
  <c r="S86" i="4"/>
  <c r="T86" i="4"/>
  <c r="S87" i="4"/>
  <c r="T87" i="4"/>
  <c r="S88" i="4"/>
  <c r="T88" i="4"/>
  <c r="S89" i="4"/>
  <c r="T89" i="4"/>
  <c r="S90" i="4"/>
  <c r="T90" i="4"/>
  <c r="S91" i="4"/>
  <c r="T91" i="4"/>
  <c r="S92" i="4"/>
  <c r="T92" i="4"/>
  <c r="S93" i="4"/>
  <c r="T93" i="4"/>
  <c r="S94" i="4"/>
  <c r="T94" i="4"/>
  <c r="S95" i="4"/>
  <c r="T95" i="4"/>
  <c r="S96" i="4"/>
  <c r="T96" i="4"/>
  <c r="S97" i="4"/>
  <c r="T97" i="4"/>
  <c r="S98" i="4"/>
  <c r="T98" i="4"/>
  <c r="S99" i="4"/>
  <c r="T99" i="4"/>
  <c r="S100" i="4"/>
  <c r="T100" i="4"/>
  <c r="S101" i="4"/>
  <c r="T101" i="4"/>
  <c r="S102" i="4"/>
  <c r="T102" i="4"/>
  <c r="S103" i="4"/>
  <c r="T103" i="4"/>
  <c r="S104" i="4"/>
  <c r="T104" i="4"/>
  <c r="S105" i="4"/>
  <c r="T105" i="4"/>
  <c r="S106" i="4"/>
  <c r="T106" i="4"/>
  <c r="S107" i="4"/>
  <c r="T107" i="4"/>
  <c r="S108" i="4"/>
  <c r="T108" i="4"/>
  <c r="S109" i="4"/>
  <c r="T109" i="4"/>
  <c r="S110" i="4"/>
  <c r="T110" i="4"/>
  <c r="S111" i="4"/>
  <c r="T111" i="4"/>
  <c r="S112" i="4"/>
  <c r="T112" i="4"/>
  <c r="S113" i="4"/>
  <c r="T113" i="4"/>
  <c r="S114" i="4"/>
  <c r="T114" i="4"/>
  <c r="S115" i="4"/>
  <c r="T115" i="4"/>
  <c r="S116" i="4"/>
  <c r="T116" i="4"/>
  <c r="S117" i="4"/>
  <c r="T117" i="4"/>
  <c r="S118" i="4"/>
  <c r="T118" i="4"/>
  <c r="S119" i="4"/>
  <c r="T119" i="4"/>
  <c r="S120" i="4"/>
  <c r="T120" i="4"/>
  <c r="S121" i="4"/>
  <c r="T121" i="4"/>
  <c r="S122" i="4"/>
  <c r="T122" i="4"/>
  <c r="S123" i="4"/>
  <c r="T123" i="4"/>
  <c r="S124" i="4"/>
  <c r="T124" i="4"/>
  <c r="S125" i="4"/>
  <c r="T125" i="4"/>
  <c r="S126" i="4"/>
  <c r="T126" i="4"/>
  <c r="S127" i="4"/>
  <c r="T127" i="4"/>
  <c r="S128" i="4"/>
  <c r="T128" i="4"/>
  <c r="S129" i="4"/>
  <c r="T129" i="4"/>
  <c r="S130" i="4"/>
  <c r="T130" i="4"/>
  <c r="S131" i="4"/>
  <c r="T131" i="4"/>
  <c r="S132" i="4"/>
  <c r="T132" i="4"/>
  <c r="S133" i="4"/>
  <c r="T133" i="4"/>
  <c r="S134" i="4"/>
  <c r="T134" i="4"/>
  <c r="S135" i="4"/>
  <c r="T135" i="4"/>
  <c r="S136" i="4"/>
  <c r="T136" i="4"/>
  <c r="S137" i="4"/>
  <c r="T137" i="4"/>
  <c r="S138" i="4"/>
  <c r="T138" i="4"/>
  <c r="S139" i="4"/>
  <c r="T139" i="4"/>
  <c r="S140" i="4"/>
  <c r="T140" i="4"/>
  <c r="S141" i="4"/>
  <c r="T141" i="4"/>
  <c r="S142" i="4"/>
  <c r="T142" i="4"/>
  <c r="S143" i="4"/>
  <c r="T143" i="4"/>
  <c r="S144" i="4"/>
  <c r="T144" i="4"/>
  <c r="S145" i="4"/>
  <c r="T145" i="4"/>
  <c r="S146" i="4"/>
  <c r="T146" i="4"/>
  <c r="S147" i="4"/>
  <c r="T147" i="4"/>
  <c r="S148" i="4"/>
  <c r="T148" i="4"/>
  <c r="S149" i="4"/>
  <c r="T149" i="4"/>
  <c r="S150" i="4"/>
  <c r="T150" i="4"/>
  <c r="S151" i="4"/>
  <c r="T151" i="4"/>
  <c r="S152" i="4"/>
  <c r="T152" i="4"/>
  <c r="S153" i="4"/>
  <c r="T153" i="4"/>
  <c r="S154" i="4"/>
  <c r="T154" i="4"/>
  <c r="S155" i="4"/>
  <c r="T155" i="4"/>
  <c r="S156" i="4"/>
  <c r="T156" i="4"/>
  <c r="S157" i="4"/>
  <c r="T157" i="4"/>
  <c r="S158" i="4"/>
  <c r="T158" i="4"/>
  <c r="S159" i="4"/>
  <c r="T159" i="4"/>
  <c r="S160" i="4"/>
  <c r="T160" i="4"/>
  <c r="S161" i="4"/>
  <c r="T161" i="4"/>
  <c r="S162" i="4"/>
  <c r="T162" i="4"/>
  <c r="S163" i="4"/>
  <c r="T163" i="4"/>
  <c r="S164" i="4"/>
  <c r="T164" i="4"/>
  <c r="S165" i="4"/>
  <c r="T165" i="4"/>
  <c r="S166" i="4"/>
  <c r="T166" i="4"/>
  <c r="S167" i="4"/>
  <c r="T167" i="4"/>
  <c r="S168" i="4"/>
  <c r="T168" i="4"/>
  <c r="S169" i="4"/>
  <c r="T169" i="4"/>
  <c r="S170" i="4"/>
  <c r="T170" i="4"/>
  <c r="S171" i="4"/>
  <c r="T171" i="4"/>
  <c r="S172" i="4"/>
  <c r="T172" i="4"/>
  <c r="S173" i="4"/>
  <c r="T173" i="4"/>
  <c r="S174" i="4"/>
  <c r="T174" i="4"/>
  <c r="S175" i="4"/>
  <c r="T175" i="4"/>
  <c r="S176" i="4"/>
  <c r="T176" i="4"/>
  <c r="S177" i="4"/>
  <c r="T177" i="4"/>
  <c r="S178" i="4"/>
  <c r="T178" i="4"/>
  <c r="S179" i="4"/>
  <c r="T179" i="4"/>
  <c r="S180" i="4"/>
  <c r="T180" i="4"/>
  <c r="S181" i="4"/>
  <c r="T181" i="4"/>
  <c r="S182" i="4"/>
  <c r="T182" i="4"/>
  <c r="S183" i="4"/>
  <c r="T183" i="4"/>
  <c r="S184" i="4"/>
  <c r="T184" i="4"/>
  <c r="S185" i="4"/>
  <c r="T185" i="4"/>
  <c r="S186" i="4"/>
  <c r="T186" i="4"/>
  <c r="S187" i="4"/>
  <c r="T187" i="4"/>
  <c r="S188" i="4"/>
  <c r="T188" i="4"/>
  <c r="S189" i="4"/>
  <c r="T189" i="4"/>
  <c r="S190" i="4"/>
  <c r="T190" i="4"/>
  <c r="S191" i="4"/>
  <c r="T191" i="4"/>
  <c r="S192" i="4"/>
  <c r="T192" i="4"/>
  <c r="S193" i="4"/>
  <c r="T193" i="4"/>
  <c r="S194" i="4"/>
  <c r="T194" i="4"/>
  <c r="S195" i="4"/>
  <c r="T195" i="4"/>
  <c r="S196" i="4"/>
  <c r="T196" i="4"/>
  <c r="S197" i="4"/>
  <c r="T197" i="4"/>
  <c r="S198" i="4"/>
  <c r="T198" i="4"/>
  <c r="S199" i="4"/>
  <c r="T199" i="4"/>
  <c r="S200" i="4"/>
  <c r="T200" i="4"/>
  <c r="S201" i="4"/>
  <c r="T201" i="4"/>
  <c r="S202" i="4"/>
  <c r="T202" i="4"/>
  <c r="S203" i="4"/>
  <c r="T203" i="4"/>
  <c r="S204" i="4"/>
  <c r="T204" i="4"/>
  <c r="S205" i="4"/>
  <c r="T205" i="4"/>
  <c r="S206" i="4"/>
  <c r="T206" i="4"/>
  <c r="S207" i="4"/>
  <c r="T207" i="4"/>
  <c r="S208" i="4"/>
  <c r="T208" i="4"/>
  <c r="S209" i="4"/>
  <c r="T209" i="4"/>
  <c r="S210" i="4"/>
  <c r="T210" i="4"/>
  <c r="S211" i="4"/>
  <c r="T211" i="4"/>
  <c r="S212" i="4"/>
  <c r="T212" i="4"/>
  <c r="S213" i="4"/>
  <c r="T213" i="4"/>
  <c r="S214" i="4"/>
  <c r="T214" i="4"/>
  <c r="S215" i="4"/>
  <c r="T215" i="4"/>
  <c r="S216" i="4"/>
  <c r="T216" i="4"/>
  <c r="S217" i="4"/>
  <c r="T217" i="4"/>
  <c r="S218" i="4"/>
  <c r="T218" i="4"/>
  <c r="S219" i="4"/>
  <c r="T219" i="4"/>
  <c r="S220" i="4"/>
  <c r="T220" i="4"/>
  <c r="S221" i="4"/>
  <c r="T221" i="4"/>
  <c r="S222" i="4"/>
  <c r="T222" i="4"/>
  <c r="S223" i="4"/>
  <c r="T223" i="4"/>
  <c r="S224" i="4"/>
  <c r="T224" i="4"/>
  <c r="S225" i="4"/>
  <c r="T225" i="4"/>
  <c r="S226" i="4"/>
  <c r="T226" i="4"/>
  <c r="S227" i="4"/>
  <c r="T227" i="4"/>
  <c r="S228" i="4"/>
  <c r="T228" i="4"/>
  <c r="S229" i="4"/>
  <c r="T229" i="4"/>
  <c r="S230" i="4"/>
  <c r="T230" i="4"/>
  <c r="S231" i="4"/>
  <c r="T231" i="4"/>
  <c r="S232" i="4"/>
  <c r="T232" i="4"/>
  <c r="S233" i="4"/>
  <c r="T233" i="4"/>
  <c r="S234" i="4"/>
  <c r="T234" i="4"/>
  <c r="S235" i="4"/>
  <c r="T235" i="4"/>
  <c r="S236" i="4"/>
  <c r="T236" i="4"/>
  <c r="S237" i="4"/>
  <c r="T237" i="4"/>
  <c r="S238" i="4"/>
  <c r="T238" i="4"/>
  <c r="S239" i="4"/>
  <c r="T239" i="4"/>
  <c r="S240" i="4"/>
  <c r="T240" i="4"/>
  <c r="S241" i="4"/>
  <c r="T241" i="4"/>
  <c r="S242" i="4"/>
  <c r="T242" i="4"/>
  <c r="S243" i="4"/>
  <c r="T243" i="4"/>
  <c r="S244" i="4"/>
  <c r="T244" i="4"/>
  <c r="S245" i="4"/>
  <c r="T245" i="4"/>
  <c r="S246" i="4"/>
  <c r="T246" i="4"/>
  <c r="S247" i="4"/>
  <c r="T247" i="4"/>
  <c r="S248" i="4"/>
  <c r="T248" i="4"/>
  <c r="S249" i="4"/>
  <c r="T249" i="4"/>
  <c r="S250" i="4"/>
  <c r="T250" i="4"/>
  <c r="S251" i="4"/>
  <c r="T251" i="4"/>
  <c r="S252" i="4"/>
  <c r="T252" i="4"/>
  <c r="S253" i="4"/>
  <c r="T253" i="4"/>
  <c r="S254" i="4"/>
  <c r="T254" i="4"/>
  <c r="S255" i="4"/>
  <c r="T255" i="4"/>
  <c r="S256" i="4"/>
  <c r="T256" i="4"/>
  <c r="S257" i="4"/>
  <c r="T257" i="4"/>
  <c r="S258" i="4"/>
  <c r="T258" i="4"/>
  <c r="S259" i="4"/>
  <c r="T259" i="4"/>
  <c r="S260" i="4"/>
  <c r="T260" i="4"/>
  <c r="S261" i="4"/>
  <c r="T261" i="4"/>
  <c r="S262" i="4"/>
  <c r="T262" i="4"/>
  <c r="S263" i="4"/>
  <c r="T263" i="4"/>
  <c r="S264" i="4"/>
  <c r="T264" i="4"/>
  <c r="S265" i="4"/>
  <c r="T265" i="4"/>
  <c r="S266" i="4"/>
  <c r="T266" i="4"/>
  <c r="S267" i="4"/>
  <c r="T267" i="4"/>
  <c r="S268" i="4"/>
  <c r="T268" i="4"/>
  <c r="S269" i="4"/>
  <c r="T269" i="4"/>
  <c r="S270" i="4"/>
  <c r="T270" i="4"/>
  <c r="S271" i="4"/>
  <c r="T271" i="4"/>
  <c r="S272" i="4"/>
  <c r="T272" i="4"/>
  <c r="S273" i="4"/>
  <c r="T273" i="4"/>
  <c r="S274" i="4"/>
  <c r="T274" i="4"/>
  <c r="S275" i="4"/>
  <c r="T275" i="4"/>
  <c r="S276" i="4"/>
  <c r="T276" i="4"/>
  <c r="S277" i="4"/>
  <c r="T277" i="4"/>
  <c r="S278" i="4"/>
  <c r="T278" i="4"/>
  <c r="S279" i="4"/>
  <c r="T279" i="4"/>
  <c r="S280" i="4"/>
  <c r="T280" i="4"/>
  <c r="S281" i="4"/>
  <c r="T281" i="4"/>
  <c r="S282" i="4"/>
  <c r="T282" i="4"/>
  <c r="S283" i="4"/>
  <c r="T283" i="4"/>
  <c r="S284" i="4"/>
  <c r="T284" i="4"/>
  <c r="S285" i="4"/>
  <c r="T285" i="4"/>
  <c r="S286" i="4"/>
  <c r="T286" i="4"/>
  <c r="S287" i="4"/>
  <c r="T287" i="4"/>
  <c r="S288" i="4"/>
  <c r="T288" i="4"/>
  <c r="S289" i="4"/>
  <c r="T289" i="4"/>
  <c r="S290" i="4"/>
  <c r="T290" i="4"/>
  <c r="S291" i="4"/>
  <c r="T291" i="4"/>
  <c r="S292" i="4"/>
  <c r="T292" i="4"/>
  <c r="S293" i="4"/>
  <c r="T293" i="4"/>
  <c r="S294" i="4"/>
  <c r="T294" i="4"/>
  <c r="S295" i="4"/>
  <c r="T295" i="4"/>
  <c r="S296" i="4"/>
  <c r="T296" i="4"/>
  <c r="S297" i="4"/>
  <c r="T297" i="4"/>
  <c r="S298" i="4"/>
  <c r="T298" i="4"/>
  <c r="S299" i="4"/>
  <c r="T299" i="4"/>
  <c r="S300" i="4"/>
  <c r="T300" i="4"/>
  <c r="S301" i="4"/>
  <c r="T301" i="4"/>
  <c r="S302" i="4"/>
  <c r="T302" i="4"/>
  <c r="S303" i="4"/>
  <c r="T303" i="4"/>
  <c r="S304" i="4"/>
  <c r="T304" i="4"/>
  <c r="S305" i="4"/>
  <c r="T305" i="4"/>
  <c r="S306" i="4"/>
  <c r="T306" i="4"/>
  <c r="S307" i="4"/>
  <c r="T307" i="4"/>
  <c r="S308" i="4"/>
  <c r="T308" i="4"/>
  <c r="S309" i="4"/>
  <c r="T309" i="4"/>
  <c r="S310" i="4"/>
  <c r="T310" i="4"/>
  <c r="S311" i="4"/>
  <c r="T311" i="4"/>
  <c r="S312" i="4"/>
  <c r="T312" i="4"/>
  <c r="S313" i="4"/>
  <c r="T313" i="4"/>
  <c r="S314" i="4"/>
  <c r="T314" i="4"/>
  <c r="S315" i="4"/>
  <c r="T315" i="4"/>
  <c r="S316" i="4"/>
  <c r="T316" i="4"/>
  <c r="S317" i="4"/>
  <c r="T317" i="4"/>
  <c r="S318" i="4"/>
  <c r="T318" i="4"/>
  <c r="S319" i="4"/>
  <c r="T319" i="4"/>
  <c r="S320" i="4"/>
  <c r="T320" i="4"/>
  <c r="S321" i="4"/>
  <c r="T321" i="4"/>
  <c r="S322" i="4"/>
  <c r="T322" i="4"/>
  <c r="S323" i="4"/>
  <c r="T323" i="4"/>
  <c r="S324" i="4"/>
  <c r="T324" i="4"/>
  <c r="S325" i="4"/>
  <c r="T325" i="4"/>
  <c r="S326" i="4"/>
  <c r="T326" i="4"/>
  <c r="S327" i="4"/>
  <c r="T327" i="4"/>
  <c r="S328" i="4"/>
  <c r="T328" i="4"/>
  <c r="S329" i="4"/>
  <c r="T329" i="4"/>
  <c r="S330" i="4"/>
  <c r="T330" i="4"/>
  <c r="S331" i="4"/>
  <c r="T331" i="4"/>
  <c r="S332" i="4"/>
  <c r="T332" i="4"/>
  <c r="S333" i="4"/>
  <c r="T333" i="4"/>
  <c r="S334" i="4"/>
  <c r="T334" i="4"/>
  <c r="S335" i="4"/>
  <c r="T335" i="4"/>
  <c r="S336" i="4"/>
  <c r="T336" i="4"/>
  <c r="S337" i="4"/>
  <c r="T337" i="4"/>
  <c r="S338" i="4"/>
  <c r="T338" i="4"/>
  <c r="S339" i="4"/>
  <c r="T339" i="4"/>
  <c r="S340" i="4"/>
  <c r="T340" i="4"/>
  <c r="S341" i="4"/>
  <c r="T341" i="4"/>
  <c r="S342" i="4"/>
  <c r="T342" i="4"/>
  <c r="S343" i="4"/>
  <c r="T343" i="4"/>
  <c r="S344" i="4"/>
  <c r="T344" i="4"/>
  <c r="S345" i="4"/>
  <c r="T345" i="4"/>
  <c r="S346" i="4"/>
  <c r="T346" i="4"/>
  <c r="S347" i="4"/>
  <c r="T347" i="4"/>
  <c r="S348" i="4"/>
  <c r="T348" i="4"/>
  <c r="S349" i="4"/>
  <c r="T349" i="4"/>
  <c r="S350" i="4"/>
  <c r="T350" i="4"/>
  <c r="S351" i="4"/>
  <c r="T351" i="4"/>
  <c r="S352" i="4"/>
  <c r="T352" i="4"/>
  <c r="S353" i="4"/>
  <c r="T353" i="4"/>
  <c r="S354" i="4"/>
  <c r="T354" i="4"/>
  <c r="S355" i="4"/>
  <c r="T355" i="4"/>
  <c r="S356" i="4"/>
  <c r="T356" i="4"/>
  <c r="S357" i="4"/>
  <c r="T357" i="4"/>
  <c r="S358" i="4"/>
  <c r="T358" i="4"/>
  <c r="S359" i="4"/>
  <c r="T359" i="4"/>
  <c r="S360" i="4"/>
  <c r="T360" i="4"/>
  <c r="S361" i="4"/>
  <c r="T361" i="4"/>
  <c r="S362" i="4"/>
  <c r="T362" i="4"/>
  <c r="S363" i="4"/>
  <c r="T363" i="4"/>
  <c r="S364" i="4"/>
  <c r="T364" i="4"/>
  <c r="S365" i="4"/>
  <c r="T365" i="4"/>
  <c r="S366" i="4"/>
  <c r="T366" i="4"/>
  <c r="S367" i="4"/>
  <c r="T367" i="4"/>
  <c r="S368" i="4"/>
  <c r="T368" i="4"/>
  <c r="S369" i="4"/>
  <c r="T369" i="4"/>
  <c r="S370" i="4"/>
  <c r="T370" i="4"/>
  <c r="S371" i="4"/>
  <c r="T371" i="4"/>
  <c r="S372" i="4"/>
  <c r="T372" i="4"/>
  <c r="S373" i="4"/>
  <c r="T373" i="4"/>
  <c r="S374" i="4"/>
  <c r="T374" i="4"/>
  <c r="S375" i="4"/>
  <c r="T375" i="4"/>
  <c r="S376" i="4"/>
  <c r="T376" i="4"/>
  <c r="S377" i="4"/>
  <c r="T377" i="4"/>
  <c r="S378" i="4"/>
  <c r="T378" i="4"/>
  <c r="S379" i="4"/>
  <c r="T379" i="4"/>
  <c r="S380" i="4"/>
  <c r="T380" i="4"/>
  <c r="S381" i="4"/>
  <c r="T381" i="4"/>
  <c r="S382" i="4"/>
  <c r="T382" i="4"/>
  <c r="S383" i="4"/>
  <c r="T383" i="4"/>
  <c r="S384" i="4"/>
  <c r="T384" i="4"/>
  <c r="S385" i="4"/>
  <c r="T385" i="4"/>
  <c r="S386" i="4"/>
  <c r="T386" i="4"/>
  <c r="S387" i="4"/>
  <c r="T387" i="4"/>
  <c r="S388" i="4"/>
  <c r="T388" i="4"/>
  <c r="S389" i="4"/>
  <c r="T389" i="4"/>
  <c r="S390" i="4"/>
  <c r="T390" i="4"/>
  <c r="S391" i="4"/>
  <c r="T391" i="4"/>
  <c r="S392" i="4"/>
  <c r="T392" i="4"/>
  <c r="S393" i="4"/>
  <c r="T393" i="4"/>
  <c r="S394" i="4"/>
  <c r="T394" i="4"/>
  <c r="S395" i="4"/>
  <c r="T395" i="4"/>
  <c r="S396" i="4"/>
  <c r="T396" i="4"/>
  <c r="S397" i="4"/>
  <c r="T397" i="4"/>
  <c r="S398" i="4"/>
  <c r="T398" i="4"/>
  <c r="S399" i="4"/>
  <c r="T399" i="4"/>
  <c r="S400" i="4"/>
  <c r="T400" i="4"/>
  <c r="S401" i="4"/>
  <c r="T401" i="4"/>
  <c r="S402" i="4"/>
  <c r="T402" i="4"/>
  <c r="S403" i="4"/>
  <c r="T403" i="4"/>
  <c r="S404" i="4"/>
  <c r="T404" i="4"/>
  <c r="S405" i="4"/>
  <c r="T405" i="4"/>
  <c r="S406" i="4"/>
  <c r="T406" i="4"/>
  <c r="S407" i="4"/>
  <c r="T407" i="4"/>
  <c r="S408" i="4"/>
  <c r="T408" i="4"/>
  <c r="S409" i="4"/>
  <c r="T409" i="4"/>
  <c r="S410" i="4"/>
  <c r="T410" i="4"/>
  <c r="S411" i="4"/>
  <c r="T411" i="4"/>
  <c r="S412" i="4"/>
  <c r="T412" i="4"/>
  <c r="S413" i="4"/>
  <c r="T413" i="4"/>
  <c r="S414" i="4"/>
  <c r="T414" i="4"/>
  <c r="S415" i="4"/>
  <c r="T415" i="4"/>
  <c r="S416" i="4"/>
  <c r="T416" i="4"/>
  <c r="S417" i="4"/>
  <c r="T417" i="4"/>
  <c r="S418" i="4"/>
  <c r="T418" i="4"/>
  <c r="S419" i="4"/>
  <c r="T419" i="4"/>
  <c r="S420" i="4"/>
  <c r="T420" i="4"/>
  <c r="S421" i="4"/>
  <c r="T421" i="4"/>
  <c r="S422" i="4"/>
  <c r="T422" i="4"/>
  <c r="S423" i="4"/>
  <c r="T423" i="4"/>
  <c r="S424" i="4"/>
  <c r="T424" i="4"/>
  <c r="S425" i="4"/>
  <c r="T425" i="4"/>
  <c r="S426" i="4"/>
  <c r="T426" i="4"/>
  <c r="S427" i="4"/>
  <c r="T427" i="4"/>
  <c r="S428" i="4"/>
  <c r="T428" i="4"/>
  <c r="S429" i="4"/>
  <c r="T429" i="4"/>
  <c r="S430" i="4"/>
  <c r="T430" i="4"/>
  <c r="S431" i="4"/>
  <c r="T431" i="4"/>
  <c r="S432" i="4"/>
  <c r="T432" i="4"/>
  <c r="S433" i="4"/>
  <c r="T433" i="4"/>
  <c r="S434" i="4"/>
  <c r="T434" i="4"/>
  <c r="S435" i="4"/>
  <c r="T435" i="4"/>
  <c r="S436" i="4"/>
  <c r="T436" i="4"/>
  <c r="S437" i="4"/>
  <c r="T437" i="4"/>
  <c r="S438" i="4"/>
  <c r="T438" i="4"/>
  <c r="S439" i="4"/>
  <c r="T439" i="4"/>
  <c r="S440" i="4"/>
  <c r="T440" i="4"/>
  <c r="S441" i="4"/>
  <c r="T441" i="4"/>
  <c r="S442" i="4"/>
  <c r="T442" i="4"/>
  <c r="S443" i="4"/>
  <c r="T443" i="4"/>
  <c r="S444" i="4"/>
  <c r="T444" i="4"/>
  <c r="S445" i="4"/>
  <c r="T445" i="4"/>
  <c r="S446" i="4"/>
  <c r="T446" i="4"/>
  <c r="S447" i="4"/>
  <c r="T447" i="4"/>
  <c r="S448" i="4"/>
  <c r="T448" i="4"/>
  <c r="S449" i="4"/>
  <c r="T449" i="4"/>
  <c r="S450" i="4"/>
  <c r="T450" i="4"/>
  <c r="S451" i="4"/>
  <c r="T451" i="4"/>
  <c r="S452" i="4"/>
  <c r="T452" i="4"/>
  <c r="S453" i="4"/>
  <c r="T453" i="4"/>
  <c r="S454" i="4"/>
  <c r="T454" i="4"/>
  <c r="S455" i="4"/>
  <c r="T455" i="4"/>
  <c r="S456" i="4"/>
  <c r="T456" i="4"/>
  <c r="S457" i="4"/>
  <c r="T457" i="4"/>
  <c r="S458" i="4"/>
  <c r="T458" i="4"/>
  <c r="S459" i="4"/>
  <c r="T459" i="4"/>
  <c r="S460" i="4"/>
  <c r="T460" i="4"/>
  <c r="S461" i="4"/>
  <c r="T461" i="4"/>
  <c r="S462" i="4"/>
  <c r="T462" i="4"/>
  <c r="S463" i="4"/>
  <c r="T463" i="4"/>
  <c r="S464" i="4"/>
  <c r="T464" i="4"/>
  <c r="S465" i="4"/>
  <c r="T465" i="4"/>
  <c r="S466" i="4"/>
  <c r="T466" i="4"/>
  <c r="S467" i="4"/>
  <c r="T467" i="4"/>
  <c r="S468" i="4"/>
  <c r="T468" i="4"/>
  <c r="S469" i="4"/>
  <c r="T469" i="4"/>
  <c r="S470" i="4"/>
  <c r="T470" i="4"/>
  <c r="S471" i="4"/>
  <c r="T471" i="4"/>
  <c r="S472" i="4"/>
  <c r="T472" i="4"/>
  <c r="S473" i="4"/>
  <c r="T473" i="4"/>
  <c r="S474" i="4"/>
  <c r="T474" i="4"/>
  <c r="S475" i="4"/>
  <c r="T475" i="4"/>
  <c r="S476" i="4"/>
  <c r="T476" i="4"/>
  <c r="S477" i="4"/>
  <c r="T477" i="4"/>
  <c r="S478" i="4"/>
  <c r="T478" i="4"/>
  <c r="S479" i="4"/>
  <c r="T479" i="4"/>
  <c r="S480" i="4"/>
  <c r="T480" i="4"/>
  <c r="S481" i="4"/>
  <c r="T481" i="4"/>
  <c r="S482" i="4"/>
  <c r="T482" i="4"/>
  <c r="S483" i="4"/>
  <c r="T483" i="4"/>
  <c r="S484" i="4"/>
  <c r="T484" i="4"/>
  <c r="S485" i="4"/>
  <c r="T485" i="4"/>
  <c r="S486" i="4"/>
  <c r="T486" i="4"/>
  <c r="S487" i="4"/>
  <c r="T487" i="4"/>
  <c r="S488" i="4"/>
  <c r="T488" i="4"/>
  <c r="S489" i="4"/>
  <c r="T489" i="4"/>
  <c r="S490" i="4"/>
  <c r="T490" i="4"/>
  <c r="S491" i="4"/>
  <c r="T491" i="4"/>
  <c r="S492" i="4"/>
  <c r="T492" i="4"/>
  <c r="S493" i="4"/>
  <c r="T493" i="4"/>
  <c r="S494" i="4"/>
  <c r="T494" i="4"/>
  <c r="S495" i="4"/>
  <c r="T495" i="4"/>
  <c r="S496" i="4"/>
  <c r="T496" i="4"/>
  <c r="S497" i="4"/>
  <c r="T497" i="4"/>
  <c r="S498" i="4"/>
  <c r="T498" i="4"/>
  <c r="S499" i="4"/>
  <c r="T499" i="4"/>
  <c r="S500" i="4"/>
  <c r="T500" i="4"/>
  <c r="S501" i="4"/>
  <c r="T501" i="4"/>
  <c r="S502" i="4"/>
  <c r="T502" i="4"/>
  <c r="S503" i="4"/>
  <c r="T503" i="4"/>
  <c r="S504" i="4"/>
  <c r="T504" i="4"/>
  <c r="S505" i="4"/>
  <c r="T505" i="4"/>
  <c r="S506" i="4"/>
  <c r="T506" i="4"/>
  <c r="S507" i="4"/>
  <c r="T507" i="4"/>
  <c r="S508" i="4"/>
  <c r="T508" i="4"/>
  <c r="S509" i="4"/>
  <c r="T509" i="4"/>
  <c r="S510" i="4"/>
  <c r="T510" i="4"/>
  <c r="S511" i="4"/>
  <c r="T511" i="4"/>
  <c r="S512" i="4"/>
  <c r="T512" i="4"/>
  <c r="S513" i="4"/>
  <c r="T513" i="4"/>
  <c r="S514" i="4"/>
  <c r="T514" i="4"/>
  <c r="S515" i="4"/>
  <c r="T515" i="4"/>
  <c r="S516" i="4"/>
  <c r="T516" i="4"/>
  <c r="S517" i="4"/>
  <c r="T517" i="4"/>
  <c r="S518" i="4"/>
  <c r="T518" i="4"/>
  <c r="S519" i="4"/>
  <c r="T519" i="4"/>
  <c r="S520" i="4"/>
  <c r="T520" i="4"/>
  <c r="S521" i="4"/>
  <c r="T521" i="4"/>
  <c r="S522" i="4"/>
  <c r="T522" i="4"/>
  <c r="S523" i="4"/>
  <c r="T523" i="4"/>
  <c r="S524" i="4"/>
  <c r="T524" i="4"/>
  <c r="S525" i="4"/>
  <c r="T525" i="4"/>
  <c r="S526" i="4"/>
  <c r="T526" i="4"/>
  <c r="S527" i="4"/>
  <c r="T527" i="4"/>
  <c r="S528" i="4"/>
  <c r="T528" i="4"/>
  <c r="S529" i="4"/>
  <c r="T529" i="4"/>
  <c r="S530" i="4"/>
  <c r="T530" i="4"/>
  <c r="S531" i="4"/>
  <c r="T531" i="4"/>
  <c r="S532" i="4"/>
  <c r="T532" i="4"/>
  <c r="S533" i="4"/>
  <c r="T533" i="4"/>
  <c r="S534" i="4"/>
  <c r="T534" i="4"/>
  <c r="S535" i="4"/>
  <c r="T535" i="4"/>
  <c r="S536" i="4"/>
  <c r="T536" i="4"/>
  <c r="S537" i="4"/>
  <c r="T537" i="4"/>
  <c r="S538" i="4"/>
  <c r="T538" i="4"/>
  <c r="S539" i="4"/>
  <c r="T539" i="4"/>
  <c r="S540" i="4"/>
  <c r="T540" i="4"/>
  <c r="S541" i="4"/>
  <c r="T541" i="4"/>
  <c r="S542" i="4"/>
  <c r="T542" i="4"/>
  <c r="S543" i="4"/>
  <c r="T543" i="4"/>
  <c r="S544" i="4"/>
  <c r="T544" i="4"/>
  <c r="S545" i="4"/>
  <c r="T545" i="4"/>
  <c r="S546" i="4"/>
  <c r="T546" i="4"/>
  <c r="S547" i="4"/>
  <c r="T547" i="4"/>
  <c r="S548" i="4"/>
  <c r="T548" i="4"/>
  <c r="S549" i="4"/>
  <c r="T549" i="4"/>
  <c r="S550" i="4"/>
  <c r="T550" i="4"/>
  <c r="S551" i="4"/>
  <c r="T551" i="4"/>
  <c r="S552" i="4"/>
  <c r="T552" i="4"/>
  <c r="S553" i="4"/>
  <c r="T553" i="4"/>
  <c r="S554" i="4"/>
  <c r="T554" i="4"/>
  <c r="S555" i="4"/>
  <c r="T555" i="4"/>
  <c r="S556" i="4"/>
  <c r="T556" i="4"/>
  <c r="S557" i="4"/>
  <c r="T557" i="4"/>
  <c r="S558" i="4"/>
  <c r="T558" i="4"/>
  <c r="S559" i="4"/>
  <c r="T559" i="4"/>
  <c r="S560" i="4"/>
  <c r="T560" i="4"/>
  <c r="S561" i="4"/>
  <c r="T561" i="4"/>
  <c r="S562" i="4"/>
  <c r="T562" i="4"/>
  <c r="S563" i="4"/>
  <c r="T563" i="4"/>
  <c r="S564" i="4"/>
  <c r="T564" i="4"/>
  <c r="S565" i="4"/>
  <c r="T565" i="4"/>
  <c r="S566" i="4"/>
  <c r="T566" i="4"/>
  <c r="S567" i="4"/>
  <c r="T567" i="4"/>
  <c r="S568" i="4"/>
  <c r="T568" i="4"/>
  <c r="S569" i="4"/>
  <c r="T569" i="4"/>
  <c r="S570" i="4"/>
  <c r="T570" i="4"/>
  <c r="S571" i="4"/>
  <c r="T571" i="4"/>
  <c r="S572" i="4"/>
  <c r="T572" i="4"/>
  <c r="S573" i="4"/>
  <c r="T573" i="4"/>
  <c r="S574" i="4"/>
  <c r="T574" i="4"/>
  <c r="S575" i="4"/>
  <c r="T575" i="4"/>
  <c r="S576" i="4"/>
  <c r="T576" i="4"/>
  <c r="S577" i="4"/>
  <c r="T577" i="4"/>
  <c r="S578" i="4"/>
  <c r="T578" i="4"/>
  <c r="S579" i="4"/>
  <c r="T579" i="4"/>
  <c r="S580" i="4"/>
  <c r="T580" i="4"/>
  <c r="S581" i="4"/>
  <c r="T581" i="4"/>
  <c r="S582" i="4"/>
  <c r="T582" i="4"/>
  <c r="S583" i="4"/>
  <c r="T583" i="4"/>
  <c r="S584" i="4"/>
  <c r="T584" i="4"/>
  <c r="S585" i="4"/>
  <c r="T585" i="4"/>
  <c r="S586" i="4"/>
  <c r="T586" i="4"/>
  <c r="S587" i="4"/>
  <c r="T587" i="4"/>
  <c r="S588" i="4"/>
  <c r="T588" i="4"/>
  <c r="S589" i="4"/>
  <c r="T589" i="4"/>
  <c r="S590" i="4"/>
  <c r="T590" i="4"/>
  <c r="S591" i="4"/>
  <c r="T591" i="4"/>
  <c r="S592" i="4"/>
  <c r="T592" i="4"/>
  <c r="S593" i="4"/>
  <c r="T593" i="4"/>
  <c r="S594" i="4"/>
  <c r="T594" i="4"/>
  <c r="S595" i="4"/>
  <c r="T595" i="4"/>
  <c r="S596" i="4"/>
  <c r="T596" i="4"/>
  <c r="S597" i="4"/>
  <c r="T597" i="4"/>
  <c r="S598" i="4"/>
  <c r="T598" i="4"/>
  <c r="S599" i="4"/>
  <c r="T599" i="4"/>
  <c r="S600" i="4"/>
  <c r="T600" i="4"/>
  <c r="S601" i="4"/>
  <c r="T601" i="4"/>
  <c r="S602" i="4"/>
  <c r="T602" i="4"/>
  <c r="S603" i="4"/>
  <c r="T603" i="4"/>
  <c r="S604" i="4"/>
  <c r="T604" i="4"/>
  <c r="S605" i="4"/>
  <c r="T605" i="4"/>
  <c r="S606" i="4"/>
  <c r="T606" i="4"/>
  <c r="S607" i="4"/>
  <c r="T607" i="4"/>
  <c r="S608" i="4"/>
  <c r="T608" i="4"/>
  <c r="S609" i="4"/>
  <c r="T609" i="4"/>
  <c r="S610" i="4"/>
  <c r="T610" i="4"/>
  <c r="S611" i="4"/>
  <c r="T611" i="4"/>
  <c r="S612" i="4"/>
  <c r="T612" i="4"/>
  <c r="S613" i="4"/>
  <c r="T613" i="4"/>
  <c r="S614" i="4"/>
  <c r="T614" i="4"/>
  <c r="S615" i="4"/>
  <c r="T615" i="4"/>
  <c r="S616" i="4"/>
  <c r="T616" i="4"/>
  <c r="S617" i="4"/>
  <c r="T617" i="4"/>
  <c r="S618" i="4"/>
  <c r="T618" i="4"/>
  <c r="S619" i="4"/>
  <c r="T619" i="4"/>
  <c r="S620" i="4"/>
  <c r="T620" i="4"/>
  <c r="S621" i="4"/>
  <c r="T621" i="4"/>
  <c r="S622" i="4"/>
  <c r="T622" i="4"/>
  <c r="S623" i="4"/>
  <c r="T623" i="4"/>
  <c r="S624" i="4"/>
  <c r="T624" i="4"/>
  <c r="S625" i="4"/>
  <c r="T625" i="4"/>
  <c r="S626" i="4"/>
  <c r="T626" i="4"/>
  <c r="S627" i="4"/>
  <c r="T627" i="4"/>
  <c r="S628" i="4"/>
  <c r="T628" i="4"/>
  <c r="S629" i="4"/>
  <c r="T629" i="4"/>
  <c r="S630" i="4"/>
  <c r="T630" i="4"/>
  <c r="S631" i="4"/>
  <c r="T631" i="4"/>
  <c r="S632" i="4"/>
  <c r="T632" i="4"/>
  <c r="S633" i="4"/>
  <c r="T633" i="4"/>
  <c r="S634" i="4"/>
  <c r="T634" i="4"/>
  <c r="S635" i="4"/>
  <c r="T635" i="4"/>
  <c r="S636" i="4"/>
  <c r="T636" i="4"/>
  <c r="S637" i="4"/>
  <c r="T637" i="4"/>
  <c r="S638" i="4"/>
  <c r="T638" i="4"/>
  <c r="S639" i="4"/>
  <c r="T639" i="4"/>
  <c r="S640" i="4"/>
  <c r="T640" i="4"/>
  <c r="S641" i="4"/>
  <c r="T641" i="4"/>
  <c r="S642" i="4"/>
  <c r="T642" i="4"/>
  <c r="S643" i="4"/>
  <c r="T643" i="4"/>
  <c r="S644" i="4"/>
  <c r="T644" i="4"/>
  <c r="S645" i="4"/>
  <c r="T645" i="4"/>
  <c r="S646" i="4"/>
  <c r="T646" i="4"/>
  <c r="S647" i="4"/>
  <c r="T647" i="4"/>
  <c r="S648" i="4"/>
  <c r="T648" i="4"/>
  <c r="S649" i="4"/>
  <c r="T649" i="4"/>
  <c r="S650" i="4"/>
  <c r="T650" i="4"/>
  <c r="S651" i="4"/>
  <c r="T651" i="4"/>
  <c r="S652" i="4"/>
  <c r="T652" i="4"/>
  <c r="S653" i="4"/>
  <c r="T653" i="4"/>
  <c r="S654" i="4"/>
  <c r="T654" i="4"/>
  <c r="S655" i="4"/>
  <c r="T655" i="4"/>
  <c r="S656" i="4"/>
  <c r="T656" i="4"/>
  <c r="S657" i="4"/>
  <c r="T657" i="4"/>
  <c r="S658" i="4"/>
  <c r="T658" i="4"/>
  <c r="S4" i="4"/>
  <c r="T4" i="4"/>
  <c r="S5" i="4"/>
  <c r="T5" i="4"/>
  <c r="S6" i="4"/>
  <c r="T6" i="4"/>
  <c r="S7" i="4"/>
  <c r="T7" i="4"/>
  <c r="S8" i="4"/>
  <c r="T8" i="4"/>
  <c r="S9" i="4"/>
  <c r="T9" i="4"/>
  <c r="S10" i="4"/>
  <c r="T10" i="4"/>
  <c r="S11" i="4"/>
  <c r="T11" i="4"/>
  <c r="S12" i="4"/>
  <c r="T12" i="4"/>
  <c r="S13" i="4"/>
  <c r="T13" i="4"/>
  <c r="S14" i="4"/>
  <c r="T14" i="4"/>
  <c r="S15" i="4"/>
  <c r="T15" i="4"/>
  <c r="S16" i="4"/>
  <c r="T16" i="4"/>
  <c r="S17" i="4"/>
  <c r="G16" i="2"/>
  <c r="R572" i="4" l="1"/>
  <c r="R554" i="4"/>
  <c r="R566" i="4"/>
  <c r="R591" i="4"/>
  <c r="R573" i="4"/>
  <c r="R555" i="4"/>
  <c r="R543" i="4"/>
  <c r="R525" i="4"/>
  <c r="R507" i="4"/>
  <c r="R483" i="4"/>
  <c r="R465" i="4"/>
  <c r="R447" i="4"/>
  <c r="R429" i="4"/>
  <c r="R411" i="4"/>
  <c r="R393" i="4"/>
  <c r="R560" i="4"/>
  <c r="R585" i="4"/>
  <c r="R567" i="4"/>
  <c r="R549" i="4"/>
  <c r="R531" i="4"/>
  <c r="R519" i="4"/>
  <c r="R501" i="4"/>
  <c r="R489" i="4"/>
  <c r="R477" i="4"/>
  <c r="R459" i="4"/>
  <c r="R441" i="4"/>
  <c r="R423" i="4"/>
  <c r="R405" i="4"/>
  <c r="R387" i="4"/>
  <c r="R597" i="4"/>
  <c r="R579" i="4"/>
  <c r="R561" i="4"/>
  <c r="R537" i="4"/>
  <c r="R513" i="4"/>
  <c r="R495" i="4"/>
  <c r="R471" i="4"/>
  <c r="R453" i="4"/>
  <c r="R435" i="4"/>
  <c r="R417" i="4"/>
  <c r="R399" i="4"/>
  <c r="R13" i="4"/>
  <c r="R7" i="4"/>
  <c r="R656" i="4"/>
  <c r="R650" i="4"/>
  <c r="R644" i="4"/>
  <c r="R638" i="4"/>
  <c r="R632" i="4"/>
  <c r="R626" i="4"/>
  <c r="R620" i="4"/>
  <c r="R614" i="4"/>
  <c r="R608" i="4"/>
  <c r="R602" i="4"/>
  <c r="R596" i="4"/>
  <c r="R590" i="4"/>
  <c r="R584" i="4"/>
  <c r="R578" i="4"/>
  <c r="R548" i="4"/>
  <c r="R542" i="4"/>
  <c r="R536" i="4"/>
  <c r="R530" i="4"/>
  <c r="R524" i="4"/>
  <c r="R518" i="4"/>
  <c r="R512" i="4"/>
  <c r="R506" i="4"/>
  <c r="R500" i="4"/>
  <c r="R494" i="4"/>
  <c r="R488" i="4"/>
  <c r="R482" i="4"/>
  <c r="R476" i="4"/>
  <c r="R464" i="4"/>
  <c r="R446" i="4"/>
  <c r="R440" i="4"/>
  <c r="R434" i="4"/>
  <c r="R428" i="4"/>
  <c r="R422" i="4"/>
  <c r="R416" i="4"/>
  <c r="R410" i="4"/>
  <c r="R404" i="4"/>
  <c r="R398" i="4"/>
  <c r="R392" i="4"/>
  <c r="R386" i="4"/>
  <c r="R380" i="4"/>
  <c r="R374" i="4"/>
  <c r="R368" i="4"/>
  <c r="R362" i="4"/>
  <c r="R356" i="4"/>
  <c r="R350" i="4"/>
  <c r="R344" i="4"/>
  <c r="R338" i="4"/>
  <c r="R332" i="4"/>
  <c r="R326" i="4"/>
  <c r="R320" i="4"/>
  <c r="R314" i="4"/>
  <c r="R308" i="4"/>
  <c r="R302" i="4"/>
  <c r="R296" i="4"/>
  <c r="R290" i="4"/>
  <c r="R284" i="4"/>
  <c r="R278" i="4"/>
  <c r="R272" i="4"/>
  <c r="R266" i="4"/>
  <c r="R260" i="4"/>
  <c r="R254" i="4"/>
  <c r="R248" i="4"/>
  <c r="R242" i="4"/>
  <c r="R236" i="4"/>
  <c r="R230" i="4"/>
  <c r="R224" i="4"/>
  <c r="R218" i="4"/>
  <c r="R212" i="4"/>
  <c r="R206" i="4"/>
  <c r="R200" i="4"/>
  <c r="R194" i="4"/>
  <c r="R188" i="4"/>
  <c r="R182" i="4"/>
  <c r="R176" i="4"/>
  <c r="R170" i="4"/>
  <c r="R164" i="4"/>
  <c r="R158" i="4"/>
  <c r="R152" i="4"/>
  <c r="R146" i="4"/>
  <c r="R140" i="4"/>
  <c r="R134" i="4"/>
  <c r="R128" i="4"/>
  <c r="R122" i="4"/>
  <c r="R116" i="4"/>
  <c r="R110" i="4"/>
  <c r="R104" i="4"/>
  <c r="R98" i="4"/>
  <c r="R92" i="4"/>
  <c r="R86" i="4"/>
  <c r="R80" i="4"/>
  <c r="R74" i="4"/>
  <c r="R68" i="4"/>
  <c r="R62" i="4"/>
  <c r="R56" i="4"/>
  <c r="R50" i="4"/>
  <c r="R44" i="4"/>
  <c r="R38" i="4"/>
  <c r="R32" i="4"/>
  <c r="R26" i="4"/>
  <c r="R20" i="4"/>
  <c r="R458" i="4"/>
  <c r="R470" i="4"/>
  <c r="R452" i="4"/>
  <c r="R22" i="4"/>
  <c r="R383" i="4"/>
  <c r="R381" i="4"/>
  <c r="R375" i="4"/>
  <c r="R369" i="4"/>
  <c r="R363" i="4"/>
  <c r="R357" i="4"/>
  <c r="R351" i="4"/>
  <c r="R345" i="4"/>
  <c r="R339" i="4"/>
  <c r="R333" i="4"/>
  <c r="R327" i="4"/>
  <c r="R321" i="4"/>
  <c r="R315" i="4"/>
  <c r="R309" i="4"/>
  <c r="R303" i="4"/>
  <c r="R297" i="4"/>
  <c r="R291" i="4"/>
  <c r="R285" i="4"/>
  <c r="R279" i="4"/>
  <c r="R273" i="4"/>
  <c r="R267" i="4"/>
  <c r="R261" i="4"/>
  <c r="R255" i="4"/>
  <c r="R249" i="4"/>
  <c r="R243" i="4"/>
  <c r="R237" i="4"/>
  <c r="R231" i="4"/>
  <c r="R225" i="4"/>
  <c r="R219" i="4"/>
  <c r="R213" i="4"/>
  <c r="R207" i="4"/>
  <c r="R23" i="4"/>
  <c r="R377" i="4"/>
  <c r="R10" i="4"/>
  <c r="R653" i="4"/>
  <c r="R641" i="4"/>
  <c r="R629" i="4"/>
  <c r="R617" i="4"/>
  <c r="R605" i="4"/>
  <c r="R593" i="4"/>
  <c r="R581" i="4"/>
  <c r="R569" i="4"/>
  <c r="R557" i="4"/>
  <c r="R539" i="4"/>
  <c r="R527" i="4"/>
  <c r="R521" i="4"/>
  <c r="R509" i="4"/>
  <c r="R497" i="4"/>
  <c r="R485" i="4"/>
  <c r="R473" i="4"/>
  <c r="R467" i="4"/>
  <c r="R455" i="4"/>
  <c r="R443" i="4"/>
  <c r="R437" i="4"/>
  <c r="R425" i="4"/>
  <c r="R419" i="4"/>
  <c r="R407" i="4"/>
  <c r="R395" i="4"/>
  <c r="R365" i="4"/>
  <c r="R16" i="4"/>
  <c r="R647" i="4"/>
  <c r="R635" i="4"/>
  <c r="R623" i="4"/>
  <c r="R611" i="4"/>
  <c r="R599" i="4"/>
  <c r="R587" i="4"/>
  <c r="R575" i="4"/>
  <c r="R563" i="4"/>
  <c r="R551" i="4"/>
  <c r="R545" i="4"/>
  <c r="R533" i="4"/>
  <c r="R515" i="4"/>
  <c r="R503" i="4"/>
  <c r="R491" i="4"/>
  <c r="R479" i="4"/>
  <c r="R461" i="4"/>
  <c r="R449" i="4"/>
  <c r="R431" i="4"/>
  <c r="R413" i="4"/>
  <c r="R401" i="4"/>
  <c r="R389" i="4"/>
  <c r="R371" i="4"/>
  <c r="R353" i="4"/>
  <c r="R341" i="4"/>
  <c r="R329" i="4"/>
  <c r="R317" i="4"/>
  <c r="R305" i="4"/>
  <c r="R293" i="4"/>
  <c r="R281" i="4"/>
  <c r="R269" i="4"/>
  <c r="R257" i="4"/>
  <c r="R245" i="4"/>
  <c r="R233" i="4"/>
  <c r="R221" i="4"/>
  <c r="R209" i="4"/>
  <c r="R197" i="4"/>
  <c r="R185" i="4"/>
  <c r="R173" i="4"/>
  <c r="R161" i="4"/>
  <c r="R149" i="4"/>
  <c r="R137" i="4"/>
  <c r="R125" i="4"/>
  <c r="R113" i="4"/>
  <c r="R101" i="4"/>
  <c r="R89" i="4"/>
  <c r="R77" i="4"/>
  <c r="R71" i="4"/>
  <c r="R59" i="4"/>
  <c r="R47" i="4"/>
  <c r="R41" i="4"/>
  <c r="R29" i="4"/>
  <c r="R15" i="4"/>
  <c r="R658" i="4"/>
  <c r="R640" i="4"/>
  <c r="R628" i="4"/>
  <c r="R598" i="4"/>
  <c r="R586" i="4"/>
  <c r="R574" i="4"/>
  <c r="R562" i="4"/>
  <c r="R544" i="4"/>
  <c r="R532" i="4"/>
  <c r="R520" i="4"/>
  <c r="R508" i="4"/>
  <c r="R496" i="4"/>
  <c r="R484" i="4"/>
  <c r="R472" i="4"/>
  <c r="R460" i="4"/>
  <c r="R448" i="4"/>
  <c r="R436" i="4"/>
  <c r="R424" i="4"/>
  <c r="R412" i="4"/>
  <c r="R400" i="4"/>
  <c r="R388" i="4"/>
  <c r="R376" i="4"/>
  <c r="R364" i="4"/>
  <c r="R352" i="4"/>
  <c r="R334" i="4"/>
  <c r="R322" i="4"/>
  <c r="R310" i="4"/>
  <c r="R298" i="4"/>
  <c r="R286" i="4"/>
  <c r="R274" i="4"/>
  <c r="R262" i="4"/>
  <c r="R250" i="4"/>
  <c r="R238" i="4"/>
  <c r="R226" i="4"/>
  <c r="R214" i="4"/>
  <c r="R202" i="4"/>
  <c r="R184" i="4"/>
  <c r="R172" i="4"/>
  <c r="R160" i="4"/>
  <c r="R148" i="4"/>
  <c r="R136" i="4"/>
  <c r="R124" i="4"/>
  <c r="R112" i="4"/>
  <c r="R94" i="4"/>
  <c r="R82" i="4"/>
  <c r="R70" i="4"/>
  <c r="R58" i="4"/>
  <c r="R40" i="4"/>
  <c r="R28" i="4"/>
  <c r="R8" i="4"/>
  <c r="R651" i="4"/>
  <c r="R639" i="4"/>
  <c r="R627" i="4"/>
  <c r="R615" i="4"/>
  <c r="R603" i="4"/>
  <c r="R359" i="4"/>
  <c r="R347" i="4"/>
  <c r="R335" i="4"/>
  <c r="R323" i="4"/>
  <c r="R311" i="4"/>
  <c r="R299" i="4"/>
  <c r="R287" i="4"/>
  <c r="R275" i="4"/>
  <c r="R263" i="4"/>
  <c r="R251" i="4"/>
  <c r="R239" i="4"/>
  <c r="R227" i="4"/>
  <c r="R215" i="4"/>
  <c r="R203" i="4"/>
  <c r="R191" i="4"/>
  <c r="R179" i="4"/>
  <c r="R167" i="4"/>
  <c r="R155" i="4"/>
  <c r="R143" i="4"/>
  <c r="R131" i="4"/>
  <c r="R119" i="4"/>
  <c r="R107" i="4"/>
  <c r="R95" i="4"/>
  <c r="R83" i="4"/>
  <c r="R65" i="4"/>
  <c r="R53" i="4"/>
  <c r="R35" i="4"/>
  <c r="R9" i="4"/>
  <c r="R652" i="4"/>
  <c r="R646" i="4"/>
  <c r="R634" i="4"/>
  <c r="R622" i="4"/>
  <c r="R616" i="4"/>
  <c r="R610" i="4"/>
  <c r="R604" i="4"/>
  <c r="R592" i="4"/>
  <c r="R580" i="4"/>
  <c r="R568" i="4"/>
  <c r="R556" i="4"/>
  <c r="R550" i="4"/>
  <c r="R538" i="4"/>
  <c r="R526" i="4"/>
  <c r="R514" i="4"/>
  <c r="R502" i="4"/>
  <c r="R490" i="4"/>
  <c r="R478" i="4"/>
  <c r="R466" i="4"/>
  <c r="R454" i="4"/>
  <c r="R442" i="4"/>
  <c r="R430" i="4"/>
  <c r="R418" i="4"/>
  <c r="R406" i="4"/>
  <c r="R394" i="4"/>
  <c r="R382" i="4"/>
  <c r="R370" i="4"/>
  <c r="R358" i="4"/>
  <c r="R346" i="4"/>
  <c r="R340" i="4"/>
  <c r="R328" i="4"/>
  <c r="R316" i="4"/>
  <c r="R304" i="4"/>
  <c r="R292" i="4"/>
  <c r="R280" i="4"/>
  <c r="R268" i="4"/>
  <c r="R256" i="4"/>
  <c r="R244" i="4"/>
  <c r="R232" i="4"/>
  <c r="R220" i="4"/>
  <c r="R208" i="4"/>
  <c r="R196" i="4"/>
  <c r="R190" i="4"/>
  <c r="R178" i="4"/>
  <c r="R166" i="4"/>
  <c r="R154" i="4"/>
  <c r="R142" i="4"/>
  <c r="R130" i="4"/>
  <c r="R118" i="4"/>
  <c r="R106" i="4"/>
  <c r="R100" i="4"/>
  <c r="R88" i="4"/>
  <c r="R76" i="4"/>
  <c r="R64" i="4"/>
  <c r="R52" i="4"/>
  <c r="R46" i="4"/>
  <c r="R34" i="4"/>
  <c r="R14" i="4"/>
  <c r="R657" i="4"/>
  <c r="R645" i="4"/>
  <c r="R633" i="4"/>
  <c r="R621" i="4"/>
  <c r="R609" i="4"/>
  <c r="R12" i="4"/>
  <c r="R481" i="4"/>
  <c r="R475" i="4"/>
  <c r="R655" i="4"/>
  <c r="R649" i="4"/>
  <c r="R643" i="4"/>
  <c r="R637" i="4"/>
  <c r="R631" i="4"/>
  <c r="R625" i="4"/>
  <c r="R619" i="4"/>
  <c r="R613" i="4"/>
  <c r="R607" i="4"/>
  <c r="R601" i="4"/>
  <c r="R595" i="4"/>
  <c r="R589" i="4"/>
  <c r="R583" i="4"/>
  <c r="R577" i="4"/>
  <c r="R571" i="4"/>
  <c r="R565" i="4"/>
  <c r="R559" i="4"/>
  <c r="R553" i="4"/>
  <c r="R547" i="4"/>
  <c r="R541" i="4"/>
  <c r="R535" i="4"/>
  <c r="R529" i="4"/>
  <c r="R523" i="4"/>
  <c r="R517" i="4"/>
  <c r="R511" i="4"/>
  <c r="R505" i="4"/>
  <c r="R499" i="4"/>
  <c r="R493" i="4"/>
  <c r="R487" i="4"/>
  <c r="R11" i="4"/>
  <c r="R654" i="4"/>
  <c r="R648" i="4"/>
  <c r="R642" i="4"/>
  <c r="R636" i="4"/>
  <c r="R630" i="4"/>
  <c r="R624" i="4"/>
  <c r="R618" i="4"/>
  <c r="R612" i="4"/>
  <c r="R606" i="4"/>
  <c r="R600" i="4"/>
  <c r="R594" i="4"/>
  <c r="R588" i="4"/>
  <c r="R582" i="4"/>
  <c r="R576" i="4"/>
  <c r="R570" i="4"/>
  <c r="R564" i="4"/>
  <c r="R558" i="4"/>
  <c r="R552" i="4"/>
  <c r="R546" i="4"/>
  <c r="R540" i="4"/>
  <c r="R534" i="4"/>
  <c r="R528" i="4"/>
  <c r="R201" i="4"/>
  <c r="R195" i="4"/>
  <c r="R189" i="4"/>
  <c r="R183" i="4"/>
  <c r="R177" i="4"/>
  <c r="R171" i="4"/>
  <c r="R165" i="4"/>
  <c r="R159" i="4"/>
  <c r="R153" i="4"/>
  <c r="R147" i="4"/>
  <c r="R141" i="4"/>
  <c r="R135" i="4"/>
  <c r="R129" i="4"/>
  <c r="R123" i="4"/>
  <c r="R117" i="4"/>
  <c r="R111" i="4"/>
  <c r="R105" i="4"/>
  <c r="R99" i="4"/>
  <c r="R93" i="4"/>
  <c r="R87" i="4"/>
  <c r="R81" i="4"/>
  <c r="R75" i="4"/>
  <c r="R69" i="4"/>
  <c r="R63" i="4"/>
  <c r="R57" i="4"/>
  <c r="R51" i="4"/>
  <c r="R45" i="4"/>
  <c r="R39" i="4"/>
  <c r="R33" i="4"/>
  <c r="R27" i="4"/>
  <c r="R21" i="4"/>
  <c r="R469" i="4"/>
  <c r="R463" i="4"/>
  <c r="R457" i="4"/>
  <c r="R451" i="4"/>
  <c r="R445" i="4"/>
  <c r="R439" i="4"/>
  <c r="R433" i="4"/>
  <c r="R427" i="4"/>
  <c r="R421" i="4"/>
  <c r="R415" i="4"/>
  <c r="R409" i="4"/>
  <c r="R403" i="4"/>
  <c r="R397" i="4"/>
  <c r="R391" i="4"/>
  <c r="R385" i="4"/>
  <c r="R379" i="4"/>
  <c r="R373" i="4"/>
  <c r="R367" i="4"/>
  <c r="R361" i="4"/>
  <c r="R355" i="4"/>
  <c r="R349" i="4"/>
  <c r="R343" i="4"/>
  <c r="R337" i="4"/>
  <c r="R331" i="4"/>
  <c r="R325" i="4"/>
  <c r="R319" i="4"/>
  <c r="R313" i="4"/>
  <c r="R307" i="4"/>
  <c r="R301" i="4"/>
  <c r="R295" i="4"/>
  <c r="R289" i="4"/>
  <c r="R283" i="4"/>
  <c r="R277" i="4"/>
  <c r="R271" i="4"/>
  <c r="R265" i="4"/>
  <c r="R259" i="4"/>
  <c r="R253" i="4"/>
  <c r="R247" i="4"/>
  <c r="R241" i="4"/>
  <c r="R235" i="4"/>
  <c r="R229" i="4"/>
  <c r="R223" i="4"/>
  <c r="R217" i="4"/>
  <c r="R211" i="4"/>
  <c r="R205" i="4"/>
  <c r="R199" i="4"/>
  <c r="R193" i="4"/>
  <c r="R187" i="4"/>
  <c r="R181" i="4"/>
  <c r="R175" i="4"/>
  <c r="R169" i="4"/>
  <c r="R163" i="4"/>
  <c r="R157" i="4"/>
  <c r="R151" i="4"/>
  <c r="R145" i="4"/>
  <c r="R139" i="4"/>
  <c r="R133" i="4"/>
  <c r="R127" i="4"/>
  <c r="R121" i="4"/>
  <c r="R115" i="4"/>
  <c r="R109" i="4"/>
  <c r="R103" i="4"/>
  <c r="R97" i="4"/>
  <c r="R91" i="4"/>
  <c r="R85" i="4"/>
  <c r="R79" i="4"/>
  <c r="R73" i="4"/>
  <c r="R67" i="4"/>
  <c r="R61" i="4"/>
  <c r="R55" i="4"/>
  <c r="R49" i="4"/>
  <c r="R43" i="4"/>
  <c r="R37" i="4"/>
  <c r="R31" i="4"/>
  <c r="R25" i="4"/>
  <c r="R19" i="4"/>
  <c r="R522" i="4"/>
  <c r="R516" i="4"/>
  <c r="R510" i="4"/>
  <c r="R504" i="4"/>
  <c r="R498" i="4"/>
  <c r="R492" i="4"/>
  <c r="R486" i="4"/>
  <c r="R480" i="4"/>
  <c r="R474" i="4"/>
  <c r="R468" i="4"/>
  <c r="R462" i="4"/>
  <c r="R456" i="4"/>
  <c r="R450" i="4"/>
  <c r="R444" i="4"/>
  <c r="R438" i="4"/>
  <c r="R432" i="4"/>
  <c r="R426" i="4"/>
  <c r="R420" i="4"/>
  <c r="R414" i="4"/>
  <c r="R408" i="4"/>
  <c r="R402" i="4"/>
  <c r="R396" i="4"/>
  <c r="R390" i="4"/>
  <c r="R384" i="4"/>
  <c r="R378" i="4"/>
  <c r="R372" i="4"/>
  <c r="R366" i="4"/>
  <c r="R360" i="4"/>
  <c r="R354" i="4"/>
  <c r="R348" i="4"/>
  <c r="R342" i="4"/>
  <c r="R336" i="4"/>
  <c r="R330" i="4"/>
  <c r="R324" i="4"/>
  <c r="R318" i="4"/>
  <c r="R312" i="4"/>
  <c r="R306" i="4"/>
  <c r="R300" i="4"/>
  <c r="R294" i="4"/>
  <c r="R288" i="4"/>
  <c r="R282" i="4"/>
  <c r="R276" i="4"/>
  <c r="R270" i="4"/>
  <c r="R264" i="4"/>
  <c r="R258" i="4"/>
  <c r="R252" i="4"/>
  <c r="R246" i="4"/>
  <c r="R240" i="4"/>
  <c r="R234" i="4"/>
  <c r="R228" i="4"/>
  <c r="R222" i="4"/>
  <c r="R216" i="4"/>
  <c r="R210" i="4"/>
  <c r="R204" i="4"/>
  <c r="R198" i="4"/>
  <c r="R192" i="4"/>
  <c r="R186" i="4"/>
  <c r="R180" i="4"/>
  <c r="R174" i="4"/>
  <c r="R168" i="4"/>
  <c r="R162" i="4"/>
  <c r="R156" i="4"/>
  <c r="R150" i="4"/>
  <c r="R144" i="4"/>
  <c r="R138" i="4"/>
  <c r="R132" i="4"/>
  <c r="R126" i="4"/>
  <c r="R120" i="4"/>
  <c r="R114" i="4"/>
  <c r="R108" i="4"/>
  <c r="R102" i="4"/>
  <c r="R96" i="4"/>
  <c r="R90" i="4"/>
  <c r="R84" i="4"/>
  <c r="R78" i="4"/>
  <c r="R72" i="4"/>
  <c r="R66" i="4"/>
  <c r="R60" i="4"/>
  <c r="R54" i="4"/>
  <c r="R48" i="4"/>
  <c r="R42" i="4"/>
  <c r="R36" i="4"/>
  <c r="R30" i="4"/>
  <c r="R24" i="4"/>
  <c r="R18" i="4"/>
  <c r="R6" i="4"/>
  <c r="B2" i="4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J7" i="3"/>
  <c r="J6" i="3"/>
  <c r="J5" i="3"/>
  <c r="J4" i="3"/>
  <c r="L46" i="3"/>
  <c r="L41" i="3"/>
  <c r="L36" i="3"/>
  <c r="L31" i="3"/>
  <c r="L26" i="3"/>
  <c r="L21" i="3"/>
  <c r="L16" i="3"/>
  <c r="L11" i="3"/>
  <c r="K11" i="3"/>
  <c r="L6" i="3"/>
  <c r="K6" i="3"/>
  <c r="L47" i="3"/>
  <c r="L42" i="3"/>
  <c r="L37" i="3"/>
  <c r="L32" i="3"/>
  <c r="L27" i="3"/>
  <c r="L22" i="3"/>
  <c r="L17" i="3"/>
  <c r="L12" i="3"/>
  <c r="K12" i="3"/>
  <c r="L8" i="3"/>
  <c r="K8" i="3"/>
  <c r="L43" i="3"/>
  <c r="L40" i="3"/>
  <c r="L39" i="3"/>
  <c r="L28" i="3"/>
  <c r="L25" i="3"/>
  <c r="L24" i="3"/>
  <c r="L13" i="3"/>
  <c r="L10" i="3"/>
  <c r="K10" i="3"/>
  <c r="L9" i="3"/>
  <c r="K9" i="3"/>
  <c r="K16" i="3" l="1"/>
  <c r="K46" i="3"/>
  <c r="K24" i="3"/>
  <c r="K43" i="3"/>
  <c r="K37" i="3"/>
  <c r="K21" i="3"/>
  <c r="K40" i="3"/>
  <c r="K27" i="3"/>
  <c r="K41" i="3"/>
  <c r="K13" i="3"/>
  <c r="K32" i="3"/>
  <c r="K26" i="3"/>
  <c r="K28" i="3"/>
  <c r="K39" i="3"/>
  <c r="K17" i="3"/>
  <c r="K22" i="3"/>
  <c r="K47" i="3"/>
  <c r="K31" i="3"/>
  <c r="K36" i="3"/>
  <c r="K25" i="3"/>
  <c r="K42" i="3"/>
  <c r="R4" i="4"/>
  <c r="R5" i="4"/>
  <c r="K7" i="3"/>
  <c r="K14" i="3"/>
  <c r="K18" i="3"/>
  <c r="K19" i="3"/>
  <c r="K23" i="3"/>
  <c r="K29" i="3"/>
  <c r="K33" i="3"/>
  <c r="K34" i="3"/>
  <c r="K38" i="3"/>
  <c r="K44" i="3"/>
  <c r="K48" i="3"/>
  <c r="K5" i="3"/>
  <c r="K15" i="3"/>
  <c r="K20" i="3"/>
  <c r="K30" i="3"/>
  <c r="K35" i="3"/>
  <c r="K45" i="3"/>
  <c r="T17" i="4"/>
  <c r="R17" i="4" s="1"/>
  <c r="H38" i="2"/>
  <c r="H36" i="2"/>
  <c r="H35" i="2"/>
  <c r="H37" i="2"/>
  <c r="F31" i="2" l="1"/>
  <c r="B32" i="2"/>
  <c r="B34" i="2" s="1"/>
  <c r="J47" i="5"/>
  <c r="I47" i="5"/>
  <c r="J46" i="5"/>
  <c r="I46" i="5"/>
  <c r="D46" i="5"/>
  <c r="L46" i="5" s="1"/>
  <c r="J45" i="5"/>
  <c r="I45" i="5"/>
  <c r="D45" i="5"/>
  <c r="L45" i="5" s="1"/>
  <c r="J44" i="5"/>
  <c r="I44" i="5"/>
  <c r="D44" i="5"/>
  <c r="L44" i="5" s="1"/>
  <c r="J43" i="5"/>
  <c r="I43" i="5"/>
  <c r="D43" i="5"/>
  <c r="L43" i="5" s="1"/>
  <c r="J42" i="5"/>
  <c r="I42" i="5"/>
  <c r="D42" i="5"/>
  <c r="L42" i="5" s="1"/>
  <c r="J41" i="5"/>
  <c r="I41" i="5"/>
  <c r="J40" i="5"/>
  <c r="I40" i="5"/>
  <c r="D40" i="5"/>
  <c r="L40" i="5" s="1"/>
  <c r="J39" i="5"/>
  <c r="I39" i="5"/>
  <c r="D39" i="5"/>
  <c r="L39" i="5" s="1"/>
  <c r="J38" i="5"/>
  <c r="I38" i="5"/>
  <c r="D38" i="5"/>
  <c r="L38" i="5" s="1"/>
  <c r="J37" i="5"/>
  <c r="I37" i="5"/>
  <c r="D37" i="5"/>
  <c r="L37" i="5" s="1"/>
  <c r="J36" i="5"/>
  <c r="I36" i="5"/>
  <c r="D36" i="5"/>
  <c r="L36" i="5" s="1"/>
  <c r="I35" i="5"/>
  <c r="I34" i="5"/>
  <c r="D34" i="5"/>
  <c r="L34" i="5" s="1"/>
  <c r="I33" i="5"/>
  <c r="D33" i="5"/>
  <c r="L33" i="5" s="1"/>
  <c r="I32" i="5"/>
  <c r="D32" i="5"/>
  <c r="L32" i="5" s="1"/>
  <c r="I31" i="5"/>
  <c r="D31" i="5"/>
  <c r="L31" i="5" s="1"/>
  <c r="I30" i="5"/>
  <c r="D30" i="5"/>
  <c r="L30" i="5" s="1"/>
  <c r="K29" i="5"/>
  <c r="J29" i="5"/>
  <c r="I29" i="5"/>
  <c r="K28" i="5"/>
  <c r="J28" i="5"/>
  <c r="I28" i="5"/>
  <c r="D28" i="5"/>
  <c r="L28" i="5" s="1"/>
  <c r="K27" i="5"/>
  <c r="J27" i="5"/>
  <c r="I27" i="5"/>
  <c r="D27" i="5"/>
  <c r="L27" i="5" s="1"/>
  <c r="K26" i="5"/>
  <c r="J26" i="5"/>
  <c r="I26" i="5"/>
  <c r="D26" i="5"/>
  <c r="L26" i="5" s="1"/>
  <c r="K25" i="5"/>
  <c r="J25" i="5"/>
  <c r="I25" i="5"/>
  <c r="D25" i="5"/>
  <c r="K24" i="5"/>
  <c r="J24" i="5"/>
  <c r="I24" i="5"/>
  <c r="D24" i="5"/>
  <c r="L24" i="5" s="1"/>
  <c r="I23" i="5"/>
  <c r="H23" i="5"/>
  <c r="I22" i="5"/>
  <c r="D22" i="5"/>
  <c r="L22" i="5" s="1"/>
  <c r="I21" i="5"/>
  <c r="D21" i="5"/>
  <c r="H21" i="5" s="1"/>
  <c r="M21" i="5" s="1"/>
  <c r="I20" i="5"/>
  <c r="H20" i="5"/>
  <c r="M20" i="5" s="1"/>
  <c r="D19" i="5"/>
  <c r="L19" i="5" s="1"/>
  <c r="I18" i="5"/>
  <c r="H18" i="5"/>
  <c r="M18" i="5" s="1"/>
  <c r="C12" i="5"/>
  <c r="C11" i="5"/>
  <c r="C10" i="5"/>
  <c r="C9" i="5"/>
  <c r="H29" i="5" s="1"/>
  <c r="H32" i="2"/>
  <c r="H34" i="2"/>
  <c r="H31" i="2"/>
  <c r="H33" i="2"/>
  <c r="H42" i="5" l="1"/>
  <c r="M42" i="5" s="1"/>
  <c r="H37" i="5"/>
  <c r="M37" i="5" s="1"/>
  <c r="L21" i="5"/>
  <c r="H33" i="5"/>
  <c r="M33" i="5" s="1"/>
  <c r="H25" i="5"/>
  <c r="M25" i="5" s="1"/>
  <c r="H41" i="5"/>
  <c r="H34" i="5"/>
  <c r="M34" i="5" s="1"/>
  <c r="H28" i="5"/>
  <c r="M28" i="5" s="1"/>
  <c r="L18" i="5"/>
  <c r="H31" i="5"/>
  <c r="M31" i="5" s="1"/>
  <c r="H35" i="5"/>
  <c r="H26" i="5"/>
  <c r="M26" i="5" s="1"/>
  <c r="H24" i="5"/>
  <c r="M24" i="5" s="1"/>
  <c r="L20" i="5"/>
  <c r="H36" i="5"/>
  <c r="M36" i="5" s="1"/>
  <c r="B33" i="2"/>
  <c r="F34" i="2"/>
  <c r="F32" i="2"/>
  <c r="H45" i="5"/>
  <c r="M45" i="5" s="1"/>
  <c r="H40" i="5"/>
  <c r="M40" i="5" s="1"/>
  <c r="H43" i="5"/>
  <c r="M43" i="5" s="1"/>
  <c r="H38" i="5"/>
  <c r="M38" i="5" s="1"/>
  <c r="H19" i="5"/>
  <c r="M19" i="5" s="1"/>
  <c r="H27" i="5"/>
  <c r="M27" i="5" s="1"/>
  <c r="H32" i="5"/>
  <c r="M32" i="5" s="1"/>
  <c r="H46" i="5"/>
  <c r="M46" i="5" s="1"/>
  <c r="H22" i="5"/>
  <c r="M22" i="5" s="1"/>
  <c r="L25" i="5"/>
  <c r="H30" i="5"/>
  <c r="M30" i="5" s="1"/>
  <c r="H44" i="5"/>
  <c r="M44" i="5" s="1"/>
  <c r="H39" i="5"/>
  <c r="M39" i="5" s="1"/>
  <c r="H47" i="5"/>
  <c r="B35" i="2" l="1"/>
  <c r="F33" i="2"/>
  <c r="B36" i="2" l="1"/>
  <c r="F35" i="2"/>
  <c r="B37" i="2" l="1"/>
  <c r="F36" i="2"/>
  <c r="B38" i="2" l="1"/>
  <c r="F38" i="2" s="1"/>
  <c r="F37" i="2"/>
  <c r="L4" i="3" l="1"/>
  <c r="L7" i="3"/>
  <c r="L14" i="3"/>
  <c r="L18" i="3"/>
  <c r="L19" i="3"/>
  <c r="L23" i="3"/>
  <c r="L29" i="3"/>
  <c r="L33" i="3"/>
  <c r="L34" i="3"/>
  <c r="L38" i="3"/>
  <c r="L44" i="3"/>
  <c r="L48" i="3"/>
  <c r="L5" i="3"/>
  <c r="L15" i="3"/>
  <c r="L20" i="3"/>
  <c r="L30" i="3"/>
  <c r="L35" i="3"/>
  <c r="L45" i="3"/>
  <c r="G17" i="2" l="1"/>
  <c r="F17" i="2"/>
  <c r="H17" i="2"/>
  <c r="H16" i="2"/>
  <c r="H26" i="2"/>
  <c r="H25" i="2"/>
  <c r="H23" i="2"/>
  <c r="H18" i="2"/>
  <c r="H24" i="2"/>
  <c r="G24" i="2" l="1"/>
  <c r="G23" i="2"/>
  <c r="G20" i="2"/>
  <c r="G19" i="2"/>
  <c r="B26" i="2"/>
  <c r="F26" i="2" s="1"/>
  <c r="F25" i="2"/>
  <c r="G25" i="2" l="1"/>
  <c r="G26" i="2"/>
  <c r="G18" i="2"/>
  <c r="H20" i="2"/>
  <c r="H19" i="2"/>
  <c r="G14" i="2" l="1"/>
  <c r="B3" i="2"/>
  <c r="F3" i="2" s="1"/>
  <c r="B24" i="2"/>
  <c r="B27" i="2" s="1"/>
  <c r="F23" i="2"/>
  <c r="F2" i="2"/>
  <c r="H14" i="2"/>
  <c r="H15" i="2"/>
  <c r="G27" i="2" l="1"/>
  <c r="G28" i="2"/>
  <c r="F27" i="2"/>
  <c r="B28" i="2"/>
  <c r="F28" i="2" s="1"/>
  <c r="B4" i="2"/>
  <c r="B5" i="2" s="1"/>
  <c r="B8" i="2" s="1"/>
  <c r="B9" i="2" s="1"/>
  <c r="B10" i="2" s="1"/>
  <c r="B11" i="2" s="1"/>
  <c r="B12" i="2" s="1"/>
  <c r="B13" i="2" s="1"/>
  <c r="F24" i="2"/>
  <c r="F8" i="2" l="1"/>
  <c r="F7" i="2"/>
  <c r="F9" i="2"/>
  <c r="F4" i="2"/>
  <c r="F10" i="2" l="1"/>
  <c r="F6" i="2"/>
  <c r="F11" i="2" l="1"/>
  <c r="F13" i="2"/>
  <c r="F12" i="2"/>
  <c r="B15" i="2"/>
  <c r="F14" i="2"/>
  <c r="F15" i="2" l="1"/>
  <c r="F16" i="2" l="1"/>
  <c r="F5" i="2"/>
  <c r="F18" i="2" l="1"/>
  <c r="F20" i="2"/>
  <c r="F19" i="2"/>
</calcChain>
</file>

<file path=xl/sharedStrings.xml><?xml version="1.0" encoding="utf-8"?>
<sst xmlns="http://schemas.openxmlformats.org/spreadsheetml/2006/main" count="16437" uniqueCount="1659">
  <si>
    <t>Variable</t>
  </si>
  <si>
    <t>Order</t>
  </si>
  <si>
    <t>Dependency</t>
  </si>
  <si>
    <t>Relation</t>
  </si>
  <si>
    <t>Explanation</t>
  </si>
  <si>
    <t>Comments</t>
  </si>
  <si>
    <t>Value</t>
  </si>
  <si>
    <t>Expression</t>
  </si>
  <si>
    <t>Previous parameter name</t>
  </si>
  <si>
    <t>component_height</t>
  </si>
  <si>
    <t>Input</t>
  </si>
  <si>
    <t>Model</t>
  </si>
  <si>
    <t>Height of the component</t>
  </si>
  <si>
    <t>component_width</t>
  </si>
  <si>
    <t>Width of the component</t>
  </si>
  <si>
    <t>component_floor_clearance</t>
  </si>
  <si>
    <t>Floor clearance of the component</t>
  </si>
  <si>
    <t>component_ceiling_clearance</t>
  </si>
  <si>
    <t>Ceiling clearance of the component</t>
  </si>
  <si>
    <t>panel_section</t>
  </si>
  <si>
    <t>Whether the panel is not split, or, if split horizontally with an h-channel, defines whether this is the top or bottom piece</t>
  </si>
  <si>
    <t>WHOLE</t>
  </si>
  <si>
    <t>panel_abuts_inline_stile_front</t>
  </si>
  <si>
    <t>Helper</t>
  </si>
  <si>
    <t>Whether the panel’s front edge abuts an inline stile rather than a wall or perpendicular stile</t>
  </si>
  <si>
    <t>panel_front_inline_stile_floor_to_ceiling</t>
  </si>
  <si>
    <t>If the panel’s back edge abuts an inline stile, indicates whether the inline stile is floor-to-ceiling (XX86) or not</t>
  </si>
  <si>
    <t>panel_abuts_inline_stile_back</t>
  </si>
  <si>
    <t>Whether the panel’s back edge abuts an inline stile rather than a wall or perpendicular stile</t>
  </si>
  <si>
    <t>panel_back_inline_stile_floor_to_ceiling</t>
  </si>
  <si>
    <t>Iif the panel’s back edge abuts an inline stile, indicates whether the inline stile is floor-to-ceiling (XX86) or not</t>
  </si>
  <si>
    <t>stile_in_the_back_width</t>
  </si>
  <si>
    <t>If the panel has a stile-in-the-back, the width of that stile</t>
  </si>
  <si>
    <t>cutout_A</t>
  </si>
  <si>
    <t>Whether the panel has a cutout and which cutout.</t>
  </si>
  <si>
    <t>B-357</t>
  </si>
  <si>
    <t>cutout_B</t>
  </si>
  <si>
    <t>Whether the panel has a second cutout and which cutout.</t>
  </si>
  <si>
    <t/>
  </si>
  <si>
    <t>component_thickness</t>
  </si>
  <si>
    <t>Fixed</t>
  </si>
  <si>
    <t>Thickness of the component</t>
  </si>
  <si>
    <t>notching_x_dist</t>
  </si>
  <si>
    <t>Horizontal length of notch</t>
  </si>
  <si>
    <t>bottom_notching_standard_y_dist</t>
  </si>
  <si>
    <t xml:space="preserve">Height of notching cutout from bottom of panel for standard one inch floor clearance </t>
  </si>
  <si>
    <t>bottom_notching_actual_y_dist</t>
  </si>
  <si>
    <t>Actual height of notching cutout from bottom of panel for any floor clearance less than: one inch plus the height of the standard bottom notch</t>
  </si>
  <si>
    <t>top_notching_y_dist</t>
  </si>
  <si>
    <t>Derived</t>
  </si>
  <si>
    <t>Vertical height of top notch</t>
  </si>
  <si>
    <t>shoe_height</t>
  </si>
  <si>
    <t>Shoe height of adjacent stiles</t>
  </si>
  <si>
    <t>shoe_top_notch_gap</t>
  </si>
  <si>
    <t>Additional gap added to ensure proper fitting</t>
  </si>
  <si>
    <t>Notching</t>
  </si>
  <si>
    <t>notching_front_edge_bottom</t>
  </si>
  <si>
    <t>Whether notching is present on the front bottom corner of the panel</t>
  </si>
  <si>
    <t>notching_back_edge_bottom</t>
  </si>
  <si>
    <t>Whether notching is present on the back bottom corner of the panel</t>
  </si>
  <si>
    <t>notching_front_edge_top</t>
  </si>
  <si>
    <t>Whether notching is present on the front top corner of the panel</t>
  </si>
  <si>
    <t>notching_back_edge_top</t>
  </si>
  <si>
    <t>Whether notching is present on the back top corner of the panel</t>
  </si>
  <si>
    <t>front_notching_activation_offset</t>
  </si>
  <si>
    <t>An offset that repositions a void relative to the panel, allowing the void to cut into the panel at the specified location and create the front notch in the model</t>
  </si>
  <si>
    <t>if(notching_front_edge; 0 in; component_thickness)</t>
  </si>
  <si>
    <t>back_notching_activation_offset</t>
  </si>
  <si>
    <t>An offset that repositions a void relative to the panel, allowing the void to cut into the panel at the specified location and create the back notch in the model</t>
  </si>
  <si>
    <t>if(notching_back_edge; 0 in; component_thickness)</t>
  </si>
  <si>
    <t>Cutouts</t>
  </si>
  <si>
    <t>cutout_A_width</t>
  </si>
  <si>
    <t>Width of cutout A</t>
  </si>
  <si>
    <t>cutout_A_height</t>
  </si>
  <si>
    <t>Height of cutout A</t>
  </si>
  <si>
    <t>cutout_A_x_coordinate</t>
  </si>
  <si>
    <t>Position of the bottom rear corner of cutout A realtive to the bottom edge of the panel</t>
  </si>
  <si>
    <t>cutout_A_y_coordinate</t>
  </si>
  <si>
    <t>Position of the bottom rear corner of cutout A realtive to the back edge of the panel</t>
  </si>
  <si>
    <t>cutout_B_width</t>
  </si>
  <si>
    <t>Width of cutout B</t>
  </si>
  <si>
    <t>cutout_B_height</t>
  </si>
  <si>
    <t>Height of cutout B</t>
  </si>
  <si>
    <t>cutout_B_x_coordinate</t>
  </si>
  <si>
    <t>Position of the bottom rear corner of cutout B realtive to the back edge of the panel</t>
  </si>
  <si>
    <t>cutout_B_y_coordinate</t>
  </si>
  <si>
    <t>Position of the bottom rear corner of cutout B realtive to the bottom edge of the panel</t>
  </si>
  <si>
    <t>B_354_width</t>
  </si>
  <si>
    <t>Width of the cutout</t>
  </si>
  <si>
    <t>B_386_width</t>
  </si>
  <si>
    <t>B_4354_width</t>
  </si>
  <si>
    <t>B_347/357_width</t>
  </si>
  <si>
    <t>B_3471/34715/3571/35715_width</t>
  </si>
  <si>
    <t>B_354_height</t>
  </si>
  <si>
    <t>Height of the cutout</t>
  </si>
  <si>
    <t>B_386_height</t>
  </si>
  <si>
    <t>B_4354_height</t>
  </si>
  <si>
    <t>B_347/357_height</t>
  </si>
  <si>
    <t>B_3471/34715/3571/35715_height</t>
  </si>
  <si>
    <t>B_354_y_dist_from_floor</t>
  </si>
  <si>
    <t>Vertical distance from the floor to the bottom of the cutout</t>
  </si>
  <si>
    <t>B_386_y_dist_from_floor</t>
  </si>
  <si>
    <t>B_4354_y_dist_from_floor</t>
  </si>
  <si>
    <t>B_347/357_y_dist_from_floor</t>
  </si>
  <si>
    <t>B_3471/34715/3571/35715_y_dist_from_floor</t>
  </si>
  <si>
    <t>B_354_x_dist_from_wall</t>
  </si>
  <si>
    <t>Horizontal distance from the back wall to the back edge of the cutout</t>
  </si>
  <si>
    <t>B_386_x_dist_from_wall</t>
  </si>
  <si>
    <t>B_4354_x_dist_from_wall</t>
  </si>
  <si>
    <t>B_347/357_x_dist_from_wall</t>
  </si>
  <si>
    <t>B_3471/34715/3571/35715_x_dist_from_wall</t>
  </si>
  <si>
    <t>Panel cutouts are rectangular openings routed into the panel by our Anderson CNC.</t>
  </si>
  <si>
    <t>All cutout corners have a 0.25" radius.</t>
  </si>
  <si>
    <t>Please see Advisory Bulletin TB-55 for more detail.</t>
  </si>
  <si>
    <t>Cutout Sizes</t>
  </si>
  <si>
    <t>Cutout size</t>
  </si>
  <si>
    <t>Cutout</t>
  </si>
  <si>
    <r>
      <t>Width, in. (x</t>
    </r>
    <r>
      <rPr>
        <u/>
        <vertAlign val="superscript"/>
        <sz val="11"/>
        <color theme="1"/>
        <rFont val="Aptos Narrow"/>
        <family val="2"/>
        <scheme val="minor"/>
      </rPr>
      <t>3</t>
    </r>
    <r>
      <rPr>
        <u/>
        <sz val="11"/>
        <color theme="1"/>
        <rFont val="Aptos Narrow"/>
        <family val="2"/>
        <scheme val="minor"/>
      </rPr>
      <t>)</t>
    </r>
  </si>
  <si>
    <r>
      <t>Height, in. (y</t>
    </r>
    <r>
      <rPr>
        <u/>
        <vertAlign val="superscript"/>
        <sz val="11"/>
        <color theme="1"/>
        <rFont val="Aptos Narrow"/>
        <family val="2"/>
        <scheme val="minor"/>
      </rPr>
      <t>3</t>
    </r>
    <r>
      <rPr>
        <u/>
        <sz val="11"/>
        <color theme="1"/>
        <rFont val="Aptos Narrow"/>
        <family val="2"/>
        <scheme val="minor"/>
      </rPr>
      <t>)</t>
    </r>
  </si>
  <si>
    <t>B-354</t>
  </si>
  <si>
    <t>B-386</t>
  </si>
  <si>
    <t>B-4354</t>
  </si>
  <si>
    <t>B-347/357</t>
  </si>
  <si>
    <t>B-3471/34715/3571/35715</t>
  </si>
  <si>
    <t>Cutout Positions</t>
  </si>
  <si>
    <t>Positioning of bottom back corner of cutout</t>
  </si>
  <si>
    <r>
      <t>X dist from panel back edge, in. (x</t>
    </r>
    <r>
      <rPr>
        <b/>
        <u/>
        <vertAlign val="superscript"/>
        <sz val="11"/>
        <color theme="1"/>
        <rFont val="Aptos Narrow"/>
        <family val="2"/>
        <scheme val="minor"/>
      </rPr>
      <t>1</t>
    </r>
    <r>
      <rPr>
        <b/>
        <u/>
        <sz val="11"/>
        <color theme="1"/>
        <rFont val="Aptos Narrow"/>
        <family val="2"/>
        <scheme val="minor"/>
      </rPr>
      <t>)</t>
    </r>
  </si>
  <si>
    <t>panel_inline_back = 0</t>
  </si>
  <si>
    <t>panel_inline_back = 1
stile_in_the_back_width = 12</t>
  </si>
  <si>
    <t>panel_inline_back = 1
stile_in_the_back_width = 24</t>
  </si>
  <si>
    <t>Drawing #</t>
  </si>
  <si>
    <t>Panel Floor Clearance, in.</t>
  </si>
  <si>
    <r>
      <t>Y dist from panel bottom, in. (y</t>
    </r>
    <r>
      <rPr>
        <u/>
        <vertAlign val="superscript"/>
        <sz val="11"/>
        <color theme="1"/>
        <rFont val="Aptos Narrow"/>
        <family val="2"/>
        <scheme val="minor"/>
      </rPr>
      <t>1</t>
    </r>
    <r>
      <rPr>
        <u/>
        <sz val="11"/>
        <color theme="1"/>
        <rFont val="Aptos Narrow"/>
        <family val="2"/>
        <scheme val="minor"/>
      </rPr>
      <t>)</t>
    </r>
  </si>
  <si>
    <t xml:space="preserve">panel_inline_back = 0 </t>
  </si>
  <si>
    <t>AND(
panel_inline_back = 1, 
stile_in_back_width = 12)</t>
  </si>
  <si>
    <t>AND(
panel_inline_back = 1, 
stile_in_back_width = 24)</t>
  </si>
  <si>
    <r>
      <t>Y dist from edge of cutout to bottom ofpanel, in. (y</t>
    </r>
    <r>
      <rPr>
        <vertAlign val="superscript"/>
        <sz val="11"/>
        <color theme="1"/>
        <rFont val="Aptos Narrow"/>
        <family val="2"/>
        <scheme val="minor"/>
      </rPr>
      <t>2</t>
    </r>
    <r>
      <rPr>
        <sz val="11"/>
        <color theme="1"/>
        <rFont val="Aptos Narrow"/>
        <family val="2"/>
        <scheme val="minor"/>
      </rPr>
      <t>)</t>
    </r>
  </si>
  <si>
    <r>
      <t>X dist from edge of cutout to panel back edge (x</t>
    </r>
    <r>
      <rPr>
        <vertAlign val="superscript"/>
        <sz val="11"/>
        <color theme="1"/>
        <rFont val="Aptos Narrow"/>
        <family val="2"/>
        <scheme val="minor"/>
      </rPr>
      <t>2</t>
    </r>
    <r>
      <rPr>
        <sz val="11"/>
        <color theme="1"/>
        <rFont val="Aptos Narrow"/>
        <family val="2"/>
        <scheme val="minor"/>
      </rPr>
      <t>)</t>
    </r>
  </si>
  <si>
    <r>
      <t>x dist from edge of cutout to bottom ofpanel, in. (y</t>
    </r>
    <r>
      <rPr>
        <vertAlign val="superscript"/>
        <sz val="11"/>
        <color theme="1"/>
        <rFont val="Aptos Narrow"/>
        <family val="2"/>
        <scheme val="minor"/>
      </rPr>
      <t>2</t>
    </r>
    <r>
      <rPr>
        <sz val="11"/>
        <color theme="1"/>
        <rFont val="Aptos Narrow"/>
        <family val="2"/>
        <scheme val="minor"/>
      </rPr>
      <t>)</t>
    </r>
  </si>
  <si>
    <t>Y distance from floor to cutout bottom</t>
  </si>
  <si>
    <t>Y distance from floor to top of cutout</t>
  </si>
  <si>
    <t>AND(
panel_inline_back = 0, 
stile_in_back_width = "")</t>
  </si>
  <si>
    <t>not available</t>
  </si>
  <si>
    <t>Yes</t>
  </si>
  <si>
    <t>No</t>
  </si>
  <si>
    <t>B-347</t>
  </si>
  <si>
    <t>n/a</t>
  </si>
  <si>
    <t>custom</t>
  </si>
  <si>
    <t>B-3471</t>
  </si>
  <si>
    <t>B-34715</t>
  </si>
  <si>
    <t>B-3571</t>
  </si>
  <si>
    <t>B-35715</t>
  </si>
  <si>
    <t>Allowable Combinations</t>
  </si>
  <si>
    <t>No stile in back</t>
  </si>
  <si>
    <t>B-347*/357*</t>
  </si>
  <si>
    <t>_component_ceiling_clearance</t>
  </si>
  <si>
    <t>TOP</t>
  </si>
  <si>
    <t>BOTTOM</t>
  </si>
  <si>
    <t>Drawings are required for 51 scenarios.</t>
  </si>
  <si>
    <t>Scenario</t>
  </si>
  <si>
    <t>Drawing required?</t>
  </si>
  <si>
    <t>Drawing Label</t>
  </si>
  <si>
    <t>Front abutts stile</t>
  </si>
  <si>
    <t>Back abutts stile</t>
  </si>
  <si>
    <t>XX8X_PV_0001</t>
  </si>
  <si>
    <t>XX8X_PV_0002</t>
  </si>
  <si>
    <t>XX8X_PV_0003</t>
  </si>
  <si>
    <t>XX8X_PV_0004</t>
  </si>
  <si>
    <t>XX8X_PV_0005</t>
  </si>
  <si>
    <t>XX8X_PV_0006</t>
  </si>
  <si>
    <t>XX8X_PV_0007</t>
  </si>
  <si>
    <t>XX8X_PV_0008</t>
  </si>
  <si>
    <t>XX8X_PV_0009</t>
  </si>
  <si>
    <t>XX8X_PV_0010</t>
  </si>
  <si>
    <t>XX8X_PV_0011</t>
  </si>
  <si>
    <t>XX8X_PV_0012</t>
  </si>
  <si>
    <t>XX8X_PV_0013</t>
  </si>
  <si>
    <t>XX8X_PV_0014</t>
  </si>
  <si>
    <t>XX8X_PV_0015</t>
  </si>
  <si>
    <t>XX8X_PV_0016</t>
  </si>
  <si>
    <t>XX8X_PV_0017</t>
  </si>
  <si>
    <t>XX8X_PV_0018</t>
  </si>
  <si>
    <t>XX8X_PV_0019</t>
  </si>
  <si>
    <t>XX8X_PV_0020</t>
  </si>
  <si>
    <t>XX8X_PV_0021</t>
  </si>
  <si>
    <t>XX8X_PV_0022</t>
  </si>
  <si>
    <t>XX8X_PV_0023</t>
  </si>
  <si>
    <t>XX8X_PV_0024</t>
  </si>
  <si>
    <t>XX8X_PV_0025</t>
  </si>
  <si>
    <t>XX8X_PV_0026</t>
  </si>
  <si>
    <t>XX8X_PV_0027</t>
  </si>
  <si>
    <t>XX8X_PV_0028</t>
  </si>
  <si>
    <t>XX8X_PV_0029</t>
  </si>
  <si>
    <t>XX8X_PV_0030</t>
  </si>
  <si>
    <t>XX8X_PV_0031</t>
  </si>
  <si>
    <t>XX8X_PV_0032</t>
  </si>
  <si>
    <t>XX8X_PV_0033</t>
  </si>
  <si>
    <t>XX8X_PV_0034</t>
  </si>
  <si>
    <t>XX8X_PV_0035</t>
  </si>
  <si>
    <t>XX8X_PV_0036</t>
  </si>
  <si>
    <t>XX8X_PV_0037</t>
  </si>
  <si>
    <t>XX8X_PV_0038</t>
  </si>
  <si>
    <t>XX8X_PV_0039</t>
  </si>
  <si>
    <t>XX8X_PV_0040</t>
  </si>
  <si>
    <t>XX8X_PV_0041</t>
  </si>
  <si>
    <t>XX8X_PV_0042</t>
  </si>
  <si>
    <t>XX8X_PV_0043</t>
  </si>
  <si>
    <t>XX8X_PV_0044</t>
  </si>
  <si>
    <t>XX8X_PV_0045</t>
  </si>
  <si>
    <t>XX8X_PV_0046</t>
  </si>
  <si>
    <t>XX8X_PV_0047</t>
  </si>
  <si>
    <t>XX8X_PV_0048</t>
  </si>
  <si>
    <t>XX8X_PV_0049</t>
  </si>
  <si>
    <t>XX8X_PV_0050</t>
  </si>
  <si>
    <t>XX8X_PV_0051</t>
  </si>
  <si>
    <t>XX8X_PV_0052</t>
  </si>
  <si>
    <t>XX8X_PV_0053</t>
  </si>
  <si>
    <t>XX8X_PV_0054</t>
  </si>
  <si>
    <t>XX8X_PV_0055</t>
  </si>
  <si>
    <t>XX8X_PV_0056</t>
  </si>
  <si>
    <t>XX8X_PV_0057</t>
  </si>
  <si>
    <t>XX8X_PV_0058</t>
  </si>
  <si>
    <t>XX8X_PV_0059</t>
  </si>
  <si>
    <t>XX8X_PV_0060</t>
  </si>
  <si>
    <t>XX8X_PV_0061</t>
  </si>
  <si>
    <t>XX8X_PV_0062</t>
  </si>
  <si>
    <t>XX8X_PV_0063</t>
  </si>
  <si>
    <t>XX8X_PV_0064</t>
  </si>
  <si>
    <t>XX8X_PV_0065</t>
  </si>
  <si>
    <t>XX8X_PV_0066</t>
  </si>
  <si>
    <t>XX8X_PV_0067</t>
  </si>
  <si>
    <t>XX8X_PV_0068</t>
  </si>
  <si>
    <t>XX8X_PV_0069</t>
  </si>
  <si>
    <t>XX8X_PV_0070</t>
  </si>
  <si>
    <t>XX8X_PV_0071</t>
  </si>
  <si>
    <t>XX8X_PV_0072</t>
  </si>
  <si>
    <t>XX8X_PV_0073</t>
  </si>
  <si>
    <t>XX8X_PV_0074</t>
  </si>
  <si>
    <t>XX8X_PV_0075</t>
  </si>
  <si>
    <t>XX8X_PV_0076</t>
  </si>
  <si>
    <t>XX8X_PV_0077</t>
  </si>
  <si>
    <t>XX8X_PV_0078</t>
  </si>
  <si>
    <t>XX8X_PV_0079</t>
  </si>
  <si>
    <t>XX8X_PV_0080</t>
  </si>
  <si>
    <t>XX8X_PV_0081</t>
  </si>
  <si>
    <t>XX8X_PV_0082</t>
  </si>
  <si>
    <t>XX8X_PV_0083</t>
  </si>
  <si>
    <t>XX8X_PV_0084</t>
  </si>
  <si>
    <t>XX8X_PV_0085</t>
  </si>
  <si>
    <t>XX8X_PV_0086</t>
  </si>
  <si>
    <t>XX8X_PV_0087</t>
  </si>
  <si>
    <t>XX8X_PV_0088</t>
  </si>
  <si>
    <t>XX8X_PV_0089</t>
  </si>
  <si>
    <t>XX8X_PV_0090</t>
  </si>
  <si>
    <t>XX8X_PV_0091</t>
  </si>
  <si>
    <t>XX8X_PV_0092</t>
  </si>
  <si>
    <t>XX8X_PV_0093</t>
  </si>
  <si>
    <t>XX8X_PV_0094</t>
  </si>
  <si>
    <t>XX8X_PV_0095</t>
  </si>
  <si>
    <t>XX8X_PV_0096</t>
  </si>
  <si>
    <t>XX8X_PV_0097</t>
  </si>
  <si>
    <t>XX8X_PV_0098</t>
  </si>
  <si>
    <t>XX8X_PV_0099</t>
  </si>
  <si>
    <t>XX8X_PV_0100</t>
  </si>
  <si>
    <t>XX8X_PV_0101</t>
  </si>
  <si>
    <t>XX8X_PV_0102</t>
  </si>
  <si>
    <t>XX8X_PV_0103</t>
  </si>
  <si>
    <t>XX8X_PV_0104</t>
  </si>
  <si>
    <t>XX8X_PV_0105</t>
  </si>
  <si>
    <t>XX8X_PV_0121</t>
  </si>
  <si>
    <t>XX8X_PV_0122</t>
  </si>
  <si>
    <t>XX8X_PV_0123</t>
  </si>
  <si>
    <t>XX8X_PV_0124</t>
  </si>
  <si>
    <t>XX8X_PV_0125</t>
  </si>
  <si>
    <t>XX8X_PV_0126</t>
  </si>
  <si>
    <t>XX8X_PV_0127</t>
  </si>
  <si>
    <t>XX8X_PV_0128</t>
  </si>
  <si>
    <t>XX8X_PV_0129</t>
  </si>
  <si>
    <t>XX8X_PV_0130</t>
  </si>
  <si>
    <t>XX8X_PV_0131</t>
  </si>
  <si>
    <t>XX8X_PV_0132</t>
  </si>
  <si>
    <t>XX8X_PV_0133</t>
  </si>
  <si>
    <t>XX8X_PV_0134</t>
  </si>
  <si>
    <t>XX8X_PV_0135</t>
  </si>
  <si>
    <t>XX8X_PV_0151</t>
  </si>
  <si>
    <t>XX8X_PV_0152</t>
  </si>
  <si>
    <t>XX8X_PV_0153</t>
  </si>
  <si>
    <t>XX8X_PV_0154</t>
  </si>
  <si>
    <t>XX8X_PV_0155</t>
  </si>
  <si>
    <t>XX8X_PV_0156</t>
  </si>
  <si>
    <t>XX8X_PV_0157</t>
  </si>
  <si>
    <t>XX8X_PV_0158</t>
  </si>
  <si>
    <t>XX8X_PV_0159</t>
  </si>
  <si>
    <t>XX8X_PV_0160</t>
  </si>
  <si>
    <t>XX8X_PV_0161</t>
  </si>
  <si>
    <t>XX8X_PV_0162</t>
  </si>
  <si>
    <t>XX8X_PV_0163</t>
  </si>
  <si>
    <t>XX8X_PV_0164</t>
  </si>
  <si>
    <t>XX8X_PV_0165</t>
  </si>
  <si>
    <t>XX8X_PV_0181</t>
  </si>
  <si>
    <t>XX8X_PV_0182</t>
  </si>
  <si>
    <t>XX8X_PV_0183</t>
  </si>
  <si>
    <t>XX8X_PV_0184</t>
  </si>
  <si>
    <t>XX8X_PV_0185</t>
  </si>
  <si>
    <t>XX8X_PV_0186</t>
  </si>
  <si>
    <t>XX8X_PV_0187</t>
  </si>
  <si>
    <t>XX8X_PV_0188</t>
  </si>
  <si>
    <t>XX8X_PV_0189</t>
  </si>
  <si>
    <t>XX8X_PV_0190</t>
  </si>
  <si>
    <t>XX8X_PV_0191</t>
  </si>
  <si>
    <t>XX8X_PV_0192</t>
  </si>
  <si>
    <t>XX8X_PV_0193</t>
  </si>
  <si>
    <t>XX8X_PV_0194</t>
  </si>
  <si>
    <t>XX8X_PV_0195</t>
  </si>
  <si>
    <t>XX8X_PV_0211</t>
  </si>
  <si>
    <t>XX8X_PV_0212</t>
  </si>
  <si>
    <t>XX8X_PV_0213</t>
  </si>
  <si>
    <t>XX8X_PV_0214</t>
  </si>
  <si>
    <t>XX8X_PV_0215</t>
  </si>
  <si>
    <t>XX8X_PV_0216</t>
  </si>
  <si>
    <t>XX8X_PV_0217</t>
  </si>
  <si>
    <t>XX8X_PV_0218</t>
  </si>
  <si>
    <t>XX8X_PV_0219</t>
  </si>
  <si>
    <t>XX8X_PV_0220</t>
  </si>
  <si>
    <t>XX8X_PV_0221</t>
  </si>
  <si>
    <t>XX8X_PV_0222</t>
  </si>
  <si>
    <t>XX8X_PV_0223</t>
  </si>
  <si>
    <t>XX8X_PV_0224</t>
  </si>
  <si>
    <t>XX8X_PV_0225</t>
  </si>
  <si>
    <t>XX8X_PV_0241</t>
  </si>
  <si>
    <t>XX8X_PV_0242</t>
  </si>
  <si>
    <t>XX8X_PV_0243</t>
  </si>
  <si>
    <t>XX8X_PV_0244</t>
  </si>
  <si>
    <t>XX8X_PV_0245</t>
  </si>
  <si>
    <t>XX8X_PV_0246</t>
  </si>
  <si>
    <t>XX8X_PV_0247</t>
  </si>
  <si>
    <t>XX8X_PV_0248</t>
  </si>
  <si>
    <t>XX8X_PV_0249</t>
  </si>
  <si>
    <t>XX8X_PV_0250</t>
  </si>
  <si>
    <t>XX8X_PV_0251</t>
  </si>
  <si>
    <t>XX8X_PV_0252</t>
  </si>
  <si>
    <t>XX8X_PV_0253</t>
  </si>
  <si>
    <t>XX8X_PV_0254</t>
  </si>
  <si>
    <t>XX8X_PV_0255</t>
  </si>
  <si>
    <t>XX8X_PV_0271</t>
  </si>
  <si>
    <t>XX8X_PV_0272</t>
  </si>
  <si>
    <t>XX8X_PV_0273</t>
  </si>
  <si>
    <t>XX8X_PV_0274</t>
  </si>
  <si>
    <t>XX8X_PV_0275</t>
  </si>
  <si>
    <t>XX8X_PV_0276</t>
  </si>
  <si>
    <t>XX8X_PV_0277</t>
  </si>
  <si>
    <t>XX8X_PV_0278</t>
  </si>
  <si>
    <t>XX8X_PV_0279</t>
  </si>
  <si>
    <t>XX8X_PV_0280</t>
  </si>
  <si>
    <t>XX8X_PV_0281</t>
  </si>
  <si>
    <t>XX8X_PV_0282</t>
  </si>
  <si>
    <t>XX8X_PV_0283</t>
  </si>
  <si>
    <t>XX8X_PV_0284</t>
  </si>
  <si>
    <t>XX8X_PV_0285</t>
  </si>
  <si>
    <t>XX8X_PV_0301</t>
  </si>
  <si>
    <t>XX8X_PV_0302</t>
  </si>
  <si>
    <t>XX8X_PV_0303</t>
  </si>
  <si>
    <t>XX8X_PV_0304</t>
  </si>
  <si>
    <t>XX8X_PV_0305</t>
  </si>
  <si>
    <t>XX8X_PV_0306</t>
  </si>
  <si>
    <t>XX8X_PV_0307</t>
  </si>
  <si>
    <t>XX8X_PV_0308</t>
  </si>
  <si>
    <t>XX8X_PV_0309</t>
  </si>
  <si>
    <t>XX8X_PV_0310</t>
  </si>
  <si>
    <t>XX8X_PV_0311</t>
  </si>
  <si>
    <t>XX8X_PV_0312</t>
  </si>
  <si>
    <t>XX8X_PV_0313</t>
  </si>
  <si>
    <t>XX8X_PV_0314</t>
  </si>
  <si>
    <t>XX8X_PV_0315</t>
  </si>
  <si>
    <t>XX8X_PV_0331</t>
  </si>
  <si>
    <t>XX8X_PV_0332</t>
  </si>
  <si>
    <t>XX8X_PV_0333</t>
  </si>
  <si>
    <t>XX8X_PV_0334</t>
  </si>
  <si>
    <t>XX8X_PV_0335</t>
  </si>
  <si>
    <t>XX8X_PV_0336</t>
  </si>
  <si>
    <t>XX8X_PV_0337</t>
  </si>
  <si>
    <t>XX8X_PV_0338</t>
  </si>
  <si>
    <t>XX8X_PV_0339</t>
  </si>
  <si>
    <t>XX8X_PV_0340</t>
  </si>
  <si>
    <t>XX8X_PV_0341</t>
  </si>
  <si>
    <t>XX8X_PV_0342</t>
  </si>
  <si>
    <t>XX8X_PV_0343</t>
  </si>
  <si>
    <t>XX8X_PV_0344</t>
  </si>
  <si>
    <t>XX8X_PV_0345</t>
  </si>
  <si>
    <t>XX8X_PV_0361</t>
  </si>
  <si>
    <t>XX8X_PV_0362</t>
  </si>
  <si>
    <t>XX8X_PV_0363</t>
  </si>
  <si>
    <t>XX8X_PV_0364</t>
  </si>
  <si>
    <t>XX8X_PV_0365</t>
  </si>
  <si>
    <t>XX8X_PV_0366</t>
  </si>
  <si>
    <t>XX8X_PV_0367</t>
  </si>
  <si>
    <t>XX8X_PV_0368</t>
  </si>
  <si>
    <t>XX8X_PV_0369</t>
  </si>
  <si>
    <t>XX8X_PV_0370</t>
  </si>
  <si>
    <t>XX8X_PV_0371</t>
  </si>
  <si>
    <t>XX8X_PV_0372</t>
  </si>
  <si>
    <t>XX8X_PV_0373</t>
  </si>
  <si>
    <t>XX8X_PV_0374</t>
  </si>
  <si>
    <t>XX8X_PV_0375</t>
  </si>
  <si>
    <t>XX8X_PV_0391</t>
  </si>
  <si>
    <t>XX8X_PV_0392</t>
  </si>
  <si>
    <t>XX8X_PV_0393</t>
  </si>
  <si>
    <t>XX8X_PV_0394</t>
  </si>
  <si>
    <t>XX8X_PV_0395</t>
  </si>
  <si>
    <t>XX8X_PV_0396</t>
  </si>
  <si>
    <t>XX8X_PV_0397</t>
  </si>
  <si>
    <t>XX8X_PV_0398</t>
  </si>
  <si>
    <t>XX8X_PV_0399</t>
  </si>
  <si>
    <t>XX8X_PV_0400</t>
  </si>
  <si>
    <t>XX8X_PV_0401</t>
  </si>
  <si>
    <t>XX8X_PV_0402</t>
  </si>
  <si>
    <t>XX8X_PV_0403</t>
  </si>
  <si>
    <t>XX8X_PV_0404</t>
  </si>
  <si>
    <t>XX8X_PV_0405</t>
  </si>
  <si>
    <t>XX8X_PV_0421</t>
  </si>
  <si>
    <t>XX8X_PV_0422</t>
  </si>
  <si>
    <t>XX8X_PV_0423</t>
  </si>
  <si>
    <t>XX8X_PV_0424</t>
  </si>
  <si>
    <t>XX8X_PV_0425</t>
  </si>
  <si>
    <t>XX8X_PV_0426</t>
  </si>
  <si>
    <t>XX8X_PV_0427</t>
  </si>
  <si>
    <t>XX8X_PV_0428</t>
  </si>
  <si>
    <t>XX8X_PV_0429</t>
  </si>
  <si>
    <t>XX8X_PV_0430</t>
  </si>
  <si>
    <t>XX8X_PV_0431</t>
  </si>
  <si>
    <t>XX8X_PV_0432</t>
  </si>
  <si>
    <t>XX8X_PV_0433</t>
  </si>
  <si>
    <t>XX8X_PV_0434</t>
  </si>
  <si>
    <t>XX8X_PV_0435</t>
  </si>
  <si>
    <t>XX8X_PV_0451</t>
  </si>
  <si>
    <t>XX8X_PV_0452</t>
  </si>
  <si>
    <t>XX8X_PV_0453</t>
  </si>
  <si>
    <t>XX8X_PV_0454</t>
  </si>
  <si>
    <t>XX8X_PV_0455</t>
  </si>
  <si>
    <t>XX8X_PV_0456</t>
  </si>
  <si>
    <t>XX8X_PV_0457</t>
  </si>
  <si>
    <t>XX8X_PV_0458</t>
  </si>
  <si>
    <t>XX8X_PV_0459</t>
  </si>
  <si>
    <t>XX8X_PV_0460</t>
  </si>
  <si>
    <t>XX8X_PV_0461</t>
  </si>
  <si>
    <t>XX8X_PV_0462</t>
  </si>
  <si>
    <t>XX8X_PV_0463</t>
  </si>
  <si>
    <t>XX8X_PV_0464</t>
  </si>
  <si>
    <t>XX8X_PV_0465</t>
  </si>
  <si>
    <t>XX8X_PV_0481</t>
  </si>
  <si>
    <t>XX8X_PV_0482</t>
  </si>
  <si>
    <t>XX8X_PV_0483</t>
  </si>
  <si>
    <t>XX8X_PV_0484</t>
  </si>
  <si>
    <t>XX8X_PV_0485</t>
  </si>
  <si>
    <t>XX8X_PV_0486</t>
  </si>
  <si>
    <t>XX8X_PV_0487</t>
  </si>
  <si>
    <t>XX8X_PV_0488</t>
  </si>
  <si>
    <t>XX8X_PV_0489</t>
  </si>
  <si>
    <t>XX8X_PV_0490</t>
  </si>
  <si>
    <t>XX8X_PV_0491</t>
  </si>
  <si>
    <t>XX8X_PV_0492</t>
  </si>
  <si>
    <t>XX8X_PV_0493</t>
  </si>
  <si>
    <t>XX8X_PV_0494</t>
  </si>
  <si>
    <t>XX8X_PV_0495</t>
  </si>
  <si>
    <t>XX8X_PV_0511</t>
  </si>
  <si>
    <t>XX8X_PV_0512</t>
  </si>
  <si>
    <t>XX8X_PV_0513</t>
  </si>
  <si>
    <t>XX8X_PV_0514</t>
  </si>
  <si>
    <t>XX8X_PV_0515</t>
  </si>
  <si>
    <t>XX8X_PV_0516</t>
  </si>
  <si>
    <t>XX8X_PV_0517</t>
  </si>
  <si>
    <t>XX8X_PV_0518</t>
  </si>
  <si>
    <t>XX8X_PV_0519</t>
  </si>
  <si>
    <t>XX8X_PV_0520</t>
  </si>
  <si>
    <t>XX8X_PV_0521</t>
  </si>
  <si>
    <t>XX8X_PV_0522</t>
  </si>
  <si>
    <t>XX8X_PV_0523</t>
  </si>
  <si>
    <t>XX8X_PV_0524</t>
  </si>
  <si>
    <t>XX8X_PV_0525</t>
  </si>
  <si>
    <t>XX8X_PV_0541</t>
  </si>
  <si>
    <t>XX8X_PV_0542</t>
  </si>
  <si>
    <t>XX8X_PV_0543</t>
  </si>
  <si>
    <t>XX8X_PV_0544</t>
  </si>
  <si>
    <t>XX8X_PV_0545</t>
  </si>
  <si>
    <t>XX8X_PV_0546</t>
  </si>
  <si>
    <t>XX8X_PV_0547</t>
  </si>
  <si>
    <t>XX8X_PV_0548</t>
  </si>
  <si>
    <t>XX8X_PV_0549</t>
  </si>
  <si>
    <t>XX8X_PV_0550</t>
  </si>
  <si>
    <t>XX8X_PV_0551</t>
  </si>
  <si>
    <t>XX8X_PV_0552</t>
  </si>
  <si>
    <t>XX8X_PV_0553</t>
  </si>
  <si>
    <t>XX8X_PV_0554</t>
  </si>
  <si>
    <t>XX8X_PV_0555</t>
  </si>
  <si>
    <t>XX8X_PV_0571</t>
  </si>
  <si>
    <t>XX8X_PV_0572</t>
  </si>
  <si>
    <t>XX8X_PV_0573</t>
  </si>
  <si>
    <t>XX8X_PV_0574</t>
  </si>
  <si>
    <t>XX8X_PV_0575</t>
  </si>
  <si>
    <t>XX8X_PV_0576</t>
  </si>
  <si>
    <t>XX8X_PV_0577</t>
  </si>
  <si>
    <t>XX8X_PV_0578</t>
  </si>
  <si>
    <t>XX8X_PV_0579</t>
  </si>
  <si>
    <t>XX8X_PV_0580</t>
  </si>
  <si>
    <t>XX8X_PV_0581</t>
  </si>
  <si>
    <t>XX8X_PV_0582</t>
  </si>
  <si>
    <t>XX8X_PV_0583</t>
  </si>
  <si>
    <t>XX8X_PV_0584</t>
  </si>
  <si>
    <t>XX8X_PV_0585</t>
  </si>
  <si>
    <t>XX8X_PV_0601</t>
  </si>
  <si>
    <t>XX8X_PV_0602</t>
  </si>
  <si>
    <t>XX8X_PV_0603</t>
  </si>
  <si>
    <t>XX8X_PV_0604</t>
  </si>
  <si>
    <t>XX8X_PV_0605</t>
  </si>
  <si>
    <t>XX8X_PV_0606</t>
  </si>
  <si>
    <t>XX8X_PV_0607</t>
  </si>
  <si>
    <t>XX8X_PV_0608</t>
  </si>
  <si>
    <t>XX8X_PV_0609</t>
  </si>
  <si>
    <t>XX8X_PV_0610</t>
  </si>
  <si>
    <t>XX8X_PV_0611</t>
  </si>
  <si>
    <t>XX8X_PV_0612</t>
  </si>
  <si>
    <t>XX8X_PV_0613</t>
  </si>
  <si>
    <t>XX8X_PV_0614</t>
  </si>
  <si>
    <t>XX8X_PV_0615</t>
  </si>
  <si>
    <t>XX8X_PV_0631</t>
  </si>
  <si>
    <t>XX8X_PV_0632</t>
  </si>
  <si>
    <t>XX8X_PV_0633</t>
  </si>
  <si>
    <t>XX8X_PV_0634</t>
  </si>
  <si>
    <t>XX8X_PV_0635</t>
  </si>
  <si>
    <t>XX8X_PV_0636</t>
  </si>
  <si>
    <t>XX8X_PV_0637</t>
  </si>
  <si>
    <t>XX8X_PV_0638</t>
  </si>
  <si>
    <t>XX8X_PV_0639</t>
  </si>
  <si>
    <t>XX8X_PV_0640</t>
  </si>
  <si>
    <t>XX8X_PV_0641</t>
  </si>
  <si>
    <t>XX8X_PV_0642</t>
  </si>
  <si>
    <t>XX8X_PV_0643</t>
  </si>
  <si>
    <t>XX8X_PV_0644</t>
  </si>
  <si>
    <t>XX8X_PV_0645</t>
  </si>
  <si>
    <t>XX8X_PV_0661</t>
  </si>
  <si>
    <t>XX8X_PV_0662</t>
  </si>
  <si>
    <t>XX8X_PV_0663</t>
  </si>
  <si>
    <t>XX8X_PV_0664</t>
  </si>
  <si>
    <t>XX8X_PV_0665</t>
  </si>
  <si>
    <t>XX8X_PV_0666</t>
  </si>
  <si>
    <t>XX8X_PV_0667</t>
  </si>
  <si>
    <t>XX8X_PV_0668</t>
  </si>
  <si>
    <t>XX8X_PV_0669</t>
  </si>
  <si>
    <t>XX8X_PV_0670</t>
  </si>
  <si>
    <t>XX8X_PV_0671</t>
  </si>
  <si>
    <t>XX8X_PV_0672</t>
  </si>
  <si>
    <t>XX8X_PV_0673</t>
  </si>
  <si>
    <t>XX8X_PV_0674</t>
  </si>
  <si>
    <t>XX8X_PV_0675</t>
  </si>
  <si>
    <t>XX8X_PV_0691</t>
  </si>
  <si>
    <t>XX8X_PV_0692</t>
  </si>
  <si>
    <t>XX8X_PV_0693</t>
  </si>
  <si>
    <t>XX8X_PV_0694</t>
  </si>
  <si>
    <t>XX8X_PV_0695</t>
  </si>
  <si>
    <t>XX8X_PV_0696</t>
  </si>
  <si>
    <t>XX8X_PV_0697</t>
  </si>
  <si>
    <t>XX8X_PV_0698</t>
  </si>
  <si>
    <t>XX8X_PV_0699</t>
  </si>
  <si>
    <t>XX8X_PV_0700</t>
  </si>
  <si>
    <t>XX8X_PV_0701</t>
  </si>
  <si>
    <t>XX8X_PV_0702</t>
  </si>
  <si>
    <t>XX8X_PV_0703</t>
  </si>
  <si>
    <t>XX8X_PV_0704</t>
  </si>
  <si>
    <t>XX8X_PV_0705</t>
  </si>
  <si>
    <t>XX8X_PV_0721</t>
  </si>
  <si>
    <t>XX8X_PV_0722</t>
  </si>
  <si>
    <t>XX8X_PV_0723</t>
  </si>
  <si>
    <t>XX8X_PV_0724</t>
  </si>
  <si>
    <t>XX8X_PV_0725</t>
  </si>
  <si>
    <t>XX8X_PV_0726</t>
  </si>
  <si>
    <t>XX8X_PV_0727</t>
  </si>
  <si>
    <t>XX8X_PV_0728</t>
  </si>
  <si>
    <t>XX8X_PV_0729</t>
  </si>
  <si>
    <t>XX8X_PV_0730</t>
  </si>
  <si>
    <t>XX8X_PV_0731</t>
  </si>
  <si>
    <t>XX8X_PV_0732</t>
  </si>
  <si>
    <t>XX8X_PV_0733</t>
  </si>
  <si>
    <t>XX8X_PV_0734</t>
  </si>
  <si>
    <t>XX8X_PV_0735</t>
  </si>
  <si>
    <t>XX8X_PV_0751</t>
  </si>
  <si>
    <t>XX8X_PV_0752</t>
  </si>
  <si>
    <t>XX8X_PV_0753</t>
  </si>
  <si>
    <t>XX8X_PV_0754</t>
  </si>
  <si>
    <t>XX8X_PV_0755</t>
  </si>
  <si>
    <t>XX8X_PV_0756</t>
  </si>
  <si>
    <t>XX8X_PV_0757</t>
  </si>
  <si>
    <t>XX8X_PV_0758</t>
  </si>
  <si>
    <t>XX8X_PV_0759</t>
  </si>
  <si>
    <t>XX8X_PV_0760</t>
  </si>
  <si>
    <t>XX8X_PV_0761</t>
  </si>
  <si>
    <t>XX8X_PV_0762</t>
  </si>
  <si>
    <t>XX8X_PV_0763</t>
  </si>
  <si>
    <t>XX8X_PV_0764</t>
  </si>
  <si>
    <t>XX8X_PV_0765</t>
  </si>
  <si>
    <t>XX8X_PV_0781</t>
  </si>
  <si>
    <t>XX8X_PV_0782</t>
  </si>
  <si>
    <t>XX8X_PV_0783</t>
  </si>
  <si>
    <t>XX8X_PV_0784</t>
  </si>
  <si>
    <t>XX8X_PV_0785</t>
  </si>
  <si>
    <t>XX8X_PV_0786</t>
  </si>
  <si>
    <t>XX8X_PV_0787</t>
  </si>
  <si>
    <t>XX8X_PV_0788</t>
  </si>
  <si>
    <t>XX8X_PV_0789</t>
  </si>
  <si>
    <t>XX8X_PV_0790</t>
  </si>
  <si>
    <t>XX8X_PV_0791</t>
  </si>
  <si>
    <t>XX8X_PV_0792</t>
  </si>
  <si>
    <t>XX8X_PV_0793</t>
  </si>
  <si>
    <t>XX8X_PV_0794</t>
  </si>
  <si>
    <t>XX8X_PV_0795</t>
  </si>
  <si>
    <t>XX8X_PV_0811</t>
  </si>
  <si>
    <t>XX8X_PV_0812</t>
  </si>
  <si>
    <t>XX8X_PV_0813</t>
  </si>
  <si>
    <t>XX8X_PV_0814</t>
  </si>
  <si>
    <t>XX8X_PV_0815</t>
  </si>
  <si>
    <t>XX8X_PV_0816</t>
  </si>
  <si>
    <t>XX8X_PV_0817</t>
  </si>
  <si>
    <t>XX8X_PV_0818</t>
  </si>
  <si>
    <t>XX8X_PV_0819</t>
  </si>
  <si>
    <t>XX8X_PV_0820</t>
  </si>
  <si>
    <t>XX8X_PV_0821</t>
  </si>
  <si>
    <t>XX8X_PV_0822</t>
  </si>
  <si>
    <t>XX8X_PV_0823</t>
  </si>
  <si>
    <t>XX8X_PV_0824</t>
  </si>
  <si>
    <t>XX8X_PV_0825</t>
  </si>
  <si>
    <t>XX8X_PV_0841</t>
  </si>
  <si>
    <t>XX8X_PV_0842</t>
  </si>
  <si>
    <t>XX8X_PV_0843</t>
  </si>
  <si>
    <t>XX8X_PV_0844</t>
  </si>
  <si>
    <t>XX8X_PV_0845</t>
  </si>
  <si>
    <t>XX8X_PV_0846</t>
  </si>
  <si>
    <t>XX8X_PV_0847</t>
  </si>
  <si>
    <t>XX8X_PV_0848</t>
  </si>
  <si>
    <t>XX8X_PV_0849</t>
  </si>
  <si>
    <t>XX8X_PV_0850</t>
  </si>
  <si>
    <t>XX8X_PV_0851</t>
  </si>
  <si>
    <t>XX8X_PV_0852</t>
  </si>
  <si>
    <t>XX8X_PV_0853</t>
  </si>
  <si>
    <t>XX8X_PV_0854</t>
  </si>
  <si>
    <t>XX8X_PV_0855</t>
  </si>
  <si>
    <t>XX8X_PV_0871</t>
  </si>
  <si>
    <t>XX8X_PV_0872</t>
  </si>
  <si>
    <t>XX8X_PV_0873</t>
  </si>
  <si>
    <t>XX8X_PV_0874</t>
  </si>
  <si>
    <t>XX8X_PV_0875</t>
  </si>
  <si>
    <t>XX8X_PV_0876</t>
  </si>
  <si>
    <t>XX8X_PV_0877</t>
  </si>
  <si>
    <t>XX8X_PV_0878</t>
  </si>
  <si>
    <t>XX8X_PV_0879</t>
  </si>
  <si>
    <t>XX8X_PV_0880</t>
  </si>
  <si>
    <t>XX8X_PV_0881</t>
  </si>
  <si>
    <t>XX8X_PV_0882</t>
  </si>
  <si>
    <t>XX8X_PV_0883</t>
  </si>
  <si>
    <t>XX8X_PV_0884</t>
  </si>
  <si>
    <t>XX8X_PV_0885</t>
  </si>
  <si>
    <t>XX8X_PV_0901</t>
  </si>
  <si>
    <t>XX8X_PV_0902</t>
  </si>
  <si>
    <t>XX8X_PV_0903</t>
  </si>
  <si>
    <t>XX8X_PV_0904</t>
  </si>
  <si>
    <t>XX8X_PV_0905</t>
  </si>
  <si>
    <t>XX8X_PV_0906</t>
  </si>
  <si>
    <t>XX8X_PV_0907</t>
  </si>
  <si>
    <t>XX8X_PV_0908</t>
  </si>
  <si>
    <t>XX8X_PV_0909</t>
  </si>
  <si>
    <t>XX8X_PV_0910</t>
  </si>
  <si>
    <t>XX8X_PV_0911</t>
  </si>
  <si>
    <t>XX8X_PV_0912</t>
  </si>
  <si>
    <t>XX8X_PV_0913</t>
  </si>
  <si>
    <t>XX8X_PV_0914</t>
  </si>
  <si>
    <t>XX8X_PV_0915</t>
  </si>
  <si>
    <t>XX8X_PV_0931</t>
  </si>
  <si>
    <t>XX8X_PV_0932</t>
  </si>
  <si>
    <t>XX8X_PV_0933</t>
  </si>
  <si>
    <t>XX8X_PV_0934</t>
  </si>
  <si>
    <t>XX8X_PV_0935</t>
  </si>
  <si>
    <t>XX8X_PV_0936</t>
  </si>
  <si>
    <t>XX8X_PV_0937</t>
  </si>
  <si>
    <t>XX8X_PV_0938</t>
  </si>
  <si>
    <t>XX8X_PV_0939</t>
  </si>
  <si>
    <t>XX8X_PV_0940</t>
  </si>
  <si>
    <t>XX8X_PV_0941</t>
  </si>
  <si>
    <t>XX8X_PV_0942</t>
  </si>
  <si>
    <t>XX8X_PV_0943</t>
  </si>
  <si>
    <t>XX8X_PV_0944</t>
  </si>
  <si>
    <t>XX8X_PV_0945</t>
  </si>
  <si>
    <t>XX8X_PV_0961</t>
  </si>
  <si>
    <t>XX8X_PV_0962</t>
  </si>
  <si>
    <t>XX8X_PV_0963</t>
  </si>
  <si>
    <t>XX8X_PV_0964</t>
  </si>
  <si>
    <t>XX8X_PV_0965</t>
  </si>
  <si>
    <t>XX8X_PV_0966</t>
  </si>
  <si>
    <t>XX8X_PV_0967</t>
  </si>
  <si>
    <t>XX8X_PV_0968</t>
  </si>
  <si>
    <t>XX8X_PV_0969</t>
  </si>
  <si>
    <t>XX8X_PV_0970</t>
  </si>
  <si>
    <t>XX8X_PV_0971</t>
  </si>
  <si>
    <t>XX8X_PV_0972</t>
  </si>
  <si>
    <t>XX8X_PV_0973</t>
  </si>
  <si>
    <t>XX8X_PV_0974</t>
  </si>
  <si>
    <t>XX8X_PV_0975</t>
  </si>
  <si>
    <t>XX8X_PV_0991</t>
  </si>
  <si>
    <t>XX8X_PV_0992</t>
  </si>
  <si>
    <t>XX8X_PV_0993</t>
  </si>
  <si>
    <t>XX8X_PV_0994</t>
  </si>
  <si>
    <t>XX8X_PV_0995</t>
  </si>
  <si>
    <t>XX8X_PV_0996</t>
  </si>
  <si>
    <t>XX8X_PV_0997</t>
  </si>
  <si>
    <t>XX8X_PV_0998</t>
  </si>
  <si>
    <t>XX8X_PV_0999</t>
  </si>
  <si>
    <t>XX8X_PV_1000</t>
  </si>
  <si>
    <t>XX8X_PV_1001</t>
  </si>
  <si>
    <t>XX8X_PV_1002</t>
  </si>
  <si>
    <t>XX8X_PV_1003</t>
  </si>
  <si>
    <t>XX8X_PV_1004</t>
  </si>
  <si>
    <t>XX8X_PV_1005</t>
  </si>
  <si>
    <t>XX8X_PV_1021</t>
  </si>
  <si>
    <t>XX8X_PV_1022</t>
  </si>
  <si>
    <t>XX8X_PV_1023</t>
  </si>
  <si>
    <t>XX8X_PV_1024</t>
  </si>
  <si>
    <t>XX8X_PV_1025</t>
  </si>
  <si>
    <t>XX8X_PV_1026</t>
  </si>
  <si>
    <t>XX8X_PV_1027</t>
  </si>
  <si>
    <t>XX8X_PV_1028</t>
  </si>
  <si>
    <t>XX8X_PV_1029</t>
  </si>
  <si>
    <t>XX8X_PV_1030</t>
  </si>
  <si>
    <t>XX8X_PV_1031</t>
  </si>
  <si>
    <t>XX8X_PV_1032</t>
  </si>
  <si>
    <t>XX8X_PV_1033</t>
  </si>
  <si>
    <t>XX8X_PV_1034</t>
  </si>
  <si>
    <t>XX8X_PV_1035</t>
  </si>
  <si>
    <t>XX8X_PV_1051</t>
  </si>
  <si>
    <t>XX8X_PV_1052</t>
  </si>
  <si>
    <t>XX8X_PV_1053</t>
  </si>
  <si>
    <t>XX8X_PV_1054</t>
  </si>
  <si>
    <t>XX8X_PV_1055</t>
  </si>
  <si>
    <t>XX8X_PV_1056</t>
  </si>
  <si>
    <t>XX8X_PV_1057</t>
  </si>
  <si>
    <t>XX8X_PV_1058</t>
  </si>
  <si>
    <t>XX8X_PV_1059</t>
  </si>
  <si>
    <t>XX8X_PV_1060</t>
  </si>
  <si>
    <t>XX8X_PV_1061</t>
  </si>
  <si>
    <t>XX8X_PV_1062</t>
  </si>
  <si>
    <t>XX8X_PV_1063</t>
  </si>
  <si>
    <t>XX8X_PV_1064</t>
  </si>
  <si>
    <t>XX8X_PV_1065</t>
  </si>
  <si>
    <t>XX8X_PV_1081</t>
  </si>
  <si>
    <t>XX8X_PV_1082</t>
  </si>
  <si>
    <t>XX8X_PV_1083</t>
  </si>
  <si>
    <t>XX8X_PV_1084</t>
  </si>
  <si>
    <t>XX8X_PV_1085</t>
  </si>
  <si>
    <t>XX8X_PV_1086</t>
  </si>
  <si>
    <t>XX8X_PV_1087</t>
  </si>
  <si>
    <t>XX8X_PV_1088</t>
  </si>
  <si>
    <t>XX8X_PV_1089</t>
  </si>
  <si>
    <t>XX8X_PV_1090</t>
  </si>
  <si>
    <t>XX8X_PV_1091</t>
  </si>
  <si>
    <t>XX8X_PV_1092</t>
  </si>
  <si>
    <t>XX8X_PV_1093</t>
  </si>
  <si>
    <t>XX8X_PV_1094</t>
  </si>
  <si>
    <t>XX8X_PV_1095</t>
  </si>
  <si>
    <t>XX8X_PV_1111</t>
  </si>
  <si>
    <t>XX8X_PV_1112</t>
  </si>
  <si>
    <t>XX8X_PV_1113</t>
  </si>
  <si>
    <t>XX8X_PV_1114</t>
  </si>
  <si>
    <t>XX8X_PV_1115</t>
  </si>
  <si>
    <t>XX8X_PV_1116</t>
  </si>
  <si>
    <t>XX8X_PV_1117</t>
  </si>
  <si>
    <t>XX8X_PV_1118</t>
  </si>
  <si>
    <t>XX8X_PV_1119</t>
  </si>
  <si>
    <t>XX8X_PV_1120</t>
  </si>
  <si>
    <t>XX8X_PV_1121</t>
  </si>
  <si>
    <t>XX8X_PV_1122</t>
  </si>
  <si>
    <t>XX8X_PV_1123</t>
  </si>
  <si>
    <t>XX8X_PV_1124</t>
  </si>
  <si>
    <t>XX8X_PV_1125</t>
  </si>
  <si>
    <t>XX8X_PV_1141</t>
  </si>
  <si>
    <t>XX8X_PV_1142</t>
  </si>
  <si>
    <t>XX8X_PV_1143</t>
  </si>
  <si>
    <t>XX8X_PV_1144</t>
  </si>
  <si>
    <t>XX8X_PV_1145</t>
  </si>
  <si>
    <t>XX8X_PV_1146</t>
  </si>
  <si>
    <t>XX8X_PV_1147</t>
  </si>
  <si>
    <t>XX8X_PV_1148</t>
  </si>
  <si>
    <t>XX8X_PV_1149</t>
  </si>
  <si>
    <t>XX8X_PV_1150</t>
  </si>
  <si>
    <t>XX8X_PV_1151</t>
  </si>
  <si>
    <t>XX8X_PV_1152</t>
  </si>
  <si>
    <t>XX8X_PV_1153</t>
  </si>
  <si>
    <t>XX8X_PV_1154</t>
  </si>
  <si>
    <t>XX8X_PV_1155</t>
  </si>
  <si>
    <t>XX8X_PV_1171</t>
  </si>
  <si>
    <t>XX8X_PV_1172</t>
  </si>
  <si>
    <t>XX8X_PV_1173</t>
  </si>
  <si>
    <t>XX8X_PV_1174</t>
  </si>
  <si>
    <t>XX8X_PV_1175</t>
  </si>
  <si>
    <t>XX8X_PV_1176</t>
  </si>
  <si>
    <t>XX8X_PV_1177</t>
  </si>
  <si>
    <t>XX8X_PV_1178</t>
  </si>
  <si>
    <t>XX8X_PV_1179</t>
  </si>
  <si>
    <t>XX8X_PV_1180</t>
  </si>
  <si>
    <t>XX8X_PV_1181</t>
  </si>
  <si>
    <t>XX8X_PV_1182</t>
  </si>
  <si>
    <t>XX8X_PV_1183</t>
  </si>
  <si>
    <t>XX8X_PV_1184</t>
  </si>
  <si>
    <t>XX8X_PV_1185</t>
  </si>
  <si>
    <t>XX8X_PV_1201</t>
  </si>
  <si>
    <t>XX8X_PV_1202</t>
  </si>
  <si>
    <t>XX8X_PV_1203</t>
  </si>
  <si>
    <t>XX8X_PV_1204</t>
  </si>
  <si>
    <t>XX8X_PV_1205</t>
  </si>
  <si>
    <t>XX8X_PV_1206</t>
  </si>
  <si>
    <t>XX8X_PV_1207</t>
  </si>
  <si>
    <t>XX8X_PV_1208</t>
  </si>
  <si>
    <t>XX8X_PV_1209</t>
  </si>
  <si>
    <t>XX8X_PV_1210</t>
  </si>
  <si>
    <t>XX8X_PV_1211</t>
  </si>
  <si>
    <t>XX8X_PV_1212</t>
  </si>
  <si>
    <t>XX8X_PV_1213</t>
  </si>
  <si>
    <t>XX8X_PV_1214</t>
  </si>
  <si>
    <t>XX8X_PV_1215</t>
  </si>
  <si>
    <t>XX8X_PV_1231</t>
  </si>
  <si>
    <t>XX8X_PV_1232</t>
  </si>
  <si>
    <t>XX8X_PV_1233</t>
  </si>
  <si>
    <t>XX8X_PV_1234</t>
  </si>
  <si>
    <t>XX8X_PV_1235</t>
  </si>
  <si>
    <t>XX8X_PV_1236</t>
  </si>
  <si>
    <t>XX8X_PV_1237</t>
  </si>
  <si>
    <t>XX8X_PV_1238</t>
  </si>
  <si>
    <t>XX8X_PV_1239</t>
  </si>
  <si>
    <t>XX8X_PV_1240</t>
  </si>
  <si>
    <t>XX8X_PV_1241</t>
  </si>
  <si>
    <t>XX8X_PV_1242</t>
  </si>
  <si>
    <t>XX8X_PV_1243</t>
  </si>
  <si>
    <t>XX8X_PV_1244</t>
  </si>
  <si>
    <t>XX8X_PV_1245</t>
  </si>
  <si>
    <t>XX8X_PV_1261</t>
  </si>
  <si>
    <t>XX8X_PV_1262</t>
  </si>
  <si>
    <t>XX8X_PV_1263</t>
  </si>
  <si>
    <t>XX8X_PV_1264</t>
  </si>
  <si>
    <t>XX8X_PV_1265</t>
  </si>
  <si>
    <t>XX8X_PV_1266</t>
  </si>
  <si>
    <t>XX8X_PV_1267</t>
  </si>
  <si>
    <t>XX8X_PV_1268</t>
  </si>
  <si>
    <t>XX8X_PV_1269</t>
  </si>
  <si>
    <t>XX8X_PV_1270</t>
  </si>
  <si>
    <t>XX8X_PV_1271</t>
  </si>
  <si>
    <t>XX8X_PV_1272</t>
  </si>
  <si>
    <t>XX8X_PV_1273</t>
  </si>
  <si>
    <t>XX8X_PV_1274</t>
  </si>
  <si>
    <t>XX8X_PV_1275</t>
  </si>
  <si>
    <t>XX8X_PV_1291</t>
  </si>
  <si>
    <t>XX8X_PV_1292</t>
  </si>
  <si>
    <t>XX8X_PV_1293</t>
  </si>
  <si>
    <t>XX8X_PV_1294</t>
  </si>
  <si>
    <t>XX8X_PV_1295</t>
  </si>
  <si>
    <t>XX8X_PV_1296</t>
  </si>
  <si>
    <t>XX8X_PV_1297</t>
  </si>
  <si>
    <t>XX8X_PV_1298</t>
  </si>
  <si>
    <t>XX8X_PV_1299</t>
  </si>
  <si>
    <t>XX8X_PV_1300</t>
  </si>
  <si>
    <t>XX8X_PV_1301</t>
  </si>
  <si>
    <t>XX8X_PV_1302</t>
  </si>
  <si>
    <t>XX8X_PV_1303</t>
  </si>
  <si>
    <t>XX8X_PV_1304</t>
  </si>
  <si>
    <t>XX8X_PV_1305</t>
  </si>
  <si>
    <t>XX8X_PV_1321</t>
  </si>
  <si>
    <t>XX8X_PV_1322</t>
  </si>
  <si>
    <t>XX8X_PV_1323</t>
  </si>
  <si>
    <t>XX8X_PV_1324</t>
  </si>
  <si>
    <t>XX8X_PV_1325</t>
  </si>
  <si>
    <t>XX8X_PV_1326</t>
  </si>
  <si>
    <t>XX8X_PV_1327</t>
  </si>
  <si>
    <t>XX8X_PV_1328</t>
  </si>
  <si>
    <t>XX8X_PV_1329</t>
  </si>
  <si>
    <t>XX8X_PV_1330</t>
  </si>
  <si>
    <t>XX8X_PV_1331</t>
  </si>
  <si>
    <t>XX8X_PV_1332</t>
  </si>
  <si>
    <t>XX8X_PV_1333</t>
  </si>
  <si>
    <t>XX8X_PV_1334</t>
  </si>
  <si>
    <t>XX8X_PV_1335</t>
  </si>
  <si>
    <t>XX8X_PV_1351</t>
  </si>
  <si>
    <t>XX8X_PV_1352</t>
  </si>
  <si>
    <t>XX8X_PV_1353</t>
  </si>
  <si>
    <t>XX8X_PV_1354</t>
  </si>
  <si>
    <t>XX8X_PV_1355</t>
  </si>
  <si>
    <t>XX8X_PV_1356</t>
  </si>
  <si>
    <t>XX8X_PV_1357</t>
  </si>
  <si>
    <t>XX8X_PV_1358</t>
  </si>
  <si>
    <t>XX8X_PV_1359</t>
  </si>
  <si>
    <t>XX8X_PV_1360</t>
  </si>
  <si>
    <t>XX8X_PV_1361</t>
  </si>
  <si>
    <t>XX8X_PV_1362</t>
  </si>
  <si>
    <t>XX8X_PV_1363</t>
  </si>
  <si>
    <t>XX8X_PV_1364</t>
  </si>
  <si>
    <t>XX8X_PV_1365</t>
  </si>
  <si>
    <t>XX8X_PV_1381</t>
  </si>
  <si>
    <t>XX8X_PV_1382</t>
  </si>
  <si>
    <t>XX8X_PV_1383</t>
  </si>
  <si>
    <t>XX8X_PV_1384</t>
  </si>
  <si>
    <t>XX8X_PV_1385</t>
  </si>
  <si>
    <t>XX8X_PV_1386</t>
  </si>
  <si>
    <t>XX8X_PV_1387</t>
  </si>
  <si>
    <t>XX8X_PV_1388</t>
  </si>
  <si>
    <t>XX8X_PV_1389</t>
  </si>
  <si>
    <t>XX8X_PV_1390</t>
  </si>
  <si>
    <t>XX8X_PV_1391</t>
  </si>
  <si>
    <t>XX8X_PV_1392</t>
  </si>
  <si>
    <t>XX8X_PV_1393</t>
  </si>
  <si>
    <t>XX8X_PV_1394</t>
  </si>
  <si>
    <t>XX8X_PV_1395</t>
  </si>
  <si>
    <t>XX8X_PV_1411</t>
  </si>
  <si>
    <t>XX8X_PV_1412</t>
  </si>
  <si>
    <t>XX8X_PV_1413</t>
  </si>
  <si>
    <t>XX8X_PV_1414</t>
  </si>
  <si>
    <t>XX8X_PV_1415</t>
  </si>
  <si>
    <t>XX8X_PV_1416</t>
  </si>
  <si>
    <t>XX8X_PV_1417</t>
  </si>
  <si>
    <t>XX8X_PV_1418</t>
  </si>
  <si>
    <t>XX8X_PV_1419</t>
  </si>
  <si>
    <t>XX8X_PV_1420</t>
  </si>
  <si>
    <t>XX8X_PV_1421</t>
  </si>
  <si>
    <t>XX8X_PV_1422</t>
  </si>
  <si>
    <t>XX8X_PV_1423</t>
  </si>
  <si>
    <t>XX8X_PV_1424</t>
  </si>
  <si>
    <t>XX8X_PV_1425</t>
  </si>
  <si>
    <t>XX8X_PV_1426</t>
  </si>
  <si>
    <t>XX8X_PV_1427</t>
  </si>
  <si>
    <t>XX8X_PV_1428</t>
  </si>
  <si>
    <t>XX8X_PV_1429</t>
  </si>
  <si>
    <t>XX8X_PV_1430</t>
  </si>
  <si>
    <t>XX8X_PV_1431</t>
  </si>
  <si>
    <t>XX8X_PV_1432</t>
  </si>
  <si>
    <t>XX8X_PV_1433</t>
  </si>
  <si>
    <t>XX8X_PV_1434</t>
  </si>
  <si>
    <t>XX8X_PV_1435</t>
  </si>
  <si>
    <t>XX8X_PV_1436</t>
  </si>
  <si>
    <t>XX8X_PV_1437</t>
  </si>
  <si>
    <t>XX8X_PV_1438</t>
  </si>
  <si>
    <t>XX8X_PV_1439</t>
  </si>
  <si>
    <t>XX8X_PV_1440</t>
  </si>
  <si>
    <t>XX8X_PV_1441</t>
  </si>
  <si>
    <t>XX8X_PV_1442</t>
  </si>
  <si>
    <t>XX8X_PV_1443</t>
  </si>
  <si>
    <t>XX8X_PV_1444</t>
  </si>
  <si>
    <t>XX8X_PV_1445</t>
  </si>
  <si>
    <t>XX8X_PV_1446</t>
  </si>
  <si>
    <t>XX8X_PV_1447</t>
  </si>
  <si>
    <t>XX8X_PV_1448</t>
  </si>
  <si>
    <t>XX8X_PV_1449</t>
  </si>
  <si>
    <t>XX8X_PV_1450</t>
  </si>
  <si>
    <t>XX8X_PV_1451</t>
  </si>
  <si>
    <t>XX8X_PV_1452</t>
  </si>
  <si>
    <t>XX8X_PV_1453</t>
  </si>
  <si>
    <t>XX8X_PV_1454</t>
  </si>
  <si>
    <t>XX8X_PV_1455</t>
  </si>
  <si>
    <t>XX8X_PV_1456</t>
  </si>
  <si>
    <t>XX8X_PV_1457</t>
  </si>
  <si>
    <t>XX8X_PV_1458</t>
  </si>
  <si>
    <t>XX8X_PV_1459</t>
  </si>
  <si>
    <t>XX8X_PV_1460</t>
  </si>
  <si>
    <t>XX8X_PV_1461</t>
  </si>
  <si>
    <t>XX8X_PV_1462</t>
  </si>
  <si>
    <t>XX8X_PV_1463</t>
  </si>
  <si>
    <t>XX8X_PV_1464</t>
  </si>
  <si>
    <t>XX8X_PV_1465</t>
  </si>
  <si>
    <t>XX8X_PV_1466</t>
  </si>
  <si>
    <t>XX8X_PV_1467</t>
  </si>
  <si>
    <t>XX8X_PV_1468</t>
  </si>
  <si>
    <t>XX8X_PV_1469</t>
  </si>
  <si>
    <t>XX8X_PV_1470</t>
  </si>
  <si>
    <t>XX8X_PV_1471</t>
  </si>
  <si>
    <t>XX8X_PV_1472</t>
  </si>
  <si>
    <t>XX8X_PV_1473</t>
  </si>
  <si>
    <t>XX8X_PV_1474</t>
  </si>
  <si>
    <t>XX8X_PV_1475</t>
  </si>
  <si>
    <t>XX8X_PV_1476</t>
  </si>
  <si>
    <t>XX8X_PV_1477</t>
  </si>
  <si>
    <t>XX8X_PV_1478</t>
  </si>
  <si>
    <t>XX8X_PV_1479</t>
  </si>
  <si>
    <t>XX8X_PV_1480</t>
  </si>
  <si>
    <t>XX8X_PV_1481</t>
  </si>
  <si>
    <t>XX8X_PV_1482</t>
  </si>
  <si>
    <t>XX8X_PV_1483</t>
  </si>
  <si>
    <t>XX8X_PV_1484</t>
  </si>
  <si>
    <t>XX8X_PV_1485</t>
  </si>
  <si>
    <t>XX8X_PV_1486</t>
  </si>
  <si>
    <t>XX8X_PV_1487</t>
  </si>
  <si>
    <t>XX8X_PV_1488</t>
  </si>
  <si>
    <t>XX8X_PV_1489</t>
  </si>
  <si>
    <t>XX8X_PV_1490</t>
  </si>
  <si>
    <t>XX8X_PV_1491</t>
  </si>
  <si>
    <t>XX8X_PV_1492</t>
  </si>
  <si>
    <t>XX8X_PV_1493</t>
  </si>
  <si>
    <t>XX8X_PV_1494</t>
  </si>
  <si>
    <t>XX8X_PV_1495</t>
  </si>
  <si>
    <t>XX8X_PV_1496</t>
  </si>
  <si>
    <t>XX8X_PV_1497</t>
  </si>
  <si>
    <t>XX8X_PV_1498</t>
  </si>
  <si>
    <t>XX8X_PV_1499</t>
  </si>
  <si>
    <t>XX8X_PV_1500</t>
  </si>
  <si>
    <t>XX8X_PV_1501</t>
  </si>
  <si>
    <t>XX8X_PV_1502</t>
  </si>
  <si>
    <t>XX8X_PV_1503</t>
  </si>
  <si>
    <t>XX8X_PV_1504</t>
  </si>
  <si>
    <t>XX8X_PV_1505</t>
  </si>
  <si>
    <t>XX8X_PV_1506</t>
  </si>
  <si>
    <t>XX8X_PV_1507</t>
  </si>
  <si>
    <t>XX8X_PV_1508</t>
  </si>
  <si>
    <t>XX8X_PV_1509</t>
  </si>
  <si>
    <t>XX8X_PV_1510</t>
  </si>
  <si>
    <t>XX8X_PV_1511</t>
  </si>
  <si>
    <t>XX8X_PV_1512</t>
  </si>
  <si>
    <t>XX8X_PV_1513</t>
  </si>
  <si>
    <t>XX8X_PV_1514</t>
  </si>
  <si>
    <t>XX8X_PV_1515</t>
  </si>
  <si>
    <t>XX8X_PV_1516</t>
  </si>
  <si>
    <t>XX8X_PV_1517</t>
  </si>
  <si>
    <t>XX8X_PV_1518</t>
  </si>
  <si>
    <t>XX8X_PV_1519</t>
  </si>
  <si>
    <t>XX8X_PV_1520</t>
  </si>
  <si>
    <t>XX8X_PV_1521</t>
  </si>
  <si>
    <t>XX8X_PV_1522</t>
  </si>
  <si>
    <t>XX8X_PV_1523</t>
  </si>
  <si>
    <t>XX8X_PV_1524</t>
  </si>
  <si>
    <t>XX8X_PV_1525</t>
  </si>
  <si>
    <t>XX8X_PV_1526</t>
  </si>
  <si>
    <t>XX8X_PV_1527</t>
  </si>
  <si>
    <t>XX8X_PV_1528</t>
  </si>
  <si>
    <t>XX8X_PV_1529</t>
  </si>
  <si>
    <t>XX8X_PV_1530</t>
  </si>
  <si>
    <t>XX8X_PV_1531</t>
  </si>
  <si>
    <t>XX8X_PV_1532</t>
  </si>
  <si>
    <t>XX8X_PV_1533</t>
  </si>
  <si>
    <t>XX8X_PV_1534</t>
  </si>
  <si>
    <t>XX8X_PV_1535</t>
  </si>
  <si>
    <t>XX8X_PV_1536</t>
  </si>
  <si>
    <t>XX8X_PV_1537</t>
  </si>
  <si>
    <t>XX8X_PV_1538</t>
  </si>
  <si>
    <t>XX8X_PV_1539</t>
  </si>
  <si>
    <t>XX8X_PV_1540</t>
  </si>
  <si>
    <t>XX8X_PV_1541</t>
  </si>
  <si>
    <t>XX8X_PV_1542</t>
  </si>
  <si>
    <t>XX8X_PV_1543</t>
  </si>
  <si>
    <t>XX8X_PV_1544</t>
  </si>
  <si>
    <t>XX8X_PV_1545</t>
  </si>
  <si>
    <t>XX8X_PV_1546</t>
  </si>
  <si>
    <t>XX8X_PV_1547</t>
  </si>
  <si>
    <t>XX8X_PV_1548</t>
  </si>
  <si>
    <t>XX8X_PV_1549</t>
  </si>
  <si>
    <t>XX8X_PV_1550</t>
  </si>
  <si>
    <t>XX8X_PV_1551</t>
  </si>
  <si>
    <t>XX8X_PV_1552</t>
  </si>
  <si>
    <t>XX8X_PV_1553</t>
  </si>
  <si>
    <t>XX8X_PV_1554</t>
  </si>
  <si>
    <t>XX8X_PV_1555</t>
  </si>
  <si>
    <t>XX8X_PV_1556</t>
  </si>
  <si>
    <t>XX8X_PV_1557</t>
  </si>
  <si>
    <t>XX8X_PV_1558</t>
  </si>
  <si>
    <t>XX8X_PV_1559</t>
  </si>
  <si>
    <t>XX8X_PV_1560</t>
  </si>
  <si>
    <t>XX8X_PV_1561</t>
  </si>
  <si>
    <t>XX8X_PV_1562</t>
  </si>
  <si>
    <t>XX8X_PV_1563</t>
  </si>
  <si>
    <t>XX8X_PV_1564</t>
  </si>
  <si>
    <t>XX8X_PV_1565</t>
  </si>
  <si>
    <t>XX8X_PV_1566</t>
  </si>
  <si>
    <t>XX8X_PV_1567</t>
  </si>
  <si>
    <t>XX8X_PV_1568</t>
  </si>
  <si>
    <t>XX8X_PV_1569</t>
  </si>
  <si>
    <t>XX8X_PV_1570</t>
  </si>
  <si>
    <t>XX8X_PV_1571</t>
  </si>
  <si>
    <t>XX8X_PV_1572</t>
  </si>
  <si>
    <t>XX8X_PV_1573</t>
  </si>
  <si>
    <t>XX8X_PV_1574</t>
  </si>
  <si>
    <t>XX8X_PV_1575</t>
  </si>
  <si>
    <t>XX8X_PV_1576</t>
  </si>
  <si>
    <t>XX8X_PV_1577</t>
  </si>
  <si>
    <t>XX8X_PV_1578</t>
  </si>
  <si>
    <t>XX8X_PV_1579</t>
  </si>
  <si>
    <t>XX8X_PV_1580</t>
  </si>
  <si>
    <t>XX8X_PV_1581</t>
  </si>
  <si>
    <t>XX8X_PV_1582</t>
  </si>
  <si>
    <t>XX8X_PV_1583</t>
  </si>
  <si>
    <t>XX8X_PV_1584</t>
  </si>
  <si>
    <t>XX8X_PV_1585</t>
  </si>
  <si>
    <t>XX8X_PV_1586</t>
  </si>
  <si>
    <t>XX8X_PV_1587</t>
  </si>
  <si>
    <t>XX8X_PV_1588</t>
  </si>
  <si>
    <t>XX8X_PV_1589</t>
  </si>
  <si>
    <t>XX8X_PV_1590</t>
  </si>
  <si>
    <t>XX8X_PV_1591</t>
  </si>
  <si>
    <t>XX8X_PV_1592</t>
  </si>
  <si>
    <t>XX8X_PV_1593</t>
  </si>
  <si>
    <t>XX8X_PV_1594</t>
  </si>
  <si>
    <t>XX8X_PV_1595</t>
  </si>
  <si>
    <t>XX8X_PV_1596</t>
  </si>
  <si>
    <t>XX8X_PV_1597</t>
  </si>
  <si>
    <t>XX8X_PV_1598</t>
  </si>
  <si>
    <t>XX8X_PV_1599</t>
  </si>
  <si>
    <t>XX8X_PV_1600</t>
  </si>
  <si>
    <t>XX8X_PV_1601</t>
  </si>
  <si>
    <t>XX8X_PV_1602</t>
  </si>
  <si>
    <t>XX8X_PV_1603</t>
  </si>
  <si>
    <t>XX8X_PV_1604</t>
  </si>
  <si>
    <t>XX8X_PV_1605</t>
  </si>
  <si>
    <t>XX8X_PV_1606</t>
  </si>
  <si>
    <t>XX8X_PV_1607</t>
  </si>
  <si>
    <t>XX8X_PV_1608</t>
  </si>
  <si>
    <t>XX8X_PV_1609</t>
  </si>
  <si>
    <t>XX8X_PV_1610</t>
  </si>
  <si>
    <t>XX8X_PV_1611</t>
  </si>
  <si>
    <t>XX8X_PV_1612</t>
  </si>
  <si>
    <t>XX8X_PV_1613</t>
  </si>
  <si>
    <t>XX8X_PV_1614</t>
  </si>
  <si>
    <t>XX8X_PV_1615</t>
  </si>
  <si>
    <t>XX8X_PV_1616</t>
  </si>
  <si>
    <t>XX8X_PV_1617</t>
  </si>
  <si>
    <t>XX8X_PV_1618</t>
  </si>
  <si>
    <t>XX8X_PV_1619</t>
  </si>
  <si>
    <t>XX8X_PV_1620</t>
  </si>
  <si>
    <t>XX8X_PV_1621</t>
  </si>
  <si>
    <t>XX8X_PV_1622</t>
  </si>
  <si>
    <t>XX8X_PV_1623</t>
  </si>
  <si>
    <t>XX8X_PV_1624</t>
  </si>
  <si>
    <t>XX8X_PV_1625</t>
  </si>
  <si>
    <t>XX8X_PV_1626</t>
  </si>
  <si>
    <t>XX8X_PV_1627</t>
  </si>
  <si>
    <t>XX8X_PV_1628</t>
  </si>
  <si>
    <t>XX8X_PV_1629</t>
  </si>
  <si>
    <t>XX8X_PV_1630</t>
  </si>
  <si>
    <t>XX8X_PV_1631</t>
  </si>
  <si>
    <t>XX8X_PV_1632</t>
  </si>
  <si>
    <t>XX8X_PV_1633</t>
  </si>
  <si>
    <t>XX8X_PV_1634</t>
  </si>
  <si>
    <t>XX8X_PV_1635</t>
  </si>
  <si>
    <t>XX8X_PV_1636</t>
  </si>
  <si>
    <t>XX8X_PV_1637</t>
  </si>
  <si>
    <t>XX8X_PV_1638</t>
  </si>
  <si>
    <t>XX8X_PV_1639</t>
  </si>
  <si>
    <t>XX8X_PV_1640</t>
  </si>
  <si>
    <t>XX8X_PV_1641</t>
  </si>
  <si>
    <t>XX8X_PV_1642</t>
  </si>
  <si>
    <t>XX8X_PV_1643</t>
  </si>
  <si>
    <t>XX8X_PV_1644</t>
  </si>
  <si>
    <t>XX8X_PV_1645</t>
  </si>
  <si>
    <t>XX8X_PV_1646</t>
  </si>
  <si>
    <t>XX8X_PV_1647</t>
  </si>
  <si>
    <t>XX8X_PV_1648</t>
  </si>
  <si>
    <t>XX8X_PV_1649</t>
  </si>
  <si>
    <t>XX8X_PV_1650</t>
  </si>
  <si>
    <t>XX8X_PV_1651</t>
  </si>
  <si>
    <t>XX8X_PV_1652</t>
  </si>
  <si>
    <t>XX8X_PV_1653</t>
  </si>
  <si>
    <t>XX8X_PV_1654</t>
  </si>
  <si>
    <t>XX8X_PV_1655</t>
  </si>
  <si>
    <t>XX8X_PV_1656</t>
  </si>
  <si>
    <t>XX8X_PV_1657</t>
  </si>
  <si>
    <t>XX8X_PV_1658</t>
  </si>
  <si>
    <t>XX8X_PV_1659</t>
  </si>
  <si>
    <t>XX8X_PV_1660</t>
  </si>
  <si>
    <t>XX8X_PV_1661</t>
  </si>
  <si>
    <t>XX8X_PV_1662</t>
  </si>
  <si>
    <t>XX8X_PV_1663</t>
  </si>
  <si>
    <t>XX8X_PV_1664</t>
  </si>
  <si>
    <t>XX8X_PV_1665</t>
  </si>
  <si>
    <t>XX8X_PV_1666</t>
  </si>
  <si>
    <t>XX8X_PV_1667</t>
  </si>
  <si>
    <t>XX8X_PV_1668</t>
  </si>
  <si>
    <t>XX8X_PV_1669</t>
  </si>
  <si>
    <t>XX8X_PV_1670</t>
  </si>
  <si>
    <t>XX8X_PV_1671</t>
  </si>
  <si>
    <t>XX8X_PV_1672</t>
  </si>
  <si>
    <t>XX8X_PV_1673</t>
  </si>
  <si>
    <t>XX8X_PV_1674</t>
  </si>
  <si>
    <t>XX8X_PV_1675</t>
  </si>
  <si>
    <t>XX8X_PV_1676</t>
  </si>
  <si>
    <t>XX8X_PV_1677</t>
  </si>
  <si>
    <t>XX8X_PV_1678</t>
  </si>
  <si>
    <t>XX8X_PV_1679</t>
  </si>
  <si>
    <t>XX8X_PV_1680</t>
  </si>
  <si>
    <t>XX8X_PV_1681</t>
  </si>
  <si>
    <t>XX8X_PV_1682</t>
  </si>
  <si>
    <t>XX8X_PV_1683</t>
  </si>
  <si>
    <t>XX8X_PV_1684</t>
  </si>
  <si>
    <t>XX8X_PV_1685</t>
  </si>
  <si>
    <t>XX8X_PV_1686</t>
  </si>
  <si>
    <t>XX8X_PV_1687</t>
  </si>
  <si>
    <t>XX8X_PV_1688</t>
  </si>
  <si>
    <t>XX8X_PV_1689</t>
  </si>
  <si>
    <t>XX8X_PV_1690</t>
  </si>
  <si>
    <t>XX8X_PV_1691</t>
  </si>
  <si>
    <t>XX8X_PV_1692</t>
  </si>
  <si>
    <t>XX8X_PV_1693</t>
  </si>
  <si>
    <t>XX8X_PV_1694</t>
  </si>
  <si>
    <t>XX8X_PV_1695</t>
  </si>
  <si>
    <t>XX8X_PV_1696</t>
  </si>
  <si>
    <t>XX8X_PV_1697</t>
  </si>
  <si>
    <t>XX8X_PV_1698</t>
  </si>
  <si>
    <t>XX8X_PV_1699</t>
  </si>
  <si>
    <t>XX8X_PV_1700</t>
  </si>
  <si>
    <t>XX8X_PV_1701</t>
  </si>
  <si>
    <t>XX8X_PV_1702</t>
  </si>
  <si>
    <t>XX8X_PV_1703</t>
  </si>
  <si>
    <t>XX8X_PV_1704</t>
  </si>
  <si>
    <t>XX8X_PV_1705</t>
  </si>
  <si>
    <t>XX8X_PV_1706</t>
  </si>
  <si>
    <t>XX8X_PV_1707</t>
  </si>
  <si>
    <t>XX8X_PV_1708</t>
  </si>
  <si>
    <t>XX8X_PV_1709</t>
  </si>
  <si>
    <t>XX8X_PV_1710</t>
  </si>
  <si>
    <t>XX8X_PV_1711</t>
  </si>
  <si>
    <t>XX8X_PV_1712</t>
  </si>
  <si>
    <t>XX8X_PV_1713</t>
  </si>
  <si>
    <t>XX8X_PV_1714</t>
  </si>
  <si>
    <t>XX8X_PV_1715</t>
  </si>
  <si>
    <t>XX8X_PV_1716</t>
  </si>
  <si>
    <t>XX8X_PV_1717</t>
  </si>
  <si>
    <t>XX8X_PV_1718</t>
  </si>
  <si>
    <t>XX8X_PV_1719</t>
  </si>
  <si>
    <t>XX8X_PV_1720</t>
  </si>
  <si>
    <t>XX8X_PV_1721</t>
  </si>
  <si>
    <t>XX8X_PV_1722</t>
  </si>
  <si>
    <t>XX8X_PV_1723</t>
  </si>
  <si>
    <t>XX8X_PV_1724</t>
  </si>
  <si>
    <t>XX8X_PV_1725</t>
  </si>
  <si>
    <t>XX8X_PV_1726</t>
  </si>
  <si>
    <t>XX8X_PV_1727</t>
  </si>
  <si>
    <t>XX8X_PV_1728</t>
  </si>
  <si>
    <t>XX8X_PV_1729</t>
  </si>
  <si>
    <t>XX8X_PV_1730</t>
  </si>
  <si>
    <t>XX8X_PV_1731</t>
  </si>
  <si>
    <t>XX8X_PV_1732</t>
  </si>
  <si>
    <t>XX8X_PV_1733</t>
  </si>
  <si>
    <t>XX8X_PV_1734</t>
  </si>
  <si>
    <t>XX8X_PV_1735</t>
  </si>
  <si>
    <t>XX8X_PV_1736</t>
  </si>
  <si>
    <t>XX8X_PV_1737</t>
  </si>
  <si>
    <t>XX8X_PV_1738</t>
  </si>
  <si>
    <t>XX8X_PV_1739</t>
  </si>
  <si>
    <t>XX8X_PV_1740</t>
  </si>
  <si>
    <t>XX8X_PV_1741</t>
  </si>
  <si>
    <t>XX8X_PV_1742</t>
  </si>
  <si>
    <t>XX8X_PV_1743</t>
  </si>
  <si>
    <t>XX8X_PV_1744</t>
  </si>
  <si>
    <t>XX8X_PV_1745</t>
  </si>
  <si>
    <t>XX8X_PV_1746</t>
  </si>
  <si>
    <t>XX8X_PV_1747</t>
  </si>
  <si>
    <t>XX8X_PV_1748</t>
  </si>
  <si>
    <t>XX8X_PV_1749</t>
  </si>
  <si>
    <t>XX8X_PV_1750</t>
  </si>
  <si>
    <t>XX8X_PV_1751</t>
  </si>
  <si>
    <t>XX8X_PV_1752</t>
  </si>
  <si>
    <t>XX8X_PV_1753</t>
  </si>
  <si>
    <t>XX8X_PV_1754</t>
  </si>
  <si>
    <t>XX8X_PV_1755</t>
  </si>
  <si>
    <t>XX8X_PV_1756</t>
  </si>
  <si>
    <t>XX8X_PV_1757</t>
  </si>
  <si>
    <t>XX8X_PV_1758</t>
  </si>
  <si>
    <t>XX8X_PV_1759</t>
  </si>
  <si>
    <t>XX8X_PV_1760</t>
  </si>
  <si>
    <t>XX8X_PV_1761</t>
  </si>
  <si>
    <t>XX8X_PV_1762</t>
  </si>
  <si>
    <t>XX8X_PV_1763</t>
  </si>
  <si>
    <t>XX8X_PV_1764</t>
  </si>
  <si>
    <t>XX8X_PV_1765</t>
  </si>
  <si>
    <t>XX8X_PV_1766</t>
  </si>
  <si>
    <t>XX8X_PV_1767</t>
  </si>
  <si>
    <t>XX8X_PV_1768</t>
  </si>
  <si>
    <t>XX8X_PV_1769</t>
  </si>
  <si>
    <t>XX8X_PV_1770</t>
  </si>
  <si>
    <t>XX8X_PV_1771</t>
  </si>
  <si>
    <t>XX8X_PV_1772</t>
  </si>
  <si>
    <t>XX8X_PV_1773</t>
  </si>
  <si>
    <t>XX8X_PV_1774</t>
  </si>
  <si>
    <t>XX8X_PV_1775</t>
  </si>
  <si>
    <t>XX8X_PV_1776</t>
  </si>
  <si>
    <t>XX8X_PV_1777</t>
  </si>
  <si>
    <t>XX8X_PV_1778</t>
  </si>
  <si>
    <t>XX8X_PV_1779</t>
  </si>
  <si>
    <t>XX8X_PV_1780</t>
  </si>
  <si>
    <t>XX8X_PV_1781</t>
  </si>
  <si>
    <t>XX8X_PV_1782</t>
  </si>
  <si>
    <t>XX8X_PV_1783</t>
  </si>
  <si>
    <t>XX8X_PV_1784</t>
  </si>
  <si>
    <t>XX8X_PV_1785</t>
  </si>
  <si>
    <t>XX8X_PV_1786</t>
  </si>
  <si>
    <t>XX8X_PV_1787</t>
  </si>
  <si>
    <t>XX8X_PV_1788</t>
  </si>
  <si>
    <t>XX8X_PV_1789</t>
  </si>
  <si>
    <t>XX8X_PV_1790</t>
  </si>
  <si>
    <t>XX8X_PV_1791</t>
  </si>
  <si>
    <t>XX8X_PV_1792</t>
  </si>
  <si>
    <t>XX8X_PV_1793</t>
  </si>
  <si>
    <t>XX8X_PV_1794</t>
  </si>
  <si>
    <t>XX8X_PV_1795</t>
  </si>
  <si>
    <t>XX8X_PV_1796</t>
  </si>
  <si>
    <t>XX8X_PV_1797</t>
  </si>
  <si>
    <t>XX8X_PV_1798</t>
  </si>
  <si>
    <t>XX8X_PV_1799</t>
  </si>
  <si>
    <t>XX8X_PV_1800</t>
  </si>
  <si>
    <t>XX8X_PV_1801</t>
  </si>
  <si>
    <t>XX8X_PV_1802</t>
  </si>
  <si>
    <t>XX8X_PV_1803</t>
  </si>
  <si>
    <t>XX8X_PV_1804</t>
  </si>
  <si>
    <t>XX8X_PV_1805</t>
  </si>
  <si>
    <t>XX8X_PV_1806</t>
  </si>
  <si>
    <t>XX8X_PV_1807</t>
  </si>
  <si>
    <t>XX8X_PV_1808</t>
  </si>
  <si>
    <t>XX8X_PV_1809</t>
  </si>
  <si>
    <t>XX8X_PV_1810</t>
  </si>
  <si>
    <t>XX8X_PV_1811</t>
  </si>
  <si>
    <t>XX8X_PV_1812</t>
  </si>
  <si>
    <t>XX8X_PV_1813</t>
  </si>
  <si>
    <t>XX8X_PV_1814</t>
  </si>
  <si>
    <t>XX8X_PV_1815</t>
  </si>
  <si>
    <t>XX8X_PV_1816</t>
  </si>
  <si>
    <t>XX8X_PV_1817</t>
  </si>
  <si>
    <t>XX8X_PV_1818</t>
  </si>
  <si>
    <t>XX8X_PV_1819</t>
  </si>
  <si>
    <t>XX8X_PV_1820</t>
  </si>
  <si>
    <t>XX8X_PV_1821</t>
  </si>
  <si>
    <t>XX8X_PV_1822</t>
  </si>
  <si>
    <t>XX8X_PV_1823</t>
  </si>
  <si>
    <t>XX8X_PV_1824</t>
  </si>
  <si>
    <t>XX8X_PV_1825</t>
  </si>
  <si>
    <t>XX8X_PV_1826</t>
  </si>
  <si>
    <t>XX8X_PV_1827</t>
  </si>
  <si>
    <t>XX8X_PV_1828</t>
  </si>
  <si>
    <t>XX8X_PV_1829</t>
  </si>
  <si>
    <t>XX8X_PV_1830</t>
  </si>
  <si>
    <t>XX8X_PV_1831</t>
  </si>
  <si>
    <t>XX8X_PV_1832</t>
  </si>
  <si>
    <t>XX8X_PV_1833</t>
  </si>
  <si>
    <t>XX8X_PV_1834</t>
  </si>
  <si>
    <t>XX8X_PV_1835</t>
  </si>
  <si>
    <t>XX8X_PV_1836</t>
  </si>
  <si>
    <t>XX8X_PV_1837</t>
  </si>
  <si>
    <t>XX8X_PV_1838</t>
  </si>
  <si>
    <t>XX8X_PV_1839</t>
  </si>
  <si>
    <t>XX8X_PV_1840</t>
  </si>
  <si>
    <t>XX8X_PV_1841</t>
  </si>
  <si>
    <t>XX8X_PV_1842</t>
  </si>
  <si>
    <t>XX8X_PV_1843</t>
  </si>
  <si>
    <t>XX8X_PV_1844</t>
  </si>
  <si>
    <t>XX8X_PV_1845</t>
  </si>
  <si>
    <t>XX8X_PV_1846</t>
  </si>
  <si>
    <t>XX8X_PV_1847</t>
  </si>
  <si>
    <t>XX8X_PV_1848</t>
  </si>
  <si>
    <t>XX8X_PV_1849</t>
  </si>
  <si>
    <t>XX8X_PV_1850</t>
  </si>
  <si>
    <t>XX8X_PV_1851</t>
  </si>
  <si>
    <t>XX8X_PV_1852</t>
  </si>
  <si>
    <t>XX8X_PV_1853</t>
  </si>
  <si>
    <t>XX8X_PV_1854</t>
  </si>
  <si>
    <t>XX8X_PV_1855</t>
  </si>
  <si>
    <t>XX8X_PV_1856</t>
  </si>
  <si>
    <t>XX8X_PV_1857</t>
  </si>
  <si>
    <t>XX8X_PV_1858</t>
  </si>
  <si>
    <t>XX8X_PV_1859</t>
  </si>
  <si>
    <t>XX8X_PV_1860</t>
  </si>
  <si>
    <t>XX8X_PV_1861</t>
  </si>
  <si>
    <t>XX8X_PV_1862</t>
  </si>
  <si>
    <t>XX8X_PV_1863</t>
  </si>
  <si>
    <t>XX8X_PV_1864</t>
  </si>
  <si>
    <t>XX8X_PV_1865</t>
  </si>
  <si>
    <t>XX8X_PV_1866</t>
  </si>
  <si>
    <t>XX8X_PV_1867</t>
  </si>
  <si>
    <t>XX8X_PV_1868</t>
  </si>
  <si>
    <t>XX8X_PV_1869</t>
  </si>
  <si>
    <t>XX8X_PV_1870</t>
  </si>
  <si>
    <t>XX8X_PV_1871</t>
  </si>
  <si>
    <t>XX8X_PV_1872</t>
  </si>
  <si>
    <t>XX8X_PV_1873</t>
  </si>
  <si>
    <t>XX8X_PV_1874</t>
  </si>
  <si>
    <t>XX8X_PV_1875</t>
  </si>
  <si>
    <t>XX8X_PV_1876</t>
  </si>
  <si>
    <t>XX8X_PV_1877</t>
  </si>
  <si>
    <t>XX8X_PV_1878</t>
  </si>
  <si>
    <t>XX8X_PV_1879</t>
  </si>
  <si>
    <t>XX8X_PV_1880</t>
  </si>
  <si>
    <t>XX8X_PV_1881</t>
  </si>
  <si>
    <t>XX8X_PV_1882</t>
  </si>
  <si>
    <t>XX8X_PV_1883</t>
  </si>
  <si>
    <t>XX8X_PV_1884</t>
  </si>
  <si>
    <t>XX8X_PV_1885</t>
  </si>
  <si>
    <t>XX8X_PV_1886</t>
  </si>
  <si>
    <t>XX8X_PV_1887</t>
  </si>
  <si>
    <t>XX8X_PV_1888</t>
  </si>
  <si>
    <t>XX8X_PV_1889</t>
  </si>
  <si>
    <t>XX8X_PV_1890</t>
  </si>
  <si>
    <t>XX8X_PV_1891</t>
  </si>
  <si>
    <t>XX8X_PV_1892</t>
  </si>
  <si>
    <t>XX8X_PV_1893</t>
  </si>
  <si>
    <t>XX8X_PV_1894</t>
  </si>
  <si>
    <t>XX8X_PV_1895</t>
  </si>
  <si>
    <t>XX8X_PV_1896</t>
  </si>
  <si>
    <t>XX8X_PV_1897</t>
  </si>
  <si>
    <t>XX8X_PV_1898</t>
  </si>
  <si>
    <t>XX8X_PV_1899</t>
  </si>
  <si>
    <t>XX8X_PV_1900</t>
  </si>
  <si>
    <t>XX8X_PV_1901</t>
  </si>
  <si>
    <t>XX8X_PV_1902</t>
  </si>
  <si>
    <t>XX8X_PV_1903</t>
  </si>
  <si>
    <t>XX8X_PV_1904</t>
  </si>
  <si>
    <t>XX8X_PV_1905</t>
  </si>
  <si>
    <t>XX8X_PV_1906</t>
  </si>
  <si>
    <t>XX8X_PV_1907</t>
  </si>
  <si>
    <t>XX8X_PV_1908</t>
  </si>
  <si>
    <t>XX8X_PV_1909</t>
  </si>
  <si>
    <t>XX8X_PV_1910</t>
  </si>
  <si>
    <t>XX8X_PV_1911</t>
  </si>
  <si>
    <t>XX8X_PV_1912</t>
  </si>
  <si>
    <t>XX8X_PV_1913</t>
  </si>
  <si>
    <t>XX8X_PV_1914</t>
  </si>
  <si>
    <t>XX8X_PV_1915</t>
  </si>
  <si>
    <t>XX8X_PV_1916</t>
  </si>
  <si>
    <t>XX8X_PV_1917</t>
  </si>
  <si>
    <t>XX8X_PV_1918</t>
  </si>
  <si>
    <t>XX8X_PV_1919</t>
  </si>
  <si>
    <t>XX8X_PV_1920</t>
  </si>
  <si>
    <t>XX8X_PV_1921</t>
  </si>
  <si>
    <t>XX8X_PV_1922</t>
  </si>
  <si>
    <t>XX8X_PV_1923</t>
  </si>
  <si>
    <t>XX8X_PV_1924</t>
  </si>
  <si>
    <t>XX8X_PV_1925</t>
  </si>
  <si>
    <t>XX8X_PV_1926</t>
  </si>
  <si>
    <t>XX8X_PV_1927</t>
  </si>
  <si>
    <t>XX8X_PV_1928</t>
  </si>
  <si>
    <t>XX8X_PV_1929</t>
  </si>
  <si>
    <t>XX8X_PV_1930</t>
  </si>
  <si>
    <t>XX8X_PV_1931</t>
  </si>
  <si>
    <t>XX8X_PV_1932</t>
  </si>
  <si>
    <t>XX8X_PV_1933</t>
  </si>
  <si>
    <t>XX8X_PV_1934</t>
  </si>
  <si>
    <t>XX8X_PV_1935</t>
  </si>
  <si>
    <t>XX8X_PV_1936</t>
  </si>
  <si>
    <t>XX8X_PV_1937</t>
  </si>
  <si>
    <t>XX8X_PV_1938</t>
  </si>
  <si>
    <t>XX8X_PV_1939</t>
  </si>
  <si>
    <t>XX8X_PV_1940</t>
  </si>
  <si>
    <t>XX8X_PV_1941</t>
  </si>
  <si>
    <t>XX8X_PV_1942</t>
  </si>
  <si>
    <t>XX8X_PV_1943</t>
  </si>
  <si>
    <t>XX8X_PV_1944</t>
  </si>
  <si>
    <t>XX8X_PV_1945</t>
  </si>
  <si>
    <t>XX8X_PV_1946</t>
  </si>
  <si>
    <t>XX8X_PV_1947</t>
  </si>
  <si>
    <t>XX8X_PV_1948</t>
  </si>
  <si>
    <t>XX8X_PV_1949</t>
  </si>
  <si>
    <t>XX8X_PV_1950</t>
  </si>
  <si>
    <t>XX8X_PV_1951</t>
  </si>
  <si>
    <t>XX8X_PV_1952</t>
  </si>
  <si>
    <t>XX8X_PV_1953</t>
  </si>
  <si>
    <t>XX8X_PV_1954</t>
  </si>
  <si>
    <t>XX8X_PV_1955</t>
  </si>
  <si>
    <t>XX8X_PV_1956</t>
  </si>
  <si>
    <t>XX8X_PV_1957</t>
  </si>
  <si>
    <t>XX8X_PV_1958</t>
  </si>
  <si>
    <t>XX8X_PV_1959</t>
  </si>
  <si>
    <t>XX8X_PV_1960</t>
  </si>
  <si>
    <t>XX8X_PV_1961</t>
  </si>
  <si>
    <t>XX8X_PV_1962</t>
  </si>
  <si>
    <t>XX8X_PV_1963</t>
  </si>
  <si>
    <t>XX8X_PV_1964</t>
  </si>
  <si>
    <t>XX8X_PV_1965</t>
  </si>
  <si>
    <t>XX8X_PV_1966</t>
  </si>
  <si>
    <t>XX8X_PV_1967</t>
  </si>
  <si>
    <t>XX8X_PV_1968</t>
  </si>
  <si>
    <t>XX8X_PV_1969</t>
  </si>
  <si>
    <t>XX8X_PV_1970</t>
  </si>
  <si>
    <t>XX8X_PV_1971</t>
  </si>
  <si>
    <t>XX8X_PV_1972</t>
  </si>
  <si>
    <t>XX8X_PV_1973</t>
  </si>
  <si>
    <t>XX8X_PV_1974</t>
  </si>
  <si>
    <t>XX8X_PV_1975</t>
  </si>
  <si>
    <t>XX8X_PV_1976</t>
  </si>
  <si>
    <t>XX8X_PV_1977</t>
  </si>
  <si>
    <t>XX8X_PV_1978</t>
  </si>
  <si>
    <t>XX8X_PV_1979</t>
  </si>
  <si>
    <t>XX8X_PV_1980</t>
  </si>
  <si>
    <t>XX8X_PV_1981</t>
  </si>
  <si>
    <t>XX8X_PV_1982</t>
  </si>
  <si>
    <t>XX8X_PV_1983</t>
  </si>
  <si>
    <t>XX8X_PV_1984</t>
  </si>
  <si>
    <t>XX8X_PV_1985</t>
  </si>
  <si>
    <t>XX8X_PV_1986</t>
  </si>
  <si>
    <t>XX8X_PV_1987</t>
  </si>
  <si>
    <t>XX8X_PV_1988</t>
  </si>
  <si>
    <t>XX8X_PV_1989</t>
  </si>
  <si>
    <t>XX8X_PV_1990</t>
  </si>
  <si>
    <t>XX8X_PV_1991</t>
  </si>
  <si>
    <t>XX8X_PV_1992</t>
  </si>
  <si>
    <t>XX8X_PV_1993</t>
  </si>
  <si>
    <t>XX8X_PV_1994</t>
  </si>
  <si>
    <t>XX8X_PV_1995</t>
  </si>
  <si>
    <t>XX8X_PV_1996</t>
  </si>
  <si>
    <t>XX8X_PV_1997</t>
  </si>
  <si>
    <t>XX8X_PV_1998</t>
  </si>
  <si>
    <t>XX8X_PV_1999</t>
  </si>
  <si>
    <t>XX8X_PV_2000</t>
  </si>
  <si>
    <t>XX8X_PV_2001</t>
  </si>
  <si>
    <t>XX8X_PV_2002</t>
  </si>
  <si>
    <t>XX8X_PV_2003</t>
  </si>
  <si>
    <t>XX8X_PV_2004</t>
  </si>
  <si>
    <t>XX8X_PV_2005</t>
  </si>
  <si>
    <t>XX8X_PV_2006</t>
  </si>
  <si>
    <t>XX8X_PV_2007</t>
  </si>
  <si>
    <t>XX8X_PV_2008</t>
  </si>
  <si>
    <t>XX8X_PV_2009</t>
  </si>
  <si>
    <t>XX8X_PV_2010</t>
  </si>
  <si>
    <t>XX8X_PV_2011</t>
  </si>
  <si>
    <t>XX8X_PV_2012</t>
  </si>
  <si>
    <t>XX8X_PV_2013</t>
  </si>
  <si>
    <t>XX8X_PV_2014</t>
  </si>
  <si>
    <t>XX8X_PV_2015</t>
  </si>
  <si>
    <t>XX8X_PV_2016</t>
  </si>
  <si>
    <t>XX8X_PV_2017</t>
  </si>
  <si>
    <t>XX8X_PV_2018</t>
  </si>
  <si>
    <t>XX8X_PV_2019</t>
  </si>
  <si>
    <t>XX8X_PV_2020</t>
  </si>
  <si>
    <t>XX8X_PV_2021</t>
  </si>
  <si>
    <t>XX8X_PV_2022</t>
  </si>
  <si>
    <t>XX8X_PV_2023</t>
  </si>
  <si>
    <t>XX8X_PV_2024</t>
  </si>
  <si>
    <t>XX8X_PV_2025</t>
  </si>
  <si>
    <t>XX8X_PV_2026</t>
  </si>
  <si>
    <t>XX8X_PV_2027</t>
  </si>
  <si>
    <t>XX8X_PV_2028</t>
  </si>
  <si>
    <t>XX8X_PV_2029</t>
  </si>
  <si>
    <t>XX8X_PV_2030</t>
  </si>
  <si>
    <t>XX8X_PV_2031</t>
  </si>
  <si>
    <t>XX8X_PV_2032</t>
  </si>
  <si>
    <t>XX8X_PV_2033</t>
  </si>
  <si>
    <t>XX8X_PV_2034</t>
  </si>
  <si>
    <t>XX8X_PV_2035</t>
  </si>
  <si>
    <t>XX8X_PV_2036</t>
  </si>
  <si>
    <t>XX8X_PV_2037</t>
  </si>
  <si>
    <t>XX8X_PV_2038</t>
  </si>
  <si>
    <t>XX8X_PV_2039</t>
  </si>
  <si>
    <t>XX8X_PV_2040</t>
  </si>
  <si>
    <t>XX8X_PV_2041</t>
  </si>
  <si>
    <t>XX8X_PV_2042</t>
  </si>
  <si>
    <t>XX8X_PV_2043</t>
  </si>
  <si>
    <t>XX8X_PV_2044</t>
  </si>
  <si>
    <t>XX8X_PV_2045</t>
  </si>
  <si>
    <t>XX8X_PV_2046</t>
  </si>
  <si>
    <t>XX8X_PV_2047</t>
  </si>
  <si>
    <t>XX8X_PV_2048</t>
  </si>
  <si>
    <t>XX8X_PV_2049</t>
  </si>
  <si>
    <t>XX8X_PV_2050</t>
  </si>
  <si>
    <t>XX8X_PV_2051</t>
  </si>
  <si>
    <t>XX8X_PV_2052</t>
  </si>
  <si>
    <t>XX8X_PV_2053</t>
  </si>
  <si>
    <t>XX8X_PV_2054</t>
  </si>
  <si>
    <t>XX8X_PV_2055</t>
  </si>
  <si>
    <t>XX8X_PV_2056</t>
  </si>
  <si>
    <t>XX8X_PV_2057</t>
  </si>
  <si>
    <t>XX8X_PV_2058</t>
  </si>
  <si>
    <t>XX8X_PV_2059</t>
  </si>
  <si>
    <t>XX8X_PV_2060</t>
  </si>
  <si>
    <t>XX8X_PV_2061</t>
  </si>
  <si>
    <t>XX8X_PV_2062</t>
  </si>
  <si>
    <t>XX8X_PV_2063</t>
  </si>
  <si>
    <t>XX8X_PV_2064</t>
  </si>
  <si>
    <t>XX8X_PV_2065</t>
  </si>
  <si>
    <t>XX8X_PV_2066</t>
  </si>
  <si>
    <t>XX8X_PV_2067</t>
  </si>
  <si>
    <t>XX8X_PV_2068</t>
  </si>
  <si>
    <t>XX8X_PV_2069</t>
  </si>
  <si>
    <t>XX8X_PV_2070</t>
  </si>
  <si>
    <t>XX8X_PV_2071</t>
  </si>
  <si>
    <t>XX8X_PV_2072</t>
  </si>
  <si>
    <t>XX8X_PV_2073</t>
  </si>
  <si>
    <t>XX8X_PV_2074</t>
  </si>
  <si>
    <t>XX8X_PV_2075</t>
  </si>
  <si>
    <t>XX8X_PV_2076</t>
  </si>
  <si>
    <t>XX8X_PV_2077</t>
  </si>
  <si>
    <t>XX8X_PV_2078</t>
  </si>
  <si>
    <t>XX8X_PV_2079</t>
  </si>
  <si>
    <t>XX8X_PV_2080</t>
  </si>
  <si>
    <t>XX8X_PV_2081</t>
  </si>
  <si>
    <t>XX8X_PV_2082</t>
  </si>
  <si>
    <t>XX8X_PV_2083</t>
  </si>
  <si>
    <t>XX8X_PV_2084</t>
  </si>
  <si>
    <t>XX8X_PV_2085</t>
  </si>
  <si>
    <t>XX8X_PV_2086</t>
  </si>
  <si>
    <t>XX8X_PV_2087</t>
  </si>
  <si>
    <t>XX8X_PV_2088</t>
  </si>
  <si>
    <t>XX8X_PV_2089</t>
  </si>
  <si>
    <t>XX8X_PV_2090</t>
  </si>
  <si>
    <t>XX8X_PV_2091</t>
  </si>
  <si>
    <t>XX8X_PV_2092</t>
  </si>
  <si>
    <t>XX8X_PV_2093</t>
  </si>
  <si>
    <t>XX8X_PV_2094</t>
  </si>
  <si>
    <t>XX8X_PV_2095</t>
  </si>
  <si>
    <t>XX8X_PV_2096</t>
  </si>
  <si>
    <t>XX8X_PV_2097</t>
  </si>
  <si>
    <t>XX8X_PV_2098</t>
  </si>
  <si>
    <t>XX8X_PV_2099</t>
  </si>
  <si>
    <t>XX8X_PV_2100</t>
  </si>
  <si>
    <t>XX8X_PV_2101</t>
  </si>
  <si>
    <t>XX8X_PV_2102</t>
  </si>
  <si>
    <t>XX8X_PV_2103</t>
  </si>
  <si>
    <t>XX8X_PV_2104</t>
  </si>
  <si>
    <t>XX8X_PV_2105</t>
  </si>
  <si>
    <t>XX8X_PV_2106</t>
  </si>
  <si>
    <t>XX8X_PV_2107</t>
  </si>
  <si>
    <t>XX8X_PV_2108</t>
  </si>
  <si>
    <t>XX8X_PV_2109</t>
  </si>
  <si>
    <t>XX8X_PV_2110</t>
  </si>
  <si>
    <t>XX8X_PV_2111</t>
  </si>
  <si>
    <t>XX8X_PV_2112</t>
  </si>
  <si>
    <t>XX8X_PV_2113</t>
  </si>
  <si>
    <t>XX8X_PV_2114</t>
  </si>
  <si>
    <t>XX8X_PV_2115</t>
  </si>
  <si>
    <t>XX8X_PV_2116</t>
  </si>
  <si>
    <t>XX8X_PV_2117</t>
  </si>
  <si>
    <t>XX8X_PV_2118</t>
  </si>
  <si>
    <t>XX8X_PV_2119</t>
  </si>
  <si>
    <t>XX8X_PV_2120</t>
  </si>
  <si>
    <t>XX8X_PV_2121</t>
  </si>
  <si>
    <t>XX8X_PV_2122</t>
  </si>
  <si>
    <t>XX8X_PV_2123</t>
  </si>
  <si>
    <t>XX8X_PV_2124</t>
  </si>
  <si>
    <t>XX8X_PV_2125</t>
  </si>
  <si>
    <t>XX8X_PV_2126</t>
  </si>
  <si>
    <t>XX8X_PV_2127</t>
  </si>
  <si>
    <t>XX8X_PV_2128</t>
  </si>
  <si>
    <t>XX8X_PV_2129</t>
  </si>
  <si>
    <t>XX8X_PV_2130</t>
  </si>
  <si>
    <t>XX8X_PV_2131</t>
  </si>
  <si>
    <t>XX8X_PV_2132</t>
  </si>
  <si>
    <t>XX8X_PV_2133</t>
  </si>
  <si>
    <t>XX8X_PV_2134</t>
  </si>
  <si>
    <t>XX8X_PV_2135</t>
  </si>
  <si>
    <t>XX8X_PV_2136</t>
  </si>
  <si>
    <t>XX8X_PV_2137</t>
  </si>
  <si>
    <t>XX8X_PV_2138</t>
  </si>
  <si>
    <t>XX8X_PV_2139</t>
  </si>
  <si>
    <t>XX8X_PV_2140</t>
  </si>
  <si>
    <t>XX8X_PV_2141</t>
  </si>
  <si>
    <t>XX8X_PV_2142</t>
  </si>
  <si>
    <t>XX8X_PV_2143</t>
  </si>
  <si>
    <t>XX8X_PV_2144</t>
  </si>
  <si>
    <t>XX8X_PV_2145</t>
  </si>
  <si>
    <t>Drawings are only required for first 36 scenarios.</t>
  </si>
  <si>
    <t>panel_abuts_stile_front</t>
  </si>
  <si>
    <t>panel_front_stile_floor_to_ceiling</t>
  </si>
  <si>
    <t>panel_abuts_stile_back</t>
  </si>
  <si>
    <t>panel_back_stile_floor_to_ceiling</t>
  </si>
  <si>
    <t>Present</t>
  </si>
  <si>
    <t>Row Labels</t>
  </si>
  <si>
    <t>Count of Scenario</t>
  </si>
  <si>
    <t>Grand Total</t>
  </si>
  <si>
    <t>Tally of representative drawings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</si>
</sst>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u/>
      <vertAlign val="superscript"/>
      <sz val="11"/>
      <color theme="1"/>
      <name val="Aptos Narrow"/>
      <family val="2"/>
      <scheme val="minor"/>
    </font>
    <font>
      <i/>
      <u/>
      <sz val="11"/>
      <color theme="1"/>
      <name val="Aptos Narrow"/>
      <family val="2"/>
      <scheme val="minor"/>
    </font>
    <font>
      <b/>
      <u/>
      <vertAlign val="superscript"/>
      <sz val="11"/>
      <color theme="1"/>
      <name val="Aptos Narrow"/>
      <family val="2"/>
      <scheme val="minor"/>
    </font>
    <font>
      <vertAlign val="superscript"/>
      <sz val="11"/>
      <color theme="1"/>
      <name val="Aptos Narrow"/>
      <family val="2"/>
      <scheme val="minor"/>
    </font>
    <font>
      <b/>
      <u/>
      <sz val="16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4999237037263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/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quotePrefix="1" applyAlignment="1">
      <alignment vertical="center"/>
    </xf>
    <xf numFmtId="0" fontId="0" fillId="0" borderId="0" xfId="0" quotePrefix="1" applyAlignment="1">
      <alignment vertical="center" wrapText="1"/>
    </xf>
    <xf numFmtId="0" fontId="3" fillId="0" borderId="0" xfId="0" quotePrefix="1" applyFont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left" vertical="center"/>
    </xf>
    <xf numFmtId="0" fontId="0" fillId="2" borderId="0" xfId="0" applyFill="1" applyAlignment="1">
      <alignment vertical="center"/>
    </xf>
    <xf numFmtId="0" fontId="2" fillId="0" borderId="1" xfId="0" applyFont="1" applyBorder="1" applyAlignment="1">
      <alignment horizontal="left" vertical="center" textRotation="45" wrapText="1"/>
    </xf>
    <xf numFmtId="0" fontId="2" fillId="0" borderId="2" xfId="0" applyFont="1" applyBorder="1" applyAlignment="1">
      <alignment horizontal="left" vertical="center" textRotation="45" wrapText="1"/>
    </xf>
    <xf numFmtId="0" fontId="0" fillId="0" borderId="3" xfId="0" applyBorder="1" applyAlignment="1">
      <alignment horizontal="center"/>
    </xf>
    <xf numFmtId="0" fontId="5" fillId="0" borderId="0" xfId="0" applyFont="1"/>
    <xf numFmtId="0" fontId="0" fillId="0" borderId="0" xfId="0" applyAlignment="1">
      <alignment wrapText="1"/>
    </xf>
    <xf numFmtId="0" fontId="0" fillId="0" borderId="3" xfId="0" applyBorder="1"/>
    <xf numFmtId="0" fontId="0" fillId="0" borderId="5" xfId="0" applyBorder="1" applyAlignment="1">
      <alignment horizontal="center"/>
    </xf>
    <xf numFmtId="0" fontId="7" fillId="0" borderId="0" xfId="0" applyFont="1"/>
    <xf numFmtId="0" fontId="0" fillId="5" borderId="0" xfId="0" applyFill="1"/>
    <xf numFmtId="0" fontId="1" fillId="5" borderId="0" xfId="0" applyFont="1" applyFill="1"/>
    <xf numFmtId="0" fontId="0" fillId="4" borderId="0" xfId="0" applyFill="1" applyAlignment="1">
      <alignment horizontal="center"/>
    </xf>
    <xf numFmtId="0" fontId="9" fillId="0" borderId="0" xfId="0" applyFont="1"/>
    <xf numFmtId="0" fontId="7" fillId="6" borderId="0" xfId="0" applyFont="1" applyFill="1"/>
    <xf numFmtId="0" fontId="7" fillId="6" borderId="0" xfId="0" applyFont="1" applyFill="1" applyAlignment="1">
      <alignment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3" borderId="0" xfId="0" applyFont="1" applyFill="1" applyAlignment="1">
      <alignment wrapText="1"/>
    </xf>
    <xf numFmtId="0" fontId="0" fillId="6" borderId="0" xfId="0" applyFill="1" applyAlignment="1">
      <alignment wrapText="1"/>
    </xf>
    <xf numFmtId="0" fontId="1" fillId="6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4" borderId="3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4" borderId="3" xfId="0" applyFill="1" applyBorder="1"/>
    <xf numFmtId="0" fontId="0" fillId="4" borderId="0" xfId="0" applyFill="1"/>
    <xf numFmtId="0" fontId="0" fillId="9" borderId="0" xfId="0" applyFill="1"/>
    <xf numFmtId="0" fontId="0" fillId="10" borderId="0" xfId="0" applyFill="1" applyAlignment="1">
      <alignment horizontal="center"/>
    </xf>
    <xf numFmtId="0" fontId="0" fillId="7" borderId="0" xfId="0" applyFill="1" applyAlignment="1">
      <alignment wrapText="1"/>
    </xf>
    <xf numFmtId="0" fontId="0" fillId="0" borderId="5" xfId="0" applyBorder="1"/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quotePrefix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0" fontId="0" fillId="0" borderId="6" xfId="0" applyBorder="1"/>
    <xf numFmtId="0" fontId="0" fillId="0" borderId="6" xfId="0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2" fillId="5" borderId="4" xfId="0" applyFont="1" applyFill="1" applyBorder="1" applyAlignment="1">
      <alignment horizontal="left" vertical="center" textRotation="45" wrapText="1"/>
    </xf>
    <xf numFmtId="0" fontId="2" fillId="11" borderId="1" xfId="0" applyFont="1" applyFill="1" applyBorder="1" applyAlignment="1">
      <alignment horizontal="left" vertical="center" textRotation="45" wrapText="1"/>
    </xf>
    <xf numFmtId="0" fontId="2" fillId="11" borderId="2" xfId="0" applyFont="1" applyFill="1" applyBorder="1" applyAlignment="1">
      <alignment horizontal="left" vertical="center" textRotation="45" wrapText="1"/>
    </xf>
    <xf numFmtId="0" fontId="3" fillId="0" borderId="0" xfId="0" applyFont="1" applyAlignment="1">
      <alignment horizontal="left" vertical="center" wrapText="1"/>
    </xf>
    <xf numFmtId="0" fontId="0" fillId="12" borderId="0" xfId="0" applyFill="1" applyAlignment="1">
      <alignment vertical="center"/>
    </xf>
    <xf numFmtId="0" fontId="0" fillId="12" borderId="0" xfId="0" quotePrefix="1" applyFill="1" applyAlignment="1">
      <alignment horizontal="center" vertical="center"/>
    </xf>
    <xf numFmtId="0" fontId="2" fillId="12" borderId="0" xfId="0" applyFont="1" applyFill="1" applyAlignment="1">
      <alignment horizontal="left" vertical="center"/>
    </xf>
    <xf numFmtId="0" fontId="0" fillId="12" borderId="0" xfId="0" applyFill="1" applyAlignment="1">
      <alignment horizontal="center" vertical="center"/>
    </xf>
    <xf numFmtId="0" fontId="3" fillId="12" borderId="0" xfId="0" applyFont="1" applyFill="1" applyAlignment="1">
      <alignment vertical="center"/>
    </xf>
    <xf numFmtId="0" fontId="1" fillId="0" borderId="0" xfId="0" applyFont="1" applyAlignment="1">
      <alignment horizontal="left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9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12" fillId="0" borderId="0" xfId="0" applyFont="1"/>
    <xf numFmtId="0" fontId="2" fillId="5" borderId="1" xfId="0" applyFont="1" applyFill="1" applyBorder="1" applyAlignment="1">
      <alignment horizontal="left" vertical="center" textRotation="45" wrapText="1"/>
    </xf>
    <xf numFmtId="0" fontId="0" fillId="4" borderId="0" xfId="0" applyFill="1" applyAlignment="1">
      <alignment vertical="center" wrapText="1"/>
    </xf>
    <xf numFmtId="0" fontId="0" fillId="13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3" fillId="4" borderId="0" xfId="0" applyFont="1" applyFill="1" applyAlignment="1">
      <alignment horizontal="left" vertical="center" wrapText="1"/>
    </xf>
    <xf numFmtId="0" fontId="0" fillId="4" borderId="0" xfId="0" applyFill="1" applyAlignment="1">
      <alignment vertical="center"/>
    </xf>
    <xf numFmtId="0" fontId="0" fillId="4" borderId="0" xfId="0" quotePrefix="1" applyFill="1" applyAlignment="1">
      <alignment horizontal="center" vertical="center"/>
    </xf>
    <xf numFmtId="0" fontId="7" fillId="6" borderId="0" xfId="0" applyFont="1" applyFill="1" applyAlignment="1">
      <alignment horizontal="center" wrapText="1"/>
    </xf>
  </cellXfs>
  <cellStyles count="1">
    <cellStyle name="Normal" xfId="0" builtinId="0"/>
  </cellStyles>
  <dxfs count="4">
    <dxf>
      <fill>
        <patternFill>
          <bgColor rgb="FFFFFF99"/>
        </patternFill>
      </fill>
    </dxf>
    <dxf>
      <fill>
        <patternFill>
          <bgColor rgb="FFFFFF9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Curtis" refreshedDate="46099.653392476852" createdVersion="8" refreshedVersion="8" minRefreshableVersion="3" recordCount="90" xr:uid="{FF97CABA-D15B-4242-8361-0148FB63983C}">
  <cacheSource type="worksheet">
    <worksheetSource ref="A3:N93" sheet="ValidationScenarios vFin"/>
  </cacheSource>
  <cacheFields count="15">
    <cacheField name="Scenario" numFmtId="0">
      <sharedItems/>
    </cacheField>
    <cacheField name="Drawing required?" numFmtId="0">
      <sharedItems count="2">
        <s v="Yes"/>
        <s v="No"/>
      </sharedItems>
    </cacheField>
    <cacheField name="panel_section" numFmtId="0">
      <sharedItems/>
    </cacheField>
    <cacheField name="floor_to_ceiling" numFmtId="0">
      <sharedItems containsSemiMixedTypes="0" containsString="0" containsNumber="1" containsInteger="1" minValue="0" maxValue="1"/>
    </cacheField>
    <cacheField name="panel_abuts_stile_front" numFmtId="0">
      <sharedItems containsSemiMixedTypes="0" containsString="0" containsNumber="1" containsInteger="1" minValue="0" maxValue="1"/>
    </cacheField>
    <cacheField name="panel_front_stile_floor_to_ceiling" numFmtId="0">
      <sharedItems containsString="0" containsBlank="1" containsNumber="1" containsInteger="1" minValue="0" maxValue="1"/>
    </cacheField>
    <cacheField name="panel_abuts_stile_back" numFmtId="0">
      <sharedItems containsSemiMixedTypes="0" containsString="0" containsNumber="1" containsInteger="1" minValue="0" maxValue="1"/>
    </cacheField>
    <cacheField name="panel_back_stile_floor_to_ceiling" numFmtId="0">
      <sharedItems containsString="0" containsBlank="1" containsNumber="1" containsInteger="1" minValue="0" maxValue="1"/>
    </cacheField>
    <cacheField name="stile_in_the_back_width" numFmtId="0">
      <sharedItems containsString="0" containsBlank="1" containsNumber="1" containsInteger="1" minValue="12" maxValue="24"/>
    </cacheField>
    <cacheField name="cutout_A" numFmtId="0">
      <sharedItems count="10">
        <s v="B-386"/>
        <s v="B-354"/>
        <s v=""/>
        <s v="B-357"/>
        <s v="B-3471"/>
        <s v="B-347"/>
        <s v="B-35715"/>
        <s v="B-3571"/>
        <s v="B-34715"/>
        <s v="B-4354"/>
      </sharedItems>
    </cacheField>
    <cacheField name="cutout_B" numFmtId="0">
      <sharedItems/>
    </cacheField>
    <cacheField name="component_height" numFmtId="0">
      <sharedItems containsSemiMixedTypes="0" containsString="0" containsNumber="1" minValue="7.6875" maxValue="109.3125"/>
    </cacheField>
    <cacheField name="component_width" numFmtId="0">
      <sharedItems containsSemiMixedTypes="0" containsString="0" containsNumber="1" minValue="5.5" maxValue="79.875"/>
    </cacheField>
    <cacheField name="component_floor_clearance" numFmtId="0">
      <sharedItems containsSemiMixedTypes="0" containsString="0" containsNumber="1" minValue="1" maxValue="12"/>
    </cacheField>
    <cacheField name="_component_ceiling_clearance" numFmtId="0">
      <sharedItems containsSemiMixedTypes="0" containsString="0" containsNumber="1" minValue="1" maxValue="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s v="XX8X_PV_0001"/>
    <x v="0"/>
    <s v="TOP"/>
    <n v="0"/>
    <n v="0"/>
    <m/>
    <n v="0"/>
    <m/>
    <m/>
    <x v="0"/>
    <s v="B-354"/>
    <n v="7.875"/>
    <n v="6"/>
    <n v="1"/>
    <n v="12"/>
  </r>
  <r>
    <s v="XX8X_PV_0002"/>
    <x v="1"/>
    <s v="TOP"/>
    <n v="0"/>
    <n v="0"/>
    <m/>
    <n v="1"/>
    <n v="0"/>
    <n v="12"/>
    <x v="0"/>
    <s v=""/>
    <n v="28.0625"/>
    <n v="54.25"/>
    <n v="2.0625"/>
    <n v="1"/>
  </r>
  <r>
    <s v="XX8X_PV_0003"/>
    <x v="1"/>
    <s v="TOP"/>
    <n v="0"/>
    <n v="0"/>
    <m/>
    <n v="1"/>
    <n v="0"/>
    <n v="24"/>
    <x v="0"/>
    <s v=""/>
    <n v="38.1875"/>
    <n v="56"/>
    <n v="1"/>
    <n v="3.75"/>
  </r>
  <r>
    <s v="XX8X_PV_0004"/>
    <x v="1"/>
    <s v="TOP"/>
    <n v="0"/>
    <n v="0"/>
    <m/>
    <n v="1"/>
    <n v="0"/>
    <m/>
    <x v="0"/>
    <s v=""/>
    <n v="28.1875"/>
    <n v="74.75"/>
    <n v="9"/>
    <n v="1.6875"/>
  </r>
  <r>
    <s v="XX8X_PV_0005"/>
    <x v="1"/>
    <s v="TOP"/>
    <n v="0"/>
    <n v="0"/>
    <m/>
    <n v="1"/>
    <n v="1"/>
    <m/>
    <x v="0"/>
    <s v=""/>
    <n v="20.1875"/>
    <n v="62"/>
    <n v="4.5"/>
    <n v="4.875"/>
  </r>
  <r>
    <s v="XX8X_PV_0006"/>
    <x v="1"/>
    <s v="TOP"/>
    <n v="0"/>
    <n v="1"/>
    <n v="0"/>
    <n v="0"/>
    <m/>
    <m/>
    <x v="1"/>
    <s v=""/>
    <n v="19.125"/>
    <n v="25.5625"/>
    <n v="1"/>
    <n v="1"/>
  </r>
  <r>
    <s v="XX8X_PV_0007"/>
    <x v="0"/>
    <s v="TOP"/>
    <n v="0"/>
    <n v="1"/>
    <n v="0"/>
    <n v="1"/>
    <n v="0"/>
    <n v="12"/>
    <x v="2"/>
    <s v=""/>
    <n v="36.8125"/>
    <n v="48.5625"/>
    <n v="1.8125"/>
    <n v="11.9375"/>
  </r>
  <r>
    <s v="XX8X_PV_0008"/>
    <x v="1"/>
    <s v="TOP"/>
    <n v="0"/>
    <n v="1"/>
    <n v="0"/>
    <n v="1"/>
    <n v="0"/>
    <n v="24"/>
    <x v="0"/>
    <s v=""/>
    <n v="7.6875"/>
    <n v="56.875"/>
    <n v="6.375"/>
    <n v="2.625"/>
  </r>
  <r>
    <s v="XX8X_PV_0009"/>
    <x v="1"/>
    <s v="TOP"/>
    <n v="0"/>
    <n v="1"/>
    <n v="0"/>
    <n v="1"/>
    <n v="0"/>
    <m/>
    <x v="0"/>
    <s v=""/>
    <n v="7.875"/>
    <n v="51.125"/>
    <n v="12"/>
    <n v="2.9375"/>
  </r>
  <r>
    <s v="XX8X_PV_0010"/>
    <x v="1"/>
    <s v="TOP"/>
    <n v="0"/>
    <n v="1"/>
    <n v="0"/>
    <n v="1"/>
    <n v="1"/>
    <m/>
    <x v="2"/>
    <s v=""/>
    <n v="36.9375"/>
    <n v="54.25"/>
    <n v="7.6875"/>
    <n v="4"/>
  </r>
  <r>
    <s v="XX8X_PV_0011"/>
    <x v="1"/>
    <s v="TOP"/>
    <n v="0"/>
    <n v="1"/>
    <n v="1"/>
    <n v="0"/>
    <m/>
    <m/>
    <x v="2"/>
    <s v=""/>
    <n v="24.1875"/>
    <n v="63.0625"/>
    <n v="9"/>
    <n v="1"/>
  </r>
  <r>
    <s v="XX8X_PV_0012"/>
    <x v="1"/>
    <s v="TOP"/>
    <n v="0"/>
    <n v="1"/>
    <n v="1"/>
    <n v="1"/>
    <n v="0"/>
    <n v="12"/>
    <x v="3"/>
    <s v=""/>
    <n v="32.3125"/>
    <n v="29.4375"/>
    <n v="9"/>
    <n v="1"/>
  </r>
  <r>
    <s v="XX8X_PV_0013"/>
    <x v="1"/>
    <s v="TOP"/>
    <n v="0"/>
    <n v="1"/>
    <n v="1"/>
    <n v="1"/>
    <n v="0"/>
    <n v="24"/>
    <x v="0"/>
    <s v=""/>
    <n v="18.125"/>
    <n v="47.6875"/>
    <n v="9.375"/>
    <n v="4.9375"/>
  </r>
  <r>
    <s v="XX8X_PV_0014"/>
    <x v="0"/>
    <s v="TOP"/>
    <n v="0"/>
    <n v="1"/>
    <n v="1"/>
    <n v="1"/>
    <n v="0"/>
    <m/>
    <x v="0"/>
    <s v=""/>
    <n v="18.125"/>
    <n v="76.1875"/>
    <n v="1"/>
    <n v="1"/>
  </r>
  <r>
    <s v="XX8X_PV_0015"/>
    <x v="1"/>
    <s v="TOP"/>
    <n v="0"/>
    <n v="1"/>
    <n v="1"/>
    <n v="1"/>
    <n v="1"/>
    <m/>
    <x v="0"/>
    <s v=""/>
    <n v="48.5625"/>
    <n v="24.875"/>
    <n v="4.625"/>
    <n v="4.875"/>
  </r>
  <r>
    <s v="XX8X_PV_0016"/>
    <x v="1"/>
    <s v="TOP"/>
    <n v="1"/>
    <n v="0"/>
    <m/>
    <n v="0"/>
    <m/>
    <m/>
    <x v="4"/>
    <s v=""/>
    <n v="19.375"/>
    <n v="57.0625"/>
    <n v="4.5"/>
    <n v="6.5"/>
  </r>
  <r>
    <s v="XX8X_PV_0017"/>
    <x v="1"/>
    <s v="TOP"/>
    <n v="1"/>
    <n v="0"/>
    <m/>
    <n v="1"/>
    <n v="0"/>
    <n v="12"/>
    <x v="5"/>
    <s v=""/>
    <n v="48.375"/>
    <n v="39.125"/>
    <n v="1"/>
    <n v="1.75"/>
  </r>
  <r>
    <s v="XX8X_PV_0018"/>
    <x v="1"/>
    <s v="TOP"/>
    <n v="1"/>
    <n v="0"/>
    <m/>
    <n v="1"/>
    <n v="0"/>
    <n v="24"/>
    <x v="0"/>
    <s v=""/>
    <n v="43"/>
    <n v="63.6875"/>
    <n v="2.6875"/>
    <n v="1"/>
  </r>
  <r>
    <s v="XX8X_PV_0019"/>
    <x v="1"/>
    <s v="TOP"/>
    <n v="1"/>
    <n v="0"/>
    <m/>
    <n v="1"/>
    <n v="0"/>
    <m/>
    <x v="2"/>
    <s v=""/>
    <n v="37.5625"/>
    <n v="62.75"/>
    <n v="12"/>
    <n v="2.125"/>
  </r>
  <r>
    <s v="XX8X_PV_0020"/>
    <x v="0"/>
    <s v="TOP"/>
    <n v="1"/>
    <n v="0"/>
    <m/>
    <n v="1"/>
    <n v="1"/>
    <m/>
    <x v="4"/>
    <s v=""/>
    <n v="16.625"/>
    <n v="61.6875"/>
    <n v="1"/>
    <n v="4.5"/>
  </r>
  <r>
    <s v="XX8X_PV_0021"/>
    <x v="1"/>
    <s v="TOP"/>
    <n v="1"/>
    <n v="1"/>
    <n v="0"/>
    <n v="0"/>
    <m/>
    <m/>
    <x v="3"/>
    <s v=""/>
    <n v="14.8125"/>
    <n v="52.9375"/>
    <n v="12"/>
    <n v="3.8125"/>
  </r>
  <r>
    <s v="XX8X_PV_0022"/>
    <x v="1"/>
    <s v="TOP"/>
    <n v="1"/>
    <n v="1"/>
    <n v="0"/>
    <n v="1"/>
    <n v="0"/>
    <n v="12"/>
    <x v="6"/>
    <s v=""/>
    <n v="40.0625"/>
    <n v="70.1875"/>
    <n v="1"/>
    <n v="1.25"/>
  </r>
  <r>
    <s v="XX8X_PV_0023"/>
    <x v="0"/>
    <s v="TOP"/>
    <n v="1"/>
    <n v="1"/>
    <n v="0"/>
    <n v="1"/>
    <n v="0"/>
    <n v="24"/>
    <x v="0"/>
    <s v=""/>
    <n v="8.875"/>
    <n v="44.5"/>
    <n v="1.6875"/>
    <n v="3.3125"/>
  </r>
  <r>
    <s v="XX8X_PV_0024"/>
    <x v="1"/>
    <s v="TOP"/>
    <n v="1"/>
    <n v="1"/>
    <n v="0"/>
    <n v="1"/>
    <n v="0"/>
    <m/>
    <x v="6"/>
    <s v=""/>
    <n v="22.4375"/>
    <n v="43.0625"/>
    <n v="9"/>
    <n v="7.3125"/>
  </r>
  <r>
    <s v="XX8X_PV_0025"/>
    <x v="1"/>
    <s v="TOP"/>
    <n v="1"/>
    <n v="1"/>
    <n v="0"/>
    <n v="1"/>
    <n v="1"/>
    <m/>
    <x v="5"/>
    <s v=""/>
    <n v="24.375"/>
    <n v="55.1875"/>
    <n v="1"/>
    <n v="2.4375"/>
  </r>
  <r>
    <s v="XX8X_PV_0026"/>
    <x v="1"/>
    <s v="TOP"/>
    <n v="1"/>
    <n v="1"/>
    <n v="1"/>
    <n v="0"/>
    <m/>
    <m/>
    <x v="3"/>
    <s v=""/>
    <n v="35"/>
    <n v="28.1875"/>
    <n v="4.5"/>
    <n v="1"/>
  </r>
  <r>
    <s v="XX8X_PV_0027"/>
    <x v="1"/>
    <s v="TOP"/>
    <n v="1"/>
    <n v="1"/>
    <n v="1"/>
    <n v="1"/>
    <n v="0"/>
    <n v="12"/>
    <x v="5"/>
    <s v=""/>
    <n v="43.75"/>
    <n v="60"/>
    <n v="4.5"/>
    <n v="1.875"/>
  </r>
  <r>
    <s v="XX8X_PV_0028"/>
    <x v="1"/>
    <s v="TOP"/>
    <n v="1"/>
    <n v="1"/>
    <n v="1"/>
    <n v="1"/>
    <n v="0"/>
    <n v="24"/>
    <x v="0"/>
    <s v=""/>
    <n v="8.5"/>
    <n v="48.875"/>
    <n v="1"/>
    <n v="1"/>
  </r>
  <r>
    <s v="XX8X_PV_0029"/>
    <x v="1"/>
    <s v="TOP"/>
    <n v="1"/>
    <n v="1"/>
    <n v="1"/>
    <n v="1"/>
    <n v="0"/>
    <m/>
    <x v="2"/>
    <s v=""/>
    <n v="42.5625"/>
    <n v="21"/>
    <n v="1"/>
    <n v="6.8125"/>
  </r>
  <r>
    <s v="XX8X_PV_0030"/>
    <x v="1"/>
    <s v="TOP"/>
    <n v="1"/>
    <n v="1"/>
    <n v="1"/>
    <n v="1"/>
    <n v="1"/>
    <m/>
    <x v="2"/>
    <s v=""/>
    <n v="8.6875"/>
    <n v="6.5625"/>
    <n v="12"/>
    <n v="2.5"/>
  </r>
  <r>
    <s v="XX8X_PV_0031"/>
    <x v="1"/>
    <s v="BOTTOM"/>
    <n v="0"/>
    <n v="0"/>
    <m/>
    <n v="0"/>
    <m/>
    <m/>
    <x v="2"/>
    <s v=""/>
    <n v="60"/>
    <n v="28.6875"/>
    <n v="9"/>
    <n v="7.9375"/>
  </r>
  <r>
    <s v="XX8X_PV_0032"/>
    <x v="1"/>
    <s v="BOTTOM"/>
    <n v="0"/>
    <n v="0"/>
    <m/>
    <n v="1"/>
    <n v="0"/>
    <n v="12"/>
    <x v="6"/>
    <s v=""/>
    <n v="60"/>
    <n v="70.5"/>
    <n v="4.5"/>
    <n v="1"/>
  </r>
  <r>
    <s v="XX8X_PV_0033"/>
    <x v="1"/>
    <s v="BOTTOM"/>
    <n v="0"/>
    <n v="0"/>
    <m/>
    <n v="1"/>
    <n v="0"/>
    <n v="24"/>
    <x v="2"/>
    <s v=""/>
    <n v="60"/>
    <n v="33.6875"/>
    <n v="8.8125"/>
    <n v="1"/>
  </r>
  <r>
    <s v="XX8X_PV_0034"/>
    <x v="1"/>
    <s v="BOTTOM"/>
    <n v="0"/>
    <n v="0"/>
    <m/>
    <n v="1"/>
    <n v="0"/>
    <m/>
    <x v="3"/>
    <s v=""/>
    <n v="60"/>
    <n v="72.5625"/>
    <n v="5.5"/>
    <n v="7.8125"/>
  </r>
  <r>
    <s v="XX8X_PV_0035"/>
    <x v="1"/>
    <s v="BOTTOM"/>
    <n v="0"/>
    <n v="0"/>
    <m/>
    <n v="1"/>
    <n v="1"/>
    <m/>
    <x v="0"/>
    <s v=""/>
    <n v="60"/>
    <n v="79"/>
    <n v="7.125"/>
    <n v="4.125"/>
  </r>
  <r>
    <s v="XX8X_PV_0036"/>
    <x v="1"/>
    <s v="BOTTOM"/>
    <n v="0"/>
    <n v="1"/>
    <n v="0"/>
    <n v="0"/>
    <m/>
    <m/>
    <x v="1"/>
    <s v="B-386"/>
    <n v="60"/>
    <n v="26.5"/>
    <n v="12"/>
    <n v="2.375"/>
  </r>
  <r>
    <s v="XX8X_PV_0037"/>
    <x v="1"/>
    <s v="BOTTOM"/>
    <n v="0"/>
    <n v="1"/>
    <n v="0"/>
    <n v="1"/>
    <n v="0"/>
    <n v="12"/>
    <x v="5"/>
    <s v=""/>
    <n v="60"/>
    <n v="55.4375"/>
    <n v="4.5"/>
    <n v="1.125"/>
  </r>
  <r>
    <s v="XX8X_PV_0038"/>
    <x v="1"/>
    <s v="BOTTOM"/>
    <n v="0"/>
    <n v="1"/>
    <n v="0"/>
    <n v="1"/>
    <n v="0"/>
    <n v="24"/>
    <x v="0"/>
    <s v=""/>
    <n v="60"/>
    <n v="79.875"/>
    <n v="1"/>
    <n v="4.125"/>
  </r>
  <r>
    <s v="XX8X_PV_0039"/>
    <x v="0"/>
    <s v="BOTTOM"/>
    <n v="0"/>
    <n v="1"/>
    <n v="0"/>
    <n v="1"/>
    <n v="0"/>
    <m/>
    <x v="0"/>
    <s v=""/>
    <n v="60"/>
    <n v="63.6875"/>
    <n v="1"/>
    <n v="6.625"/>
  </r>
  <r>
    <s v="XX8X_PV_0040"/>
    <x v="1"/>
    <s v="BOTTOM"/>
    <n v="0"/>
    <n v="1"/>
    <n v="0"/>
    <n v="1"/>
    <n v="1"/>
    <m/>
    <x v="0"/>
    <s v=""/>
    <n v="60"/>
    <n v="26.5625"/>
    <n v="9"/>
    <n v="1"/>
  </r>
  <r>
    <s v="XX8X_PV_0041"/>
    <x v="1"/>
    <s v="BOTTOM"/>
    <n v="0"/>
    <n v="1"/>
    <n v="1"/>
    <n v="0"/>
    <m/>
    <m/>
    <x v="7"/>
    <s v=""/>
    <n v="60"/>
    <n v="45.75"/>
    <n v="12"/>
    <n v="1.25"/>
  </r>
  <r>
    <s v="XX8X_PV_0042"/>
    <x v="1"/>
    <s v="BOTTOM"/>
    <n v="0"/>
    <n v="1"/>
    <n v="1"/>
    <n v="1"/>
    <n v="0"/>
    <n v="12"/>
    <x v="8"/>
    <s v=""/>
    <n v="60"/>
    <n v="6.75"/>
    <n v="2.5"/>
    <n v="3.375"/>
  </r>
  <r>
    <s v="XX8X_PV_0043"/>
    <x v="0"/>
    <s v="BOTTOM"/>
    <n v="0"/>
    <n v="1"/>
    <n v="1"/>
    <n v="1"/>
    <n v="0"/>
    <n v="24"/>
    <x v="0"/>
    <s v=""/>
    <n v="60"/>
    <n v="32.875"/>
    <n v="12"/>
    <n v="2.8125"/>
  </r>
  <r>
    <s v="XX8X_PV_0044"/>
    <x v="1"/>
    <s v="BOTTOM"/>
    <n v="0"/>
    <n v="1"/>
    <n v="1"/>
    <n v="1"/>
    <n v="0"/>
    <m/>
    <x v="6"/>
    <s v=""/>
    <n v="60"/>
    <n v="12.125"/>
    <n v="4.5"/>
    <n v="4.6875"/>
  </r>
  <r>
    <s v="XX8X_PV_0045"/>
    <x v="1"/>
    <s v="BOTTOM"/>
    <n v="0"/>
    <n v="1"/>
    <n v="1"/>
    <n v="1"/>
    <n v="1"/>
    <m/>
    <x v="7"/>
    <s v=""/>
    <n v="60"/>
    <n v="62.6875"/>
    <n v="1"/>
    <n v="5.5625"/>
  </r>
  <r>
    <s v="XX8X_PV_0046"/>
    <x v="0"/>
    <s v="BOTTOM"/>
    <n v="1"/>
    <n v="0"/>
    <m/>
    <n v="0"/>
    <m/>
    <m/>
    <x v="0"/>
    <s v="B-354"/>
    <n v="60"/>
    <n v="44.3125"/>
    <n v="12"/>
    <n v="3.8125"/>
  </r>
  <r>
    <s v="XX8X_PV_0047"/>
    <x v="1"/>
    <s v="BOTTOM"/>
    <n v="1"/>
    <n v="0"/>
    <m/>
    <n v="1"/>
    <n v="0"/>
    <n v="12"/>
    <x v="2"/>
    <s v=""/>
    <n v="60"/>
    <n v="42.125"/>
    <n v="9.9375"/>
    <n v="3.125"/>
  </r>
  <r>
    <s v="XX8X_PV_0048"/>
    <x v="1"/>
    <s v="BOTTOM"/>
    <n v="1"/>
    <n v="0"/>
    <m/>
    <n v="1"/>
    <n v="0"/>
    <n v="24"/>
    <x v="2"/>
    <s v=""/>
    <n v="60"/>
    <n v="60.8125"/>
    <n v="5.875"/>
    <n v="2.625"/>
  </r>
  <r>
    <s v="XX8X_PV_0049"/>
    <x v="1"/>
    <s v="BOTTOM"/>
    <n v="1"/>
    <n v="0"/>
    <m/>
    <n v="1"/>
    <n v="0"/>
    <m/>
    <x v="8"/>
    <s v=""/>
    <n v="60"/>
    <n v="53.5625"/>
    <n v="9.75"/>
    <n v="1.6875"/>
  </r>
  <r>
    <s v="XX8X_PV_0050"/>
    <x v="1"/>
    <s v="BOTTOM"/>
    <n v="1"/>
    <n v="0"/>
    <m/>
    <n v="1"/>
    <n v="1"/>
    <m/>
    <x v="8"/>
    <s v=""/>
    <n v="60"/>
    <n v="72.375"/>
    <n v="4.5"/>
    <n v="4.9375"/>
  </r>
  <r>
    <s v="XX8X_PV_0051"/>
    <x v="1"/>
    <s v="BOTTOM"/>
    <n v="1"/>
    <n v="1"/>
    <n v="0"/>
    <n v="0"/>
    <m/>
    <m/>
    <x v="1"/>
    <s v="B-386"/>
    <n v="60"/>
    <n v="64.5625"/>
    <n v="12"/>
    <n v="4.3125"/>
  </r>
  <r>
    <s v="XX8X_PV_0052"/>
    <x v="0"/>
    <s v="BOTTOM"/>
    <n v="1"/>
    <n v="1"/>
    <n v="0"/>
    <n v="1"/>
    <n v="0"/>
    <n v="12"/>
    <x v="2"/>
    <s v=""/>
    <n v="60"/>
    <n v="10.0625"/>
    <n v="10.8125"/>
    <n v="2.5625"/>
  </r>
  <r>
    <s v="XX8X_PV_0053"/>
    <x v="1"/>
    <s v="BOTTOM"/>
    <n v="1"/>
    <n v="1"/>
    <n v="0"/>
    <n v="1"/>
    <n v="0"/>
    <n v="24"/>
    <x v="0"/>
    <s v=""/>
    <n v="60"/>
    <n v="43.875"/>
    <n v="1"/>
    <n v="4.6875"/>
  </r>
  <r>
    <s v="XX8X_PV_0054"/>
    <x v="1"/>
    <s v="BOTTOM"/>
    <n v="1"/>
    <n v="1"/>
    <n v="0"/>
    <n v="1"/>
    <n v="0"/>
    <m/>
    <x v="6"/>
    <s v=""/>
    <n v="60"/>
    <n v="46.5625"/>
    <n v="9"/>
    <n v="1"/>
  </r>
  <r>
    <s v="XX8X_PV_0055"/>
    <x v="0"/>
    <s v="BOTTOM"/>
    <n v="1"/>
    <n v="1"/>
    <n v="0"/>
    <n v="1"/>
    <n v="1"/>
    <m/>
    <x v="6"/>
    <s v=""/>
    <n v="60"/>
    <n v="42.625"/>
    <n v="1"/>
    <n v="2.625"/>
  </r>
  <r>
    <s v="XX8X_PV_0056"/>
    <x v="1"/>
    <s v="BOTTOM"/>
    <n v="1"/>
    <n v="1"/>
    <n v="1"/>
    <n v="0"/>
    <m/>
    <m/>
    <x v="1"/>
    <s v=""/>
    <n v="60"/>
    <n v="41.1875"/>
    <n v="4.5"/>
    <n v="5.375"/>
  </r>
  <r>
    <s v="XX8X_PV_0057"/>
    <x v="1"/>
    <s v="BOTTOM"/>
    <n v="1"/>
    <n v="1"/>
    <n v="1"/>
    <n v="1"/>
    <n v="0"/>
    <n v="12"/>
    <x v="7"/>
    <s v=""/>
    <n v="60"/>
    <n v="48.125"/>
    <n v="4.375"/>
    <n v="1"/>
  </r>
  <r>
    <s v="XX8X_PV_0058"/>
    <x v="1"/>
    <s v="BOTTOM"/>
    <n v="1"/>
    <n v="1"/>
    <n v="1"/>
    <n v="1"/>
    <n v="0"/>
    <n v="24"/>
    <x v="2"/>
    <s v=""/>
    <n v="60"/>
    <n v="17.25"/>
    <n v="1"/>
    <n v="4.875"/>
  </r>
  <r>
    <s v="XX8X_PV_0059"/>
    <x v="1"/>
    <s v="BOTTOM"/>
    <n v="1"/>
    <n v="1"/>
    <n v="1"/>
    <n v="1"/>
    <n v="0"/>
    <m/>
    <x v="5"/>
    <s v=""/>
    <n v="60"/>
    <n v="35.125"/>
    <n v="3.875"/>
    <n v="1.875"/>
  </r>
  <r>
    <s v="XX8X_PV_0060"/>
    <x v="1"/>
    <s v="BOTTOM"/>
    <n v="1"/>
    <n v="1"/>
    <n v="1"/>
    <n v="1"/>
    <n v="1"/>
    <m/>
    <x v="5"/>
    <s v=""/>
    <n v="60"/>
    <n v="77.875"/>
    <n v="1"/>
    <n v="1.625"/>
  </r>
  <r>
    <s v="XX8X_PV_0061"/>
    <x v="1"/>
    <s v="WHOLE"/>
    <n v="0"/>
    <n v="0"/>
    <m/>
    <n v="0"/>
    <m/>
    <m/>
    <x v="2"/>
    <s v=""/>
    <n v="37.1875"/>
    <n v="52.8125"/>
    <n v="4.4375"/>
    <n v="5.6875"/>
  </r>
  <r>
    <s v="XX8X_PV_0062"/>
    <x v="0"/>
    <s v="WHOLE"/>
    <n v="0"/>
    <n v="0"/>
    <m/>
    <n v="1"/>
    <n v="0"/>
    <n v="12"/>
    <x v="3"/>
    <s v=""/>
    <n v="96"/>
    <n v="71.125"/>
    <n v="1.25"/>
    <n v="1"/>
  </r>
  <r>
    <s v="XX8X_PV_0063"/>
    <x v="0"/>
    <s v="WHOLE"/>
    <n v="0"/>
    <n v="0"/>
    <m/>
    <n v="1"/>
    <n v="0"/>
    <n v="24"/>
    <x v="2"/>
    <s v=""/>
    <n v="96"/>
    <n v="9.3125"/>
    <n v="6.1875"/>
    <n v="3.375"/>
  </r>
  <r>
    <s v="XX8X_PV_0064"/>
    <x v="0"/>
    <s v="WHOLE"/>
    <n v="0"/>
    <n v="0"/>
    <m/>
    <n v="1"/>
    <n v="0"/>
    <m/>
    <x v="3"/>
    <s v=""/>
    <n v="82.6875"/>
    <n v="47.125"/>
    <n v="6.5625"/>
    <n v="4.9375"/>
  </r>
  <r>
    <s v="XX8X_PV_0065"/>
    <x v="0"/>
    <s v="WHOLE"/>
    <n v="0"/>
    <n v="0"/>
    <m/>
    <n v="1"/>
    <n v="1"/>
    <m/>
    <x v="4"/>
    <s v=""/>
    <n v="82.75"/>
    <n v="40.75"/>
    <n v="1"/>
    <n v="8.3125"/>
  </r>
  <r>
    <s v="XX8X_PV_0066"/>
    <x v="0"/>
    <s v="WHOLE"/>
    <n v="0"/>
    <n v="1"/>
    <n v="0"/>
    <n v="0"/>
    <m/>
    <m/>
    <x v="2"/>
    <s v=""/>
    <n v="78.5625"/>
    <n v="25.625"/>
    <n v="2.0625"/>
    <n v="4.3125"/>
  </r>
  <r>
    <s v="XX8X_PV_0067"/>
    <x v="1"/>
    <s v="WHOLE"/>
    <n v="0"/>
    <n v="1"/>
    <n v="0"/>
    <n v="1"/>
    <n v="0"/>
    <n v="12"/>
    <x v="8"/>
    <s v=""/>
    <n v="60.75"/>
    <n v="35.5625"/>
    <n v="4.5"/>
    <n v="1.25"/>
  </r>
  <r>
    <s v="XX8X_PV_0068"/>
    <x v="0"/>
    <s v="WHOLE"/>
    <n v="0"/>
    <n v="1"/>
    <n v="0"/>
    <n v="1"/>
    <n v="0"/>
    <n v="24"/>
    <x v="0"/>
    <s v=""/>
    <n v="69.4375"/>
    <n v="55.625"/>
    <n v="1"/>
    <n v="7"/>
  </r>
  <r>
    <s v="XX8X_PV_0069"/>
    <x v="1"/>
    <s v="WHOLE"/>
    <n v="0"/>
    <n v="1"/>
    <n v="0"/>
    <n v="1"/>
    <n v="0"/>
    <m/>
    <x v="0"/>
    <s v=""/>
    <n v="96"/>
    <n v="63.5"/>
    <n v="12"/>
    <n v="8.375"/>
  </r>
  <r>
    <s v="XX8X_PV_0070"/>
    <x v="0"/>
    <s v="WHOLE"/>
    <n v="0"/>
    <n v="1"/>
    <n v="0"/>
    <n v="1"/>
    <n v="1"/>
    <m/>
    <x v="4"/>
    <s v=""/>
    <n v="96"/>
    <n v="75.75"/>
    <n v="1"/>
    <n v="1.3125"/>
  </r>
  <r>
    <s v="XX8X_PV_0071"/>
    <x v="0"/>
    <s v="WHOLE"/>
    <n v="0"/>
    <n v="1"/>
    <n v="1"/>
    <n v="0"/>
    <m/>
    <m/>
    <x v="1"/>
    <s v="B-386"/>
    <n v="108.4375"/>
    <n v="49.0625"/>
    <n v="9"/>
    <n v="1"/>
  </r>
  <r>
    <s v="XX8X_PV_0072"/>
    <x v="0"/>
    <s v="WHOLE"/>
    <n v="0"/>
    <n v="1"/>
    <n v="1"/>
    <n v="1"/>
    <n v="0"/>
    <n v="12"/>
    <x v="2"/>
    <s v=""/>
    <n v="96"/>
    <n v="10.75"/>
    <n v="12"/>
    <n v="1.0625"/>
  </r>
  <r>
    <s v="XX8X_PV_0073"/>
    <x v="1"/>
    <s v="WHOLE"/>
    <n v="0"/>
    <n v="1"/>
    <n v="1"/>
    <n v="1"/>
    <n v="0"/>
    <n v="24"/>
    <x v="0"/>
    <s v=""/>
    <n v="96"/>
    <n v="58.625"/>
    <n v="1"/>
    <n v="1.375"/>
  </r>
  <r>
    <s v="XX8X_PV_0074"/>
    <x v="1"/>
    <s v="WHOLE"/>
    <n v="0"/>
    <n v="1"/>
    <n v="1"/>
    <n v="1"/>
    <n v="0"/>
    <m/>
    <x v="2"/>
    <s v=""/>
    <n v="76.5"/>
    <n v="30.875"/>
    <n v="9.4375"/>
    <n v="2.4375"/>
  </r>
  <r>
    <s v="XX8X_PV_0075"/>
    <x v="0"/>
    <s v="WHOLE"/>
    <n v="0"/>
    <n v="1"/>
    <n v="1"/>
    <n v="1"/>
    <n v="1"/>
    <m/>
    <x v="7"/>
    <s v=""/>
    <n v="51.125"/>
    <n v="39.6875"/>
    <n v="1"/>
    <n v="1.3125"/>
  </r>
  <r>
    <s v="XX8X_PV_0076"/>
    <x v="1"/>
    <s v="WHOLE"/>
    <n v="1"/>
    <n v="0"/>
    <m/>
    <n v="0"/>
    <m/>
    <m/>
    <x v="0"/>
    <s v="B-354"/>
    <n v="49.9375"/>
    <n v="66.375"/>
    <n v="4.625"/>
    <n v="1"/>
  </r>
  <r>
    <s v="XX8X_PV_0077"/>
    <x v="0"/>
    <s v="WHOLE"/>
    <n v="1"/>
    <n v="0"/>
    <m/>
    <n v="1"/>
    <n v="0"/>
    <n v="12"/>
    <x v="2"/>
    <s v=""/>
    <n v="96"/>
    <n v="79.3125"/>
    <n v="10.375"/>
    <n v="2.25"/>
  </r>
  <r>
    <s v="XX8X_PV_0078"/>
    <x v="0"/>
    <s v="WHOLE"/>
    <n v="1"/>
    <n v="0"/>
    <m/>
    <n v="1"/>
    <n v="0"/>
    <n v="24"/>
    <x v="0"/>
    <s v=""/>
    <n v="96"/>
    <n v="57.1875"/>
    <n v="4.5"/>
    <n v="6.5"/>
  </r>
  <r>
    <s v="XX8X_PV_0079"/>
    <x v="0"/>
    <s v="WHOLE"/>
    <n v="1"/>
    <n v="0"/>
    <m/>
    <n v="1"/>
    <n v="0"/>
    <m/>
    <x v="2"/>
    <s v=""/>
    <n v="37.6875"/>
    <n v="70.375"/>
    <n v="1"/>
    <n v="5"/>
  </r>
  <r>
    <s v="XX8X_PV_0080"/>
    <x v="1"/>
    <s v="WHOLE"/>
    <n v="1"/>
    <n v="0"/>
    <m/>
    <n v="1"/>
    <n v="1"/>
    <m/>
    <x v="5"/>
    <s v=""/>
    <n v="76.5"/>
    <n v="5.5"/>
    <n v="4.4375"/>
    <n v="8.25"/>
  </r>
  <r>
    <s v="XX8X_PV_0081"/>
    <x v="0"/>
    <s v="WHOLE"/>
    <n v="1"/>
    <n v="1"/>
    <n v="0"/>
    <n v="0"/>
    <m/>
    <m/>
    <x v="6"/>
    <s v=""/>
    <n v="96"/>
    <n v="46.5"/>
    <n v="4.5"/>
    <n v="2.9375"/>
  </r>
  <r>
    <s v="XX8X_PV_0082"/>
    <x v="1"/>
    <s v="WHOLE"/>
    <n v="1"/>
    <n v="1"/>
    <n v="0"/>
    <n v="1"/>
    <n v="0"/>
    <n v="12"/>
    <x v="0"/>
    <s v=""/>
    <n v="67.5"/>
    <n v="6.625"/>
    <n v="12"/>
    <n v="4.8125"/>
  </r>
  <r>
    <s v="XX8X_PV_0083"/>
    <x v="1"/>
    <s v="WHOLE"/>
    <n v="1"/>
    <n v="1"/>
    <n v="0"/>
    <n v="1"/>
    <n v="0"/>
    <n v="24"/>
    <x v="0"/>
    <s v=""/>
    <n v="56.5625"/>
    <n v="54.375"/>
    <n v="1"/>
    <n v="5.0625"/>
  </r>
  <r>
    <s v="XX8X_PV_0084"/>
    <x v="0"/>
    <s v="WHOLE"/>
    <n v="1"/>
    <n v="1"/>
    <n v="0"/>
    <n v="1"/>
    <n v="0"/>
    <m/>
    <x v="5"/>
    <s v=""/>
    <n v="74.375"/>
    <n v="52.6875"/>
    <n v="9"/>
    <n v="4.25"/>
  </r>
  <r>
    <s v="XX8X_PV_0085"/>
    <x v="0"/>
    <s v="WHOLE"/>
    <n v="1"/>
    <n v="1"/>
    <n v="0"/>
    <n v="1"/>
    <n v="1"/>
    <m/>
    <x v="2"/>
    <s v=""/>
    <n v="43.4375"/>
    <n v="34.4375"/>
    <n v="12"/>
    <n v="1.0625"/>
  </r>
  <r>
    <s v="XX8X_PV_0086"/>
    <x v="0"/>
    <s v="WHOLE"/>
    <n v="1"/>
    <n v="1"/>
    <n v="1"/>
    <n v="0"/>
    <m/>
    <m/>
    <x v="9"/>
    <s v="B-386"/>
    <n v="96"/>
    <n v="43.1875"/>
    <n v="1.5625"/>
    <n v="1"/>
  </r>
  <r>
    <s v="XX8X_PV_0087"/>
    <x v="0"/>
    <s v="WHOLE"/>
    <n v="1"/>
    <n v="1"/>
    <n v="1"/>
    <n v="1"/>
    <n v="0"/>
    <n v="12"/>
    <x v="7"/>
    <s v=""/>
    <n v="94.125"/>
    <n v="53.9375"/>
    <n v="9"/>
    <n v="1"/>
  </r>
  <r>
    <s v="XX8X_PV_0088"/>
    <x v="0"/>
    <s v="WHOLE"/>
    <n v="1"/>
    <n v="1"/>
    <n v="1"/>
    <n v="1"/>
    <n v="0"/>
    <n v="24"/>
    <x v="0"/>
    <s v=""/>
    <n v="109.3125"/>
    <n v="66.9375"/>
    <n v="12"/>
    <n v="3.875"/>
  </r>
  <r>
    <s v="XX8X_PV_0089"/>
    <x v="0"/>
    <s v="WHOLE"/>
    <n v="1"/>
    <n v="1"/>
    <n v="1"/>
    <n v="1"/>
    <n v="0"/>
    <m/>
    <x v="6"/>
    <s v=""/>
    <n v="83.1875"/>
    <n v="42.625"/>
    <n v="1.0625"/>
    <n v="3.75"/>
  </r>
  <r>
    <s v="XX8X_PV_0090"/>
    <x v="0"/>
    <s v="WHOLE"/>
    <n v="1"/>
    <n v="1"/>
    <n v="1"/>
    <n v="1"/>
    <n v="1"/>
    <m/>
    <x v="0"/>
    <s v=""/>
    <n v="38.375"/>
    <n v="73.9375"/>
    <n v="1"/>
    <n v="2.18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C1D52B-6782-4AB3-9CDB-C48B2EFA0D6C}" name="PivotTable2" cacheId="8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3" firstHeaderRow="1" firstDataRow="1" firstDataCol="1" rowPageCount="1" colPageCount="1"/>
  <pivotFields count="15">
    <pivotField dataField="1" showAll="0"/>
    <pivotField axis="axisPage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11">
        <item x="2"/>
        <item x="5"/>
        <item x="4"/>
        <item x="8"/>
        <item x="1"/>
        <item x="3"/>
        <item x="7"/>
        <item x="6"/>
        <item x="0"/>
        <item x="9"/>
        <item t="default"/>
      </items>
    </pivotField>
    <pivotField showAll="0"/>
    <pivotField showAll="0"/>
    <pivotField showAll="0"/>
    <pivotField showAll="0"/>
    <pivotField showAll="0"/>
  </pivotFields>
  <rowFields count="1">
    <field x="9"/>
  </rowFields>
  <rowItems count="10">
    <i>
      <x/>
    </i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pageFields count="1">
    <pageField fld="1" item="1" hier="-1"/>
  </pageFields>
  <dataFields count="1">
    <dataField name="Count of Scenario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BFCD7-A723-4E91-975C-C92807DCE0A7}">
  <sheetPr codeName="Sheet1"/>
  <dimension ref="A1:K60"/>
  <sheetViews>
    <sheetView zoomScale="80" zoomScaleNormal="80" workbookViewId="0">
      <pane xSplit="1" ySplit="1" topLeftCell="B2" activePane="bottomRight" state="frozen"/>
      <selection pane="bottomRight" activeCell="G55" sqref="G55"/>
      <selection pane="bottomLeft" activeCell="A10" sqref="A10"/>
      <selection pane="topRight" activeCell="B1" sqref="B1"/>
    </sheetView>
  </sheetViews>
  <sheetFormatPr defaultRowHeight="14.45" outlineLevelCol="1"/>
  <cols>
    <col min="1" max="1" width="35.42578125" bestFit="1" customWidth="1"/>
    <col min="2" max="2" width="5.5703125" style="14" hidden="1" customWidth="1" outlineLevel="1"/>
    <col min="3" max="3" width="11.140625" hidden="1" customWidth="1" outlineLevel="1"/>
    <col min="4" max="4" width="7.5703125" hidden="1" customWidth="1" outlineLevel="1"/>
    <col min="5" max="5" width="136" hidden="1" customWidth="1" outlineLevel="1"/>
    <col min="6" max="6" width="48.85546875" customWidth="1" collapsed="1"/>
    <col min="7" max="7" width="12.42578125" bestFit="1" customWidth="1"/>
    <col min="8" max="8" width="120.5703125" customWidth="1"/>
    <col min="9" max="9" width="21.7109375" style="8" bestFit="1" customWidth="1"/>
  </cols>
  <sheetData>
    <row r="1" spans="1:11">
      <c r="A1" s="2" t="s">
        <v>0</v>
      </c>
      <c r="B1" s="1" t="s">
        <v>1</v>
      </c>
      <c r="C1" s="1" t="s">
        <v>2</v>
      </c>
      <c r="D1" s="1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61" t="s">
        <v>8</v>
      </c>
    </row>
    <row r="2" spans="1:11" ht="29.1">
      <c r="A2" s="3" t="s">
        <v>9</v>
      </c>
      <c r="B2" s="4">
        <v>1</v>
      </c>
      <c r="C2" s="4" t="s">
        <v>10</v>
      </c>
      <c r="D2" s="4" t="s">
        <v>11</v>
      </c>
      <c r="E2" s="4" t="s">
        <v>12</v>
      </c>
      <c r="F2" s="5" t="str">
        <f t="shared" ref="F2:F6" si="0">TEXT(B2,"000")&amp;") "&amp;C2&amp;" - "&amp;D2&amp;CHAR(10)&amp;CHAR(13)&amp;"    "&amp;E2</f>
        <v>001) Input - Model
_x000D_    Height of the component</v>
      </c>
      <c r="G2" s="46">
        <v>96</v>
      </c>
      <c r="H2" s="6"/>
    </row>
    <row r="3" spans="1:11" ht="29.1">
      <c r="A3" s="3" t="s">
        <v>13</v>
      </c>
      <c r="B3" s="4">
        <f>B2+1</f>
        <v>2</v>
      </c>
      <c r="C3" s="4" t="s">
        <v>10</v>
      </c>
      <c r="D3" s="4" t="s">
        <v>11</v>
      </c>
      <c r="E3" s="4" t="s">
        <v>14</v>
      </c>
      <c r="F3" s="5" t="str">
        <f t="shared" si="0"/>
        <v>002) Input - Model
_x000D_    Width of the component</v>
      </c>
      <c r="G3" s="46">
        <v>79.9375</v>
      </c>
      <c r="H3" s="6"/>
    </row>
    <row r="4" spans="1:11" ht="29.1">
      <c r="A4" s="3" t="s">
        <v>15</v>
      </c>
      <c r="B4" s="4">
        <f>B3+1</f>
        <v>3</v>
      </c>
      <c r="C4" s="4" t="s">
        <v>10</v>
      </c>
      <c r="D4" s="4" t="s">
        <v>11</v>
      </c>
      <c r="E4" s="5" t="s">
        <v>16</v>
      </c>
      <c r="F4" s="5" t="str">
        <f t="shared" si="0"/>
        <v>003) Input - Model
_x000D_    Floor clearance of the component</v>
      </c>
      <c r="G4" s="46">
        <v>2</v>
      </c>
      <c r="H4" s="6"/>
    </row>
    <row r="5" spans="1:11" ht="33.75" customHeight="1">
      <c r="A5" s="16" t="s">
        <v>17</v>
      </c>
      <c r="B5" s="4">
        <f t="shared" ref="B5:B13" si="1">B4+1</f>
        <v>4</v>
      </c>
      <c r="C5" s="4" t="s">
        <v>10</v>
      </c>
      <c r="D5" s="4" t="s">
        <v>11</v>
      </c>
      <c r="E5" s="10" t="s">
        <v>18</v>
      </c>
      <c r="F5" s="11" t="str">
        <f t="shared" si="0"/>
        <v>004) Input - Model
_x000D_    Ceiling clearance of the component</v>
      </c>
      <c r="G5" s="46"/>
      <c r="H5" s="6"/>
    </row>
    <row r="6" spans="1:11" ht="63.6" customHeight="1">
      <c r="A6" s="3" t="s">
        <v>19</v>
      </c>
      <c r="B6" s="4">
        <v>5</v>
      </c>
      <c r="C6" s="4" t="s">
        <v>10</v>
      </c>
      <c r="D6" s="4" t="s">
        <v>11</v>
      </c>
      <c r="E6" s="10" t="s">
        <v>20</v>
      </c>
      <c r="F6" s="11" t="str">
        <f t="shared" si="0"/>
        <v>005) Input - Model
_x000D_    Whether the panel is not split, or, if split horizontally with an h-channel, defines whether this is the top or bottom piece</v>
      </c>
      <c r="G6" s="47" t="s">
        <v>21</v>
      </c>
      <c r="H6" s="6"/>
    </row>
    <row r="7" spans="1:11" ht="43.5">
      <c r="A7" s="3" t="s">
        <v>22</v>
      </c>
      <c r="B7" s="4">
        <v>7</v>
      </c>
      <c r="C7" s="4" t="s">
        <v>10</v>
      </c>
      <c r="D7" s="4" t="s">
        <v>23</v>
      </c>
      <c r="E7" s="10" t="s">
        <v>24</v>
      </c>
      <c r="F7" s="11" t="str">
        <f t="shared" ref="F7:F15" si="2">TEXT(B7,"000")&amp;") "&amp;C7&amp;" - "&amp;D7&amp;CHAR(10)&amp;CHAR(13)&amp;"    "&amp;E7</f>
        <v>007) Input - Helper
_x000D_    Whether the panel’s front edge abuts an inline stile rather than a wall or perpendicular stile</v>
      </c>
      <c r="G7" s="46">
        <v>1</v>
      </c>
      <c r="H7" s="6"/>
    </row>
    <row r="8" spans="1:11" ht="43.5">
      <c r="A8" s="3" t="s">
        <v>25</v>
      </c>
      <c r="B8" s="4">
        <f t="shared" si="1"/>
        <v>8</v>
      </c>
      <c r="C8" s="4" t="s">
        <v>10</v>
      </c>
      <c r="D8" s="4" t="s">
        <v>23</v>
      </c>
      <c r="E8" s="10" t="s">
        <v>26</v>
      </c>
      <c r="F8" s="11" t="str">
        <f t="shared" si="2"/>
        <v>008) Input - Helper
_x000D_    If the panel’s back edge abuts an inline stile, indicates whether the inline stile is floor-to-ceiling (XX86) or not</v>
      </c>
      <c r="G8" s="46">
        <v>1</v>
      </c>
      <c r="H8" s="6"/>
    </row>
    <row r="9" spans="1:11" ht="43.5">
      <c r="A9" s="3" t="s">
        <v>27</v>
      </c>
      <c r="B9" s="4">
        <f t="shared" si="1"/>
        <v>9</v>
      </c>
      <c r="C9" s="4" t="s">
        <v>10</v>
      </c>
      <c r="D9" s="4" t="s">
        <v>23</v>
      </c>
      <c r="E9" s="10" t="s">
        <v>28</v>
      </c>
      <c r="F9" s="11" t="str">
        <f t="shared" si="2"/>
        <v>009) Input - Helper
_x000D_    Whether the panel’s back edge abuts an inline stile rather than a wall or perpendicular stile</v>
      </c>
      <c r="G9" s="46">
        <v>1</v>
      </c>
      <c r="H9" s="6"/>
    </row>
    <row r="10" spans="1:11" ht="43.5">
      <c r="A10" s="3" t="s">
        <v>29</v>
      </c>
      <c r="B10" s="4">
        <f t="shared" si="1"/>
        <v>10</v>
      </c>
      <c r="C10" s="4" t="s">
        <v>10</v>
      </c>
      <c r="D10" s="4" t="s">
        <v>23</v>
      </c>
      <c r="E10" s="10" t="s">
        <v>30</v>
      </c>
      <c r="F10" s="11" t="str">
        <f t="shared" si="2"/>
        <v>010) Input - Helper
_x000D_    Iif the panel’s back edge abuts an inline stile, indicates whether the inline stile is floor-to-ceiling (XX86) or not</v>
      </c>
      <c r="G10" s="46">
        <v>1</v>
      </c>
      <c r="H10" s="6"/>
    </row>
    <row r="11" spans="1:11" ht="29.1">
      <c r="A11" s="3" t="s">
        <v>31</v>
      </c>
      <c r="B11" s="4">
        <f t="shared" si="1"/>
        <v>11</v>
      </c>
      <c r="C11" s="4" t="s">
        <v>10</v>
      </c>
      <c r="D11" s="4" t="s">
        <v>11</v>
      </c>
      <c r="E11" s="4" t="s">
        <v>32</v>
      </c>
      <c r="F11" s="5" t="str">
        <f t="shared" ref="F11:F14" si="3">TEXT(B11,"000")&amp;") "&amp;C11&amp;" - "&amp;D11&amp;CHAR(10)&amp;CHAR(13)&amp;"    "&amp;E11</f>
        <v>011) Input - Model
_x000D_    If the panel has a stile-in-the-back, the width of that stile</v>
      </c>
      <c r="G11" s="46"/>
      <c r="H11" s="6"/>
    </row>
    <row r="12" spans="1:11" ht="33.75" customHeight="1">
      <c r="A12" s="16" t="s">
        <v>33</v>
      </c>
      <c r="B12" s="4">
        <f t="shared" si="1"/>
        <v>12</v>
      </c>
      <c r="C12" s="4" t="s">
        <v>10</v>
      </c>
      <c r="D12" s="4" t="s">
        <v>11</v>
      </c>
      <c r="E12" s="10" t="s">
        <v>34</v>
      </c>
      <c r="F12" s="11" t="str">
        <f t="shared" si="3"/>
        <v>012) Input - Model
_x000D_    Whether the panel has a cutout and which cutout.</v>
      </c>
      <c r="G12" s="48" t="s">
        <v>35</v>
      </c>
      <c r="H12" s="6"/>
      <c r="I12"/>
      <c r="J12" s="9"/>
      <c r="K12" s="9"/>
    </row>
    <row r="13" spans="1:11" ht="43.5">
      <c r="A13" s="16" t="s">
        <v>36</v>
      </c>
      <c r="B13" s="4">
        <f t="shared" si="1"/>
        <v>13</v>
      </c>
      <c r="C13" s="4" t="s">
        <v>10</v>
      </c>
      <c r="D13" s="4" t="s">
        <v>11</v>
      </c>
      <c r="E13" s="10" t="s">
        <v>37</v>
      </c>
      <c r="F13" s="11" t="str">
        <f t="shared" si="3"/>
        <v>013) Input - Model
_x000D_    Whether the panel has a second cutout and which cutout.</v>
      </c>
      <c r="G13" s="48" t="s">
        <v>38</v>
      </c>
      <c r="H13" s="6"/>
    </row>
    <row r="14" spans="1:11" ht="29.1">
      <c r="A14" s="15" t="s">
        <v>39</v>
      </c>
      <c r="B14" s="4">
        <v>20</v>
      </c>
      <c r="C14" s="4" t="s">
        <v>40</v>
      </c>
      <c r="D14" s="4" t="s">
        <v>11</v>
      </c>
      <c r="E14" s="4" t="s">
        <v>41</v>
      </c>
      <c r="F14" s="5" t="str">
        <f t="shared" si="3"/>
        <v>020) Fixed - Model
_x000D_    Thickness of the component</v>
      </c>
      <c r="G14" s="7">
        <f>0.5</f>
        <v>0.5</v>
      </c>
      <c r="H14" s="6" t="str">
        <f t="shared" ref="H14" ca="1" si="4">_xlfn.FORMULATEXT(G14)</f>
        <v>=0.5</v>
      </c>
    </row>
    <row r="15" spans="1:11" ht="29.1">
      <c r="A15" s="15" t="s">
        <v>42</v>
      </c>
      <c r="B15" s="4">
        <f t="shared" ref="B15" si="5">B14+1</f>
        <v>21</v>
      </c>
      <c r="C15" s="4" t="s">
        <v>40</v>
      </c>
      <c r="D15" s="4" t="s">
        <v>11</v>
      </c>
      <c r="E15" s="4" t="s">
        <v>43</v>
      </c>
      <c r="F15" s="5" t="str">
        <f t="shared" si="2"/>
        <v>021) Fixed - Model
_x000D_    Horizontal length of notch</v>
      </c>
      <c r="G15" s="7">
        <f>0.38</f>
        <v>0.38</v>
      </c>
      <c r="H15" s="6" t="str">
        <f t="shared" ref="H15:H20" ca="1" si="6">_xlfn.FORMULATEXT(G15)</f>
        <v>=0.38</v>
      </c>
      <c r="J15" s="6"/>
      <c r="K15" s="4"/>
    </row>
    <row r="16" spans="1:11" ht="43.5">
      <c r="A16" s="4" t="s">
        <v>44</v>
      </c>
      <c r="B16" s="4">
        <v>22</v>
      </c>
      <c r="C16" s="4" t="s">
        <v>40</v>
      </c>
      <c r="D16" s="4" t="s">
        <v>11</v>
      </c>
      <c r="E16" s="10" t="s">
        <v>45</v>
      </c>
      <c r="F16" s="5" t="str">
        <f t="shared" ref="F16:F20" si="7">TEXT(B16,"000")&amp;") "&amp;C16&amp;" - "&amp;D16&amp;CHAR(10)&amp;CHAR(13)&amp;"    "&amp;E16</f>
        <v xml:space="preserve">022) Fixed - Model
_x000D_    Height of notching cutout from bottom of panel for standard one inch floor clearance </v>
      </c>
      <c r="G16" s="9">
        <f xml:space="preserve"> 3.5</f>
        <v>3.5</v>
      </c>
      <c r="H16" s="6" t="str">
        <f ca="1">_xlfn.FORMULATEXT(G16)</f>
        <v>= 3.5</v>
      </c>
    </row>
    <row r="17" spans="1:8" ht="57.95">
      <c r="A17" s="56" t="s">
        <v>46</v>
      </c>
      <c r="B17" s="4">
        <v>23</v>
      </c>
      <c r="C17" s="4" t="s">
        <v>40</v>
      </c>
      <c r="D17" s="4" t="s">
        <v>11</v>
      </c>
      <c r="E17" s="10" t="s">
        <v>47</v>
      </c>
      <c r="F17" s="5" t="str">
        <f t="shared" si="7"/>
        <v>023) Fixed - Model
_x000D_    Actual height of notching cutout from bottom of panel for any floor clearance less than: one inch plus the height of the standard bottom notch</v>
      </c>
      <c r="G17" s="57">
        <f>(bottom_notching_standard_y_dist + 1) - component_floor_clearance</f>
        <v>2.5</v>
      </c>
      <c r="H17" s="6" t="str">
        <f ca="1">_xlfn.FORMULATEXT(G17)</f>
        <v>=(bottom_notching_standard_y_dist + 1) - component_floor_clearance</v>
      </c>
    </row>
    <row r="18" spans="1:8" ht="43.5">
      <c r="A18" s="58" t="s">
        <v>48</v>
      </c>
      <c r="B18" s="4">
        <v>24</v>
      </c>
      <c r="C18" s="4" t="s">
        <v>49</v>
      </c>
      <c r="D18" s="4" t="s">
        <v>11</v>
      </c>
      <c r="E18" s="4" t="s">
        <v>50</v>
      </c>
      <c r="F18" s="5" t="str">
        <f t="shared" si="7"/>
        <v>024) Derived - Model
_x000D_    Vertical height of top notch</v>
      </c>
      <c r="G18" s="57">
        <f xml:space="preserve"> IF( component_ceiling_clearance &lt; ( shoe_height + shoe_top_notch_gap ),
      ( shoe_height + shoe_top_notch_gap ) - component_ceiling_clearance,
      0 )</f>
        <v>4.5</v>
      </c>
      <c r="H18" s="55" t="str">
        <f ca="1">_xlfn.FORMULATEXT(G18)</f>
        <v>= IF( component_ceiling_clearance &lt; ( shoe_height + shoe_top_notch_gap ),
      ( shoe_height + shoe_top_notch_gap ) - component_ceiling_clearance,
      0 )</v>
      </c>
    </row>
    <row r="19" spans="1:8" ht="33.75" customHeight="1">
      <c r="A19" s="4" t="s">
        <v>51</v>
      </c>
      <c r="B19" s="4">
        <v>25</v>
      </c>
      <c r="C19" s="4" t="s">
        <v>40</v>
      </c>
      <c r="D19" s="4" t="s">
        <v>11</v>
      </c>
      <c r="E19" s="10" t="s">
        <v>52</v>
      </c>
      <c r="F19" s="11" t="str">
        <f t="shared" si="7"/>
        <v>025) Fixed - Model
_x000D_    Shoe height of adjacent stiles</v>
      </c>
      <c r="G19" s="9">
        <f xml:space="preserve"> 4</f>
        <v>4</v>
      </c>
      <c r="H19" s="6" t="str">
        <f t="shared" ca="1" si="6"/>
        <v>= 4</v>
      </c>
    </row>
    <row r="20" spans="1:8" ht="29.1">
      <c r="A20" s="4" t="s">
        <v>53</v>
      </c>
      <c r="B20" s="4">
        <v>26</v>
      </c>
      <c r="C20" s="4" t="s">
        <v>40</v>
      </c>
      <c r="D20" s="4" t="s">
        <v>11</v>
      </c>
      <c r="E20" s="10" t="s">
        <v>54</v>
      </c>
      <c r="F20" s="11" t="str">
        <f t="shared" si="7"/>
        <v>026) Fixed - Model
_x000D_    Additional gap added to ensure proper fitting</v>
      </c>
      <c r="G20" s="9">
        <f xml:space="preserve"> 0.5</f>
        <v>0.5</v>
      </c>
      <c r="H20" s="6" t="str">
        <f t="shared" ca="1" si="6"/>
        <v>= 0.5</v>
      </c>
    </row>
    <row r="22" spans="1:8" ht="26.45" customHeight="1">
      <c r="A22" s="13" t="s">
        <v>55</v>
      </c>
      <c r="B22" s="5"/>
      <c r="C22" s="4"/>
      <c r="D22" s="4"/>
      <c r="E22" s="10"/>
      <c r="F22" s="11"/>
      <c r="G22" s="9"/>
      <c r="H22" s="12"/>
    </row>
    <row r="23" spans="1:8" ht="72.599999999999994">
      <c r="A23" s="56" t="s">
        <v>56</v>
      </c>
      <c r="B23" s="5">
        <v>101</v>
      </c>
      <c r="C23" s="4" t="s">
        <v>49</v>
      </c>
      <c r="D23" s="4" t="s">
        <v>11</v>
      </c>
      <c r="E23" s="10" t="s">
        <v>57</v>
      </c>
      <c r="F23" s="5" t="str">
        <f t="shared" ref="F23:F28" si="8">TEXT(B23,"000")&amp;") "&amp;C23&amp;" - "&amp;D23&amp;CHAR(10)&amp;CHAR(13)&amp;"    "&amp;E23</f>
        <v>101) Derived - Model
_x000D_    Whether notching is present on the front bottom corner of the panel</v>
      </c>
      <c r="G23" s="59">
        <f>IF( AND(panel_section&lt;&gt;"TOP",bottom_notching_actual_y_dist&gt;0),
     IF(panel_abuts_inline_stile_front = 1,
        1,
        0),
     0)</f>
        <v>1</v>
      </c>
      <c r="H23" s="55" t="str">
        <f ca="1">_xlfn.FORMULATEXT(G23)</f>
        <v>=IF( AND(panel_section&lt;&gt;"TOP",bottom_notching_actual_y_dist&gt;0),
     IF(panel_abuts_inline_stile_front = 1,
        1,
        0),
     0)</v>
      </c>
    </row>
    <row r="24" spans="1:8" ht="72.599999999999994">
      <c r="A24" s="56" t="s">
        <v>58</v>
      </c>
      <c r="B24" s="5">
        <f t="shared" ref="B24:B28" si="9">B23+1</f>
        <v>102</v>
      </c>
      <c r="C24" s="4" t="s">
        <v>49</v>
      </c>
      <c r="D24" s="4" t="s">
        <v>11</v>
      </c>
      <c r="E24" s="10" t="s">
        <v>59</v>
      </c>
      <c r="F24" s="5" t="str">
        <f t="shared" si="8"/>
        <v>102) Derived - Model
_x000D_    Whether notching is present on the back bottom corner of the panel</v>
      </c>
      <c r="G24" s="59">
        <f>IF( AND(panel_section&lt;&gt;"TOP",bottom_notching_actual_y_dist&gt;0),
     IF(panel_abuts_inline_stile_back = 1,
        1,
        0),
      0)</f>
        <v>1</v>
      </c>
      <c r="H24" s="55" t="str">
        <f ca="1">_xlfn.FORMULATEXT(G24)</f>
        <v>=IF( AND(panel_section&lt;&gt;"TOP",bottom_notching_actual_y_dist&gt;0),
     IF(panel_abuts_inline_stile_back = 1,
        1,
        0),
      0)</v>
      </c>
    </row>
    <row r="25" spans="1:8" ht="101.45">
      <c r="A25" s="56" t="s">
        <v>60</v>
      </c>
      <c r="B25" s="5">
        <v>101</v>
      </c>
      <c r="C25" s="4" t="s">
        <v>49</v>
      </c>
      <c r="D25" s="4" t="s">
        <v>11</v>
      </c>
      <c r="E25" s="10" t="s">
        <v>61</v>
      </c>
      <c r="F25" s="5" t="str">
        <f t="shared" ref="F25:F26" si="10">TEXT(B25,"000")&amp;") "&amp;C25&amp;" - "&amp;D25&amp;CHAR(10)&amp;CHAR(13)&amp;"    "&amp;E25</f>
        <v>101) Derived - Model
_x000D_    Whether notching is present on the front top corner of the panel</v>
      </c>
      <c r="G25" s="59">
        <f>IF( AND(panel_section&lt;&gt;"BOTTOM", component_ceiling_clearance &lt; (shoe_height +shoe_top_notch_gap), component_ceiling_clearance &lt;&gt; ""),
     IF(panel_abuts_inline_stile_front = 1,
        IF(panel_front_inline_stile_floor_to_ceiling = 1,
        1,
        0),
      0),
     0)</f>
        <v>0</v>
      </c>
      <c r="H25" s="55" t="str">
        <f ca="1">_xlfn.FORMULATEXT(G25)</f>
        <v>=IF( AND(panel_section&lt;&gt;"BOTTOM", component_ceiling_clearance &lt; (shoe_height +shoe_top_notch_gap), component_ceiling_clearance &lt;&gt; ""),
     IF(panel_abuts_inline_stile_front = 1,
        IF(panel_front_inline_stile_floor_to_ceiling = 1,
        1,
        0),
      0),
     0)</v>
      </c>
    </row>
    <row r="26" spans="1:8" ht="101.45">
      <c r="A26" s="56" t="s">
        <v>62</v>
      </c>
      <c r="B26" s="5">
        <f t="shared" si="9"/>
        <v>102</v>
      </c>
      <c r="C26" s="4" t="s">
        <v>49</v>
      </c>
      <c r="D26" s="4" t="s">
        <v>11</v>
      </c>
      <c r="E26" s="10" t="s">
        <v>63</v>
      </c>
      <c r="F26" s="5" t="str">
        <f t="shared" si="10"/>
        <v>102) Derived - Model
_x000D_    Whether notching is present on the back top corner of the panel</v>
      </c>
      <c r="G26" s="59">
        <f>IF( AND(panel_section&lt;&gt;"BOTTOM", component_ceiling_clearance &lt; (shoe_height +shoe_top_notch_gap), component_ceiling_clearance &lt;&gt; ""),
     IF(panel_abuts_inline_stile_back = 1,
        IF(panel_back_inline_stile_floor_to_ceiling = 1,
        1,
        0),
      0),
     0)</f>
        <v>0</v>
      </c>
      <c r="H26" s="55" t="str">
        <f ca="1">_xlfn.FORMULATEXT(G26)</f>
        <v>=IF( AND(panel_section&lt;&gt;"BOTTOM", component_ceiling_clearance &lt; (shoe_height +shoe_top_notch_gap), component_ceiling_clearance &lt;&gt; ""),
     IF(panel_abuts_inline_stile_back = 1,
        IF(panel_back_inline_stile_floor_to_ceiling = 1,
        1,
        0),
      0),
     0)</v>
      </c>
    </row>
    <row r="27" spans="1:8" ht="70.5" customHeight="1">
      <c r="A27" s="4" t="s">
        <v>64</v>
      </c>
      <c r="B27" s="5">
        <f>B24+1</f>
        <v>103</v>
      </c>
      <c r="C27" s="4" t="s">
        <v>49</v>
      </c>
      <c r="D27" s="4" t="s">
        <v>23</v>
      </c>
      <c r="E27" s="10" t="s">
        <v>65</v>
      </c>
      <c r="F27" s="5" t="str">
        <f t="shared" si="8"/>
        <v>103) Derived - Helper
_x000D_    An offset that repositions a void relative to the panel, allowing the void to cut into the panel at the specified location and create the front notch in the model</v>
      </c>
      <c r="G27" s="9">
        <f>IF(notching_front_edge_bottom,0,component_thickness)</f>
        <v>0</v>
      </c>
      <c r="H27" s="6" t="s">
        <v>66</v>
      </c>
    </row>
    <row r="28" spans="1:8" ht="70.5" customHeight="1">
      <c r="A28" s="4" t="s">
        <v>67</v>
      </c>
      <c r="B28" s="5">
        <f t="shared" si="9"/>
        <v>104</v>
      </c>
      <c r="C28" s="4" t="s">
        <v>49</v>
      </c>
      <c r="D28" s="4" t="s">
        <v>23</v>
      </c>
      <c r="E28" s="10" t="s">
        <v>68</v>
      </c>
      <c r="F28" s="5" t="str">
        <f t="shared" si="8"/>
        <v>104) Derived - Helper
_x000D_    An offset that repositions a void relative to the panel, allowing the void to cut into the panel at the specified location and create the back notch in the model</v>
      </c>
      <c r="G28" s="9">
        <f>IF(notching_back_edge_bottom,0,component_thickness)</f>
        <v>0</v>
      </c>
      <c r="H28" s="6" t="s">
        <v>69</v>
      </c>
    </row>
    <row r="29" spans="1:8">
      <c r="A29" s="13"/>
      <c r="B29" s="9"/>
    </row>
    <row r="30" spans="1:8" ht="26.45" customHeight="1">
      <c r="A30" s="13" t="s">
        <v>70</v>
      </c>
      <c r="B30" s="5"/>
      <c r="C30" s="4"/>
      <c r="D30" s="4"/>
      <c r="E30" s="10"/>
      <c r="F30" s="11"/>
      <c r="H30" s="12"/>
    </row>
    <row r="31" spans="1:8" ht="101.45">
      <c r="A31" s="60" t="s">
        <v>71</v>
      </c>
      <c r="B31" s="9">
        <v>201</v>
      </c>
      <c r="C31" s="4" t="s">
        <v>49</v>
      </c>
      <c r="D31" s="4" t="s">
        <v>11</v>
      </c>
      <c r="E31" t="s">
        <v>72</v>
      </c>
      <c r="F31" s="5" t="str">
        <f t="shared" ref="F31:F38" si="11">TEXT(B31,"000")&amp;") "&amp;C31&amp;" - "&amp;D31&amp;CHAR(10)&amp;CHAR(13)&amp;"    "&amp;E31</f>
        <v>201) Derived - Model
_x000D_    Width of cutout A</v>
      </c>
      <c r="G31" s="59">
        <f>IF(OR(panel_section = "Whole", panel_section = "Bottom"),
    IF(OR(cutout_A = "B-354"), B_354_width,
       IF(OR(cutout_A = "B-386"), B_386_width,
          IF(OR(cutout_A = "B-4354"), B_4354_width,
             IF(OR(cutout_A = "B-347",cutout_A = "B-357"), B_347_357_width,
                IF(OR(cutout_A = "B-3471",cutout_A = "B-34715",cutout_A = "B-3571",cutout_A = "B-35715"), B_3471_34715_3571_35715_width,
                "") ) ) ) ),"")</f>
        <v>15.5</v>
      </c>
      <c r="H31" s="72" t="str">
        <f t="shared" ref="H31:H38" ca="1" si="12">_xlfn.FORMULATEXT(G31)</f>
        <v>=IF(OR(panel_section = "Whole", panel_section = "Bottom"),
    IF(OR(cutout_A = "B-354"), B_354_width,
       IF(OR(cutout_A = "B-386"), B_386_width,
          IF(OR(cutout_A = "B-4354"), B_4354_width,
             IF(OR(cutout_A = "B-347",cutout_A = "B-357"), B_347_357_width,
                IF(OR(cutout_A = "B-3471",cutout_A = "B-34715",cutout_A = "B-3571",cutout_A = "B-35715"), B_3471_34715_3571_35715_width,
                "") ) ) ) ),"")</v>
      </c>
    </row>
    <row r="32" spans="1:8" ht="101.45">
      <c r="A32" s="60" t="s">
        <v>73</v>
      </c>
      <c r="B32" s="9">
        <f>B31+1</f>
        <v>202</v>
      </c>
      <c r="C32" s="4" t="s">
        <v>49</v>
      </c>
      <c r="D32" s="4" t="s">
        <v>11</v>
      </c>
      <c r="E32" t="s">
        <v>74</v>
      </c>
      <c r="F32" s="5" t="str">
        <f t="shared" si="11"/>
        <v>202) Derived - Model
_x000D_    Height of cutout A</v>
      </c>
      <c r="G32" s="59">
        <f>IF(OR(panel_section = "Whole", panel_section = "Bottom"),
    IF(OR(cutout_A = "B-354"), B_354_height,
       IF(OR(cutout_A = "B-386"), B_386_height,
          IF(OR(cutout_A = "B-4354"), B_4354_height,
             IF(OR(cutout_A = "B-347",cutout_A = "B-357"), B_347_357_height,
                IF(OR(cutout_A = "B-3471",cutout_A = "B-34715",cutout_A = "B-3571",cutout_A = "B-35715"), B_3471_34715_3571_35715_height,
                "") ) ) ) ),"")</f>
        <v>28.875</v>
      </c>
      <c r="H32" s="72" t="str">
        <f t="shared" ca="1" si="12"/>
        <v>=IF(OR(panel_section = "Whole", panel_section = "Bottom"),
    IF(OR(cutout_A = "B-354"), B_354_height,
       IF(OR(cutout_A = "B-386"), B_386_height,
          IF(OR(cutout_A = "B-4354"), B_4354_height,
             IF(OR(cutout_A = "B-347",cutout_A = "B-357"), B_347_357_height,
                IF(OR(cutout_A = "B-3471",cutout_A = "B-34715",cutout_A = "B-3571",cutout_A = "B-35715"), B_3471_34715_3571_35715_height,
                "") ) ) ) ),"")</v>
      </c>
    </row>
    <row r="33" spans="1:8" ht="116.1">
      <c r="A33" s="60" t="s">
        <v>75</v>
      </c>
      <c r="B33" s="9">
        <f>B34+1</f>
        <v>204</v>
      </c>
      <c r="C33" s="4" t="s">
        <v>49</v>
      </c>
      <c r="D33" s="4" t="s">
        <v>11</v>
      </c>
      <c r="E33" t="s">
        <v>76</v>
      </c>
      <c r="F33" s="5" t="str">
        <f>TEXT(B33,"000")&amp;") "&amp;C33&amp;" - "&amp;D33&amp;CHAR(10)&amp;CHAR(13)&amp;"    "&amp;E33</f>
        <v>204) Derived - Model
_x000D_    Position of the bottom rear corner of cutout A realtive to the bottom edge of the panel</v>
      </c>
      <c r="G33" s="59">
        <f>IF(OR(panel_section = "Whole", panel_section = "Bottom"),
    IF(OR(cutout_A = "B-354"), B_354_x_dist_from_wall - stile_in_the_back_width,
       IF(OR(cutout_A = "B-386"), B_386_x_dist_from_wall - stile_in_the_back_width,
          IF(OR(cutout_A = "B-4354"), B_4354_x_dist_from_wall - stile_in_the_back_width,
             IF(OR(cutout_A = "B-347",cutout_A = "B-357"), B_347_357_x_dist_from_wall - stile_in_the_back_width,
                IF(OR(cutout_A = "B-3471",cutout_A = "B-34715",cutout_A = "B-3571",cutout_A = "B-35715"), B_3471_34715_3571_35715_x_dist_from_wall - stile_in_the_back_width,
                "") ) ) ) ),"")</f>
        <v>26</v>
      </c>
      <c r="H33" s="72" t="str">
        <f ca="1">_xlfn.FORMULATEXT(G33)</f>
        <v>=IF(OR(panel_section = "Whole", panel_section = "Bottom"),
    IF(OR(cutout_A = "B-354"), B_354_x_dist_from_wall - stile_in_the_back_width,
       IF(OR(cutout_A = "B-386"), B_386_x_dist_from_wall - stile_in_the_back_width,
          IF(OR(cutout_A = "B-4354"), B_4354_x_dist_from_wall - stile_in_the_back_width,
             IF(OR(cutout_A = "B-347",cutout_A = "B-357"), B_347_357_x_dist_from_wall - stile_in_the_back_width,
                IF(OR(cutout_A = "B-3471",cutout_A = "B-34715",cutout_A = "B-3571",cutout_A = "B-35715"), B_3471_34715_3571_35715_x_dist_from_wall - stile_in_the_back_width,
                "") ) ) ) ),"")</v>
      </c>
    </row>
    <row r="34" spans="1:8" ht="130.5">
      <c r="A34" s="60" t="s">
        <v>77</v>
      </c>
      <c r="B34" s="9">
        <f>B32+1</f>
        <v>203</v>
      </c>
      <c r="C34" s="4" t="s">
        <v>49</v>
      </c>
      <c r="D34" s="4" t="s">
        <v>11</v>
      </c>
      <c r="E34" t="s">
        <v>78</v>
      </c>
      <c r="F34" s="5" t="str">
        <f t="shared" si="11"/>
        <v>203) Derived - Model
_x000D_    Position of the bottom rear corner of cutout A realtive to the back edge of the panel</v>
      </c>
      <c r="G34" s="59">
        <f>IF(OR(panel_section = "Whole", panel_section = "Bottom"),
    IF(OR(cutout_A = "B-354"), B_354_y_dist_from_floor - component_floor_clearance,
       IF(OR(cutout_A = "B-386"), B_386_y_dist_from_floor - component_floor_clearance,
          IF(OR(cutout_A = "B-4354"), B_4354_y_dist_from_floor - component_floor_clearance,
             IF(OR(cutout_A = "B-347",cutout_A = "B-357"), B_347_357_y_dist_from_floor - component_floor_clearance,
                IF(OR(cutout_A = "B-3471",cutout_A = "B-34715",cutout_A = "B-3571",cutout_A = "B-35715"), B_3471_34715_3571_35715_y_dist_from_floor - component_floor_clearance,
                   "") ) ) ) ),
     "")</f>
        <v>28.125</v>
      </c>
      <c r="H34" s="72" t="str">
        <f t="shared" ca="1" si="12"/>
        <v>=IF(OR(panel_section = "Whole", panel_section = "Bottom"),
    IF(OR(cutout_A = "B-354"), B_354_y_dist_from_floor - component_floor_clearance,
       IF(OR(cutout_A = "B-386"), B_386_y_dist_from_floor - component_floor_clearance,
          IF(OR(cutout_A = "B-4354"), B_4354_y_dist_from_floor - component_floor_clearance,
             IF(OR(cutout_A = "B-347",cutout_A = "B-357"), B_347_357_y_dist_from_floor - component_floor_clearance,
                IF(OR(cutout_A = "B-3471",cutout_A = "B-34715",cutout_A = "B-3571",cutout_A = "B-35715"), B_3471_34715_3571_35715_y_dist_from_floor - component_floor_clearance,
                   "") ) ) ) ),
     "")</v>
      </c>
    </row>
    <row r="35" spans="1:8" ht="120" customHeight="1">
      <c r="A35" s="60" t="s">
        <v>79</v>
      </c>
      <c r="B35" s="9">
        <f>B33+1</f>
        <v>205</v>
      </c>
      <c r="C35" s="4" t="s">
        <v>49</v>
      </c>
      <c r="D35" s="4" t="s">
        <v>11</v>
      </c>
      <c r="E35" t="s">
        <v>80</v>
      </c>
      <c r="F35" s="5" t="str">
        <f t="shared" si="11"/>
        <v>205) Derived - Model
_x000D_    Width of cutout B</v>
      </c>
      <c r="G35" s="59">
        <f>IF(OR(panel_section = "Whole", panel_section = "Bottom"),
    IF(OR(cutout_A = "B-354"), B_354_width,
       IF(OR(cutout_A = "B-386"), B_386_width,
          IF(OR(cutout_A = "B-4354"), B_4354_width,
             IF(OR(cutout_A = "B-347",cutout_A = "B-357"), B_347_357_width,
                IF(OR(cutout_A = "B-3471",cutout_A = "B-34715",cutout_A = "B-3571",cutout_A = "B-35715"), B_3471_34715_3571_35715_width,
                "") ) ) ) ),"")</f>
        <v>15.5</v>
      </c>
      <c r="H35" s="72" t="str">
        <f t="shared" ca="1" si="12"/>
        <v>=IF(OR(panel_section = "Whole", panel_section = "Bottom"),
    IF(OR(cutout_A = "B-354"), B_354_width,
       IF(OR(cutout_A = "B-386"), B_386_width,
          IF(OR(cutout_A = "B-4354"), B_4354_width,
             IF(OR(cutout_A = "B-347",cutout_A = "B-357"), B_347_357_width,
                IF(OR(cutout_A = "B-3471",cutout_A = "B-34715",cutout_A = "B-3571",cutout_A = "B-35715"), B_3471_34715_3571_35715_width,
                "") ) ) ) ),"")</v>
      </c>
    </row>
    <row r="36" spans="1:8" ht="113.45" customHeight="1">
      <c r="A36" s="60" t="s">
        <v>81</v>
      </c>
      <c r="B36" s="9">
        <f t="shared" ref="B36:B38" si="13">B35+1</f>
        <v>206</v>
      </c>
      <c r="C36" s="4" t="s">
        <v>49</v>
      </c>
      <c r="D36" s="4" t="s">
        <v>11</v>
      </c>
      <c r="E36" t="s">
        <v>82</v>
      </c>
      <c r="F36" s="5" t="str">
        <f t="shared" si="11"/>
        <v>206) Derived - Model
_x000D_    Height of cutout B</v>
      </c>
      <c r="G36" s="59">
        <f>IF(OR(panel_section = "Whole", panel_section = "Bottom"),
    IF(OR(cutout_A = "B-354"), B_354_height,
       IF(OR(cutout_A = "B-386"), B_386_height,
          IF(OR(cutout_A = "B-4354"), B_4354_height,
             IF(OR(cutout_A = "B-347",cutout_A = "B-357"), B_347_357_height,
                IF(OR(cutout_A = "B-3471",cutout_A = "B-34715",cutout_A = "B-3571",cutout_A = "B-35715"), B_3471_34715_3571_35715_height,
                "") ) ) ) ),"")</f>
        <v>28.875</v>
      </c>
      <c r="H36" s="72" t="str">
        <f t="shared" ca="1" si="12"/>
        <v>=IF(OR(panel_section = "Whole", panel_section = "Bottom"),
    IF(OR(cutout_A = "B-354"), B_354_height,
       IF(OR(cutout_A = "B-386"), B_386_height,
          IF(OR(cutout_A = "B-4354"), B_4354_height,
             IF(OR(cutout_A = "B-347",cutout_A = "B-357"), B_347_357_height,
                IF(OR(cutout_A = "B-3471",cutout_A = "B-34715",cutout_A = "B-3571",cutout_A = "B-35715"), B_3471_34715_3571_35715_height,
                "") ) ) ) ),"")</v>
      </c>
    </row>
    <row r="37" spans="1:8" ht="130.5">
      <c r="A37" s="60" t="s">
        <v>83</v>
      </c>
      <c r="B37" s="9">
        <f t="shared" si="13"/>
        <v>207</v>
      </c>
      <c r="C37" s="4" t="s">
        <v>49</v>
      </c>
      <c r="D37" s="4" t="s">
        <v>11</v>
      </c>
      <c r="E37" t="s">
        <v>84</v>
      </c>
      <c r="F37" s="5" t="str">
        <f t="shared" si="11"/>
        <v>207) Derived - Model
_x000D_    Position of the bottom rear corner of cutout B realtive to the back edge of the panel</v>
      </c>
      <c r="G37" s="59">
        <f>IF(OR(panel_section = "Whole", panel_section = "Bottom"),
    IF(OR(cutout_A = "B-354"), B_354_y_dist_from_floor - component_floor_clearance,
       IF(OR(cutout_A = "B-386"), B_386_y_dist_from_floor - component_floor_clearance,
          IF(OR(cutout_A = "B-4354"), B_4354_y_dist_from_floor - component_floor_clearance,
             IF(OR(cutout_A = "B-347",cutout_A = "B-357"), B_347_357_y_dist_from_floor - component_floor_clearance,
                IF(OR(cutout_A = "B-3471",cutout_A = "B-34715",cutout_A = "B-3571",cutout_A = "B-35715"), B_3471_34715_3571_35715_y_dist_from_floor - component_floor_clearance,
                   "") ) ) ) ),
     "")</f>
        <v>28.125</v>
      </c>
      <c r="H37" s="72" t="str">
        <f ca="1">_xlfn.FORMULATEXT(G37)</f>
        <v>=IF(OR(panel_section = "Whole", panel_section = "Bottom"),
    IF(OR(cutout_A = "B-354"), B_354_y_dist_from_floor - component_floor_clearance,
       IF(OR(cutout_A = "B-386"), B_386_y_dist_from_floor - component_floor_clearance,
          IF(OR(cutout_A = "B-4354"), B_4354_y_dist_from_floor - component_floor_clearance,
             IF(OR(cutout_A = "B-347",cutout_A = "B-357"), B_347_357_y_dist_from_floor - component_floor_clearance,
                IF(OR(cutout_A = "B-3471",cutout_A = "B-34715",cutout_A = "B-3571",cutout_A = "B-35715"), B_3471_34715_3571_35715_y_dist_from_floor - component_floor_clearance,
                   "") ) ) ) ),
     "")</v>
      </c>
    </row>
    <row r="38" spans="1:8" ht="101.45">
      <c r="A38" s="60" t="s">
        <v>85</v>
      </c>
      <c r="B38" s="9">
        <f t="shared" si="13"/>
        <v>208</v>
      </c>
      <c r="C38" s="4" t="s">
        <v>49</v>
      </c>
      <c r="D38" s="4" t="s">
        <v>11</v>
      </c>
      <c r="E38" t="s">
        <v>86</v>
      </c>
      <c r="F38" s="5" t="str">
        <f t="shared" si="11"/>
        <v>208) Derived - Model
_x000D_    Position of the bottom rear corner of cutout B realtive to the bottom edge of the panel</v>
      </c>
      <c r="G38" s="59">
        <f>IF(OR(panel_section = "Whole", panel_section = "Bottom"),
    IF(OR(cutout_A = "B-354"), B_354_width,
       IF(OR(cutout_A = "B-386"), B_386_width,
          IF(OR(cutout_A = "B-4354"), B_4354_width,
             IF(OR(cutout_A = "B-347",cutout_A = "B-357"), B_347_357_width,
                IF(OR(cutout_A = "B-3471",cutout_A = "B-34715",cutout_A = "B-3571",cutout_A = "B-35715"), B_3471_34715_3571_35715_width,
                "") ) ) ) ),"")</f>
        <v>15.5</v>
      </c>
      <c r="H38" s="72" t="str">
        <f t="shared" ca="1" si="12"/>
        <v>=IF(OR(panel_section = "Whole", panel_section = "Bottom"),
    IF(OR(cutout_A = "B-354"), B_354_width,
       IF(OR(cutout_A = "B-386"), B_386_width,
          IF(OR(cutout_A = "B-4354"), B_4354_width,
             IF(OR(cutout_A = "B-347",cutout_A = "B-357"), B_347_357_width,
                IF(OR(cutout_A = "B-3471",cutout_A = "B-34715",cutout_A = "B-3571",cutout_A = "B-35715"), B_3471_34715_3571_35715_width,
                "") ) ) ) ),"")</v>
      </c>
    </row>
    <row r="39" spans="1:8">
      <c r="A39" s="13"/>
      <c r="B39" s="9"/>
    </row>
    <row r="40" spans="1:8">
      <c r="B40" s="9"/>
    </row>
    <row r="41" spans="1:8" ht="29.1">
      <c r="A41" s="73" t="s">
        <v>87</v>
      </c>
      <c r="B41" s="74">
        <v>301</v>
      </c>
      <c r="C41" s="73" t="s">
        <v>40</v>
      </c>
      <c r="D41" s="73" t="s">
        <v>11</v>
      </c>
      <c r="E41" s="41" t="s">
        <v>88</v>
      </c>
      <c r="F41" s="68" t="str">
        <f t="shared" ref="F41:F60" si="14">TEXT(B41,"000")&amp;") "&amp;C41&amp;" - "&amp;D41&amp;CHAR(10)&amp;CHAR(13)&amp;"    "&amp;E41</f>
        <v>301) Fixed - Model
_x000D_    Width of the cutout</v>
      </c>
      <c r="G41" s="27">
        <f>11</f>
        <v>11</v>
      </c>
      <c r="H41" t="str">
        <f ca="1">_xlfn.FORMULATEXT(G41)</f>
        <v>=11</v>
      </c>
    </row>
    <row r="42" spans="1:8" ht="29.1">
      <c r="A42" s="73" t="s">
        <v>89</v>
      </c>
      <c r="B42" s="27">
        <f>B41+1</f>
        <v>302</v>
      </c>
      <c r="C42" s="73" t="s">
        <v>40</v>
      </c>
      <c r="D42" s="73" t="s">
        <v>11</v>
      </c>
      <c r="E42" s="41" t="s">
        <v>88</v>
      </c>
      <c r="F42" s="68" t="str">
        <f t="shared" si="14"/>
        <v>302) Fixed - Model
_x000D_    Width of the cutout</v>
      </c>
      <c r="G42" s="27">
        <f>11+(1/2)</f>
        <v>11.5</v>
      </c>
      <c r="H42" t="str">
        <f t="shared" ref="H42:H45" ca="1" si="15">_xlfn.FORMULATEXT(G42)</f>
        <v>=11+(1/2)</v>
      </c>
    </row>
    <row r="43" spans="1:8" ht="29.1">
      <c r="A43" s="73" t="s">
        <v>90</v>
      </c>
      <c r="B43" s="27">
        <f t="shared" ref="B43:B45" si="16">B42+1</f>
        <v>303</v>
      </c>
      <c r="C43" s="73" t="s">
        <v>40</v>
      </c>
      <c r="D43" s="73" t="s">
        <v>11</v>
      </c>
      <c r="E43" s="41" t="s">
        <v>88</v>
      </c>
      <c r="F43" s="68" t="str">
        <f t="shared" si="14"/>
        <v>303) Fixed - Model
_x000D_    Width of the cutout</v>
      </c>
      <c r="G43" s="27">
        <f>11</f>
        <v>11</v>
      </c>
      <c r="H43" t="str">
        <f t="shared" ca="1" si="15"/>
        <v>=11</v>
      </c>
    </row>
    <row r="44" spans="1:8" ht="29.1">
      <c r="A44" s="73" t="s">
        <v>91</v>
      </c>
      <c r="B44" s="27">
        <f t="shared" si="16"/>
        <v>304</v>
      </c>
      <c r="C44" s="73" t="s">
        <v>40</v>
      </c>
      <c r="D44" s="73" t="s">
        <v>11</v>
      </c>
      <c r="E44" s="41" t="s">
        <v>88</v>
      </c>
      <c r="F44" s="68" t="str">
        <f t="shared" si="14"/>
        <v>304) Fixed - Model
_x000D_    Width of the cutout</v>
      </c>
      <c r="G44" s="27">
        <f>15.5</f>
        <v>15.5</v>
      </c>
      <c r="H44" t="str">
        <f t="shared" ca="1" si="15"/>
        <v>=15.5</v>
      </c>
    </row>
    <row r="45" spans="1:8" ht="29.1">
      <c r="A45" s="73" t="s">
        <v>92</v>
      </c>
      <c r="B45" s="27">
        <f t="shared" si="16"/>
        <v>305</v>
      </c>
      <c r="C45" s="73" t="s">
        <v>40</v>
      </c>
      <c r="D45" s="73" t="s">
        <v>11</v>
      </c>
      <c r="E45" s="41" t="s">
        <v>88</v>
      </c>
      <c r="F45" s="68" t="str">
        <f t="shared" si="14"/>
        <v>305) Fixed - Model
_x000D_    Width of the cutout</v>
      </c>
      <c r="G45" s="27">
        <f t="shared" ref="G45" si="17">15.5</f>
        <v>15.5</v>
      </c>
      <c r="H45" t="str">
        <f t="shared" ca="1" si="15"/>
        <v>=15.5</v>
      </c>
    </row>
    <row r="46" spans="1:8" ht="29.1">
      <c r="A46" s="73" t="s">
        <v>93</v>
      </c>
      <c r="B46" s="41">
        <v>321</v>
      </c>
      <c r="C46" s="73" t="s">
        <v>40</v>
      </c>
      <c r="D46" s="73" t="s">
        <v>11</v>
      </c>
      <c r="E46" s="41" t="s">
        <v>94</v>
      </c>
      <c r="F46" s="68" t="str">
        <f t="shared" si="14"/>
        <v>321) Fixed - Model
_x000D_    Height of the cutout</v>
      </c>
      <c r="G46" s="27">
        <f>15.5</f>
        <v>15.5</v>
      </c>
      <c r="H46" t="str">
        <f ca="1">_xlfn.FORMULATEXT(G46)</f>
        <v>=15.5</v>
      </c>
    </row>
    <row r="47" spans="1:8" ht="29.1">
      <c r="A47" s="73" t="s">
        <v>95</v>
      </c>
      <c r="B47" s="27">
        <f>B46+1</f>
        <v>322</v>
      </c>
      <c r="C47" s="73" t="s">
        <v>40</v>
      </c>
      <c r="D47" s="73" t="s">
        <v>11</v>
      </c>
      <c r="E47" s="41" t="s">
        <v>94</v>
      </c>
      <c r="F47" s="68" t="str">
        <f t="shared" si="14"/>
        <v>322) Fixed - Model
_x000D_    Height of the cutout</v>
      </c>
      <c r="G47" s="27">
        <f>10+(7/8)</f>
        <v>10.875</v>
      </c>
      <c r="H47" t="str">
        <f t="shared" ref="H47:H50" ca="1" si="18">_xlfn.FORMULATEXT(G47)</f>
        <v>=10+(7/8)</v>
      </c>
    </row>
    <row r="48" spans="1:8" ht="29.1">
      <c r="A48" s="73" t="s">
        <v>96</v>
      </c>
      <c r="B48" s="27">
        <f t="shared" ref="B48:B50" si="19">B47+1</f>
        <v>323</v>
      </c>
      <c r="C48" s="73" t="s">
        <v>40</v>
      </c>
      <c r="D48" s="73" t="s">
        <v>11</v>
      </c>
      <c r="E48" s="41" t="s">
        <v>94</v>
      </c>
      <c r="F48" s="68" t="str">
        <f t="shared" si="14"/>
        <v>323) Fixed - Model
_x000D_    Height of the cutout</v>
      </c>
      <c r="G48" s="27">
        <f>9+(3/8)</f>
        <v>9.375</v>
      </c>
      <c r="H48" t="str">
        <f t="shared" ca="1" si="18"/>
        <v>=9+(3/8)</v>
      </c>
    </row>
    <row r="49" spans="1:8" ht="29.1">
      <c r="A49" s="73" t="s">
        <v>97</v>
      </c>
      <c r="B49" s="27">
        <f t="shared" si="19"/>
        <v>324</v>
      </c>
      <c r="C49" s="73" t="s">
        <v>40</v>
      </c>
      <c r="D49" s="73" t="s">
        <v>11</v>
      </c>
      <c r="E49" s="41" t="s">
        <v>94</v>
      </c>
      <c r="F49" s="68" t="str">
        <f t="shared" si="14"/>
        <v>324) Fixed - Model
_x000D_    Height of the cutout</v>
      </c>
      <c r="G49" s="27">
        <f>28+(7/8)</f>
        <v>28.875</v>
      </c>
      <c r="H49" t="str">
        <f t="shared" ca="1" si="18"/>
        <v>=28+(7/8)</v>
      </c>
    </row>
    <row r="50" spans="1:8" ht="29.1">
      <c r="A50" s="73" t="s">
        <v>98</v>
      </c>
      <c r="B50" s="27">
        <f t="shared" si="19"/>
        <v>325</v>
      </c>
      <c r="C50" s="73" t="s">
        <v>40</v>
      </c>
      <c r="D50" s="73" t="s">
        <v>11</v>
      </c>
      <c r="E50" s="41" t="s">
        <v>94</v>
      </c>
      <c r="F50" s="68" t="str">
        <f t="shared" si="14"/>
        <v>325) Fixed - Model
_x000D_    Height of the cutout</v>
      </c>
      <c r="G50" s="27">
        <f>28+(7/8)</f>
        <v>28.875</v>
      </c>
      <c r="H50" t="str">
        <f t="shared" ca="1" si="18"/>
        <v>=28+(7/8)</v>
      </c>
    </row>
    <row r="51" spans="1:8" ht="43.5">
      <c r="A51" s="73" t="s">
        <v>99</v>
      </c>
      <c r="B51" s="41">
        <v>341</v>
      </c>
      <c r="C51" s="73" t="s">
        <v>40</v>
      </c>
      <c r="D51" s="73" t="s">
        <v>11</v>
      </c>
      <c r="E51" s="41" t="s">
        <v>100</v>
      </c>
      <c r="F51" s="68" t="str">
        <f t="shared" si="14"/>
        <v>341) Fixed - Model
_x000D_    Vertical distance from the floor to the bottom of the cutout</v>
      </c>
      <c r="G51" s="27">
        <f>14.75</f>
        <v>14.75</v>
      </c>
      <c r="H51" t="str">
        <f ca="1">_xlfn.FORMULATEXT(G51)</f>
        <v>=14.75</v>
      </c>
    </row>
    <row r="52" spans="1:8" ht="43.5">
      <c r="A52" s="73" t="s">
        <v>101</v>
      </c>
      <c r="B52" s="27">
        <f>B51+1</f>
        <v>342</v>
      </c>
      <c r="C52" s="73" t="s">
        <v>40</v>
      </c>
      <c r="D52" s="73" t="s">
        <v>11</v>
      </c>
      <c r="E52" s="41" t="s">
        <v>100</v>
      </c>
      <c r="F52" s="68" t="str">
        <f t="shared" si="14"/>
        <v>342) Fixed - Model
_x000D_    Vertical distance from the floor to the bottom of the cutout</v>
      </c>
      <c r="G52" s="27">
        <f>18</f>
        <v>18</v>
      </c>
      <c r="H52" t="str">
        <f t="shared" ref="H52:H55" ca="1" si="20">_xlfn.FORMULATEXT(G52)</f>
        <v>=18</v>
      </c>
    </row>
    <row r="53" spans="1:8" ht="43.5">
      <c r="A53" s="73" t="s">
        <v>102</v>
      </c>
      <c r="B53" s="27">
        <f t="shared" ref="B53:B55" si="21">B52+1</f>
        <v>343</v>
      </c>
      <c r="C53" s="73" t="s">
        <v>40</v>
      </c>
      <c r="D53" s="73" t="s">
        <v>11</v>
      </c>
      <c r="E53" s="41" t="s">
        <v>100</v>
      </c>
      <c r="F53" s="68" t="str">
        <f t="shared" si="14"/>
        <v>343) Fixed - Model
_x000D_    Vertical distance from the floor to the bottom of the cutout</v>
      </c>
      <c r="G53" s="27">
        <f>18.75</f>
        <v>18.75</v>
      </c>
      <c r="H53" t="str">
        <f t="shared" ca="1" si="20"/>
        <v>=18.75</v>
      </c>
    </row>
    <row r="54" spans="1:8" ht="43.5">
      <c r="A54" s="73" t="s">
        <v>103</v>
      </c>
      <c r="B54" s="27">
        <f t="shared" si="21"/>
        <v>344</v>
      </c>
      <c r="C54" s="73" t="s">
        <v>40</v>
      </c>
      <c r="D54" s="73" t="s">
        <v>11</v>
      </c>
      <c r="E54" s="41" t="s">
        <v>100</v>
      </c>
      <c r="F54" s="68" t="str">
        <f t="shared" si="14"/>
        <v>344) Fixed - Model
_x000D_    Vertical distance from the floor to the bottom of the cutout</v>
      </c>
      <c r="G54" s="27">
        <f>30 + (1/8)</f>
        <v>30.125</v>
      </c>
      <c r="H54" t="str">
        <f t="shared" ca="1" si="20"/>
        <v>=30 + (1/8)</v>
      </c>
    </row>
    <row r="55" spans="1:8" ht="43.5">
      <c r="A55" s="73" t="s">
        <v>104</v>
      </c>
      <c r="B55" s="27">
        <f t="shared" si="21"/>
        <v>345</v>
      </c>
      <c r="C55" s="73" t="s">
        <v>40</v>
      </c>
      <c r="D55" s="73" t="s">
        <v>11</v>
      </c>
      <c r="E55" s="41" t="s">
        <v>100</v>
      </c>
      <c r="F55" s="68" t="str">
        <f t="shared" si="14"/>
        <v>345) Fixed - Model
_x000D_    Vertical distance from the floor to the bottom of the cutout</v>
      </c>
      <c r="G55" s="27">
        <f>18</f>
        <v>18</v>
      </c>
      <c r="H55" t="str">
        <f t="shared" ca="1" si="20"/>
        <v>=18</v>
      </c>
    </row>
    <row r="56" spans="1:8" ht="43.5">
      <c r="A56" s="73" t="s">
        <v>105</v>
      </c>
      <c r="B56" s="41">
        <v>361</v>
      </c>
      <c r="C56" s="73" t="s">
        <v>40</v>
      </c>
      <c r="D56" s="73" t="s">
        <v>11</v>
      </c>
      <c r="E56" s="41" t="s">
        <v>106</v>
      </c>
      <c r="F56" s="68" t="str">
        <f t="shared" si="14"/>
        <v>361) Fixed - Model
_x000D_    Horizontal distance from the back wall to the back edge of the cutout</v>
      </c>
      <c r="G56" s="27">
        <f>14.5</f>
        <v>14.5</v>
      </c>
      <c r="H56" t="str">
        <f ca="1">_xlfn.FORMULATEXT(G56)</f>
        <v>=14.5</v>
      </c>
    </row>
    <row r="57" spans="1:8" ht="43.5">
      <c r="A57" s="73" t="s">
        <v>107</v>
      </c>
      <c r="B57" s="27">
        <f>B56+1</f>
        <v>362</v>
      </c>
      <c r="C57" s="73" t="s">
        <v>40</v>
      </c>
      <c r="D57" s="73" t="s">
        <v>11</v>
      </c>
      <c r="E57" s="41" t="s">
        <v>106</v>
      </c>
      <c r="F57" s="68" t="str">
        <f t="shared" si="14"/>
        <v>362) Fixed - Model
_x000D_    Horizontal distance from the back wall to the back edge of the cutout</v>
      </c>
      <c r="G57" s="27">
        <f>28.94</f>
        <v>28.94</v>
      </c>
      <c r="H57" t="str">
        <f t="shared" ref="H57:H60" ca="1" si="22">_xlfn.FORMULATEXT(G57)</f>
        <v>=28.94</v>
      </c>
    </row>
    <row r="58" spans="1:8" ht="43.5">
      <c r="A58" s="73" t="s">
        <v>108</v>
      </c>
      <c r="B58" s="27">
        <f t="shared" ref="B58:B60" si="23">B57+1</f>
        <v>363</v>
      </c>
      <c r="C58" s="73" t="s">
        <v>40</v>
      </c>
      <c r="D58" s="73" t="s">
        <v>11</v>
      </c>
      <c r="E58" s="41" t="s">
        <v>106</v>
      </c>
      <c r="F58" s="68" t="str">
        <f t="shared" si="14"/>
        <v>363) Fixed - Model
_x000D_    Horizontal distance from the back wall to the back edge of the cutout</v>
      </c>
      <c r="G58" s="27">
        <f>14.5</f>
        <v>14.5</v>
      </c>
      <c r="H58" t="str">
        <f t="shared" ca="1" si="22"/>
        <v>=14.5</v>
      </c>
    </row>
    <row r="59" spans="1:8" ht="43.5">
      <c r="A59" s="73" t="s">
        <v>109</v>
      </c>
      <c r="B59" s="27">
        <f t="shared" si="23"/>
        <v>364</v>
      </c>
      <c r="C59" s="73" t="s">
        <v>40</v>
      </c>
      <c r="D59" s="73" t="s">
        <v>11</v>
      </c>
      <c r="E59" s="41" t="s">
        <v>106</v>
      </c>
      <c r="F59" s="68" t="str">
        <f t="shared" si="14"/>
        <v>364) Fixed - Model
_x000D_    Horizontal distance from the back wall to the back edge of the cutout</v>
      </c>
      <c r="G59" s="27">
        <f>26</f>
        <v>26</v>
      </c>
      <c r="H59" t="str">
        <f t="shared" ca="1" si="22"/>
        <v>=26</v>
      </c>
    </row>
    <row r="60" spans="1:8" ht="43.5">
      <c r="A60" s="73" t="s">
        <v>110</v>
      </c>
      <c r="B60" s="27">
        <f t="shared" si="23"/>
        <v>365</v>
      </c>
      <c r="C60" s="73" t="s">
        <v>40</v>
      </c>
      <c r="D60" s="73" t="s">
        <v>11</v>
      </c>
      <c r="E60" s="41" t="s">
        <v>106</v>
      </c>
      <c r="F60" s="68" t="str">
        <f t="shared" si="14"/>
        <v>365) Fixed - Model
_x000D_    Horizontal distance from the back wall to the back edge of the cutout</v>
      </c>
      <c r="G60" s="27">
        <f>21</f>
        <v>21</v>
      </c>
      <c r="H60" t="str">
        <f t="shared" ca="1" si="22"/>
        <v>=21</v>
      </c>
    </row>
  </sheetData>
  <sheetProtection algorithmName="SHA-512" hashValue="IoT7jSkeBuEeDCjSLRoUkzUNT9g0piOT7BQBR/FWiXcJ+htfVduKGejQW4GAmXd5kAre1GCdSjfp0BLkr6WBoA==" saltValue="0OCE1VNX1ojGO3L8w5A2ZA==" spinCount="100000" sheet="1" objects="1" scenarios="1"/>
  <conditionalFormatting sqref="I15">
    <cfRule type="expression" dxfId="3" priority="1">
      <formula>D15="Input"</formula>
    </cfRule>
  </conditionalFormatting>
  <dataValidations count="6">
    <dataValidation type="list" allowBlank="1" showInputMessage="1" showErrorMessage="1" sqref="G6" xr:uid="{31F468D0-59F5-4756-BAF2-3DE5061729E4}">
      <formula1>"WHOLE,TOP,BOTTOM"</formula1>
    </dataValidation>
    <dataValidation type="list" allowBlank="1" showInputMessage="1" showErrorMessage="1" sqref="C22:C28 C30:C38 C2:C20 C41:C60" xr:uid="{EB66F0CB-D080-483E-ACBB-7159F0141BF7}">
      <formula1>"Input,Fixed,Derived"</formula1>
    </dataValidation>
    <dataValidation type="list" allowBlank="1" showInputMessage="1" showErrorMessage="1" sqref="D22:D28 D30:D38 D2:D20 D41:D60" xr:uid="{4BA21B7B-333F-47E3-8747-836DFC4D9E5F}">
      <formula1>"Model,Helper"</formula1>
    </dataValidation>
    <dataValidation type="list" allowBlank="1" showInputMessage="1" showErrorMessage="1" sqref="G12" xr:uid="{8C8BB895-C277-450C-B094-CCBC52327D05}">
      <formula1>"B-354,B-386,B-4354,B-347,B-357,B-3471,B-34715,B-3571,B-35715"</formula1>
    </dataValidation>
    <dataValidation type="list" allowBlank="1" showInputMessage="1" showErrorMessage="1" sqref="G13" xr:uid="{4E3255C8-CC39-4A97-A079-C95C9AF33B92}">
      <formula1>"B-354,B-386,B-4354"</formula1>
    </dataValidation>
    <dataValidation type="list" allowBlank="1" showInputMessage="1" showErrorMessage="1" sqref="G7:G10" xr:uid="{A388A07A-276D-4B35-89A0-43E4836C7F8C}">
      <formula1>"0,1"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13B5-8FC9-4BD5-9952-F3CE892B8B6D}">
  <sheetPr codeName="Sheet2"/>
  <dimension ref="A1:T55"/>
  <sheetViews>
    <sheetView topLeftCell="A45" zoomScale="80" zoomScaleNormal="80" workbookViewId="0">
      <selection activeCell="A49" sqref="A49:XFD56"/>
    </sheetView>
  </sheetViews>
  <sheetFormatPr defaultRowHeight="14.45"/>
  <cols>
    <col min="1" max="1" width="26.140625" customWidth="1"/>
    <col min="2" max="2" width="14.140625" customWidth="1"/>
    <col min="3" max="4" width="15.28515625" customWidth="1"/>
    <col min="5" max="5" width="19.42578125" customWidth="1"/>
    <col min="6" max="7" width="22.85546875" customWidth="1"/>
    <col min="8" max="8" width="14.42578125" customWidth="1"/>
    <col min="9" max="9" width="19.140625" bestFit="1" customWidth="1"/>
    <col min="10" max="10" width="27" customWidth="1"/>
    <col min="11" max="11" width="26.28515625" customWidth="1"/>
    <col min="12" max="12" width="18.42578125" bestFit="1" customWidth="1"/>
  </cols>
  <sheetData>
    <row r="1" spans="1:11">
      <c r="A1" t="s">
        <v>111</v>
      </c>
    </row>
    <row r="2" spans="1:11">
      <c r="A2" t="s">
        <v>112</v>
      </c>
    </row>
    <row r="3" spans="1:11">
      <c r="A3" t="s">
        <v>113</v>
      </c>
    </row>
    <row r="5" spans="1:11">
      <c r="A5" s="24" t="s">
        <v>114</v>
      </c>
    </row>
    <row r="6" spans="1:11">
      <c r="B6" s="25" t="s">
        <v>115</v>
      </c>
      <c r="C6" s="25"/>
    </row>
    <row r="7" spans="1:11" ht="16.5">
      <c r="A7" s="2" t="s">
        <v>116</v>
      </c>
      <c r="B7" s="26" t="s">
        <v>117</v>
      </c>
      <c r="C7" s="26" t="s">
        <v>118</v>
      </c>
    </row>
    <row r="8" spans="1:11">
      <c r="A8" t="s">
        <v>119</v>
      </c>
      <c r="B8" s="14">
        <v>11</v>
      </c>
      <c r="C8" s="14">
        <v>15.5</v>
      </c>
    </row>
    <row r="9" spans="1:11">
      <c r="A9" t="s">
        <v>120</v>
      </c>
      <c r="B9" s="14">
        <v>11.5</v>
      </c>
      <c r="C9" s="14">
        <f>10+(7/8)</f>
        <v>10.875</v>
      </c>
    </row>
    <row r="10" spans="1:11">
      <c r="A10" t="s">
        <v>121</v>
      </c>
      <c r="B10" s="14">
        <v>11</v>
      </c>
      <c r="C10" s="14">
        <f>9+(3/8)</f>
        <v>9.375</v>
      </c>
    </row>
    <row r="11" spans="1:11">
      <c r="A11" t="s">
        <v>122</v>
      </c>
      <c r="B11" s="14">
        <v>15.5</v>
      </c>
      <c r="C11" s="27">
        <f>28+(7/8)</f>
        <v>28.875</v>
      </c>
    </row>
    <row r="12" spans="1:11">
      <c r="A12" t="s">
        <v>123</v>
      </c>
      <c r="B12" s="14">
        <v>15.5</v>
      </c>
      <c r="C12" s="27">
        <f>28+(7/8)</f>
        <v>28.875</v>
      </c>
    </row>
    <row r="14" spans="1:11">
      <c r="A14" s="24" t="s">
        <v>124</v>
      </c>
    </row>
    <row r="15" spans="1:11">
      <c r="E15" s="28" t="s">
        <v>125</v>
      </c>
    </row>
    <row r="16" spans="1:11" ht="29.1">
      <c r="E16" s="75" t="s">
        <v>126</v>
      </c>
      <c r="F16" s="75"/>
      <c r="G16" s="75"/>
      <c r="H16" s="24"/>
      <c r="I16" s="29" t="s">
        <v>127</v>
      </c>
      <c r="J16" s="30" t="s">
        <v>128</v>
      </c>
      <c r="K16" s="30" t="s">
        <v>129</v>
      </c>
    </row>
    <row r="17" spans="1:20" ht="101.45">
      <c r="A17" s="2" t="s">
        <v>116</v>
      </c>
      <c r="B17" s="31" t="s">
        <v>130</v>
      </c>
      <c r="C17" s="32" t="s">
        <v>131</v>
      </c>
      <c r="D17" s="33" t="s">
        <v>132</v>
      </c>
      <c r="E17" s="34" t="s">
        <v>133</v>
      </c>
      <c r="F17" s="35" t="s">
        <v>134</v>
      </c>
      <c r="G17" s="35" t="s">
        <v>135</v>
      </c>
      <c r="H17" s="36" t="s">
        <v>136</v>
      </c>
      <c r="I17" s="34" t="s">
        <v>137</v>
      </c>
      <c r="J17" s="34" t="s">
        <v>138</v>
      </c>
      <c r="K17" s="34" t="s">
        <v>137</v>
      </c>
      <c r="L17" s="44" t="s">
        <v>139</v>
      </c>
      <c r="M17" s="44" t="s">
        <v>140</v>
      </c>
      <c r="P17" s="2" t="s">
        <v>116</v>
      </c>
      <c r="Q17" s="34" t="s">
        <v>133</v>
      </c>
      <c r="R17" s="35" t="s">
        <v>141</v>
      </c>
      <c r="S17" s="35" t="s">
        <v>134</v>
      </c>
      <c r="T17" s="35" t="s">
        <v>135</v>
      </c>
    </row>
    <row r="18" spans="1:20">
      <c r="A18" t="s">
        <v>119</v>
      </c>
      <c r="B18" s="14">
        <v>1040506</v>
      </c>
      <c r="C18" s="14">
        <v>1</v>
      </c>
      <c r="D18" s="14">
        <f>14.75-C18</f>
        <v>13.75</v>
      </c>
      <c r="E18" s="14">
        <v>14.5</v>
      </c>
      <c r="F18" s="14" t="s">
        <v>142</v>
      </c>
      <c r="G18" s="14" t="s">
        <v>142</v>
      </c>
      <c r="H18" s="14">
        <f>C8+D18</f>
        <v>29.25</v>
      </c>
      <c r="I18" s="14">
        <f>$B$8+E18</f>
        <v>25.5</v>
      </c>
      <c r="J18" s="14" t="s">
        <v>142</v>
      </c>
      <c r="K18" s="14" t="s">
        <v>142</v>
      </c>
      <c r="L18" s="14">
        <f>C18+D18</f>
        <v>14.75</v>
      </c>
      <c r="M18">
        <f>C18+H18</f>
        <v>30.25</v>
      </c>
      <c r="P18" t="s">
        <v>119</v>
      </c>
      <c r="Q18" s="65" t="s">
        <v>143</v>
      </c>
      <c r="R18" s="65" t="s">
        <v>143</v>
      </c>
      <c r="S18" s="64" t="s">
        <v>144</v>
      </c>
      <c r="T18" s="64" t="s">
        <v>144</v>
      </c>
    </row>
    <row r="19" spans="1:20">
      <c r="A19" t="s">
        <v>119</v>
      </c>
      <c r="B19" s="14">
        <v>1040506</v>
      </c>
      <c r="C19" s="14">
        <v>4</v>
      </c>
      <c r="D19" s="14">
        <f t="shared" ref="D19:D22" si="0">14.75-C19</f>
        <v>10.75</v>
      </c>
      <c r="E19" s="14">
        <v>14.5</v>
      </c>
      <c r="F19" s="14" t="s">
        <v>142</v>
      </c>
      <c r="G19" s="14" t="s">
        <v>142</v>
      </c>
      <c r="H19" s="14">
        <f>C8+D19</f>
        <v>26.25</v>
      </c>
      <c r="I19" s="14">
        <f>$B$8+E19</f>
        <v>25.5</v>
      </c>
      <c r="J19" s="14" t="s">
        <v>142</v>
      </c>
      <c r="K19" s="14" t="s">
        <v>142</v>
      </c>
      <c r="L19" s="14">
        <f>C19+D19</f>
        <v>14.75</v>
      </c>
      <c r="M19">
        <f t="shared" ref="M19:M22" si="1">C19+H19</f>
        <v>30.25</v>
      </c>
      <c r="P19" t="s">
        <v>120</v>
      </c>
      <c r="Q19" s="65" t="s">
        <v>143</v>
      </c>
      <c r="R19" s="65" t="s">
        <v>143</v>
      </c>
      <c r="S19" s="65" t="s">
        <v>143</v>
      </c>
      <c r="T19" s="65" t="s">
        <v>143</v>
      </c>
    </row>
    <row r="20" spans="1:20">
      <c r="A20" t="s">
        <v>119</v>
      </c>
      <c r="B20" s="14">
        <v>1040506</v>
      </c>
      <c r="C20" s="14">
        <v>4.5</v>
      </c>
      <c r="D20" s="14">
        <f>14.75-C20</f>
        <v>10.25</v>
      </c>
      <c r="E20" s="14">
        <v>14.5</v>
      </c>
      <c r="F20" s="14" t="s">
        <v>142</v>
      </c>
      <c r="G20" s="14" t="s">
        <v>142</v>
      </c>
      <c r="H20" s="14">
        <f>C8+D20</f>
        <v>25.75</v>
      </c>
      <c r="I20" s="14">
        <f t="shared" ref="I20:I23" si="2">$B$8+E20</f>
        <v>25.5</v>
      </c>
      <c r="J20" s="14" t="s">
        <v>142</v>
      </c>
      <c r="K20" s="14" t="s">
        <v>142</v>
      </c>
      <c r="L20" s="14">
        <f>C20+D20</f>
        <v>14.75</v>
      </c>
      <c r="M20">
        <f t="shared" si="1"/>
        <v>30.25</v>
      </c>
      <c r="P20" t="s">
        <v>121</v>
      </c>
      <c r="Q20" s="65" t="s">
        <v>143</v>
      </c>
      <c r="R20" s="65" t="s">
        <v>143</v>
      </c>
      <c r="S20" s="64" t="s">
        <v>144</v>
      </c>
      <c r="T20" s="64" t="s">
        <v>144</v>
      </c>
    </row>
    <row r="21" spans="1:20">
      <c r="A21" t="s">
        <v>119</v>
      </c>
      <c r="B21" s="14">
        <v>1040506</v>
      </c>
      <c r="C21" s="14">
        <v>9</v>
      </c>
      <c r="D21" s="14">
        <f t="shared" si="0"/>
        <v>5.75</v>
      </c>
      <c r="E21" s="14">
        <v>14.5</v>
      </c>
      <c r="F21" s="14" t="s">
        <v>142</v>
      </c>
      <c r="G21" s="14" t="s">
        <v>142</v>
      </c>
      <c r="H21" s="14">
        <f>C8+D21</f>
        <v>21.25</v>
      </c>
      <c r="I21" s="14">
        <f t="shared" si="2"/>
        <v>25.5</v>
      </c>
      <c r="J21" s="14" t="s">
        <v>142</v>
      </c>
      <c r="K21" s="14" t="s">
        <v>142</v>
      </c>
      <c r="L21" s="14">
        <f>C21+D21</f>
        <v>14.75</v>
      </c>
      <c r="M21">
        <f t="shared" si="1"/>
        <v>30.25</v>
      </c>
    </row>
    <row r="22" spans="1:20">
      <c r="A22" t="s">
        <v>119</v>
      </c>
      <c r="B22" s="14">
        <v>1040506</v>
      </c>
      <c r="C22" s="14">
        <v>12</v>
      </c>
      <c r="D22" s="14">
        <f t="shared" si="0"/>
        <v>2.75</v>
      </c>
      <c r="E22" s="14">
        <v>14.5</v>
      </c>
      <c r="F22" s="14" t="s">
        <v>142</v>
      </c>
      <c r="G22" s="14" t="s">
        <v>142</v>
      </c>
      <c r="H22" s="14">
        <f>C8+D22</f>
        <v>18.25</v>
      </c>
      <c r="I22" s="14">
        <f t="shared" si="2"/>
        <v>25.5</v>
      </c>
      <c r="J22" s="14" t="s">
        <v>142</v>
      </c>
      <c r="K22" s="14" t="s">
        <v>142</v>
      </c>
      <c r="L22" s="14">
        <f>C22+D22</f>
        <v>14.75</v>
      </c>
      <c r="M22">
        <f t="shared" si="1"/>
        <v>30.25</v>
      </c>
      <c r="P22" t="s">
        <v>145</v>
      </c>
      <c r="Q22" s="65" t="s">
        <v>143</v>
      </c>
      <c r="R22" s="65" t="s">
        <v>143</v>
      </c>
      <c r="S22" s="65" t="s">
        <v>143</v>
      </c>
      <c r="T22" s="64" t="s">
        <v>144</v>
      </c>
    </row>
    <row r="23" spans="1:20">
      <c r="A23" t="s">
        <v>119</v>
      </c>
      <c r="B23" s="14" t="s">
        <v>146</v>
      </c>
      <c r="C23" s="14" t="s">
        <v>147</v>
      </c>
      <c r="D23" s="14"/>
      <c r="E23" s="14">
        <v>14.5</v>
      </c>
      <c r="F23" s="14" t="s">
        <v>142</v>
      </c>
      <c r="G23" s="14" t="s">
        <v>142</v>
      </c>
      <c r="H23" s="14">
        <f>C8+D23</f>
        <v>15.5</v>
      </c>
      <c r="I23" s="23">
        <f t="shared" si="2"/>
        <v>25.5</v>
      </c>
      <c r="J23" s="23" t="s">
        <v>142</v>
      </c>
      <c r="K23" s="14" t="s">
        <v>142</v>
      </c>
      <c r="L23" s="14"/>
      <c r="M23" s="45"/>
      <c r="P23" t="s">
        <v>35</v>
      </c>
      <c r="Q23" s="65" t="s">
        <v>143</v>
      </c>
      <c r="R23" s="65" t="s">
        <v>143</v>
      </c>
      <c r="S23" s="65" t="s">
        <v>143</v>
      </c>
      <c r="T23" s="64" t="s">
        <v>144</v>
      </c>
    </row>
    <row r="24" spans="1:20">
      <c r="A24" s="22" t="s">
        <v>120</v>
      </c>
      <c r="B24" s="19">
        <v>1040507</v>
      </c>
      <c r="C24" s="19">
        <v>1</v>
      </c>
      <c r="D24" s="19">
        <f>18-C24</f>
        <v>17</v>
      </c>
      <c r="E24" s="37">
        <v>28.94</v>
      </c>
      <c r="F24" s="38">
        <v>16.940000000000001</v>
      </c>
      <c r="G24" s="38">
        <v>4.9400000000000013</v>
      </c>
      <c r="H24" s="19">
        <f>D24+$C$9</f>
        <v>27.875</v>
      </c>
      <c r="I24" s="14">
        <f>$B$9+E24</f>
        <v>40.44</v>
      </c>
      <c r="J24" s="14">
        <f>$B$9+F24</f>
        <v>28.44</v>
      </c>
      <c r="K24" s="19">
        <f>$B$9+G24</f>
        <v>16.440000000000001</v>
      </c>
      <c r="L24" s="19">
        <f>C24+D24</f>
        <v>18</v>
      </c>
      <c r="M24">
        <f>C24+H24</f>
        <v>28.875</v>
      </c>
    </row>
    <row r="25" spans="1:20">
      <c r="A25" t="s">
        <v>120</v>
      </c>
      <c r="B25" s="14">
        <v>1040507</v>
      </c>
      <c r="C25" s="14">
        <v>4</v>
      </c>
      <c r="D25" s="14">
        <f t="shared" ref="D25:D28" si="3">18-C25</f>
        <v>14</v>
      </c>
      <c r="E25" s="27">
        <v>28.94</v>
      </c>
      <c r="F25" s="39">
        <v>16.940000000000001</v>
      </c>
      <c r="G25" s="39">
        <v>4.9400000000000013</v>
      </c>
      <c r="H25" s="14">
        <f>D25+$C$9</f>
        <v>24.875</v>
      </c>
      <c r="I25" s="14">
        <f t="shared" ref="I25:K29" si="4">$B$9+E25</f>
        <v>40.44</v>
      </c>
      <c r="J25" s="14">
        <f t="shared" si="4"/>
        <v>28.44</v>
      </c>
      <c r="K25" s="14">
        <f>$B$9+G25</f>
        <v>16.440000000000001</v>
      </c>
      <c r="L25" s="14">
        <f>C25+D25</f>
        <v>18</v>
      </c>
      <c r="M25">
        <f t="shared" ref="M25:M28" si="5">C25+H25</f>
        <v>28.875</v>
      </c>
      <c r="P25" t="s">
        <v>148</v>
      </c>
      <c r="Q25" s="65" t="s">
        <v>143</v>
      </c>
      <c r="R25" s="65" t="s">
        <v>143</v>
      </c>
      <c r="S25" s="65" t="s">
        <v>143</v>
      </c>
      <c r="T25" s="64" t="s">
        <v>144</v>
      </c>
    </row>
    <row r="26" spans="1:20">
      <c r="A26" t="s">
        <v>120</v>
      </c>
      <c r="B26" s="14">
        <v>1040507</v>
      </c>
      <c r="C26" s="14">
        <v>4.5</v>
      </c>
      <c r="D26" s="14">
        <f t="shared" si="3"/>
        <v>13.5</v>
      </c>
      <c r="E26" s="27">
        <v>28.94</v>
      </c>
      <c r="F26" s="39">
        <v>16.940000000000001</v>
      </c>
      <c r="G26" s="39">
        <v>4.9400000000000013</v>
      </c>
      <c r="H26" s="14">
        <f t="shared" ref="H26:H29" si="6">D26+$C$9</f>
        <v>24.375</v>
      </c>
      <c r="I26" s="14">
        <f t="shared" si="4"/>
        <v>40.44</v>
      </c>
      <c r="J26" s="14">
        <f t="shared" si="4"/>
        <v>28.44</v>
      </c>
      <c r="K26" s="14">
        <f t="shared" si="4"/>
        <v>16.440000000000001</v>
      </c>
      <c r="L26" s="14">
        <f>C26+D26</f>
        <v>18</v>
      </c>
      <c r="M26">
        <f t="shared" si="5"/>
        <v>28.875</v>
      </c>
      <c r="P26" t="s">
        <v>149</v>
      </c>
      <c r="Q26" s="65" t="s">
        <v>143</v>
      </c>
      <c r="R26" s="65" t="s">
        <v>143</v>
      </c>
      <c r="S26" s="65" t="s">
        <v>143</v>
      </c>
      <c r="T26" s="64" t="s">
        <v>144</v>
      </c>
    </row>
    <row r="27" spans="1:20">
      <c r="A27" t="s">
        <v>120</v>
      </c>
      <c r="B27" s="14">
        <v>1040507</v>
      </c>
      <c r="C27" s="14">
        <v>9</v>
      </c>
      <c r="D27" s="14">
        <f t="shared" si="3"/>
        <v>9</v>
      </c>
      <c r="E27" s="27">
        <v>28.94</v>
      </c>
      <c r="F27" s="39">
        <v>16.940000000000001</v>
      </c>
      <c r="G27" s="39">
        <v>4.9400000000000013</v>
      </c>
      <c r="H27" s="14">
        <f t="shared" si="6"/>
        <v>19.875</v>
      </c>
      <c r="I27" s="14">
        <f t="shared" si="4"/>
        <v>40.44</v>
      </c>
      <c r="J27" s="14">
        <f t="shared" si="4"/>
        <v>28.44</v>
      </c>
      <c r="K27" s="14">
        <f t="shared" si="4"/>
        <v>16.440000000000001</v>
      </c>
      <c r="L27" s="14">
        <f>C27+D27</f>
        <v>18</v>
      </c>
      <c r="M27">
        <f t="shared" si="5"/>
        <v>28.875</v>
      </c>
      <c r="P27" t="s">
        <v>150</v>
      </c>
      <c r="Q27" s="65" t="s">
        <v>143</v>
      </c>
      <c r="R27" s="65" t="s">
        <v>143</v>
      </c>
      <c r="S27" s="65" t="s">
        <v>143</v>
      </c>
      <c r="T27" s="64" t="s">
        <v>144</v>
      </c>
    </row>
    <row r="28" spans="1:20">
      <c r="A28" t="s">
        <v>120</v>
      </c>
      <c r="B28" s="14">
        <v>1040507</v>
      </c>
      <c r="C28" s="14">
        <v>12</v>
      </c>
      <c r="D28" s="14">
        <f t="shared" si="3"/>
        <v>6</v>
      </c>
      <c r="E28" s="27">
        <v>28.94</v>
      </c>
      <c r="F28" s="39">
        <v>16.940000000000001</v>
      </c>
      <c r="G28" s="39">
        <v>4.9400000000000013</v>
      </c>
      <c r="H28" s="14">
        <f t="shared" si="6"/>
        <v>16.875</v>
      </c>
      <c r="I28" s="14">
        <f t="shared" si="4"/>
        <v>40.44</v>
      </c>
      <c r="J28" s="14">
        <f t="shared" si="4"/>
        <v>28.44</v>
      </c>
      <c r="K28" s="14">
        <f t="shared" si="4"/>
        <v>16.440000000000001</v>
      </c>
      <c r="L28" s="14">
        <f>C28+D28</f>
        <v>18</v>
      </c>
      <c r="M28">
        <f t="shared" si="5"/>
        <v>28.875</v>
      </c>
      <c r="P28" t="s">
        <v>151</v>
      </c>
      <c r="Q28" s="65" t="s">
        <v>143</v>
      </c>
      <c r="R28" s="65" t="s">
        <v>143</v>
      </c>
      <c r="S28" s="65" t="s">
        <v>143</v>
      </c>
      <c r="T28" s="64" t="s">
        <v>144</v>
      </c>
    </row>
    <row r="29" spans="1:20">
      <c r="A29" t="s">
        <v>120</v>
      </c>
      <c r="B29" s="14" t="s">
        <v>146</v>
      </c>
      <c r="C29" s="14" t="s">
        <v>147</v>
      </c>
      <c r="D29" s="14"/>
      <c r="E29" s="27">
        <v>28.94</v>
      </c>
      <c r="F29" s="39">
        <v>16.940000000000001</v>
      </c>
      <c r="G29" s="39">
        <v>4.9400000000000013</v>
      </c>
      <c r="H29" s="23">
        <f t="shared" si="6"/>
        <v>10.875</v>
      </c>
      <c r="I29" s="23">
        <f t="shared" si="4"/>
        <v>40.44</v>
      </c>
      <c r="J29" s="23">
        <f t="shared" si="4"/>
        <v>28.44</v>
      </c>
      <c r="K29" s="23">
        <f t="shared" si="4"/>
        <v>16.440000000000001</v>
      </c>
      <c r="L29" s="14"/>
      <c r="M29" s="45"/>
    </row>
    <row r="30" spans="1:20">
      <c r="A30" s="22" t="s">
        <v>121</v>
      </c>
      <c r="B30" s="19">
        <v>1040577</v>
      </c>
      <c r="C30" s="19">
        <v>1</v>
      </c>
      <c r="D30" s="19">
        <f>18.75-C30</f>
        <v>17.75</v>
      </c>
      <c r="E30" s="19">
        <v>14.5</v>
      </c>
      <c r="F30" s="19" t="s">
        <v>142</v>
      </c>
      <c r="G30" s="19" t="s">
        <v>142</v>
      </c>
      <c r="H30" s="14">
        <f>$C$10+D30</f>
        <v>27.125</v>
      </c>
      <c r="I30" s="14">
        <f>$B$10+E30</f>
        <v>25.5</v>
      </c>
      <c r="J30" s="14" t="s">
        <v>142</v>
      </c>
      <c r="K30" s="14" t="s">
        <v>142</v>
      </c>
      <c r="L30" s="19">
        <f>C30+D30</f>
        <v>18.75</v>
      </c>
      <c r="M30">
        <f>C30+H30</f>
        <v>28.125</v>
      </c>
    </row>
    <row r="31" spans="1:20">
      <c r="A31" t="s">
        <v>121</v>
      </c>
      <c r="B31" s="14">
        <v>1040577</v>
      </c>
      <c r="C31" s="14">
        <v>4</v>
      </c>
      <c r="D31" s="14">
        <f t="shared" ref="D31:D34" si="7">18.75-C31</f>
        <v>14.75</v>
      </c>
      <c r="E31" s="14">
        <v>14.5</v>
      </c>
      <c r="F31" s="14" t="s">
        <v>142</v>
      </c>
      <c r="G31" s="14" t="s">
        <v>142</v>
      </c>
      <c r="H31" s="14">
        <f t="shared" ref="H31:H35" si="8">$C$10+D31</f>
        <v>24.125</v>
      </c>
      <c r="I31" s="14">
        <f t="shared" ref="I31:I35" si="9">$B$10+E31</f>
        <v>25.5</v>
      </c>
      <c r="J31" s="14" t="s">
        <v>142</v>
      </c>
      <c r="K31" s="14" t="s">
        <v>142</v>
      </c>
      <c r="L31" s="14">
        <f>C31+D31</f>
        <v>18.75</v>
      </c>
      <c r="M31">
        <f t="shared" ref="M31:M34" si="10">C31+H31</f>
        <v>28.125</v>
      </c>
    </row>
    <row r="32" spans="1:20">
      <c r="A32" t="s">
        <v>121</v>
      </c>
      <c r="B32" s="14">
        <v>1040577</v>
      </c>
      <c r="C32" s="14">
        <v>4.5</v>
      </c>
      <c r="D32" s="14">
        <f t="shared" si="7"/>
        <v>14.25</v>
      </c>
      <c r="E32" s="14">
        <v>14.5</v>
      </c>
      <c r="F32" s="14" t="s">
        <v>142</v>
      </c>
      <c r="G32" s="14" t="s">
        <v>142</v>
      </c>
      <c r="H32" s="14">
        <f t="shared" si="8"/>
        <v>23.625</v>
      </c>
      <c r="I32" s="14">
        <f t="shared" si="9"/>
        <v>25.5</v>
      </c>
      <c r="J32" s="14" t="s">
        <v>142</v>
      </c>
      <c r="K32" s="14" t="s">
        <v>142</v>
      </c>
      <c r="L32" s="14">
        <f>C32+D32</f>
        <v>18.75</v>
      </c>
      <c r="M32">
        <f t="shared" si="10"/>
        <v>28.125</v>
      </c>
    </row>
    <row r="33" spans="1:13">
      <c r="A33" t="s">
        <v>121</v>
      </c>
      <c r="B33" s="14">
        <v>1040577</v>
      </c>
      <c r="C33" s="14">
        <v>9</v>
      </c>
      <c r="D33" s="14">
        <f t="shared" si="7"/>
        <v>9.75</v>
      </c>
      <c r="E33" s="14">
        <v>14.5</v>
      </c>
      <c r="F33" s="14" t="s">
        <v>142</v>
      </c>
      <c r="G33" s="14" t="s">
        <v>142</v>
      </c>
      <c r="H33" s="14">
        <f t="shared" si="8"/>
        <v>19.125</v>
      </c>
      <c r="I33" s="14">
        <f t="shared" si="9"/>
        <v>25.5</v>
      </c>
      <c r="J33" s="14" t="s">
        <v>142</v>
      </c>
      <c r="K33" s="14" t="s">
        <v>142</v>
      </c>
      <c r="L33" s="14">
        <f>C33+D33</f>
        <v>18.75</v>
      </c>
      <c r="M33">
        <f t="shared" si="10"/>
        <v>28.125</v>
      </c>
    </row>
    <row r="34" spans="1:13">
      <c r="A34" t="s">
        <v>121</v>
      </c>
      <c r="B34" s="14">
        <v>1040577</v>
      </c>
      <c r="C34" s="14">
        <v>12</v>
      </c>
      <c r="D34" s="14">
        <f t="shared" si="7"/>
        <v>6.75</v>
      </c>
      <c r="E34" s="14">
        <v>14.5</v>
      </c>
      <c r="F34" s="14" t="s">
        <v>142</v>
      </c>
      <c r="G34" s="14" t="s">
        <v>142</v>
      </c>
      <c r="H34" s="14">
        <f t="shared" si="8"/>
        <v>16.125</v>
      </c>
      <c r="I34" s="14">
        <f t="shared" si="9"/>
        <v>25.5</v>
      </c>
      <c r="J34" s="14" t="s">
        <v>142</v>
      </c>
      <c r="K34" s="14" t="s">
        <v>142</v>
      </c>
      <c r="L34" s="14">
        <f>C34+D34</f>
        <v>18.75</v>
      </c>
      <c r="M34">
        <f t="shared" si="10"/>
        <v>28.125</v>
      </c>
    </row>
    <row r="35" spans="1:13">
      <c r="A35" t="s">
        <v>121</v>
      </c>
      <c r="B35" s="14" t="s">
        <v>146</v>
      </c>
      <c r="C35" s="14" t="s">
        <v>147</v>
      </c>
      <c r="D35" s="14"/>
      <c r="E35" s="14">
        <v>14.5</v>
      </c>
      <c r="F35" s="14" t="s">
        <v>142</v>
      </c>
      <c r="G35" s="14" t="s">
        <v>142</v>
      </c>
      <c r="H35" s="14">
        <f t="shared" si="8"/>
        <v>9.375</v>
      </c>
      <c r="I35" s="14">
        <f t="shared" si="9"/>
        <v>25.5</v>
      </c>
      <c r="J35" s="23" t="s">
        <v>142</v>
      </c>
      <c r="K35" s="23" t="s">
        <v>142</v>
      </c>
      <c r="L35" s="14"/>
      <c r="M35" s="45"/>
    </row>
    <row r="36" spans="1:13">
      <c r="A36" s="40" t="s">
        <v>122</v>
      </c>
      <c r="B36" s="37">
        <v>1040505</v>
      </c>
      <c r="C36" s="19">
        <v>1</v>
      </c>
      <c r="D36" s="37">
        <f>30.13-C36</f>
        <v>29.13</v>
      </c>
      <c r="E36" s="37">
        <v>26</v>
      </c>
      <c r="F36" s="38">
        <v>14</v>
      </c>
      <c r="G36" s="19" t="s">
        <v>142</v>
      </c>
      <c r="H36" s="19">
        <f>$C$11+D36</f>
        <v>58.004999999999995</v>
      </c>
      <c r="I36" s="19">
        <f>$B$11+E36</f>
        <v>41.5</v>
      </c>
      <c r="J36" s="14">
        <f>$B$11+F36</f>
        <v>29.5</v>
      </c>
      <c r="K36" s="14" t="s">
        <v>142</v>
      </c>
      <c r="L36" s="19">
        <f>C36+D36</f>
        <v>30.13</v>
      </c>
      <c r="M36">
        <f>C36+H36</f>
        <v>59.004999999999995</v>
      </c>
    </row>
    <row r="37" spans="1:13">
      <c r="A37" s="41" t="s">
        <v>122</v>
      </c>
      <c r="B37" s="27">
        <v>1040505</v>
      </c>
      <c r="C37" s="14">
        <v>4</v>
      </c>
      <c r="D37" s="27">
        <f t="shared" ref="D37:D40" si="11">30.13-C37</f>
        <v>26.13</v>
      </c>
      <c r="E37" s="27">
        <v>26</v>
      </c>
      <c r="F37" s="39">
        <v>14</v>
      </c>
      <c r="G37" s="14" t="s">
        <v>142</v>
      </c>
      <c r="H37" s="14">
        <f t="shared" ref="H37:H41" si="12">$C$11+D37</f>
        <v>55.004999999999995</v>
      </c>
      <c r="I37" s="14">
        <f t="shared" ref="I37:J41" si="13">$B$11+E37</f>
        <v>41.5</v>
      </c>
      <c r="J37" s="14">
        <f t="shared" si="13"/>
        <v>29.5</v>
      </c>
      <c r="K37" s="14" t="s">
        <v>142</v>
      </c>
      <c r="L37" s="14">
        <f>C37+D37</f>
        <v>30.13</v>
      </c>
      <c r="M37">
        <f t="shared" ref="M37:M40" si="14">C37+H37</f>
        <v>59.004999999999995</v>
      </c>
    </row>
    <row r="38" spans="1:13">
      <c r="A38" s="41" t="s">
        <v>122</v>
      </c>
      <c r="B38" s="27">
        <v>1040505</v>
      </c>
      <c r="C38" s="14">
        <v>4.5</v>
      </c>
      <c r="D38" s="27">
        <f t="shared" si="11"/>
        <v>25.63</v>
      </c>
      <c r="E38" s="27">
        <v>26</v>
      </c>
      <c r="F38" s="39">
        <v>14</v>
      </c>
      <c r="G38" s="14" t="s">
        <v>142</v>
      </c>
      <c r="H38" s="14">
        <f t="shared" si="12"/>
        <v>54.504999999999995</v>
      </c>
      <c r="I38" s="14">
        <f t="shared" si="13"/>
        <v>41.5</v>
      </c>
      <c r="J38" s="14">
        <f t="shared" si="13"/>
        <v>29.5</v>
      </c>
      <c r="K38" s="14" t="s">
        <v>142</v>
      </c>
      <c r="L38" s="14">
        <f>C38+D38</f>
        <v>30.13</v>
      </c>
      <c r="M38">
        <f t="shared" si="14"/>
        <v>59.004999999999995</v>
      </c>
    </row>
    <row r="39" spans="1:13">
      <c r="A39" s="41" t="s">
        <v>122</v>
      </c>
      <c r="B39" s="27">
        <v>1040505</v>
      </c>
      <c r="C39" s="14">
        <v>9</v>
      </c>
      <c r="D39" s="27">
        <f t="shared" si="11"/>
        <v>21.13</v>
      </c>
      <c r="E39" s="27">
        <v>26</v>
      </c>
      <c r="F39" s="39">
        <v>14</v>
      </c>
      <c r="G39" s="14" t="s">
        <v>142</v>
      </c>
      <c r="H39" s="14">
        <f t="shared" si="12"/>
        <v>50.004999999999995</v>
      </c>
      <c r="I39" s="14">
        <f t="shared" si="13"/>
        <v>41.5</v>
      </c>
      <c r="J39" s="14">
        <f t="shared" si="13"/>
        <v>29.5</v>
      </c>
      <c r="K39" s="14" t="s">
        <v>142</v>
      </c>
      <c r="L39" s="14">
        <f>C39+D39</f>
        <v>30.13</v>
      </c>
      <c r="M39">
        <f t="shared" si="14"/>
        <v>59.004999999999995</v>
      </c>
    </row>
    <row r="40" spans="1:13">
      <c r="A40" s="41" t="s">
        <v>122</v>
      </c>
      <c r="B40" s="27">
        <v>1040505</v>
      </c>
      <c r="C40" s="14">
        <v>12</v>
      </c>
      <c r="D40" s="27">
        <f t="shared" si="11"/>
        <v>18.13</v>
      </c>
      <c r="E40" s="27">
        <v>26</v>
      </c>
      <c r="F40" s="39">
        <v>14</v>
      </c>
      <c r="G40" s="14" t="s">
        <v>142</v>
      </c>
      <c r="H40" s="14">
        <f t="shared" si="12"/>
        <v>47.004999999999995</v>
      </c>
      <c r="I40" s="14">
        <f t="shared" si="13"/>
        <v>41.5</v>
      </c>
      <c r="J40" s="14">
        <f t="shared" si="13"/>
        <v>29.5</v>
      </c>
      <c r="K40" s="14" t="s">
        <v>142</v>
      </c>
      <c r="L40" s="14">
        <f>C40+D40</f>
        <v>30.13</v>
      </c>
      <c r="M40">
        <f t="shared" si="14"/>
        <v>59.004999999999995</v>
      </c>
    </row>
    <row r="41" spans="1:13">
      <c r="A41" s="41" t="s">
        <v>122</v>
      </c>
      <c r="B41" s="27" t="s">
        <v>146</v>
      </c>
      <c r="C41" s="14" t="s">
        <v>147</v>
      </c>
      <c r="D41" s="27"/>
      <c r="E41" s="27">
        <v>26</v>
      </c>
      <c r="F41" s="39">
        <v>14</v>
      </c>
      <c r="G41" s="14" t="s">
        <v>142</v>
      </c>
      <c r="H41" s="14">
        <f t="shared" si="12"/>
        <v>28.875</v>
      </c>
      <c r="I41" s="14">
        <f t="shared" si="13"/>
        <v>41.5</v>
      </c>
      <c r="J41" s="23">
        <f t="shared" si="13"/>
        <v>29.5</v>
      </c>
      <c r="K41" s="23" t="s">
        <v>142</v>
      </c>
      <c r="L41" s="14"/>
      <c r="M41" s="45"/>
    </row>
    <row r="42" spans="1:13">
      <c r="A42" s="40" t="s">
        <v>123</v>
      </c>
      <c r="B42" s="37">
        <v>1040509</v>
      </c>
      <c r="C42" s="19">
        <v>1</v>
      </c>
      <c r="D42" s="37">
        <f>18-C42</f>
        <v>17</v>
      </c>
      <c r="E42" s="37">
        <v>21</v>
      </c>
      <c r="F42" s="38">
        <v>9</v>
      </c>
      <c r="G42" s="19" t="s">
        <v>142</v>
      </c>
      <c r="H42" s="19">
        <f>$C$12+D42</f>
        <v>45.875</v>
      </c>
      <c r="I42" s="19">
        <f>$B$12+E42</f>
        <v>36.5</v>
      </c>
      <c r="J42" s="14">
        <f>$B$12+F42</f>
        <v>24.5</v>
      </c>
      <c r="K42" s="19" t="s">
        <v>142</v>
      </c>
      <c r="L42" s="19">
        <f>C42+D42</f>
        <v>18</v>
      </c>
      <c r="M42">
        <f>C42+H42</f>
        <v>46.875</v>
      </c>
    </row>
    <row r="43" spans="1:13">
      <c r="A43" s="41" t="s">
        <v>123</v>
      </c>
      <c r="B43" s="27">
        <v>1040509</v>
      </c>
      <c r="C43" s="14">
        <v>4</v>
      </c>
      <c r="D43" s="27">
        <f t="shared" ref="D43:D46" si="15">18-C43</f>
        <v>14</v>
      </c>
      <c r="E43" s="27">
        <v>21</v>
      </c>
      <c r="F43" s="39">
        <v>9</v>
      </c>
      <c r="G43" s="14" t="s">
        <v>142</v>
      </c>
      <c r="H43" s="14">
        <f t="shared" ref="H43:H47" si="16">$C$12+D43</f>
        <v>42.875</v>
      </c>
      <c r="I43" s="14">
        <f t="shared" ref="I43:J47" si="17">$B$12+E43</f>
        <v>36.5</v>
      </c>
      <c r="J43" s="14">
        <f t="shared" si="17"/>
        <v>24.5</v>
      </c>
      <c r="K43" s="14" t="s">
        <v>142</v>
      </c>
      <c r="L43" s="14">
        <f>C43+D43</f>
        <v>18</v>
      </c>
      <c r="M43">
        <f t="shared" ref="M43:M46" si="18">C43+H43</f>
        <v>46.875</v>
      </c>
    </row>
    <row r="44" spans="1:13">
      <c r="A44" s="41" t="s">
        <v>123</v>
      </c>
      <c r="B44" s="27">
        <v>1040509</v>
      </c>
      <c r="C44" s="14">
        <v>4.5</v>
      </c>
      <c r="D44" s="27">
        <f t="shared" si="15"/>
        <v>13.5</v>
      </c>
      <c r="E44" s="27">
        <v>21</v>
      </c>
      <c r="F44" s="39">
        <v>9</v>
      </c>
      <c r="G44" s="14" t="s">
        <v>142</v>
      </c>
      <c r="H44" s="14">
        <f t="shared" si="16"/>
        <v>42.375</v>
      </c>
      <c r="I44" s="14">
        <f t="shared" si="17"/>
        <v>36.5</v>
      </c>
      <c r="J44" s="14">
        <f t="shared" si="17"/>
        <v>24.5</v>
      </c>
      <c r="K44" s="14" t="s">
        <v>142</v>
      </c>
      <c r="L44" s="14">
        <f>C44+D44</f>
        <v>18</v>
      </c>
      <c r="M44">
        <f t="shared" si="18"/>
        <v>46.875</v>
      </c>
    </row>
    <row r="45" spans="1:13">
      <c r="A45" s="41" t="s">
        <v>123</v>
      </c>
      <c r="B45" s="27">
        <v>1040509</v>
      </c>
      <c r="C45" s="14">
        <v>9</v>
      </c>
      <c r="D45" s="27">
        <f t="shared" si="15"/>
        <v>9</v>
      </c>
      <c r="E45" s="27">
        <v>21</v>
      </c>
      <c r="F45" s="39">
        <v>9</v>
      </c>
      <c r="G45" s="14" t="s">
        <v>142</v>
      </c>
      <c r="H45" s="14">
        <f t="shared" si="16"/>
        <v>37.875</v>
      </c>
      <c r="I45" s="14">
        <f t="shared" si="17"/>
        <v>36.5</v>
      </c>
      <c r="J45" s="14">
        <f t="shared" si="17"/>
        <v>24.5</v>
      </c>
      <c r="K45" s="14" t="s">
        <v>142</v>
      </c>
      <c r="L45" s="14">
        <f>C45+D45</f>
        <v>18</v>
      </c>
      <c r="M45">
        <f t="shared" si="18"/>
        <v>46.875</v>
      </c>
    </row>
    <row r="46" spans="1:13">
      <c r="A46" s="41" t="s">
        <v>123</v>
      </c>
      <c r="B46" s="27">
        <v>1040509</v>
      </c>
      <c r="C46" s="14">
        <v>12</v>
      </c>
      <c r="D46" s="27">
        <f t="shared" si="15"/>
        <v>6</v>
      </c>
      <c r="E46" s="27">
        <v>21</v>
      </c>
      <c r="F46" s="39">
        <v>9</v>
      </c>
      <c r="G46" s="14" t="s">
        <v>142</v>
      </c>
      <c r="H46" s="14">
        <f t="shared" si="16"/>
        <v>34.875</v>
      </c>
      <c r="I46" s="14">
        <f t="shared" si="17"/>
        <v>36.5</v>
      </c>
      <c r="J46" s="14">
        <f t="shared" si="17"/>
        <v>24.5</v>
      </c>
      <c r="K46" s="14" t="s">
        <v>142</v>
      </c>
      <c r="L46" s="14">
        <f>C46+D46</f>
        <v>18</v>
      </c>
      <c r="M46">
        <f t="shared" si="18"/>
        <v>46.875</v>
      </c>
    </row>
    <row r="47" spans="1:13">
      <c r="A47" s="41" t="s">
        <v>123</v>
      </c>
      <c r="B47" s="27" t="s">
        <v>146</v>
      </c>
      <c r="C47" s="14" t="s">
        <v>147</v>
      </c>
      <c r="D47" s="41"/>
      <c r="E47" s="27">
        <v>21</v>
      </c>
      <c r="F47" s="39">
        <v>9</v>
      </c>
      <c r="G47" s="14" t="s">
        <v>142</v>
      </c>
      <c r="H47" s="14">
        <f t="shared" si="16"/>
        <v>28.875</v>
      </c>
      <c r="I47" s="14">
        <f t="shared" si="17"/>
        <v>36.5</v>
      </c>
      <c r="J47" s="14">
        <f t="shared" si="17"/>
        <v>24.5</v>
      </c>
      <c r="K47" s="14" t="s">
        <v>142</v>
      </c>
      <c r="L47" s="14"/>
    </row>
    <row r="49" spans="1:5">
      <c r="A49" s="24" t="s">
        <v>152</v>
      </c>
    </row>
    <row r="50" spans="1:5">
      <c r="A50" s="28" t="s">
        <v>153</v>
      </c>
    </row>
    <row r="51" spans="1:5">
      <c r="B51" t="s">
        <v>119</v>
      </c>
      <c r="C51" t="s">
        <v>120</v>
      </c>
      <c r="D51" t="s">
        <v>121</v>
      </c>
      <c r="E51" t="s">
        <v>154</v>
      </c>
    </row>
    <row r="52" spans="1:5">
      <c r="A52" t="s">
        <v>119</v>
      </c>
      <c r="B52" s="42"/>
      <c r="C52" s="42"/>
      <c r="D52" s="42"/>
      <c r="E52" s="42"/>
    </row>
    <row r="53" spans="1:5">
      <c r="A53" t="s">
        <v>120</v>
      </c>
      <c r="B53" s="39" t="s">
        <v>143</v>
      </c>
      <c r="C53" s="42"/>
      <c r="D53" s="42"/>
      <c r="E53" s="42"/>
    </row>
    <row r="54" spans="1:5">
      <c r="A54" t="s">
        <v>121</v>
      </c>
      <c r="B54" s="43" t="s">
        <v>144</v>
      </c>
      <c r="C54" s="39" t="s">
        <v>143</v>
      </c>
      <c r="D54" s="42"/>
      <c r="E54" s="42"/>
    </row>
    <row r="55" spans="1:5">
      <c r="A55" t="s">
        <v>154</v>
      </c>
      <c r="B55" s="43" t="s">
        <v>144</v>
      </c>
      <c r="C55" s="43" t="s">
        <v>144</v>
      </c>
      <c r="D55" s="43" t="s">
        <v>144</v>
      </c>
      <c r="E55" s="42"/>
    </row>
  </sheetData>
  <sheetProtection algorithmName="SHA-512" hashValue="t0n+u1wTAAy83lKJw3sQUlIg8U3j/vCDs9NsubzZlak7EvpLhwaxAh7dZLEJNZw6trKujttsfrrk+8lkYLsqPw==" saltValue="s4WT9fnUZ++QYBojqFG2Ng==" spinCount="100000" sheet="1" objects="1" scenarios="1"/>
  <mergeCells count="1">
    <mergeCell ref="E16:G1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EC4F4-2EDF-45EE-894B-9E8FD7A90BE6}">
  <sheetPr codeName="Sheet3" filterMode="1">
    <pageSetUpPr autoPageBreaks="0"/>
  </sheetPr>
  <dimension ref="B2:M723"/>
  <sheetViews>
    <sheetView showGridLines="0" zoomScale="90" zoomScaleNormal="90" workbookViewId="0">
      <pane ySplit="3" topLeftCell="A4" activePane="bottomLeft" state="frozen"/>
      <selection pane="bottomLeft" activeCell="G3" sqref="G3"/>
    </sheetView>
  </sheetViews>
  <sheetFormatPr defaultRowHeight="14.45"/>
  <cols>
    <col min="2" max="2" width="14.28515625" customWidth="1"/>
    <col min="3" max="4" width="11.85546875" customWidth="1"/>
    <col min="5" max="5" width="11.5703125" customWidth="1"/>
    <col min="6" max="6" width="11.85546875" customWidth="1"/>
    <col min="7" max="7" width="16.140625" customWidth="1"/>
    <col min="8" max="9" width="12.140625" bestFit="1" customWidth="1"/>
    <col min="10" max="10" width="13.5703125" customWidth="1"/>
    <col min="11" max="11" width="11.5703125" customWidth="1"/>
    <col min="12" max="12" width="13.5703125" customWidth="1"/>
    <col min="13" max="13" width="14.28515625" customWidth="1"/>
    <col min="14" max="14" width="8.7109375" customWidth="1"/>
  </cols>
  <sheetData>
    <row r="2" spans="2:13">
      <c r="B2" s="14"/>
      <c r="C2" s="14"/>
      <c r="D2" s="14"/>
      <c r="E2" s="14"/>
      <c r="F2" s="14"/>
      <c r="G2" s="14"/>
      <c r="L2" s="14"/>
      <c r="M2" s="14"/>
    </row>
    <row r="3" spans="2:13" ht="100.5">
      <c r="B3" s="18" t="s">
        <v>19</v>
      </c>
      <c r="C3" s="17" t="s">
        <v>22</v>
      </c>
      <c r="D3" s="17" t="s">
        <v>25</v>
      </c>
      <c r="E3" s="18" t="s">
        <v>27</v>
      </c>
      <c r="F3" s="17" t="s">
        <v>29</v>
      </c>
      <c r="G3" s="18" t="s">
        <v>31</v>
      </c>
      <c r="H3" s="67" t="s">
        <v>33</v>
      </c>
      <c r="I3" s="67" t="s">
        <v>36</v>
      </c>
      <c r="J3" s="53" t="s">
        <v>9</v>
      </c>
      <c r="K3" s="53" t="s">
        <v>13</v>
      </c>
      <c r="L3" s="53" t="s">
        <v>15</v>
      </c>
      <c r="M3" s="54" t="s">
        <v>155</v>
      </c>
    </row>
    <row r="4" spans="2:13">
      <c r="B4" s="14" t="s">
        <v>156</v>
      </c>
      <c r="C4" s="19">
        <v>0</v>
      </c>
      <c r="D4" s="19"/>
      <c r="E4" s="19">
        <v>0</v>
      </c>
      <c r="F4" s="19"/>
      <c r="G4" s="14"/>
      <c r="H4" s="8" t="str">
        <f ca="1">IF(RAND()&lt;0.25,
    "",
    IF($E4=0,
       CHOOSE(MATCH(RAND(),{0,0.2,0.4,0.6,0.7,0.8,0.85,0.9,0.95,1}),"B-354","B-386","B-4354","B-347","B-357","B-3471","B-34715","B-3571","B-35715"),
       IF($G4=24,
          "B-386",
          IF($G4=12,
             CHOOSE(MATCH(RAND(),{0,0.32,0.49,0.66,0.74,0.82,0.9,1}),"B-386","B-347","B-357","B-3471","B-34715","B-3571","B-35715"),
             "")
)))</f>
        <v>B-386</v>
      </c>
      <c r="I4" s="8" t="str">
        <f ca="1">IF($H4="",
    "",
    IF(AND($E4=0,OR($H4="B-354",$H4="B-386",$H4="B-4354")),
       IF(RAND()&lt;0.5,
          "",
          IF($H4="B-354",
             "B-386",
             IF($H4="B-4354",
                "B-386",
                IF($H4="B-386",
                   IF(RAND()&lt;0.5,
                      "B-354",
                      "B-4354"),
                   "")
                 ))),
       ""))</f>
        <v>B-4354</v>
      </c>
      <c r="J4">
        <f t="shared" ref="J4:J48" ca="1" si="0">IF(B4="BOTTOM",
   60,
   IF(B4="TOP",
      RANDBETWEEN(3*16,50*16)/16,
      IF(B4="WHOLE",
         IF(RAND()&lt;0.75,
            RANDBETWEEN(36*16,110*16)/16,
            96
         ),
         ""
      )
   )
)</f>
        <v>18.125</v>
      </c>
      <c r="K4">
        <f t="shared" ref="K4:K48" ca="1" si="1">_xlfn.LET(
_xlpm.minVal, IF($H4&lt;&gt;"",40,5),
RANDBETWEEN(_xlpm.minVal*16,80*16)/16
)</f>
        <v>56</v>
      </c>
      <c r="L4" s="14">
        <f t="shared" ref="L4:L67" ca="1" si="2" xml:space="preserve">    _xlfn.LET(
      _xlpm.k, RANDBETWEEN(1,6),
      _xlpm.step, 1/16,
      IF(
        _xlpm.k=1, 1,
        IF(
          _xlpm.k=2, 4.5,
          IF(
            _xlpm.k=3, 9,
            IF(
              _xlpm.k=4, 12,
              IF(
                _xlpm.k=5,
                  1 + _xlpm.step*RANDBETWEEN(1, (4.5-1)/_xlpm.step - 1),
                  4.5 + _xlpm.step*RANDBETWEEN(1, (12-4.5)/_xlpm.step - 1)
              )
            )
          )
        )
      )
    )</f>
        <v>9</v>
      </c>
      <c r="M4" s="14">
        <f ca="1">_xlfn.LET(
  _xlpm.r, RAND(),
  IF(
     _xlpm.r &lt; 0.25,
     1,
     IF(
        _xlpm.r &lt; 0.5,
        1 + RANDBETWEEN(0,16*4)/16,
        IF(
            _xlpm.r &lt; 0.75,
            4.5 + RANDBETWEEN(0,16*4)/16,
            ""
           )
        )
     )
)</f>
        <v>1</v>
      </c>
    </row>
    <row r="5" spans="2:13">
      <c r="B5" s="14" t="s">
        <v>156</v>
      </c>
      <c r="C5" s="14">
        <v>0</v>
      </c>
      <c r="D5" s="14"/>
      <c r="E5" s="14">
        <v>1</v>
      </c>
      <c r="F5" s="14">
        <v>0</v>
      </c>
      <c r="G5" s="14">
        <v>12</v>
      </c>
      <c r="H5" s="8" t="str">
        <f ca="1">IF(RAND()&lt;0.25,
    "",
    IF($E5=0,
       CHOOSE(MATCH(RAND(),{0,0.2,0.4,0.6,0.7,0.8,0.85,0.9,0.95,1}),"B-354","B-386","B-4354","B-347","B-357","B-3471","B-34715","B-3571","B-35715"),
       IF($G5=24,
          "B-386",
          IF($G5=12,
             CHOOSE(MATCH(RAND(),{0,0.32,0.49,0.66,0.74,0.82,0.9,1}),"B-386","B-347","B-357","B-3471","B-34715","B-3571","B-35715"),
             "")
)))</f>
        <v>B-386</v>
      </c>
      <c r="I5" s="8" t="str">
        <f t="shared" ref="I5:I68" ca="1" si="3">IF($H5="",
    "",
    IF(AND($E5=0,OR($H5="B-354",$H5="B-386",$H5="B-4354")),
       IF(RAND()&lt;0.5,
          "",
          IF($H5="B-354",
             "B-386",
             IF($H5="B-4354",
                "B-386",
                IF($H5="B-386",
                   IF(RAND()&lt;0.5,
                      "B-354",
                      "B-4354"),
                   "")
                 ))),
       ""))</f>
        <v/>
      </c>
      <c r="J5">
        <f t="shared" ca="1" si="0"/>
        <v>6.125</v>
      </c>
      <c r="K5">
        <f t="shared" ca="1" si="1"/>
        <v>44</v>
      </c>
      <c r="L5" s="14">
        <f t="shared" ca="1" si="2"/>
        <v>12</v>
      </c>
      <c r="M5" s="14">
        <f t="shared" ref="M5:M68" ca="1" si="4">_xlfn.LET(
  _xlpm.r, RAND(),
  IF(
     _xlpm.r &lt; 0.25,
     1,
     IF(
        _xlpm.r &lt; 0.5,
        1 + RANDBETWEEN(0,16*4)/16,
        IF(
            _xlpm.r &lt; 0.75,
            4.5 + RANDBETWEEN(0,16*4)/16,
            ""
           )
        )
     )
)</f>
        <v>1.1875</v>
      </c>
    </row>
    <row r="6" spans="2:13">
      <c r="B6" s="14" t="s">
        <v>156</v>
      </c>
      <c r="C6" s="14">
        <v>0</v>
      </c>
      <c r="D6" s="14"/>
      <c r="E6" s="14">
        <v>1</v>
      </c>
      <c r="F6" s="14">
        <v>0</v>
      </c>
      <c r="G6" s="14">
        <v>24</v>
      </c>
      <c r="H6" s="8" t="str">
        <f ca="1">IF(RAND()&lt;0.25,
    "",
    IF($E6=0,
       CHOOSE(MATCH(RAND(),{0,0.2,0.4,0.6,0.7,0.8,0.85,0.9,0.95,1}),"B-354","B-386","B-4354","B-347","B-357","B-3471","B-34715","B-3571","B-35715"),
       IF($G6=24,
          "B-386",
          IF($G6=12,
             CHOOSE(MATCH(RAND(),{0,0.32,0.49,0.66,0.74,0.82,0.9,1}),"B-386","B-347","B-357","B-3471","B-34715","B-3571","B-35715"),
             "")
)))</f>
        <v>B-386</v>
      </c>
      <c r="I6" s="8" t="str">
        <f t="shared" ca="1" si="3"/>
        <v/>
      </c>
      <c r="J6">
        <f t="shared" ca="1" si="0"/>
        <v>28.4375</v>
      </c>
      <c r="K6">
        <f t="shared" ca="1" si="1"/>
        <v>53.75</v>
      </c>
      <c r="L6" s="14">
        <f t="shared" ca="1" si="2"/>
        <v>1</v>
      </c>
      <c r="M6" s="14">
        <f t="shared" ca="1" si="4"/>
        <v>4.1875</v>
      </c>
    </row>
    <row r="7" spans="2:13" hidden="1">
      <c r="B7" s="14" t="s">
        <v>156</v>
      </c>
      <c r="C7" s="14">
        <v>0</v>
      </c>
      <c r="D7" s="14"/>
      <c r="E7" s="14">
        <v>1</v>
      </c>
      <c r="F7" s="14">
        <v>0</v>
      </c>
      <c r="G7" s="14"/>
      <c r="H7" s="8" t="str">
        <f ca="1">IF(RAND()&lt;0.25,
    "",
    IF($E7=0,
       CHOOSE(MATCH(RAND(),{0,0.2,0.4,0.6,0.7,0.8,0.85,0.9,0.95,1}),"B-354","B-386","B-4354","B-347","B-357","B-3471","B-34715","B-3571","B-35715"),
       IF($G7=24,
          "B-386",
          IF($G7=12,
             CHOOSE(MATCH(RAND(),{0,0.32,0.49,0.66,0.74,0.82,0.9,1}),"B-386","B-347","B-357","B-3471","B-34715","B-3571","B-35715"),
             "")
)))</f>
        <v/>
      </c>
      <c r="I7" s="8" t="str">
        <f t="shared" ca="1" si="3"/>
        <v/>
      </c>
      <c r="J7">
        <f t="shared" ca="1" si="0"/>
        <v>39.125</v>
      </c>
      <c r="K7">
        <f t="shared" ca="1" si="1"/>
        <v>68</v>
      </c>
      <c r="L7" s="14">
        <f t="shared" ca="1" si="2"/>
        <v>1</v>
      </c>
      <c r="M7" s="14">
        <f t="shared" ca="1" si="4"/>
        <v>2.75</v>
      </c>
    </row>
    <row r="8" spans="2:13" hidden="1">
      <c r="B8" s="14" t="s">
        <v>156</v>
      </c>
      <c r="C8" s="14">
        <v>0</v>
      </c>
      <c r="D8" s="14"/>
      <c r="E8" s="14">
        <v>1</v>
      </c>
      <c r="F8" s="14">
        <v>1</v>
      </c>
      <c r="G8" s="14"/>
      <c r="H8" s="8" t="str">
        <f ca="1">IF(RAND()&lt;0.25,
    "",
    IF($E8=0,
       CHOOSE(MATCH(RAND(),{0,0.2,0.4,0.6,0.7,0.8,0.85,0.9,0.95,1}),"B-354","B-386","B-4354","B-347","B-357","B-3471","B-34715","B-3571","B-35715"),
       IF($G8=24,
          "B-386",
          IF($G8=12,
             CHOOSE(MATCH(RAND(),{0,0.32,0.49,0.66,0.74,0.82,0.9,1}),"B-386","B-347","B-357","B-3471","B-34715","B-3571","B-35715"),
             "")
)))</f>
        <v/>
      </c>
      <c r="I8" s="8" t="str">
        <f t="shared" ca="1" si="3"/>
        <v/>
      </c>
      <c r="J8">
        <f t="shared" ca="1" si="0"/>
        <v>24</v>
      </c>
      <c r="K8">
        <f t="shared" ca="1" si="1"/>
        <v>18.1875</v>
      </c>
      <c r="L8" s="14">
        <f t="shared" ca="1" si="2"/>
        <v>12</v>
      </c>
      <c r="M8" s="14">
        <f t="shared" ca="1" si="4"/>
        <v>4.75</v>
      </c>
    </row>
    <row r="9" spans="2:13">
      <c r="B9" s="14" t="s">
        <v>156</v>
      </c>
      <c r="C9" s="14">
        <v>1</v>
      </c>
      <c r="D9" s="14">
        <v>0</v>
      </c>
      <c r="E9" s="14">
        <v>0</v>
      </c>
      <c r="F9" s="14"/>
      <c r="G9" s="14"/>
      <c r="H9" s="8" t="str">
        <f ca="1">IF(RAND()&lt;0.25,
    "",
    IF($E9=0,
       CHOOSE(MATCH(RAND(),{0,0.2,0.4,0.6,0.7,0.8,0.85,0.9,0.95,1}),"B-354","B-386","B-4354","B-347","B-357","B-3471","B-34715","B-3571","B-35715"),
       IF($G9=24,
          "B-386",
          IF($G9=12,
             CHOOSE(MATCH(RAND(),{0,0.32,0.49,0.66,0.74,0.82,0.9,1}),"B-386","B-347","B-357","B-3471","B-34715","B-3571","B-35715"),
             "")
)))</f>
        <v/>
      </c>
      <c r="I9" s="8" t="str">
        <f t="shared" ca="1" si="3"/>
        <v/>
      </c>
      <c r="J9">
        <f t="shared" ca="1" si="0"/>
        <v>30.5</v>
      </c>
      <c r="K9">
        <f t="shared" ca="1" si="1"/>
        <v>42.125</v>
      </c>
      <c r="L9" s="14">
        <f t="shared" ca="1" si="2"/>
        <v>3.375</v>
      </c>
      <c r="M9" s="14">
        <f t="shared" ca="1" si="4"/>
        <v>7.8125</v>
      </c>
    </row>
    <row r="10" spans="2:13">
      <c r="B10" s="14" t="s">
        <v>156</v>
      </c>
      <c r="C10" s="14">
        <v>1</v>
      </c>
      <c r="D10" s="14">
        <v>0</v>
      </c>
      <c r="E10" s="14">
        <v>1</v>
      </c>
      <c r="F10" s="14">
        <v>0</v>
      </c>
      <c r="G10" s="14">
        <v>12</v>
      </c>
      <c r="H10" s="8" t="str">
        <f ca="1">IF(RAND()&lt;0.25,
    "",
    IF($E10=0,
       CHOOSE(MATCH(RAND(),{0,0.2,0.4,0.6,0.7,0.8,0.85,0.9,0.95,1}),"B-354","B-386","B-4354","B-347","B-357","B-3471","B-34715","B-3571","B-35715"),
       IF($G10=24,
          "B-386",
          IF($G10=12,
             CHOOSE(MATCH(RAND(),{0,0.32,0.49,0.66,0.74,0.82,0.9,1}),"B-386","B-347","B-357","B-3471","B-34715","B-3571","B-35715"),
             "")
)))</f>
        <v>B-3571</v>
      </c>
      <c r="I10" s="8" t="str">
        <f t="shared" ca="1" si="3"/>
        <v/>
      </c>
      <c r="J10">
        <f t="shared" ca="1" si="0"/>
        <v>12.125</v>
      </c>
      <c r="K10">
        <f t="shared" ca="1" si="1"/>
        <v>52</v>
      </c>
      <c r="L10" s="14">
        <f t="shared" ca="1" si="2"/>
        <v>4.5</v>
      </c>
      <c r="M10" s="14">
        <f t="shared" ca="1" si="4"/>
        <v>2.3125</v>
      </c>
    </row>
    <row r="11" spans="2:13" hidden="1">
      <c r="B11" s="14" t="s">
        <v>156</v>
      </c>
      <c r="C11" s="14">
        <v>1</v>
      </c>
      <c r="D11" s="14">
        <v>0</v>
      </c>
      <c r="E11" s="14">
        <v>1</v>
      </c>
      <c r="F11" s="14">
        <v>0</v>
      </c>
      <c r="G11" s="14">
        <v>24</v>
      </c>
      <c r="H11" s="8" t="str">
        <f ca="1">IF(RAND()&lt;0.25,
    "",
    IF($E11=0,
       CHOOSE(MATCH(RAND(),{0,0.2,0.4,0.6,0.7,0.8,0.85,0.9,0.95,1}),"B-354","B-386","B-4354","B-347","B-357","B-3471","B-34715","B-3571","B-35715"),
       IF($G11=24,
          "B-386",
          IF($G11=12,
             CHOOSE(MATCH(RAND(),{0,0.32,0.49,0.66,0.74,0.82,0.9,1}),"B-386","B-347","B-357","B-3471","B-34715","B-3571","B-35715"),
             "")
)))</f>
        <v>B-386</v>
      </c>
      <c r="I11" s="8" t="str">
        <f t="shared" ca="1" si="3"/>
        <v/>
      </c>
      <c r="J11">
        <f t="shared" ca="1" si="0"/>
        <v>37.5</v>
      </c>
      <c r="K11">
        <f t="shared" ca="1" si="1"/>
        <v>57.875</v>
      </c>
      <c r="L11" s="14">
        <f t="shared" ca="1" si="2"/>
        <v>4.5</v>
      </c>
      <c r="M11" s="14">
        <f t="shared" ca="1" si="4"/>
        <v>2.125</v>
      </c>
    </row>
    <row r="12" spans="2:13" hidden="1">
      <c r="B12" s="14" t="s">
        <v>156</v>
      </c>
      <c r="C12" s="14">
        <v>1</v>
      </c>
      <c r="D12" s="14">
        <v>0</v>
      </c>
      <c r="E12" s="14">
        <v>1</v>
      </c>
      <c r="F12" s="14">
        <v>0</v>
      </c>
      <c r="G12" s="14"/>
      <c r="H12" s="8" t="str">
        <f ca="1">IF(RAND()&lt;0.25,
    "",
    IF($E12=0,
       CHOOSE(MATCH(RAND(),{0,0.2,0.4,0.6,0.7,0.8,0.85,0.9,0.95,1}),"B-354","B-386","B-4354","B-347","B-357","B-3471","B-34715","B-3571","B-35715"),
       IF($G12=24,
          "B-386",
          IF($G12=12,
             CHOOSE(MATCH(RAND(),{0,0.32,0.49,0.66,0.74,0.82,0.9,1}),"B-386","B-347","B-357","B-3471","B-34715","B-3571","B-35715"),
             "")
)))</f>
        <v/>
      </c>
      <c r="I12" s="8" t="str">
        <f t="shared" ca="1" si="3"/>
        <v/>
      </c>
      <c r="J12">
        <f t="shared" ca="1" si="0"/>
        <v>14.875</v>
      </c>
      <c r="K12">
        <f t="shared" ca="1" si="1"/>
        <v>31.375</v>
      </c>
      <c r="L12" s="14">
        <f t="shared" ca="1" si="2"/>
        <v>9</v>
      </c>
      <c r="M12" s="14">
        <f t="shared" ca="1" si="4"/>
        <v>6.5625</v>
      </c>
    </row>
    <row r="13" spans="2:13" hidden="1">
      <c r="B13" s="14" t="s">
        <v>156</v>
      </c>
      <c r="C13" s="14">
        <v>1</v>
      </c>
      <c r="D13" s="14">
        <v>0</v>
      </c>
      <c r="E13" s="14">
        <v>1</v>
      </c>
      <c r="F13" s="14">
        <v>1</v>
      </c>
      <c r="G13" s="14"/>
      <c r="H13" s="8" t="str">
        <f ca="1">IF(RAND()&lt;0.25,
    "",
    IF($E13=0,
       CHOOSE(MATCH(RAND(),{0,0.2,0.4,0.6,0.7,0.8,0.85,0.9,0.95,1}),"B-354","B-386","B-4354","B-347","B-357","B-3471","B-34715","B-3571","B-35715"),
       IF($G13=24,
          "B-386",
          IF($G13=12,
             CHOOSE(MATCH(RAND(),{0,0.32,0.49,0.66,0.74,0.82,0.9,1}),"B-386","B-347","B-357","B-3471","B-34715","B-3571","B-35715"),
             "")
)))</f>
        <v/>
      </c>
      <c r="I13" s="8" t="str">
        <f t="shared" ca="1" si="3"/>
        <v/>
      </c>
      <c r="J13">
        <f t="shared" ca="1" si="0"/>
        <v>42.1875</v>
      </c>
      <c r="K13">
        <f t="shared" ca="1" si="1"/>
        <v>9.3125</v>
      </c>
      <c r="L13" s="14">
        <f t="shared" ca="1" si="2"/>
        <v>9</v>
      </c>
      <c r="M13" s="14">
        <f t="shared" ca="1" si="4"/>
        <v>1.375</v>
      </c>
    </row>
    <row r="14" spans="2:13" hidden="1">
      <c r="B14" s="14" t="s">
        <v>156</v>
      </c>
      <c r="C14" s="14">
        <v>1</v>
      </c>
      <c r="D14" s="14">
        <v>1</v>
      </c>
      <c r="E14" s="14">
        <v>0</v>
      </c>
      <c r="F14" s="14"/>
      <c r="G14" s="14"/>
      <c r="H14" s="8" t="str">
        <f ca="1">IF(RAND()&lt;0.25,
    "",
    IF($E14=0,
       CHOOSE(MATCH(RAND(),{0,0.2,0.4,0.6,0.7,0.8,0.85,0.9,0.95,1}),"B-354","B-386","B-4354","B-347","B-357","B-3471","B-34715","B-3571","B-35715"),
       IF($G14=24,
          "B-386",
          IF($G14=12,
             CHOOSE(MATCH(RAND(),{0,0.32,0.49,0.66,0.74,0.82,0.9,1}),"B-386","B-347","B-357","B-3471","B-34715","B-3571","B-35715"),
             "")
)))</f>
        <v>B-354</v>
      </c>
      <c r="I14" s="8" t="str">
        <f t="shared" ca="1" si="3"/>
        <v>B-386</v>
      </c>
      <c r="J14">
        <f t="shared" ca="1" si="0"/>
        <v>13.9375</v>
      </c>
      <c r="K14">
        <f t="shared" ca="1" si="1"/>
        <v>79.75</v>
      </c>
      <c r="L14" s="14">
        <f t="shared" ca="1" si="2"/>
        <v>9</v>
      </c>
      <c r="M14" s="14">
        <f t="shared" ca="1" si="4"/>
        <v>1</v>
      </c>
    </row>
    <row r="15" spans="2:13">
      <c r="B15" s="14" t="s">
        <v>156</v>
      </c>
      <c r="C15" s="14">
        <v>1</v>
      </c>
      <c r="D15" s="14">
        <v>1</v>
      </c>
      <c r="E15" s="14">
        <v>1</v>
      </c>
      <c r="F15" s="14">
        <v>0</v>
      </c>
      <c r="G15" s="14">
        <v>12</v>
      </c>
      <c r="H15" s="8" t="str">
        <f ca="1">IF(RAND()&lt;0.25,
    "",
    IF($E15=0,
       CHOOSE(MATCH(RAND(),{0,0.2,0.4,0.6,0.7,0.8,0.85,0.9,0.95,1}),"B-354","B-386","B-4354","B-347","B-357","B-3471","B-34715","B-3571","B-35715"),
       IF($G15=24,
          "B-386",
          IF($G15=12,
             CHOOSE(MATCH(RAND(),{0,0.32,0.49,0.66,0.74,0.82,0.9,1}),"B-386","B-347","B-357","B-3471","B-34715","B-3571","B-35715"),
             "")
)))</f>
        <v>B-386</v>
      </c>
      <c r="I15" s="8" t="str">
        <f t="shared" ca="1" si="3"/>
        <v/>
      </c>
      <c r="J15">
        <f t="shared" ca="1" si="0"/>
        <v>37.5625</v>
      </c>
      <c r="K15">
        <f t="shared" ca="1" si="1"/>
        <v>52.625</v>
      </c>
      <c r="L15" s="14">
        <f t="shared" ca="1" si="2"/>
        <v>1</v>
      </c>
      <c r="M15" s="14">
        <f t="shared" ca="1" si="4"/>
        <v>5.375</v>
      </c>
    </row>
    <row r="16" spans="2:13" hidden="1">
      <c r="B16" s="14" t="s">
        <v>156</v>
      </c>
      <c r="C16" s="14">
        <v>1</v>
      </c>
      <c r="D16" s="14">
        <v>1</v>
      </c>
      <c r="E16" s="14">
        <v>1</v>
      </c>
      <c r="F16" s="14">
        <v>0</v>
      </c>
      <c r="G16" s="14">
        <v>24</v>
      </c>
      <c r="H16" s="8" t="str">
        <f ca="1">IF(RAND()&lt;0.25,
    "",
    IF($E16=0,
       CHOOSE(MATCH(RAND(),{0,0.2,0.4,0.6,0.7,0.8,0.85,0.9,0.95,1}),"B-354","B-386","B-4354","B-347","B-357","B-3471","B-34715","B-3571","B-35715"),
       IF($G16=24,
          "B-386",
          IF($G16=12,
             CHOOSE(MATCH(RAND(),{0,0.32,0.49,0.66,0.74,0.82,0.9,1}),"B-386","B-347","B-357","B-3471","B-34715","B-3571","B-35715"),
             "")
)))</f>
        <v>B-386</v>
      </c>
      <c r="I16" s="8" t="str">
        <f t="shared" ca="1" si="3"/>
        <v/>
      </c>
      <c r="J16">
        <f t="shared" ca="1" si="0"/>
        <v>18</v>
      </c>
      <c r="K16">
        <f t="shared" ca="1" si="1"/>
        <v>53.3125</v>
      </c>
      <c r="L16" s="14">
        <f t="shared" ca="1" si="2"/>
        <v>4.5</v>
      </c>
      <c r="M16" s="14">
        <f t="shared" ca="1" si="4"/>
        <v>1.4375</v>
      </c>
    </row>
    <row r="17" spans="2:13" hidden="1">
      <c r="B17" s="14" t="s">
        <v>156</v>
      </c>
      <c r="C17" s="14">
        <v>1</v>
      </c>
      <c r="D17" s="14">
        <v>1</v>
      </c>
      <c r="E17" s="14">
        <v>1</v>
      </c>
      <c r="F17" s="14">
        <v>0</v>
      </c>
      <c r="G17" s="14"/>
      <c r="H17" s="8" t="str">
        <f ca="1">IF(RAND()&lt;0.25,
    "",
    IF($E17=0,
       CHOOSE(MATCH(RAND(),{0,0.2,0.4,0.6,0.7,0.8,0.85,0.9,0.95,1}),"B-354","B-386","B-4354","B-347","B-357","B-3471","B-34715","B-3571","B-35715"),
       IF($G17=24,
          "B-386",
          IF($G17=12,
             CHOOSE(MATCH(RAND(),{0,0.32,0.49,0.66,0.74,0.82,0.9,1}),"B-386","B-347","B-357","B-3471","B-34715","B-3571","B-35715"),
             "")
)))</f>
        <v/>
      </c>
      <c r="I17" s="8" t="str">
        <f t="shared" ca="1" si="3"/>
        <v/>
      </c>
      <c r="J17">
        <f t="shared" ca="1" si="0"/>
        <v>35.3125</v>
      </c>
      <c r="K17">
        <f t="shared" ca="1" si="1"/>
        <v>17.375</v>
      </c>
      <c r="L17" s="14">
        <f t="shared" ca="1" si="2"/>
        <v>1.3125</v>
      </c>
      <c r="M17" s="14" t="str">
        <f t="shared" ca="1" si="4"/>
        <v/>
      </c>
    </row>
    <row r="18" spans="2:13" hidden="1">
      <c r="B18" s="14" t="s">
        <v>156</v>
      </c>
      <c r="C18" s="14">
        <v>1</v>
      </c>
      <c r="D18" s="14">
        <v>1</v>
      </c>
      <c r="E18" s="14">
        <v>1</v>
      </c>
      <c r="F18" s="14">
        <v>1</v>
      </c>
      <c r="G18" s="14"/>
      <c r="H18" s="8" t="str">
        <f ca="1">IF(RAND()&lt;0.25,
    "",
    IF($E18=0,
       CHOOSE(MATCH(RAND(),{0,0.2,0.4,0.6,0.7,0.8,0.85,0.9,0.95,1}),"B-354","B-386","B-4354","B-347","B-357","B-3471","B-34715","B-3571","B-35715"),
       IF($G18=24,
          "B-386",
          IF($G18=12,
             CHOOSE(MATCH(RAND(),{0,0.32,0.49,0.66,0.74,0.82,0.9,1}),"B-386","B-347","B-357","B-3471","B-34715","B-3571","B-35715"),
             "")
)))</f>
        <v/>
      </c>
      <c r="I18" s="8" t="str">
        <f t="shared" ca="1" si="3"/>
        <v/>
      </c>
      <c r="J18">
        <f t="shared" ca="1" si="0"/>
        <v>22.0625</v>
      </c>
      <c r="K18">
        <f t="shared" ca="1" si="1"/>
        <v>70.6875</v>
      </c>
      <c r="L18" s="14">
        <f t="shared" ca="1" si="2"/>
        <v>11.1875</v>
      </c>
      <c r="M18" s="14">
        <f t="shared" ca="1" si="4"/>
        <v>3.5</v>
      </c>
    </row>
    <row r="19" spans="2:13">
      <c r="B19" s="14" t="s">
        <v>157</v>
      </c>
      <c r="C19" s="14">
        <v>0</v>
      </c>
      <c r="D19" s="14"/>
      <c r="E19" s="14">
        <v>0</v>
      </c>
      <c r="F19" s="14"/>
      <c r="G19" s="14"/>
      <c r="H19" s="8" t="str">
        <f ca="1">IF(RAND()&lt;0.25,
    "",
    IF($E19=0,
       CHOOSE(MATCH(RAND(),{0,0.2,0.4,0.6,0.7,0.8,0.85,0.9,0.95,1}),"B-354","B-386","B-4354","B-347","B-357","B-3471","B-34715","B-3571","B-35715"),
       IF($G19=24,
          "B-386",
          IF($G19=12,
             CHOOSE(MATCH(RAND(),{0,0.32,0.49,0.66,0.74,0.82,0.9,1}),"B-386","B-347","B-357","B-3471","B-34715","B-3571","B-35715"),
             "")
)))</f>
        <v>B-357</v>
      </c>
      <c r="I19" s="8" t="str">
        <f t="shared" ca="1" si="3"/>
        <v/>
      </c>
      <c r="J19">
        <f t="shared" ca="1" si="0"/>
        <v>60</v>
      </c>
      <c r="K19">
        <f t="shared" ca="1" si="1"/>
        <v>44.625</v>
      </c>
      <c r="L19" s="14">
        <f t="shared" ca="1" si="2"/>
        <v>4.5625</v>
      </c>
      <c r="M19" s="14" t="str">
        <f t="shared" ca="1" si="4"/>
        <v/>
      </c>
    </row>
    <row r="20" spans="2:13">
      <c r="B20" s="14" t="s">
        <v>157</v>
      </c>
      <c r="C20" s="14">
        <v>0</v>
      </c>
      <c r="D20" s="14"/>
      <c r="E20" s="14">
        <v>1</v>
      </c>
      <c r="F20" s="14">
        <v>0</v>
      </c>
      <c r="G20" s="14">
        <v>12</v>
      </c>
      <c r="H20" s="8" t="str">
        <f ca="1">IF(RAND()&lt;0.25,
    "",
    IF($E20=0,
       CHOOSE(MATCH(RAND(),{0,0.2,0.4,0.6,0.7,0.8,0.85,0.9,0.95,1}),"B-354","B-386","B-4354","B-347","B-357","B-3471","B-34715","B-3571","B-35715"),
       IF($G20=24,
          "B-386",
          IF($G20=12,
             CHOOSE(MATCH(RAND(),{0,0.32,0.49,0.66,0.74,0.82,0.9,1}),"B-386","B-347","B-357","B-3471","B-34715","B-3571","B-35715"),
             "")
)))</f>
        <v/>
      </c>
      <c r="I20" s="8" t="str">
        <f t="shared" ca="1" si="3"/>
        <v/>
      </c>
      <c r="J20">
        <f t="shared" ca="1" si="0"/>
        <v>60</v>
      </c>
      <c r="K20">
        <f t="shared" ca="1" si="1"/>
        <v>43.6875</v>
      </c>
      <c r="L20" s="14">
        <f t="shared" ca="1" si="2"/>
        <v>4.5</v>
      </c>
      <c r="M20" s="14" t="str">
        <f t="shared" ca="1" si="4"/>
        <v/>
      </c>
    </row>
    <row r="21" spans="2:13">
      <c r="B21" s="14" t="s">
        <v>157</v>
      </c>
      <c r="C21" s="14">
        <v>0</v>
      </c>
      <c r="D21" s="14"/>
      <c r="E21" s="14">
        <v>1</v>
      </c>
      <c r="F21" s="14">
        <v>0</v>
      </c>
      <c r="G21" s="14">
        <v>24</v>
      </c>
      <c r="H21" s="8" t="str">
        <f ca="1">IF(RAND()&lt;0.25,
    "",
    IF($E21=0,
       CHOOSE(MATCH(RAND(),{0,0.2,0.4,0.6,0.7,0.8,0.85,0.9,0.95,1}),"B-354","B-386","B-4354","B-347","B-357","B-3471","B-34715","B-3571","B-35715"),
       IF($G21=24,
          "B-386",
          IF($G21=12,
             CHOOSE(MATCH(RAND(),{0,0.32,0.49,0.66,0.74,0.82,0.9,1}),"B-386","B-347","B-357","B-3471","B-34715","B-3571","B-35715"),
             "")
)))</f>
        <v>B-386</v>
      </c>
      <c r="I21" s="8" t="str">
        <f t="shared" ca="1" si="3"/>
        <v/>
      </c>
      <c r="J21">
        <f t="shared" ca="1" si="0"/>
        <v>60</v>
      </c>
      <c r="K21">
        <f t="shared" ca="1" si="1"/>
        <v>72.0625</v>
      </c>
      <c r="L21" s="14">
        <f t="shared" ca="1" si="2"/>
        <v>12</v>
      </c>
      <c r="M21" s="14">
        <f t="shared" ca="1" si="4"/>
        <v>6.125</v>
      </c>
    </row>
    <row r="22" spans="2:13" hidden="1">
      <c r="B22" s="14" t="s">
        <v>157</v>
      </c>
      <c r="C22" s="14">
        <v>0</v>
      </c>
      <c r="D22" s="14"/>
      <c r="E22" s="14">
        <v>1</v>
      </c>
      <c r="F22" s="14">
        <v>0</v>
      </c>
      <c r="G22" s="14"/>
      <c r="H22" s="8" t="str">
        <f ca="1">IF(RAND()&lt;0.25,
    "",
    IF($E22=0,
       CHOOSE(MATCH(RAND(),{0,0.2,0.4,0.6,0.7,0.8,0.85,0.9,0.95,1}),"B-354","B-386","B-4354","B-347","B-357","B-3471","B-34715","B-3571","B-35715"),
       IF($G22=24,
          "B-386",
          IF($G22=12,
             CHOOSE(MATCH(RAND(),{0,0.32,0.49,0.66,0.74,0.82,0.9,1}),"B-386","B-347","B-357","B-3471","B-34715","B-3571","B-35715"),
             "")
)))</f>
        <v/>
      </c>
      <c r="I22" s="8" t="str">
        <f t="shared" ca="1" si="3"/>
        <v/>
      </c>
      <c r="J22">
        <f t="shared" ca="1" si="0"/>
        <v>60</v>
      </c>
      <c r="K22">
        <f t="shared" ca="1" si="1"/>
        <v>47.875</v>
      </c>
      <c r="L22" s="14">
        <f t="shared" ca="1" si="2"/>
        <v>1.3125</v>
      </c>
      <c r="M22" s="14">
        <f t="shared" ca="1" si="4"/>
        <v>3</v>
      </c>
    </row>
    <row r="23" spans="2:13" hidden="1">
      <c r="B23" s="14" t="s">
        <v>157</v>
      </c>
      <c r="C23" s="14">
        <v>0</v>
      </c>
      <c r="D23" s="14"/>
      <c r="E23" s="14">
        <v>1</v>
      </c>
      <c r="F23" s="14">
        <v>1</v>
      </c>
      <c r="G23" s="14"/>
      <c r="H23" s="8" t="str">
        <f ca="1">IF(RAND()&lt;0.25,
    "",
    IF($E23=0,
       CHOOSE(MATCH(RAND(),{0,0.2,0.4,0.6,0.7,0.8,0.85,0.9,0.95,1}),"B-354","B-386","B-4354","B-347","B-357","B-3471","B-34715","B-3571","B-35715"),
       IF($G23=24,
          "B-386",
          IF($G23=12,
             CHOOSE(MATCH(RAND(),{0,0.32,0.49,0.66,0.74,0.82,0.9,1}),"B-386","B-347","B-357","B-3471","B-34715","B-3571","B-35715"),
             "")
)))</f>
        <v/>
      </c>
      <c r="I23" s="8" t="str">
        <f t="shared" ca="1" si="3"/>
        <v/>
      </c>
      <c r="J23">
        <f t="shared" ca="1" si="0"/>
        <v>60</v>
      </c>
      <c r="K23">
        <f t="shared" ca="1" si="1"/>
        <v>50.3125</v>
      </c>
      <c r="L23" s="14">
        <f t="shared" ca="1" si="2"/>
        <v>4.5</v>
      </c>
      <c r="M23" s="14">
        <f t="shared" ca="1" si="4"/>
        <v>7.75</v>
      </c>
    </row>
    <row r="24" spans="2:13">
      <c r="B24" s="14" t="s">
        <v>157</v>
      </c>
      <c r="C24" s="14">
        <v>1</v>
      </c>
      <c r="D24" s="14">
        <v>0</v>
      </c>
      <c r="E24" s="14">
        <v>0</v>
      </c>
      <c r="F24" s="14"/>
      <c r="G24" s="14"/>
      <c r="H24" s="8" t="str">
        <f ca="1">IF(RAND()&lt;0.25,
    "",
    IF($E24=0,
       CHOOSE(MATCH(RAND(),{0,0.2,0.4,0.6,0.7,0.8,0.85,0.9,0.95,1}),"B-354","B-386","B-4354","B-347","B-357","B-3471","B-34715","B-3571","B-35715"),
       IF($G24=24,
          "B-386",
          IF($G24=12,
             CHOOSE(MATCH(RAND(),{0,0.32,0.49,0.66,0.74,0.82,0.9,1}),"B-386","B-347","B-357","B-3471","B-34715","B-3571","B-35715"),
             "")
)))</f>
        <v>B-354</v>
      </c>
      <c r="I24" s="8" t="str">
        <f t="shared" ca="1" si="3"/>
        <v/>
      </c>
      <c r="J24">
        <f t="shared" ca="1" si="0"/>
        <v>60</v>
      </c>
      <c r="K24">
        <f t="shared" ca="1" si="1"/>
        <v>67.1875</v>
      </c>
      <c r="L24" s="14">
        <f t="shared" ca="1" si="2"/>
        <v>12</v>
      </c>
      <c r="M24" s="14">
        <f t="shared" ca="1" si="4"/>
        <v>1</v>
      </c>
    </row>
    <row r="25" spans="2:13">
      <c r="B25" s="14" t="s">
        <v>157</v>
      </c>
      <c r="C25" s="14">
        <v>1</v>
      </c>
      <c r="D25" s="14">
        <v>0</v>
      </c>
      <c r="E25" s="14">
        <v>1</v>
      </c>
      <c r="F25" s="14">
        <v>0</v>
      </c>
      <c r="G25" s="14">
        <v>12</v>
      </c>
      <c r="H25" s="8" t="str">
        <f ca="1">IF(RAND()&lt;0.25,
    "",
    IF($E25=0,
       CHOOSE(MATCH(RAND(),{0,0.2,0.4,0.6,0.7,0.8,0.85,0.9,0.95,1}),"B-354","B-386","B-4354","B-347","B-357","B-3471","B-34715","B-3571","B-35715"),
       IF($G25=24,
          "B-386",
          IF($G25=12,
             CHOOSE(MATCH(RAND(),{0,0.32,0.49,0.66,0.74,0.82,0.9,1}),"B-386","B-347","B-357","B-3471","B-34715","B-3571","B-35715"),
             "")
)))</f>
        <v/>
      </c>
      <c r="I25" s="8" t="str">
        <f t="shared" ca="1" si="3"/>
        <v/>
      </c>
      <c r="J25">
        <f t="shared" ca="1" si="0"/>
        <v>60</v>
      </c>
      <c r="K25">
        <f t="shared" ca="1" si="1"/>
        <v>30.9375</v>
      </c>
      <c r="L25" s="14">
        <f t="shared" ca="1" si="2"/>
        <v>12</v>
      </c>
      <c r="M25" s="14" t="str">
        <f t="shared" ca="1" si="4"/>
        <v/>
      </c>
    </row>
    <row r="26" spans="2:13">
      <c r="B26" s="14" t="s">
        <v>157</v>
      </c>
      <c r="C26" s="14">
        <v>1</v>
      </c>
      <c r="D26" s="14">
        <v>0</v>
      </c>
      <c r="E26" s="14">
        <v>1</v>
      </c>
      <c r="F26" s="14">
        <v>0</v>
      </c>
      <c r="G26" s="14">
        <v>24</v>
      </c>
      <c r="H26" s="8" t="str">
        <f ca="1">IF(RAND()&lt;0.25,
    "",
    IF($E26=0,
       CHOOSE(MATCH(RAND(),{0,0.2,0.4,0.6,0.7,0.8,0.85,0.9,0.95,1}),"B-354","B-386","B-4354","B-347","B-357","B-3471","B-34715","B-3571","B-35715"),
       IF($G26=24,
          "B-386",
          IF($G26=12,
             CHOOSE(MATCH(RAND(),{0,0.32,0.49,0.66,0.74,0.82,0.9,1}),"B-386","B-347","B-357","B-3471","B-34715","B-3571","B-35715"),
             "")
)))</f>
        <v>B-386</v>
      </c>
      <c r="I26" s="8" t="str">
        <f t="shared" ca="1" si="3"/>
        <v/>
      </c>
      <c r="J26">
        <f t="shared" ca="1" si="0"/>
        <v>60</v>
      </c>
      <c r="K26">
        <f t="shared" ca="1" si="1"/>
        <v>41.1875</v>
      </c>
      <c r="L26" s="14">
        <f t="shared" ca="1" si="2"/>
        <v>3.6875</v>
      </c>
      <c r="M26" s="14">
        <f t="shared" ca="1" si="4"/>
        <v>1</v>
      </c>
    </row>
    <row r="27" spans="2:13" hidden="1">
      <c r="B27" s="14" t="s">
        <v>157</v>
      </c>
      <c r="C27" s="14">
        <v>1</v>
      </c>
      <c r="D27" s="14">
        <v>0</v>
      </c>
      <c r="E27" s="14">
        <v>1</v>
      </c>
      <c r="F27" s="14">
        <v>0</v>
      </c>
      <c r="G27" s="14"/>
      <c r="H27" s="8" t="str">
        <f ca="1">IF(RAND()&lt;0.25,
    "",
    IF($E27=0,
       CHOOSE(MATCH(RAND(),{0,0.2,0.4,0.6,0.7,0.8,0.85,0.9,0.95,1}),"B-354","B-386","B-4354","B-347","B-357","B-3471","B-34715","B-3571","B-35715"),
       IF($G27=24,
          "B-386",
          IF($G27=12,
             CHOOSE(MATCH(RAND(),{0,0.32,0.49,0.66,0.74,0.82,0.9,1}),"B-386","B-347","B-357","B-3471","B-34715","B-3571","B-35715"),
             "")
)))</f>
        <v/>
      </c>
      <c r="I27" s="8" t="str">
        <f t="shared" ca="1" si="3"/>
        <v/>
      </c>
      <c r="J27">
        <f t="shared" ca="1" si="0"/>
        <v>60</v>
      </c>
      <c r="K27">
        <f t="shared" ca="1" si="1"/>
        <v>10.375</v>
      </c>
      <c r="L27" s="14">
        <f t="shared" ca="1" si="2"/>
        <v>1</v>
      </c>
      <c r="M27" s="14">
        <f t="shared" ca="1" si="4"/>
        <v>1.3125</v>
      </c>
    </row>
    <row r="28" spans="2:13" hidden="1">
      <c r="B28" s="14" t="s">
        <v>157</v>
      </c>
      <c r="C28" s="14">
        <v>1</v>
      </c>
      <c r="D28" s="14">
        <v>0</v>
      </c>
      <c r="E28" s="14">
        <v>1</v>
      </c>
      <c r="F28" s="14">
        <v>1</v>
      </c>
      <c r="G28" s="14"/>
      <c r="H28" s="8" t="str">
        <f ca="1">IF(RAND()&lt;0.25,
    "",
    IF($E28=0,
       CHOOSE(MATCH(RAND(),{0,0.2,0.4,0.6,0.7,0.8,0.85,0.9,0.95,1}),"B-354","B-386","B-4354","B-347","B-357","B-3471","B-34715","B-3571","B-35715"),
       IF($G28=24,
          "B-386",
          IF($G28=12,
             CHOOSE(MATCH(RAND(),{0,0.32,0.49,0.66,0.74,0.82,0.9,1}),"B-386","B-347","B-357","B-3471","B-34715","B-3571","B-35715"),
             "")
)))</f>
        <v/>
      </c>
      <c r="I28" s="8" t="str">
        <f t="shared" ca="1" si="3"/>
        <v/>
      </c>
      <c r="J28">
        <f t="shared" ca="1" si="0"/>
        <v>60</v>
      </c>
      <c r="K28">
        <f t="shared" ca="1" si="1"/>
        <v>62.6875</v>
      </c>
      <c r="L28" s="14">
        <f t="shared" ca="1" si="2"/>
        <v>4.5</v>
      </c>
      <c r="M28" s="14" t="str">
        <f t="shared" ca="1" si="4"/>
        <v/>
      </c>
    </row>
    <row r="29" spans="2:13">
      <c r="B29" s="14" t="s">
        <v>157</v>
      </c>
      <c r="C29" s="14">
        <v>1</v>
      </c>
      <c r="D29" s="14">
        <v>1</v>
      </c>
      <c r="E29" s="14">
        <v>0</v>
      </c>
      <c r="F29" s="14"/>
      <c r="G29" s="14"/>
      <c r="H29" s="8" t="str">
        <f ca="1">IF(RAND()&lt;0.25,
    "",
    IF($E29=0,
       CHOOSE(MATCH(RAND(),{0,0.2,0.4,0.6,0.7,0.8,0.85,0.9,0.95,1}),"B-354","B-386","B-4354","B-347","B-357","B-3471","B-34715","B-3571","B-35715"),
       IF($G29=24,
          "B-386",
          IF($G29=12,
             CHOOSE(MATCH(RAND(),{0,0.32,0.49,0.66,0.74,0.82,0.9,1}),"B-386","B-347","B-357","B-3471","B-34715","B-3571","B-35715"),
             "")
)))</f>
        <v>B-354</v>
      </c>
      <c r="I29" s="8" t="str">
        <f t="shared" ca="1" si="3"/>
        <v/>
      </c>
      <c r="J29">
        <f t="shared" ca="1" si="0"/>
        <v>60</v>
      </c>
      <c r="K29">
        <f t="shared" ca="1" si="1"/>
        <v>73.5</v>
      </c>
      <c r="L29" s="14">
        <f t="shared" ca="1" si="2"/>
        <v>12</v>
      </c>
      <c r="M29" s="14">
        <f t="shared" ca="1" si="4"/>
        <v>3.25</v>
      </c>
    </row>
    <row r="30" spans="2:13">
      <c r="B30" s="14" t="s">
        <v>157</v>
      </c>
      <c r="C30" s="14">
        <v>1</v>
      </c>
      <c r="D30" s="14">
        <v>1</v>
      </c>
      <c r="E30" s="14">
        <v>1</v>
      </c>
      <c r="F30" s="14">
        <v>0</v>
      </c>
      <c r="G30" s="14">
        <v>12</v>
      </c>
      <c r="H30" s="8" t="str">
        <f ca="1">IF(RAND()&lt;0.25,
    "",
    IF($E30=0,
       CHOOSE(MATCH(RAND(),{0,0.2,0.4,0.6,0.7,0.8,0.85,0.9,0.95,1}),"B-354","B-386","B-4354","B-347","B-357","B-3471","B-34715","B-3571","B-35715"),
       IF($G30=24,
          "B-386",
          IF($G30=12,
             CHOOSE(MATCH(RAND(),{0,0.32,0.49,0.66,0.74,0.82,0.9,1}),"B-386","B-347","B-357","B-3471","B-34715","B-3571","B-35715"),
             "")
)))</f>
        <v>B-357</v>
      </c>
      <c r="I30" s="8" t="str">
        <f t="shared" ca="1" si="3"/>
        <v/>
      </c>
      <c r="J30">
        <f t="shared" ca="1" si="0"/>
        <v>60</v>
      </c>
      <c r="K30">
        <f t="shared" ca="1" si="1"/>
        <v>64.6875</v>
      </c>
      <c r="L30" s="14">
        <f t="shared" ca="1" si="2"/>
        <v>4.5</v>
      </c>
      <c r="M30" s="14">
        <f t="shared" ca="1" si="4"/>
        <v>1</v>
      </c>
    </row>
    <row r="31" spans="2:13">
      <c r="B31" s="14" t="s">
        <v>157</v>
      </c>
      <c r="C31" s="14">
        <v>1</v>
      </c>
      <c r="D31" s="14">
        <v>1</v>
      </c>
      <c r="E31" s="14">
        <v>1</v>
      </c>
      <c r="F31" s="14">
        <v>0</v>
      </c>
      <c r="G31" s="14">
        <v>24</v>
      </c>
      <c r="H31" s="8" t="str">
        <f ca="1">IF(RAND()&lt;0.25,
    "",
    IF($E31=0,
       CHOOSE(MATCH(RAND(),{0,0.2,0.4,0.6,0.7,0.8,0.85,0.9,0.95,1}),"B-354","B-386","B-4354","B-347","B-357","B-3471","B-34715","B-3571","B-35715"),
       IF($G31=24,
          "B-386",
          IF($G31=12,
             CHOOSE(MATCH(RAND(),{0,0.32,0.49,0.66,0.74,0.82,0.9,1}),"B-386","B-347","B-357","B-3471","B-34715","B-3571","B-35715"),
             "")
)))</f>
        <v>B-386</v>
      </c>
      <c r="I31" s="8" t="str">
        <f t="shared" ca="1" si="3"/>
        <v/>
      </c>
      <c r="J31">
        <f t="shared" ca="1" si="0"/>
        <v>60</v>
      </c>
      <c r="K31">
        <f t="shared" ca="1" si="1"/>
        <v>56.5</v>
      </c>
      <c r="L31" s="14">
        <f t="shared" ca="1" si="2"/>
        <v>9</v>
      </c>
      <c r="M31" s="14" t="str">
        <f t="shared" ca="1" si="4"/>
        <v/>
      </c>
    </row>
    <row r="32" spans="2:13" hidden="1">
      <c r="B32" s="14" t="s">
        <v>157</v>
      </c>
      <c r="C32" s="14">
        <v>1</v>
      </c>
      <c r="D32" s="14">
        <v>1</v>
      </c>
      <c r="E32" s="14">
        <v>1</v>
      </c>
      <c r="F32" s="14">
        <v>0</v>
      </c>
      <c r="G32" s="14"/>
      <c r="H32" s="8" t="str">
        <f ca="1">IF(RAND()&lt;0.25,
    "",
    IF($E32=0,
       CHOOSE(MATCH(RAND(),{0,0.2,0.4,0.6,0.7,0.8,0.85,0.9,0.95,1}),"B-354","B-386","B-4354","B-347","B-357","B-3471","B-34715","B-3571","B-35715"),
       IF($G32=24,
          "B-386",
          IF($G32=12,
             CHOOSE(MATCH(RAND(),{0,0.32,0.49,0.66,0.74,0.82,0.9,1}),"B-386","B-347","B-357","B-3471","B-34715","B-3571","B-35715"),
             "")
)))</f>
        <v/>
      </c>
      <c r="I32" s="8" t="str">
        <f t="shared" ca="1" si="3"/>
        <v/>
      </c>
      <c r="J32">
        <f t="shared" ca="1" si="0"/>
        <v>60</v>
      </c>
      <c r="K32">
        <f t="shared" ca="1" si="1"/>
        <v>40.3125</v>
      </c>
      <c r="L32" s="14">
        <f t="shared" ca="1" si="2"/>
        <v>1</v>
      </c>
      <c r="M32" s="14" t="str">
        <f t="shared" ca="1" si="4"/>
        <v/>
      </c>
    </row>
    <row r="33" spans="2:13" hidden="1">
      <c r="B33" s="14" t="s">
        <v>157</v>
      </c>
      <c r="C33" s="14">
        <v>1</v>
      </c>
      <c r="D33" s="14">
        <v>1</v>
      </c>
      <c r="E33" s="14">
        <v>1</v>
      </c>
      <c r="F33" s="14">
        <v>1</v>
      </c>
      <c r="G33" s="14"/>
      <c r="H33" s="8" t="str">
        <f ca="1">IF(RAND()&lt;0.25,
    "",
    IF($E33=0,
       CHOOSE(MATCH(RAND(),{0,0.2,0.4,0.6,0.7,0.8,0.85,0.9,0.95,1}),"B-354","B-386","B-4354","B-347","B-357","B-3471","B-34715","B-3571","B-35715"),
       IF($G33=24,
          "B-386",
          IF($G33=12,
             CHOOSE(MATCH(RAND(),{0,0.32,0.49,0.66,0.74,0.82,0.9,1}),"B-386","B-347","B-357","B-3471","B-34715","B-3571","B-35715"),
             "")
)))</f>
        <v/>
      </c>
      <c r="I33" s="8" t="str">
        <f t="shared" ca="1" si="3"/>
        <v/>
      </c>
      <c r="J33">
        <f t="shared" ca="1" si="0"/>
        <v>60</v>
      </c>
      <c r="K33">
        <f t="shared" ca="1" si="1"/>
        <v>16.9375</v>
      </c>
      <c r="L33" s="14">
        <f t="shared" ca="1" si="2"/>
        <v>12</v>
      </c>
      <c r="M33" s="14">
        <f t="shared" ca="1" si="4"/>
        <v>3.875</v>
      </c>
    </row>
    <row r="34" spans="2:13" hidden="1">
      <c r="B34" s="14" t="s">
        <v>21</v>
      </c>
      <c r="C34" s="14">
        <v>0</v>
      </c>
      <c r="D34" s="14"/>
      <c r="E34" s="14">
        <v>0</v>
      </c>
      <c r="F34" s="14"/>
      <c r="G34" s="14"/>
      <c r="H34" s="8" t="str">
        <f ca="1">IF(RAND()&lt;0.25,
    "",
    IF($E34=0,
       CHOOSE(MATCH(RAND(),{0,0.2,0.4,0.6,0.7,0.8,0.85,0.9,0.95,1}),"B-354","B-386","B-4354","B-347","B-357","B-3471","B-34715","B-3571","B-35715"),
       IF($G34=24,
          "B-386",
          IF($G34=12,
             CHOOSE(MATCH(RAND(),{0,0.32,0.49,0.66,0.74,0.82,0.9,1}),"B-386","B-347","B-357","B-3471","B-34715","B-3571","B-35715"),
             "")
)))</f>
        <v>B-3571</v>
      </c>
      <c r="I34" s="8" t="str">
        <f t="shared" ca="1" si="3"/>
        <v/>
      </c>
      <c r="J34">
        <f t="shared" ca="1" si="0"/>
        <v>99.875</v>
      </c>
      <c r="K34">
        <f t="shared" ca="1" si="1"/>
        <v>65.875</v>
      </c>
      <c r="L34" s="14">
        <f t="shared" ca="1" si="2"/>
        <v>1</v>
      </c>
      <c r="M34" s="14">
        <f t="shared" ca="1" si="4"/>
        <v>8.4375</v>
      </c>
    </row>
    <row r="35" spans="2:13">
      <c r="B35" s="14" t="s">
        <v>21</v>
      </c>
      <c r="C35" s="14">
        <v>0</v>
      </c>
      <c r="D35" s="14"/>
      <c r="E35" s="14">
        <v>1</v>
      </c>
      <c r="F35" s="14">
        <v>0</v>
      </c>
      <c r="G35" s="14">
        <v>12</v>
      </c>
      <c r="H35" s="8" t="str">
        <f ca="1">IF(RAND()&lt;0.25,
    "",
    IF($E35=0,
       CHOOSE(MATCH(RAND(),{0,0.2,0.4,0.6,0.7,0.8,0.85,0.9,0.95,1}),"B-354","B-386","B-4354","B-347","B-357","B-3471","B-34715","B-3571","B-35715"),
       IF($G35=24,
          "B-386",
          IF($G35=12,
             CHOOSE(MATCH(RAND(),{0,0.32,0.49,0.66,0.74,0.82,0.9,1}),"B-386","B-347","B-357","B-3471","B-34715","B-3571","B-35715"),
             "")
)))</f>
        <v>B-386</v>
      </c>
      <c r="I35" s="8" t="str">
        <f t="shared" ca="1" si="3"/>
        <v/>
      </c>
      <c r="J35">
        <f t="shared" ca="1" si="0"/>
        <v>90.625</v>
      </c>
      <c r="K35">
        <f t="shared" ca="1" si="1"/>
        <v>78.6875</v>
      </c>
      <c r="L35" s="14">
        <f t="shared" ca="1" si="2"/>
        <v>2.875</v>
      </c>
      <c r="M35" s="14" t="str">
        <f t="shared" ca="1" si="4"/>
        <v/>
      </c>
    </row>
    <row r="36" spans="2:13">
      <c r="B36" s="14" t="s">
        <v>21</v>
      </c>
      <c r="C36" s="14">
        <v>0</v>
      </c>
      <c r="D36" s="14"/>
      <c r="E36" s="14">
        <v>1</v>
      </c>
      <c r="F36" s="14">
        <v>0</v>
      </c>
      <c r="G36" s="14">
        <v>24</v>
      </c>
      <c r="H36" s="8" t="str">
        <f ca="1">IF(RAND()&lt;0.25,
    "",
    IF($E36=0,
       CHOOSE(MATCH(RAND(),{0,0.2,0.4,0.6,0.7,0.8,0.85,0.9,0.95,1}),"B-354","B-386","B-4354","B-347","B-357","B-3471","B-34715","B-3571","B-35715"),
       IF($G36=24,
          "B-386",
          IF($G36=12,
             CHOOSE(MATCH(RAND(),{0,0.32,0.49,0.66,0.74,0.82,0.9,1}),"B-386","B-347","B-357","B-3471","B-34715","B-3571","B-35715"),
             "")
)))</f>
        <v>B-386</v>
      </c>
      <c r="I36" s="8" t="str">
        <f t="shared" ca="1" si="3"/>
        <v/>
      </c>
      <c r="J36">
        <f t="shared" ca="1" si="0"/>
        <v>101.3125</v>
      </c>
      <c r="K36">
        <f t="shared" ca="1" si="1"/>
        <v>53.0625</v>
      </c>
      <c r="L36" s="14">
        <f t="shared" ca="1" si="2"/>
        <v>10.375</v>
      </c>
      <c r="M36" s="14">
        <f t="shared" ca="1" si="4"/>
        <v>2</v>
      </c>
    </row>
    <row r="37" spans="2:13" hidden="1">
      <c r="B37" s="14" t="s">
        <v>21</v>
      </c>
      <c r="C37" s="14">
        <v>0</v>
      </c>
      <c r="D37" s="14"/>
      <c r="E37" s="14">
        <v>1</v>
      </c>
      <c r="F37" s="14">
        <v>0</v>
      </c>
      <c r="G37" s="14"/>
      <c r="H37" s="8" t="str">
        <f ca="1">IF(RAND()&lt;0.25,
    "",
    IF($E37=0,
       CHOOSE(MATCH(RAND(),{0,0.2,0.4,0.6,0.7,0.8,0.85,0.9,0.95,1}),"B-354","B-386","B-4354","B-347","B-357","B-3471","B-34715","B-3571","B-35715"),
       IF($G37=24,
          "B-386",
          IF($G37=12,
             CHOOSE(MATCH(RAND(),{0,0.32,0.49,0.66,0.74,0.82,0.9,1}),"B-386","B-347","B-357","B-3471","B-34715","B-3571","B-35715"),
             "")
)))</f>
        <v/>
      </c>
      <c r="I37" s="8" t="str">
        <f t="shared" ca="1" si="3"/>
        <v/>
      </c>
      <c r="J37">
        <f t="shared" ca="1" si="0"/>
        <v>81.6875</v>
      </c>
      <c r="K37">
        <f t="shared" ca="1" si="1"/>
        <v>7.0625</v>
      </c>
      <c r="L37" s="14">
        <f t="shared" ca="1" si="2"/>
        <v>9</v>
      </c>
      <c r="M37" s="14">
        <f t="shared" ca="1" si="4"/>
        <v>6.8125</v>
      </c>
    </row>
    <row r="38" spans="2:13" hidden="1">
      <c r="B38" s="14" t="s">
        <v>21</v>
      </c>
      <c r="C38" s="14">
        <v>0</v>
      </c>
      <c r="D38" s="14"/>
      <c r="E38" s="14">
        <v>1</v>
      </c>
      <c r="F38" s="14">
        <v>1</v>
      </c>
      <c r="G38" s="14"/>
      <c r="H38" s="8" t="str">
        <f ca="1">IF(RAND()&lt;0.25,
    "",
    IF($E38=0,
       CHOOSE(MATCH(RAND(),{0,0.2,0.4,0.6,0.7,0.8,0.85,0.9,0.95,1}),"B-354","B-386","B-4354","B-347","B-357","B-3471","B-34715","B-3571","B-35715"),
       IF($G38=24,
          "B-386",
          IF($G38=12,
             CHOOSE(MATCH(RAND(),{0,0.32,0.49,0.66,0.74,0.82,0.9,1}),"B-386","B-347","B-357","B-3471","B-34715","B-3571","B-35715"),
             "")
)))</f>
        <v/>
      </c>
      <c r="I38" s="8" t="str">
        <f t="shared" ca="1" si="3"/>
        <v/>
      </c>
      <c r="J38">
        <f t="shared" ca="1" si="0"/>
        <v>93</v>
      </c>
      <c r="K38">
        <f t="shared" ca="1" si="1"/>
        <v>44.0625</v>
      </c>
      <c r="L38" s="14">
        <f t="shared" ca="1" si="2"/>
        <v>4.5</v>
      </c>
      <c r="M38" s="14">
        <f t="shared" ca="1" si="4"/>
        <v>7.25</v>
      </c>
    </row>
    <row r="39" spans="2:13" hidden="1">
      <c r="B39" s="14" t="s">
        <v>21</v>
      </c>
      <c r="C39" s="14">
        <v>1</v>
      </c>
      <c r="D39" s="14">
        <v>0</v>
      </c>
      <c r="E39" s="14">
        <v>0</v>
      </c>
      <c r="F39" s="14"/>
      <c r="G39" s="14"/>
      <c r="H39" s="8" t="str">
        <f ca="1">IF(RAND()&lt;0.25,
    "",
    IF($E39=0,
       CHOOSE(MATCH(RAND(),{0,0.2,0.4,0.6,0.7,0.8,0.85,0.9,0.95,1}),"B-354","B-386","B-4354","B-347","B-357","B-3471","B-34715","B-3571","B-35715"),
       IF($G39=24,
          "B-386",
          IF($G39=12,
             CHOOSE(MATCH(RAND(),{0,0.32,0.49,0.66,0.74,0.82,0.9,1}),"B-386","B-347","B-357","B-3471","B-34715","B-3571","B-35715"),
             "")
)))</f>
        <v>B-386</v>
      </c>
      <c r="I39" s="8" t="str">
        <f t="shared" ca="1" si="3"/>
        <v>B-4354</v>
      </c>
      <c r="J39">
        <f t="shared" ca="1" si="0"/>
        <v>90.25</v>
      </c>
      <c r="K39">
        <f t="shared" ca="1" si="1"/>
        <v>75.0625</v>
      </c>
      <c r="L39" s="14">
        <f t="shared" ca="1" si="2"/>
        <v>1</v>
      </c>
      <c r="M39" s="14">
        <f t="shared" ca="1" si="4"/>
        <v>3.1875</v>
      </c>
    </row>
    <row r="40" spans="2:13">
      <c r="B40" s="14" t="s">
        <v>21</v>
      </c>
      <c r="C40" s="14">
        <v>1</v>
      </c>
      <c r="D40" s="14">
        <v>0</v>
      </c>
      <c r="E40" s="14">
        <v>1</v>
      </c>
      <c r="F40" s="14">
        <v>0</v>
      </c>
      <c r="G40" s="14">
        <v>12</v>
      </c>
      <c r="H40" s="8" t="str">
        <f ca="1">IF(RAND()&lt;0.25,
    "",
    IF($E40=0,
       CHOOSE(MATCH(RAND(),{0,0.2,0.4,0.6,0.7,0.8,0.85,0.9,0.95,1}),"B-354","B-386","B-4354","B-347","B-357","B-3471","B-34715","B-3571","B-35715"),
       IF($G40=24,
          "B-386",
          IF($G40=12,
             CHOOSE(MATCH(RAND(),{0,0.32,0.49,0.66,0.74,0.82,0.9,1}),"B-386","B-347","B-357","B-3471","B-34715","B-3571","B-35715"),
             "")
)))</f>
        <v>B-3571</v>
      </c>
      <c r="I40" s="8" t="str">
        <f t="shared" ca="1" si="3"/>
        <v/>
      </c>
      <c r="J40">
        <f t="shared" ca="1" si="0"/>
        <v>65.625</v>
      </c>
      <c r="K40">
        <f t="shared" ca="1" si="1"/>
        <v>41.3125</v>
      </c>
      <c r="L40" s="14">
        <f t="shared" ca="1" si="2"/>
        <v>9</v>
      </c>
      <c r="M40" s="14">
        <f t="shared" ca="1" si="4"/>
        <v>1.375</v>
      </c>
    </row>
    <row r="41" spans="2:13">
      <c r="B41" s="14" t="s">
        <v>21</v>
      </c>
      <c r="C41" s="14">
        <v>1</v>
      </c>
      <c r="D41" s="14">
        <v>0</v>
      </c>
      <c r="E41" s="14">
        <v>1</v>
      </c>
      <c r="F41" s="14">
        <v>0</v>
      </c>
      <c r="G41" s="14">
        <v>24</v>
      </c>
      <c r="H41" s="8" t="str">
        <f ca="1">IF(RAND()&lt;0.25,
    "",
    IF($E41=0,
       CHOOSE(MATCH(RAND(),{0,0.2,0.4,0.6,0.7,0.8,0.85,0.9,0.95,1}),"B-354","B-386","B-4354","B-347","B-357","B-3471","B-34715","B-3571","B-35715"),
       IF($G41=24,
          "B-386",
          IF($G41=12,
             CHOOSE(MATCH(RAND(),{0,0.32,0.49,0.66,0.74,0.82,0.9,1}),"B-386","B-347","B-357","B-3471","B-34715","B-3571","B-35715"),
             "")
)))</f>
        <v/>
      </c>
      <c r="I41" s="8" t="str">
        <f t="shared" ca="1" si="3"/>
        <v/>
      </c>
      <c r="J41">
        <f t="shared" ca="1" si="0"/>
        <v>96</v>
      </c>
      <c r="K41">
        <f t="shared" ca="1" si="1"/>
        <v>48.5625</v>
      </c>
      <c r="L41" s="14">
        <f t="shared" ca="1" si="2"/>
        <v>12</v>
      </c>
      <c r="M41" s="14">
        <f t="shared" ca="1" si="4"/>
        <v>1</v>
      </c>
    </row>
    <row r="42" spans="2:13" hidden="1">
      <c r="B42" s="14" t="s">
        <v>21</v>
      </c>
      <c r="C42" s="14">
        <v>1</v>
      </c>
      <c r="D42" s="14">
        <v>0</v>
      </c>
      <c r="E42" s="14">
        <v>1</v>
      </c>
      <c r="F42" s="14">
        <v>0</v>
      </c>
      <c r="G42" s="14"/>
      <c r="H42" s="8" t="str">
        <f ca="1">IF(RAND()&lt;0.25,
    "",
    IF($E42=0,
       CHOOSE(MATCH(RAND(),{0,0.2,0.4,0.6,0.7,0.8,0.85,0.9,0.95,1}),"B-354","B-386","B-4354","B-347","B-357","B-3471","B-34715","B-3571","B-35715"),
       IF($G42=24,
          "B-386",
          IF($G42=12,
             CHOOSE(MATCH(RAND(),{0,0.32,0.49,0.66,0.74,0.82,0.9,1}),"B-386","B-347","B-357","B-3471","B-34715","B-3571","B-35715"),
             "")
)))</f>
        <v/>
      </c>
      <c r="I42" s="8" t="str">
        <f t="shared" ca="1" si="3"/>
        <v/>
      </c>
      <c r="J42">
        <f t="shared" ca="1" si="0"/>
        <v>54.25</v>
      </c>
      <c r="K42">
        <f t="shared" ca="1" si="1"/>
        <v>36.25</v>
      </c>
      <c r="L42" s="14">
        <f t="shared" ca="1" si="2"/>
        <v>2.4375</v>
      </c>
      <c r="M42" s="14" t="str">
        <f t="shared" ca="1" si="4"/>
        <v/>
      </c>
    </row>
    <row r="43" spans="2:13" hidden="1">
      <c r="B43" s="14" t="s">
        <v>21</v>
      </c>
      <c r="C43" s="14">
        <v>1</v>
      </c>
      <c r="D43" s="14">
        <v>0</v>
      </c>
      <c r="E43" s="14">
        <v>1</v>
      </c>
      <c r="F43" s="14">
        <v>1</v>
      </c>
      <c r="G43" s="14"/>
      <c r="H43" s="8" t="str">
        <f ca="1">IF(RAND()&lt;0.25,
    "",
    IF($E43=0,
       CHOOSE(MATCH(RAND(),{0,0.2,0.4,0.6,0.7,0.8,0.85,0.9,0.95,1}),"B-354","B-386","B-4354","B-347","B-357","B-3471","B-34715","B-3571","B-35715"),
       IF($G43=24,
          "B-386",
          IF($G43=12,
             CHOOSE(MATCH(RAND(),{0,0.32,0.49,0.66,0.74,0.82,0.9,1}),"B-386","B-347","B-357","B-3471","B-34715","B-3571","B-35715"),
             "")
)))</f>
        <v/>
      </c>
      <c r="I43" s="8" t="str">
        <f t="shared" ca="1" si="3"/>
        <v/>
      </c>
      <c r="J43">
        <f t="shared" ca="1" si="0"/>
        <v>96</v>
      </c>
      <c r="K43">
        <f t="shared" ca="1" si="1"/>
        <v>24.5625</v>
      </c>
      <c r="L43" s="14">
        <f t="shared" ca="1" si="2"/>
        <v>2.9375</v>
      </c>
      <c r="M43" s="14">
        <f t="shared" ca="1" si="4"/>
        <v>1</v>
      </c>
    </row>
    <row r="44" spans="2:13">
      <c r="B44" s="14" t="s">
        <v>21</v>
      </c>
      <c r="C44" s="14">
        <v>1</v>
      </c>
      <c r="D44" s="14">
        <v>1</v>
      </c>
      <c r="E44" s="14">
        <v>0</v>
      </c>
      <c r="F44" s="14"/>
      <c r="G44" s="14"/>
      <c r="H44" s="8" t="str">
        <f ca="1">IF(RAND()&lt;0.25,
    "",
    IF($E44=0,
       CHOOSE(MATCH(RAND(),{0,0.2,0.4,0.6,0.7,0.8,0.85,0.9,0.95,1}),"B-354","B-386","B-4354","B-347","B-357","B-3471","B-34715","B-3571","B-35715"),
       IF($G44=24,
          "B-386",
          IF($G44=12,
             CHOOSE(MATCH(RAND(),{0,0.32,0.49,0.66,0.74,0.82,0.9,1}),"B-386","B-347","B-357","B-3471","B-34715","B-3571","B-35715"),
             "")
)))</f>
        <v/>
      </c>
      <c r="I44" s="8" t="str">
        <f t="shared" ca="1" si="3"/>
        <v/>
      </c>
      <c r="J44">
        <f t="shared" ca="1" si="0"/>
        <v>44.8125</v>
      </c>
      <c r="K44">
        <f t="shared" ca="1" si="1"/>
        <v>42.8125</v>
      </c>
      <c r="L44" s="14">
        <f t="shared" ca="1" si="2"/>
        <v>1</v>
      </c>
      <c r="M44" s="14">
        <f t="shared" ca="1" si="4"/>
        <v>5.1875</v>
      </c>
    </row>
    <row r="45" spans="2:13" hidden="1">
      <c r="B45" s="14" t="s">
        <v>21</v>
      </c>
      <c r="C45" s="14">
        <v>1</v>
      </c>
      <c r="D45" s="14">
        <v>1</v>
      </c>
      <c r="E45" s="14">
        <v>1</v>
      </c>
      <c r="F45" s="14">
        <v>0</v>
      </c>
      <c r="G45" s="14">
        <v>12</v>
      </c>
      <c r="H45" s="8" t="str">
        <f ca="1">IF(RAND()&lt;0.25,
    "",
    IF($E45=0,
       CHOOSE(MATCH(RAND(),{0,0.2,0.4,0.6,0.7,0.8,0.85,0.9,0.95,1}),"B-354","B-386","B-4354","B-347","B-357","B-3471","B-34715","B-3571","B-35715"),
       IF($G45=24,
          "B-386",
          IF($G45=12,
             CHOOSE(MATCH(RAND(),{0,0.32,0.49,0.66,0.74,0.82,0.9,1}),"B-386","B-347","B-357","B-3471","B-34715","B-3571","B-35715"),
             "")
)))</f>
        <v>B-386</v>
      </c>
      <c r="I45" s="8" t="str">
        <f t="shared" ca="1" si="3"/>
        <v/>
      </c>
      <c r="J45">
        <f t="shared" ca="1" si="0"/>
        <v>53</v>
      </c>
      <c r="K45">
        <f t="shared" ca="1" si="1"/>
        <v>51</v>
      </c>
      <c r="L45" s="14">
        <f t="shared" ca="1" si="2"/>
        <v>1.25</v>
      </c>
      <c r="M45" s="14">
        <f t="shared" ca="1" si="4"/>
        <v>7.9375</v>
      </c>
    </row>
    <row r="46" spans="2:13">
      <c r="B46" s="14" t="s">
        <v>21</v>
      </c>
      <c r="C46" s="14">
        <v>1</v>
      </c>
      <c r="D46" s="14">
        <v>1</v>
      </c>
      <c r="E46" s="14">
        <v>1</v>
      </c>
      <c r="F46" s="14">
        <v>0</v>
      </c>
      <c r="G46" s="14">
        <v>24</v>
      </c>
      <c r="H46" s="8" t="str">
        <f ca="1">IF(RAND()&lt;0.25,
    "",
    IF($E46=0,
       CHOOSE(MATCH(RAND(),{0,0.2,0.4,0.6,0.7,0.8,0.85,0.9,0.95,1}),"B-354","B-386","B-4354","B-347","B-357","B-3471","B-34715","B-3571","B-35715"),
       IF($G46=24,
          "B-386",
          IF($G46=12,
             CHOOSE(MATCH(RAND(),{0,0.32,0.49,0.66,0.74,0.82,0.9,1}),"B-386","B-347","B-357","B-3471","B-34715","B-3571","B-35715"),
             "")
)))</f>
        <v>B-386</v>
      </c>
      <c r="I46" s="8" t="str">
        <f t="shared" ca="1" si="3"/>
        <v/>
      </c>
      <c r="J46">
        <f t="shared" ca="1" si="0"/>
        <v>96</v>
      </c>
      <c r="K46">
        <f t="shared" ca="1" si="1"/>
        <v>68.3125</v>
      </c>
      <c r="L46" s="14">
        <f t="shared" ca="1" si="2"/>
        <v>4.3125</v>
      </c>
      <c r="M46" s="14" t="str">
        <f t="shared" ca="1" si="4"/>
        <v/>
      </c>
    </row>
    <row r="47" spans="2:13" hidden="1">
      <c r="B47" s="14" t="s">
        <v>21</v>
      </c>
      <c r="C47" s="14">
        <v>1</v>
      </c>
      <c r="D47" s="14">
        <v>1</v>
      </c>
      <c r="E47" s="14">
        <v>1</v>
      </c>
      <c r="F47" s="14">
        <v>0</v>
      </c>
      <c r="G47" s="14"/>
      <c r="H47" s="8" t="str">
        <f ca="1">IF(RAND()&lt;0.25,
    "",
    IF($E47=0,
       CHOOSE(MATCH(RAND(),{0,0.2,0.4,0.6,0.7,0.8,0.85,0.9,0.95,1}),"B-354","B-386","B-4354","B-347","B-357","B-3471","B-34715","B-3571","B-35715"),
       IF($G47=24,
          "B-386",
          IF($G47=12,
             CHOOSE(MATCH(RAND(),{0,0.32,0.49,0.66,0.74,0.82,0.9,1}),"B-386","B-347","B-357","B-3471","B-34715","B-3571","B-35715"),
             "")
)))</f>
        <v/>
      </c>
      <c r="I47" s="8" t="str">
        <f t="shared" ca="1" si="3"/>
        <v/>
      </c>
      <c r="J47">
        <f t="shared" ca="1" si="0"/>
        <v>95</v>
      </c>
      <c r="K47">
        <f t="shared" ca="1" si="1"/>
        <v>73</v>
      </c>
      <c r="L47" s="14">
        <f t="shared" ca="1" si="2"/>
        <v>3.3125</v>
      </c>
      <c r="M47" s="14">
        <f t="shared" ca="1" si="4"/>
        <v>4.625</v>
      </c>
    </row>
    <row r="48" spans="2:13" ht="15" hidden="1" thickBot="1">
      <c r="B48" s="50" t="s">
        <v>21</v>
      </c>
      <c r="C48" s="50">
        <v>1</v>
      </c>
      <c r="D48" s="50">
        <v>1</v>
      </c>
      <c r="E48" s="50">
        <v>1</v>
      </c>
      <c r="F48" s="50">
        <v>1</v>
      </c>
      <c r="G48" s="50"/>
      <c r="H48" s="51" t="str">
        <f ca="1">IF(RAND()&lt;0.25,
    "",
    IF($E48=0,
       CHOOSE(MATCH(RAND(),{0,0.2,0.4,0.6,0.7,0.8,0.85,0.9,0.95,1}),"B-354","B-386","B-4354","B-347","B-357","B-3471","B-34715","B-3571","B-35715"),
       IF($G48=24,
          "B-386",
          IF($G48=12,
             CHOOSE(MATCH(RAND(),{0,0.32,0.49,0.66,0.74,0.82,0.9,1}),"B-386","B-347","B-357","B-3471","B-34715","B-3571","B-35715"),
             "")
)))</f>
        <v/>
      </c>
      <c r="I48" s="51" t="str">
        <f t="shared" ca="1" si="3"/>
        <v/>
      </c>
      <c r="J48" s="49">
        <f t="shared" ca="1" si="0"/>
        <v>96</v>
      </c>
      <c r="K48" s="49">
        <f t="shared" ca="1" si="1"/>
        <v>68</v>
      </c>
      <c r="L48" s="50">
        <f t="shared" ca="1" si="2"/>
        <v>1</v>
      </c>
      <c r="M48" s="14">
        <f t="shared" ca="1" si="4"/>
        <v>1</v>
      </c>
    </row>
    <row r="49" spans="2:13">
      <c r="B49" s="14" t="s">
        <v>156</v>
      </c>
      <c r="C49" s="19">
        <v>0</v>
      </c>
      <c r="D49" s="19"/>
      <c r="E49" s="19">
        <v>0</v>
      </c>
      <c r="F49" s="19"/>
      <c r="G49" s="14"/>
      <c r="H49" s="8" t="str">
        <f ca="1">IF(RAND()&lt;0.25,
    "",
    IF($E49=0,
       CHOOSE(MATCH(RAND(),{0,0.2,0.4,0.6,0.7,0.8,0.85,0.9,0.95,1}),"B-354","B-386","B-4354","B-347","B-357","B-3471","B-34715","B-3571","B-35715"),
       IF($G49=24,
          "B-386",
          IF($G49=12,
             CHOOSE(MATCH(RAND(),{0,0.32,0.49,0.66,0.74,0.82,0.9,1}),"B-386","B-347","B-357","B-3471","B-34715","B-3571","B-35715"),
             "")
)))</f>
        <v/>
      </c>
      <c r="I49" s="8" t="str">
        <f t="shared" ca="1" si="3"/>
        <v/>
      </c>
      <c r="J49">
        <f t="shared" ref="J49:J112" ca="1" si="5">IF(B49="BOTTOM",
   60,
   IF(B49="TOP",
      RANDBETWEEN(3*16,50*16)/16,
      IF(B49="WHOLE",
         IF(RAND()&lt;0.75,
            RANDBETWEEN(36*16,110*16)/16,
            96
         ),
         ""
      )
   )
)</f>
        <v>9.3125</v>
      </c>
      <c r="K49">
        <f t="shared" ref="K49:K112" ca="1" si="6">_xlfn.LET(
_xlpm.minVal, IF($H49&lt;&gt;"",40,5),
RANDBETWEEN(_xlpm.minVal*16,80*16)/16
)</f>
        <v>65.125</v>
      </c>
      <c r="L49" s="14">
        <f t="shared" ca="1" si="2"/>
        <v>1</v>
      </c>
      <c r="M49" s="14">
        <f t="shared" ca="1" si="4"/>
        <v>1</v>
      </c>
    </row>
    <row r="50" spans="2:13">
      <c r="B50" s="14" t="s">
        <v>156</v>
      </c>
      <c r="C50" s="14">
        <v>0</v>
      </c>
      <c r="D50" s="14"/>
      <c r="E50" s="14">
        <v>1</v>
      </c>
      <c r="F50" s="14">
        <v>0</v>
      </c>
      <c r="G50" s="14">
        <v>12</v>
      </c>
      <c r="H50" s="8" t="str">
        <f ca="1">IF(RAND()&lt;0.25,
    "",
    IF($E50=0,
       CHOOSE(MATCH(RAND(),{0,0.2,0.4,0.6,0.7,0.8,0.85,0.9,0.95,1}),"B-354","B-386","B-4354","B-347","B-357","B-3471","B-34715","B-3571","B-35715"),
       IF($G50=24,
          "B-386",
          IF($G50=12,
             CHOOSE(MATCH(RAND(),{0,0.32,0.49,0.66,0.74,0.82,0.9,1}),"B-386","B-347","B-357","B-3471","B-34715","B-3571","B-35715"),
             "")
)))</f>
        <v>B-34715</v>
      </c>
      <c r="I50" s="8" t="str">
        <f t="shared" ca="1" si="3"/>
        <v/>
      </c>
      <c r="J50">
        <f t="shared" ca="1" si="5"/>
        <v>16.375</v>
      </c>
      <c r="K50">
        <f t="shared" ca="1" si="6"/>
        <v>74.375</v>
      </c>
      <c r="L50" s="14">
        <f t="shared" ca="1" si="2"/>
        <v>4.125</v>
      </c>
      <c r="M50" s="14">
        <f t="shared" ca="1" si="4"/>
        <v>4.4375</v>
      </c>
    </row>
    <row r="51" spans="2:13">
      <c r="B51" s="14" t="s">
        <v>156</v>
      </c>
      <c r="C51" s="14">
        <v>0</v>
      </c>
      <c r="D51" s="14"/>
      <c r="E51" s="14">
        <v>1</v>
      </c>
      <c r="F51" s="14">
        <v>0</v>
      </c>
      <c r="G51" s="14">
        <v>24</v>
      </c>
      <c r="H51" s="8" t="str">
        <f ca="1">IF(RAND()&lt;0.25,
    "",
    IF($E51=0,
       CHOOSE(MATCH(RAND(),{0,0.2,0.4,0.6,0.7,0.8,0.85,0.9,0.95,1}),"B-354","B-386","B-4354","B-347","B-357","B-3471","B-34715","B-3571","B-35715"),
       IF($G51=24,
          "B-386",
          IF($G51=12,
             CHOOSE(MATCH(RAND(),{0,0.32,0.49,0.66,0.74,0.82,0.9,1}),"B-386","B-347","B-357","B-3471","B-34715","B-3571","B-35715"),
             "")
)))</f>
        <v>B-386</v>
      </c>
      <c r="I51" s="8" t="str">
        <f t="shared" ca="1" si="3"/>
        <v/>
      </c>
      <c r="J51">
        <f t="shared" ca="1" si="5"/>
        <v>8.3125</v>
      </c>
      <c r="K51">
        <f t="shared" ca="1" si="6"/>
        <v>51.3125</v>
      </c>
      <c r="L51" s="14">
        <f t="shared" ca="1" si="2"/>
        <v>3.125</v>
      </c>
      <c r="M51" s="14">
        <f t="shared" ca="1" si="4"/>
        <v>1</v>
      </c>
    </row>
    <row r="52" spans="2:13" hidden="1">
      <c r="B52" s="14" t="s">
        <v>156</v>
      </c>
      <c r="C52" s="14">
        <v>0</v>
      </c>
      <c r="D52" s="14"/>
      <c r="E52" s="14">
        <v>1</v>
      </c>
      <c r="F52" s="14">
        <v>0</v>
      </c>
      <c r="G52" s="14"/>
      <c r="H52" s="8" t="str">
        <f ca="1">IF(RAND()&lt;0.25,
    "",
    IF($E52=0,
       CHOOSE(MATCH(RAND(),{0,0.2,0.4,0.6,0.7,0.8,0.85,0.9,0.95,1}),"B-354","B-386","B-4354","B-347","B-357","B-3471","B-34715","B-3571","B-35715"),
       IF($G52=24,
          "B-386",
          IF($G52=12,
             CHOOSE(MATCH(RAND(),{0,0.32,0.49,0.66,0.74,0.82,0.9,1}),"B-386","B-347","B-357","B-3471","B-34715","B-3571","B-35715"),
             "")
)))</f>
        <v/>
      </c>
      <c r="I52" s="8" t="str">
        <f t="shared" ca="1" si="3"/>
        <v/>
      </c>
      <c r="J52">
        <f t="shared" ca="1" si="5"/>
        <v>27.6875</v>
      </c>
      <c r="K52">
        <f t="shared" ca="1" si="6"/>
        <v>35.0625</v>
      </c>
      <c r="L52" s="14">
        <f t="shared" ca="1" si="2"/>
        <v>12</v>
      </c>
      <c r="M52" s="14" t="str">
        <f t="shared" ca="1" si="4"/>
        <v/>
      </c>
    </row>
    <row r="53" spans="2:13" hidden="1">
      <c r="B53" s="14" t="s">
        <v>156</v>
      </c>
      <c r="C53" s="14">
        <v>0</v>
      </c>
      <c r="D53" s="14"/>
      <c r="E53" s="14">
        <v>1</v>
      </c>
      <c r="F53" s="14">
        <v>1</v>
      </c>
      <c r="G53" s="14"/>
      <c r="H53" s="8" t="str">
        <f ca="1">IF(RAND()&lt;0.25,
    "",
    IF($E53=0,
       CHOOSE(MATCH(RAND(),{0,0.2,0.4,0.6,0.7,0.8,0.85,0.9,0.95,1}),"B-354","B-386","B-4354","B-347","B-357","B-3471","B-34715","B-3571","B-35715"),
       IF($G53=24,
          "B-386",
          IF($G53=12,
             CHOOSE(MATCH(RAND(),{0,0.32,0.49,0.66,0.74,0.82,0.9,1}),"B-386","B-347","B-357","B-3471","B-34715","B-3571","B-35715"),
             "")
)))</f>
        <v/>
      </c>
      <c r="I53" s="8" t="str">
        <f t="shared" ca="1" si="3"/>
        <v/>
      </c>
      <c r="J53">
        <f t="shared" ca="1" si="5"/>
        <v>12.9375</v>
      </c>
      <c r="K53">
        <f t="shared" ca="1" si="6"/>
        <v>17.0625</v>
      </c>
      <c r="L53" s="14">
        <f t="shared" ca="1" si="2"/>
        <v>9</v>
      </c>
      <c r="M53" s="14" t="str">
        <f t="shared" ca="1" si="4"/>
        <v/>
      </c>
    </row>
    <row r="54" spans="2:13">
      <c r="B54" s="14" t="s">
        <v>156</v>
      </c>
      <c r="C54" s="14">
        <v>1</v>
      </c>
      <c r="D54" s="14">
        <v>0</v>
      </c>
      <c r="E54" s="14">
        <v>0</v>
      </c>
      <c r="F54" s="14"/>
      <c r="G54" s="14"/>
      <c r="H54" s="8" t="str">
        <f ca="1">IF(RAND()&lt;0.25,
    "",
    IF($E54=0,
       CHOOSE(MATCH(RAND(),{0,0.2,0.4,0.6,0.7,0.8,0.85,0.9,0.95,1}),"B-354","B-386","B-4354","B-347","B-357","B-3471","B-34715","B-3571","B-35715"),
       IF($G54=24,
          "B-386",
          IF($G54=12,
             CHOOSE(MATCH(RAND(),{0,0.32,0.49,0.66,0.74,0.82,0.9,1}),"B-386","B-347","B-357","B-3471","B-34715","B-3571","B-35715"),
             "")
)))</f>
        <v>B-386</v>
      </c>
      <c r="I54" s="8" t="str">
        <f t="shared" ca="1" si="3"/>
        <v>B-4354</v>
      </c>
      <c r="J54">
        <f t="shared" ca="1" si="5"/>
        <v>21.1875</v>
      </c>
      <c r="K54">
        <f t="shared" ca="1" si="6"/>
        <v>40.6875</v>
      </c>
      <c r="L54" s="14">
        <f t="shared" ca="1" si="2"/>
        <v>6.1875</v>
      </c>
      <c r="M54" s="14">
        <f t="shared" ca="1" si="4"/>
        <v>1.6875</v>
      </c>
    </row>
    <row r="55" spans="2:13">
      <c r="B55" s="14" t="s">
        <v>156</v>
      </c>
      <c r="C55" s="14">
        <v>1</v>
      </c>
      <c r="D55" s="14">
        <v>0</v>
      </c>
      <c r="E55" s="14">
        <v>1</v>
      </c>
      <c r="F55" s="14">
        <v>0</v>
      </c>
      <c r="G55" s="14">
        <v>12</v>
      </c>
      <c r="H55" s="8" t="str">
        <f ca="1">IF(RAND()&lt;0.25,
    "",
    IF($E55=0,
       CHOOSE(MATCH(RAND(),{0,0.2,0.4,0.6,0.7,0.8,0.85,0.9,0.95,1}),"B-354","B-386","B-4354","B-347","B-357","B-3471","B-34715","B-3571","B-35715"),
       IF($G55=24,
          "B-386",
          IF($G55=12,
             CHOOSE(MATCH(RAND(),{0,0.32,0.49,0.66,0.74,0.82,0.9,1}),"B-386","B-347","B-357","B-3471","B-34715","B-3571","B-35715"),
             "")
)))</f>
        <v>B-3471</v>
      </c>
      <c r="I55" s="8" t="str">
        <f t="shared" ca="1" si="3"/>
        <v/>
      </c>
      <c r="J55">
        <f t="shared" ca="1" si="5"/>
        <v>40.1875</v>
      </c>
      <c r="K55">
        <f t="shared" ca="1" si="6"/>
        <v>62.5</v>
      </c>
      <c r="L55" s="14">
        <f t="shared" ca="1" si="2"/>
        <v>3.875</v>
      </c>
      <c r="M55" s="14">
        <f t="shared" ca="1" si="4"/>
        <v>2.6875</v>
      </c>
    </row>
    <row r="56" spans="2:13">
      <c r="B56" s="14" t="s">
        <v>156</v>
      </c>
      <c r="C56" s="14">
        <v>1</v>
      </c>
      <c r="D56" s="14">
        <v>0</v>
      </c>
      <c r="E56" s="14">
        <v>1</v>
      </c>
      <c r="F56" s="14">
        <v>0</v>
      </c>
      <c r="G56" s="14">
        <v>24</v>
      </c>
      <c r="H56" s="8" t="str">
        <f ca="1">IF(RAND()&lt;0.25,
    "",
    IF($E56=0,
       CHOOSE(MATCH(RAND(),{0,0.2,0.4,0.6,0.7,0.8,0.85,0.9,0.95,1}),"B-354","B-386","B-4354","B-347","B-357","B-3471","B-34715","B-3571","B-35715"),
       IF($G56=24,
          "B-386",
          IF($G56=12,
             CHOOSE(MATCH(RAND(),{0,0.32,0.49,0.66,0.74,0.82,0.9,1}),"B-386","B-347","B-357","B-3471","B-34715","B-3571","B-35715"),
             "")
)))</f>
        <v/>
      </c>
      <c r="I56" s="8" t="str">
        <f t="shared" ca="1" si="3"/>
        <v/>
      </c>
      <c r="J56">
        <f t="shared" ca="1" si="5"/>
        <v>27.75</v>
      </c>
      <c r="K56">
        <f t="shared" ca="1" si="6"/>
        <v>35.875</v>
      </c>
      <c r="L56" s="14">
        <f t="shared" ca="1" si="2"/>
        <v>9.9375</v>
      </c>
      <c r="M56" s="14" t="str">
        <f t="shared" ca="1" si="4"/>
        <v/>
      </c>
    </row>
    <row r="57" spans="2:13" hidden="1">
      <c r="B57" s="14" t="s">
        <v>156</v>
      </c>
      <c r="C57" s="14">
        <v>1</v>
      </c>
      <c r="D57" s="14">
        <v>0</v>
      </c>
      <c r="E57" s="14">
        <v>1</v>
      </c>
      <c r="F57" s="14">
        <v>0</v>
      </c>
      <c r="G57" s="14"/>
      <c r="H57" s="8" t="str">
        <f ca="1">IF(RAND()&lt;0.25,
    "",
    IF($E57=0,
       CHOOSE(MATCH(RAND(),{0,0.2,0.4,0.6,0.7,0.8,0.85,0.9,0.95,1}),"B-354","B-386","B-4354","B-347","B-357","B-3471","B-34715","B-3571","B-35715"),
       IF($G57=24,
          "B-386",
          IF($G57=12,
             CHOOSE(MATCH(RAND(),{0,0.32,0.49,0.66,0.74,0.82,0.9,1}),"B-386","B-347","B-357","B-3471","B-34715","B-3571","B-35715"),
             "")
)))</f>
        <v/>
      </c>
      <c r="I57" s="8" t="str">
        <f t="shared" ca="1" si="3"/>
        <v/>
      </c>
      <c r="J57">
        <f t="shared" ca="1" si="5"/>
        <v>17.9375</v>
      </c>
      <c r="K57">
        <f t="shared" ca="1" si="6"/>
        <v>79.875</v>
      </c>
      <c r="L57" s="14">
        <f t="shared" ca="1" si="2"/>
        <v>2.9375</v>
      </c>
      <c r="M57" s="14">
        <f t="shared" ca="1" si="4"/>
        <v>1.5625</v>
      </c>
    </row>
    <row r="58" spans="2:13" hidden="1">
      <c r="B58" s="14" t="s">
        <v>156</v>
      </c>
      <c r="C58" s="14">
        <v>1</v>
      </c>
      <c r="D58" s="14">
        <v>0</v>
      </c>
      <c r="E58" s="14">
        <v>1</v>
      </c>
      <c r="F58" s="14">
        <v>1</v>
      </c>
      <c r="G58" s="14"/>
      <c r="H58" s="8" t="str">
        <f ca="1">IF(RAND()&lt;0.25,
    "",
    IF($E58=0,
       CHOOSE(MATCH(RAND(),{0,0.2,0.4,0.6,0.7,0.8,0.85,0.9,0.95,1}),"B-354","B-386","B-4354","B-347","B-357","B-3471","B-34715","B-3571","B-35715"),
       IF($G58=24,
          "B-386",
          IF($G58=12,
             CHOOSE(MATCH(RAND(),{0,0.32,0.49,0.66,0.74,0.82,0.9,1}),"B-386","B-347","B-357","B-3471","B-34715","B-3571","B-35715"),
             "")
)))</f>
        <v/>
      </c>
      <c r="I58" s="8" t="str">
        <f t="shared" ca="1" si="3"/>
        <v/>
      </c>
      <c r="J58">
        <f t="shared" ca="1" si="5"/>
        <v>15.6875</v>
      </c>
      <c r="K58">
        <f t="shared" ca="1" si="6"/>
        <v>58.25</v>
      </c>
      <c r="L58" s="14">
        <f t="shared" ca="1" si="2"/>
        <v>9</v>
      </c>
      <c r="M58" s="14">
        <f t="shared" ca="1" si="4"/>
        <v>3.9375</v>
      </c>
    </row>
    <row r="59" spans="2:13" hidden="1">
      <c r="B59" s="14" t="s">
        <v>156</v>
      </c>
      <c r="C59" s="14">
        <v>1</v>
      </c>
      <c r="D59" s="14">
        <v>1</v>
      </c>
      <c r="E59" s="14">
        <v>0</v>
      </c>
      <c r="F59" s="14"/>
      <c r="G59" s="14"/>
      <c r="H59" s="8" t="str">
        <f ca="1">IF(RAND()&lt;0.25,
    "",
    IF($E59=0,
       CHOOSE(MATCH(RAND(),{0,0.2,0.4,0.6,0.7,0.8,0.85,0.9,0.95,1}),"B-354","B-386","B-4354","B-347","B-357","B-3471","B-34715","B-3571","B-35715"),
       IF($G59=24,
          "B-386",
          IF($G59=12,
             CHOOSE(MATCH(RAND(),{0,0.32,0.49,0.66,0.74,0.82,0.9,1}),"B-386","B-347","B-357","B-3471","B-34715","B-3571","B-35715"),
             "")
)))</f>
        <v>B-354</v>
      </c>
      <c r="I59" s="8" t="str">
        <f t="shared" ca="1" si="3"/>
        <v/>
      </c>
      <c r="J59">
        <f t="shared" ca="1" si="5"/>
        <v>18.875</v>
      </c>
      <c r="K59">
        <f t="shared" ca="1" si="6"/>
        <v>52.1875</v>
      </c>
      <c r="L59" s="14">
        <f t="shared" ca="1" si="2"/>
        <v>1</v>
      </c>
      <c r="M59" s="14" t="str">
        <f t="shared" ca="1" si="4"/>
        <v/>
      </c>
    </row>
    <row r="60" spans="2:13">
      <c r="B60" s="14" t="s">
        <v>156</v>
      </c>
      <c r="C60" s="14">
        <v>1</v>
      </c>
      <c r="D60" s="14">
        <v>1</v>
      </c>
      <c r="E60" s="14">
        <v>1</v>
      </c>
      <c r="F60" s="14">
        <v>0</v>
      </c>
      <c r="G60" s="14">
        <v>12</v>
      </c>
      <c r="H60" s="8" t="str">
        <f ca="1">IF(RAND()&lt;0.25,
    "",
    IF($E60=0,
       CHOOSE(MATCH(RAND(),{0,0.2,0.4,0.6,0.7,0.8,0.85,0.9,0.95,1}),"B-354","B-386","B-4354","B-347","B-357","B-3471","B-34715","B-3571","B-35715"),
       IF($G60=24,
          "B-386",
          IF($G60=12,
             CHOOSE(MATCH(RAND(),{0,0.32,0.49,0.66,0.74,0.82,0.9,1}),"B-386","B-347","B-357","B-3471","B-34715","B-3571","B-35715"),
             "")
)))</f>
        <v>B-347</v>
      </c>
      <c r="I60" s="8" t="str">
        <f t="shared" ca="1" si="3"/>
        <v/>
      </c>
      <c r="J60">
        <f t="shared" ca="1" si="5"/>
        <v>34.6875</v>
      </c>
      <c r="K60">
        <f t="shared" ca="1" si="6"/>
        <v>72.625</v>
      </c>
      <c r="L60" s="14">
        <f t="shared" ca="1" si="2"/>
        <v>12</v>
      </c>
      <c r="M60" s="14">
        <f t="shared" ca="1" si="4"/>
        <v>1</v>
      </c>
    </row>
    <row r="61" spans="2:13" hidden="1">
      <c r="B61" s="14" t="s">
        <v>156</v>
      </c>
      <c r="C61" s="14">
        <v>1</v>
      </c>
      <c r="D61" s="14">
        <v>1</v>
      </c>
      <c r="E61" s="14">
        <v>1</v>
      </c>
      <c r="F61" s="14">
        <v>0</v>
      </c>
      <c r="G61" s="14">
        <v>24</v>
      </c>
      <c r="H61" s="8" t="str">
        <f ca="1">IF(RAND()&lt;0.25,
    "",
    IF($E61=0,
       CHOOSE(MATCH(RAND(),{0,0.2,0.4,0.6,0.7,0.8,0.85,0.9,0.95,1}),"B-354","B-386","B-4354","B-347","B-357","B-3471","B-34715","B-3571","B-35715"),
       IF($G61=24,
          "B-386",
          IF($G61=12,
             CHOOSE(MATCH(RAND(),{0,0.32,0.49,0.66,0.74,0.82,0.9,1}),"B-386","B-347","B-357","B-3471","B-34715","B-3571","B-35715"),
             "")
)))</f>
        <v/>
      </c>
      <c r="I61" s="8" t="str">
        <f t="shared" ca="1" si="3"/>
        <v/>
      </c>
      <c r="J61">
        <f t="shared" ca="1" si="5"/>
        <v>3.5</v>
      </c>
      <c r="K61">
        <f t="shared" ca="1" si="6"/>
        <v>49.8125</v>
      </c>
      <c r="L61" s="14">
        <f t="shared" ca="1" si="2"/>
        <v>1</v>
      </c>
      <c r="M61" s="14">
        <f t="shared" ca="1" si="4"/>
        <v>1</v>
      </c>
    </row>
    <row r="62" spans="2:13" hidden="1">
      <c r="B62" s="14" t="s">
        <v>156</v>
      </c>
      <c r="C62" s="14">
        <v>1</v>
      </c>
      <c r="D62" s="14">
        <v>1</v>
      </c>
      <c r="E62" s="14">
        <v>1</v>
      </c>
      <c r="F62" s="14">
        <v>0</v>
      </c>
      <c r="G62" s="14"/>
      <c r="H62" s="8" t="str">
        <f ca="1">IF(RAND()&lt;0.25,
    "",
    IF($E62=0,
       CHOOSE(MATCH(RAND(),{0,0.2,0.4,0.6,0.7,0.8,0.85,0.9,0.95,1}),"B-354","B-386","B-4354","B-347","B-357","B-3471","B-34715","B-3571","B-35715"),
       IF($G62=24,
          "B-386",
          IF($G62=12,
             CHOOSE(MATCH(RAND(),{0,0.32,0.49,0.66,0.74,0.82,0.9,1}),"B-386","B-347","B-357","B-3471","B-34715","B-3571","B-35715"),
             "")
)))</f>
        <v/>
      </c>
      <c r="I62" s="8" t="str">
        <f t="shared" ca="1" si="3"/>
        <v/>
      </c>
      <c r="J62">
        <f t="shared" ca="1" si="5"/>
        <v>3.8125</v>
      </c>
      <c r="K62">
        <f t="shared" ca="1" si="6"/>
        <v>66.4375</v>
      </c>
      <c r="L62" s="14">
        <f t="shared" ca="1" si="2"/>
        <v>12</v>
      </c>
      <c r="M62" s="14">
        <f t="shared" ca="1" si="4"/>
        <v>1</v>
      </c>
    </row>
    <row r="63" spans="2:13" hidden="1">
      <c r="B63" s="14" t="s">
        <v>156</v>
      </c>
      <c r="C63" s="14">
        <v>1</v>
      </c>
      <c r="D63" s="14">
        <v>1</v>
      </c>
      <c r="E63" s="14">
        <v>1</v>
      </c>
      <c r="F63" s="14">
        <v>1</v>
      </c>
      <c r="G63" s="14"/>
      <c r="H63" s="8" t="str">
        <f ca="1">IF(RAND()&lt;0.25,
    "",
    IF($E63=0,
       CHOOSE(MATCH(RAND(),{0,0.2,0.4,0.6,0.7,0.8,0.85,0.9,0.95,1}),"B-354","B-386","B-4354","B-347","B-357","B-3471","B-34715","B-3571","B-35715"),
       IF($G63=24,
          "B-386",
          IF($G63=12,
             CHOOSE(MATCH(RAND(),{0,0.32,0.49,0.66,0.74,0.82,0.9,1}),"B-386","B-347","B-357","B-3471","B-34715","B-3571","B-35715"),
             "")
)))</f>
        <v/>
      </c>
      <c r="I63" s="8" t="str">
        <f t="shared" ca="1" si="3"/>
        <v/>
      </c>
      <c r="J63">
        <f t="shared" ca="1" si="5"/>
        <v>9.9375</v>
      </c>
      <c r="K63">
        <f t="shared" ca="1" si="6"/>
        <v>7.0625</v>
      </c>
      <c r="L63" s="14">
        <f t="shared" ca="1" si="2"/>
        <v>12</v>
      </c>
      <c r="M63" s="14">
        <f t="shared" ca="1" si="4"/>
        <v>1</v>
      </c>
    </row>
    <row r="64" spans="2:13" hidden="1">
      <c r="B64" s="14" t="s">
        <v>157</v>
      </c>
      <c r="C64" s="14">
        <v>0</v>
      </c>
      <c r="D64" s="14"/>
      <c r="E64" s="14">
        <v>0</v>
      </c>
      <c r="F64" s="14"/>
      <c r="G64" s="14"/>
      <c r="H64" s="8" t="str">
        <f ca="1">IF(RAND()&lt;0.25,
    "",
    IF($E64=0,
       CHOOSE(MATCH(RAND(),{0,0.2,0.4,0.6,0.7,0.8,0.85,0.9,0.95,1}),"B-354","B-386","B-4354","B-347","B-357","B-3471","B-34715","B-3571","B-35715"),
       IF($G64=24,
          "B-386",
          IF($G64=12,
             CHOOSE(MATCH(RAND(),{0,0.32,0.49,0.66,0.74,0.82,0.9,1}),"B-386","B-347","B-357","B-3471","B-34715","B-3571","B-35715"),
             "")
)))</f>
        <v/>
      </c>
      <c r="I64" s="8" t="str">
        <f t="shared" ca="1" si="3"/>
        <v/>
      </c>
      <c r="J64">
        <f t="shared" ca="1" si="5"/>
        <v>60</v>
      </c>
      <c r="K64">
        <f t="shared" ca="1" si="6"/>
        <v>28.4375</v>
      </c>
      <c r="L64" s="14">
        <f t="shared" ca="1" si="2"/>
        <v>1.3125</v>
      </c>
      <c r="M64" s="14">
        <f t="shared" ca="1" si="4"/>
        <v>4.5</v>
      </c>
    </row>
    <row r="65" spans="2:13">
      <c r="B65" s="14" t="s">
        <v>157</v>
      </c>
      <c r="C65" s="14">
        <v>0</v>
      </c>
      <c r="D65" s="14"/>
      <c r="E65" s="14">
        <v>1</v>
      </c>
      <c r="F65" s="14">
        <v>0</v>
      </c>
      <c r="G65" s="14">
        <v>12</v>
      </c>
      <c r="H65" s="8" t="str">
        <f ca="1">IF(RAND()&lt;0.25,
    "",
    IF($E65=0,
       CHOOSE(MATCH(RAND(),{0,0.2,0.4,0.6,0.7,0.8,0.85,0.9,0.95,1}),"B-354","B-386","B-4354","B-347","B-357","B-3471","B-34715","B-3571","B-35715"),
       IF($G65=24,
          "B-386",
          IF($G65=12,
             CHOOSE(MATCH(RAND(),{0,0.32,0.49,0.66,0.74,0.82,0.9,1}),"B-386","B-347","B-357","B-3471","B-34715","B-3571","B-35715"),
             "")
)))</f>
        <v>B-386</v>
      </c>
      <c r="I65" s="8" t="str">
        <f t="shared" ca="1" si="3"/>
        <v/>
      </c>
      <c r="J65">
        <f t="shared" ca="1" si="5"/>
        <v>60</v>
      </c>
      <c r="K65">
        <f t="shared" ca="1" si="6"/>
        <v>54.25</v>
      </c>
      <c r="L65" s="14">
        <f t="shared" ca="1" si="2"/>
        <v>4.5</v>
      </c>
      <c r="M65" s="14">
        <f t="shared" ca="1" si="4"/>
        <v>3.25</v>
      </c>
    </row>
    <row r="66" spans="2:13">
      <c r="B66" s="14" t="s">
        <v>157</v>
      </c>
      <c r="C66" s="14">
        <v>0</v>
      </c>
      <c r="D66" s="14"/>
      <c r="E66" s="14">
        <v>1</v>
      </c>
      <c r="F66" s="14">
        <v>0</v>
      </c>
      <c r="G66" s="14">
        <v>24</v>
      </c>
      <c r="H66" s="8" t="str">
        <f ca="1">IF(RAND()&lt;0.25,
    "",
    IF($E66=0,
       CHOOSE(MATCH(RAND(),{0,0.2,0.4,0.6,0.7,0.8,0.85,0.9,0.95,1}),"B-354","B-386","B-4354","B-347","B-357","B-3471","B-34715","B-3571","B-35715"),
       IF($G66=24,
          "B-386",
          IF($G66=12,
             CHOOSE(MATCH(RAND(),{0,0.32,0.49,0.66,0.74,0.82,0.9,1}),"B-386","B-347","B-357","B-3471","B-34715","B-3571","B-35715"),
             "")
)))</f>
        <v>B-386</v>
      </c>
      <c r="I66" s="8" t="str">
        <f t="shared" ca="1" si="3"/>
        <v/>
      </c>
      <c r="J66">
        <f t="shared" ca="1" si="5"/>
        <v>60</v>
      </c>
      <c r="K66">
        <f t="shared" ca="1" si="6"/>
        <v>61.875</v>
      </c>
      <c r="L66" s="14">
        <f t="shared" ca="1" si="2"/>
        <v>4.5</v>
      </c>
      <c r="M66" s="14">
        <f t="shared" ca="1" si="4"/>
        <v>1</v>
      </c>
    </row>
    <row r="67" spans="2:13" hidden="1">
      <c r="B67" s="14" t="s">
        <v>157</v>
      </c>
      <c r="C67" s="14">
        <v>0</v>
      </c>
      <c r="D67" s="14"/>
      <c r="E67" s="14">
        <v>1</v>
      </c>
      <c r="F67" s="14">
        <v>0</v>
      </c>
      <c r="G67" s="14"/>
      <c r="H67" s="8" t="str">
        <f ca="1">IF(RAND()&lt;0.25,
    "",
    IF($E67=0,
       CHOOSE(MATCH(RAND(),{0,0.2,0.4,0.6,0.7,0.8,0.85,0.9,0.95,1}),"B-354","B-386","B-4354","B-347","B-357","B-3471","B-34715","B-3571","B-35715"),
       IF($G67=24,
          "B-386",
          IF($G67=12,
             CHOOSE(MATCH(RAND(),{0,0.32,0.49,0.66,0.74,0.82,0.9,1}),"B-386","B-347","B-357","B-3471","B-34715","B-3571","B-35715"),
             "")
)))</f>
        <v/>
      </c>
      <c r="I67" s="8" t="str">
        <f t="shared" ca="1" si="3"/>
        <v/>
      </c>
      <c r="J67">
        <f t="shared" ca="1" si="5"/>
        <v>60</v>
      </c>
      <c r="K67">
        <f t="shared" ca="1" si="6"/>
        <v>45.5625</v>
      </c>
      <c r="L67" s="14">
        <f t="shared" ca="1" si="2"/>
        <v>2.125</v>
      </c>
      <c r="M67" s="14">
        <f t="shared" ca="1" si="4"/>
        <v>3</v>
      </c>
    </row>
    <row r="68" spans="2:13" hidden="1">
      <c r="B68" s="14" t="s">
        <v>157</v>
      </c>
      <c r="C68" s="14">
        <v>0</v>
      </c>
      <c r="D68" s="14"/>
      <c r="E68" s="14">
        <v>1</v>
      </c>
      <c r="F68" s="14">
        <v>1</v>
      </c>
      <c r="G68" s="14"/>
      <c r="H68" s="8" t="str">
        <f ca="1">IF(RAND()&lt;0.25,
    "",
    IF($E68=0,
       CHOOSE(MATCH(RAND(),{0,0.2,0.4,0.6,0.7,0.8,0.85,0.9,0.95,1}),"B-354","B-386","B-4354","B-347","B-357","B-3471","B-34715","B-3571","B-35715"),
       IF($G68=24,
          "B-386",
          IF($G68=12,
             CHOOSE(MATCH(RAND(),{0,0.32,0.49,0.66,0.74,0.82,0.9,1}),"B-386","B-347","B-357","B-3471","B-34715","B-3571","B-35715"),
             "")
)))</f>
        <v/>
      </c>
      <c r="I68" s="8" t="str">
        <f t="shared" ca="1" si="3"/>
        <v/>
      </c>
      <c r="J68">
        <f t="shared" ca="1" si="5"/>
        <v>60</v>
      </c>
      <c r="K68">
        <f t="shared" ca="1" si="6"/>
        <v>11.8125</v>
      </c>
      <c r="L68" s="14">
        <f t="shared" ref="L68:L131" ca="1" si="7" xml:space="preserve">    _xlfn.LET(
      _xlpm.k, RANDBETWEEN(1,6),
      _xlpm.step, 1/16,
      IF(
        _xlpm.k=1, 1,
        IF(
          _xlpm.k=2, 4.5,
          IF(
            _xlpm.k=3, 9,
            IF(
              _xlpm.k=4, 12,
              IF(
                _xlpm.k=5,
                  1 + _xlpm.step*RANDBETWEEN(1, (4.5-1)/_xlpm.step - 1),
                  4.5 + _xlpm.step*RANDBETWEEN(1, (12-4.5)/_xlpm.step - 1)
              )
            )
          )
        )
      )
    )</f>
        <v>4.5</v>
      </c>
      <c r="M68" s="14">
        <f t="shared" ca="1" si="4"/>
        <v>6.75</v>
      </c>
    </row>
    <row r="69" spans="2:13">
      <c r="B69" s="14" t="s">
        <v>157</v>
      </c>
      <c r="C69" s="14">
        <v>1</v>
      </c>
      <c r="D69" s="14">
        <v>0</v>
      </c>
      <c r="E69" s="14">
        <v>0</v>
      </c>
      <c r="F69" s="14"/>
      <c r="G69" s="14"/>
      <c r="H69" s="8" t="str">
        <f ca="1">IF(RAND()&lt;0.25,
    "",
    IF($E69=0,
       CHOOSE(MATCH(RAND(),{0,0.2,0.4,0.6,0.7,0.8,0.85,0.9,0.95,1}),"B-354","B-386","B-4354","B-347","B-357","B-3471","B-34715","B-3571","B-35715"),
       IF($G69=24,
          "B-386",
          IF($G69=12,
             CHOOSE(MATCH(RAND(),{0,0.32,0.49,0.66,0.74,0.82,0.9,1}),"B-386","B-347","B-357","B-3471","B-34715","B-3571","B-35715"),
             "")
)))</f>
        <v>B-4354</v>
      </c>
      <c r="I69" s="8" t="str">
        <f t="shared" ref="I69:I132" ca="1" si="8">IF($H69="",
    "",
    IF(AND($E69=0,OR($H69="B-354",$H69="B-386",$H69="B-4354")),
       IF(RAND()&lt;0.5,
          "",
          IF($H69="B-354",
             "B-386",
             IF($H69="B-4354",
                "B-386",
                IF($H69="B-386",
                   IF(RAND()&lt;0.5,
                      "B-354",
                      "B-4354"),
                   "")
                 ))),
       ""))</f>
        <v/>
      </c>
      <c r="J69">
        <f t="shared" ca="1" si="5"/>
        <v>60</v>
      </c>
      <c r="K69">
        <f t="shared" ca="1" si="6"/>
        <v>46.5625</v>
      </c>
      <c r="L69" s="14">
        <f t="shared" ca="1" si="7"/>
        <v>6.3125</v>
      </c>
      <c r="M69" s="14">
        <f t="shared" ref="M69:M132" ca="1" si="9">_xlfn.LET(
  _xlpm.r, RAND(),
  IF(
     _xlpm.r &lt; 0.25,
     1,
     IF(
        _xlpm.r &lt; 0.5,
        1 + RANDBETWEEN(0,16*4)/16,
        IF(
            _xlpm.r &lt; 0.75,
            4.5 + RANDBETWEEN(0,16*4)/16,
            ""
           )
        )
     )
)</f>
        <v>4.9375</v>
      </c>
    </row>
    <row r="70" spans="2:13" hidden="1">
      <c r="B70" s="14" t="s">
        <v>157</v>
      </c>
      <c r="C70" s="14">
        <v>1</v>
      </c>
      <c r="D70" s="14">
        <v>0</v>
      </c>
      <c r="E70" s="14">
        <v>1</v>
      </c>
      <c r="F70" s="14">
        <v>0</v>
      </c>
      <c r="G70" s="14">
        <v>12</v>
      </c>
      <c r="H70" s="8" t="str">
        <f ca="1">IF(RAND()&lt;0.25,
    "",
    IF($E70=0,
       CHOOSE(MATCH(RAND(),{0,0.2,0.4,0.6,0.7,0.8,0.85,0.9,0.95,1}),"B-354","B-386","B-4354","B-347","B-357","B-3471","B-34715","B-3571","B-35715"),
       IF($G70=24,
          "B-386",
          IF($G70=12,
             CHOOSE(MATCH(RAND(),{0,0.32,0.49,0.66,0.74,0.82,0.9,1}),"B-386","B-347","B-357","B-3471","B-34715","B-3571","B-35715"),
             "")
)))</f>
        <v>B-357</v>
      </c>
      <c r="I70" s="8" t="str">
        <f t="shared" ca="1" si="8"/>
        <v/>
      </c>
      <c r="J70">
        <f t="shared" ca="1" si="5"/>
        <v>60</v>
      </c>
      <c r="K70">
        <f t="shared" ca="1" si="6"/>
        <v>52.5625</v>
      </c>
      <c r="L70" s="14">
        <f t="shared" ca="1" si="7"/>
        <v>12</v>
      </c>
      <c r="M70" s="14" t="str">
        <f t="shared" ca="1" si="9"/>
        <v/>
      </c>
    </row>
    <row r="71" spans="2:13">
      <c r="B71" s="14" t="s">
        <v>157</v>
      </c>
      <c r="C71" s="14">
        <v>1</v>
      </c>
      <c r="D71" s="14">
        <v>0</v>
      </c>
      <c r="E71" s="14">
        <v>1</v>
      </c>
      <c r="F71" s="14">
        <v>0</v>
      </c>
      <c r="G71" s="14">
        <v>24</v>
      </c>
      <c r="H71" s="8" t="str">
        <f ca="1">IF(RAND()&lt;0.25,
    "",
    IF($E71=0,
       CHOOSE(MATCH(RAND(),{0,0.2,0.4,0.6,0.7,0.8,0.85,0.9,0.95,1}),"B-354","B-386","B-4354","B-347","B-357","B-3471","B-34715","B-3571","B-35715"),
       IF($G71=24,
          "B-386",
          IF($G71=12,
             CHOOSE(MATCH(RAND(),{0,0.32,0.49,0.66,0.74,0.82,0.9,1}),"B-386","B-347","B-357","B-3471","B-34715","B-3571","B-35715"),
             "")
)))</f>
        <v>B-386</v>
      </c>
      <c r="I71" s="8" t="str">
        <f t="shared" ca="1" si="8"/>
        <v/>
      </c>
      <c r="J71">
        <f t="shared" ca="1" si="5"/>
        <v>60</v>
      </c>
      <c r="K71">
        <f t="shared" ca="1" si="6"/>
        <v>55.875</v>
      </c>
      <c r="L71" s="14">
        <f t="shared" ca="1" si="7"/>
        <v>3</v>
      </c>
      <c r="M71" s="14">
        <f t="shared" ca="1" si="9"/>
        <v>3.5625</v>
      </c>
    </row>
    <row r="72" spans="2:13" hidden="1">
      <c r="B72" s="14" t="s">
        <v>157</v>
      </c>
      <c r="C72" s="14">
        <v>1</v>
      </c>
      <c r="D72" s="14">
        <v>0</v>
      </c>
      <c r="E72" s="14">
        <v>1</v>
      </c>
      <c r="F72" s="14">
        <v>0</v>
      </c>
      <c r="G72" s="14"/>
      <c r="H72" s="8" t="str">
        <f ca="1">IF(RAND()&lt;0.25,
    "",
    IF($E72=0,
       CHOOSE(MATCH(RAND(),{0,0.2,0.4,0.6,0.7,0.8,0.85,0.9,0.95,1}),"B-354","B-386","B-4354","B-347","B-357","B-3471","B-34715","B-3571","B-35715"),
       IF($G72=24,
          "B-386",
          IF($G72=12,
             CHOOSE(MATCH(RAND(),{0,0.32,0.49,0.66,0.74,0.82,0.9,1}),"B-386","B-347","B-357","B-3471","B-34715","B-3571","B-35715"),
             "")
)))</f>
        <v/>
      </c>
      <c r="I72" s="8" t="str">
        <f t="shared" ca="1" si="8"/>
        <v/>
      </c>
      <c r="J72">
        <f t="shared" ca="1" si="5"/>
        <v>60</v>
      </c>
      <c r="K72">
        <f t="shared" ca="1" si="6"/>
        <v>25.375</v>
      </c>
      <c r="L72" s="14">
        <f t="shared" ca="1" si="7"/>
        <v>4.5</v>
      </c>
      <c r="M72" s="14">
        <f t="shared" ca="1" si="9"/>
        <v>5.625</v>
      </c>
    </row>
    <row r="73" spans="2:13" hidden="1">
      <c r="B73" s="14" t="s">
        <v>157</v>
      </c>
      <c r="C73" s="14">
        <v>1</v>
      </c>
      <c r="D73" s="14">
        <v>0</v>
      </c>
      <c r="E73" s="14">
        <v>1</v>
      </c>
      <c r="F73" s="14">
        <v>1</v>
      </c>
      <c r="G73" s="14"/>
      <c r="H73" s="8" t="str">
        <f ca="1">IF(RAND()&lt;0.25,
    "",
    IF($E73=0,
       CHOOSE(MATCH(RAND(),{0,0.2,0.4,0.6,0.7,0.8,0.85,0.9,0.95,1}),"B-354","B-386","B-4354","B-347","B-357","B-3471","B-34715","B-3571","B-35715"),
       IF($G73=24,
          "B-386",
          IF($G73=12,
             CHOOSE(MATCH(RAND(),{0,0.32,0.49,0.66,0.74,0.82,0.9,1}),"B-386","B-347","B-357","B-3471","B-34715","B-3571","B-35715"),
             "")
)))</f>
        <v/>
      </c>
      <c r="I73" s="8" t="str">
        <f t="shared" ca="1" si="8"/>
        <v/>
      </c>
      <c r="J73">
        <f t="shared" ca="1" si="5"/>
        <v>60</v>
      </c>
      <c r="K73">
        <f t="shared" ca="1" si="6"/>
        <v>20.0625</v>
      </c>
      <c r="L73" s="14">
        <f t="shared" ca="1" si="7"/>
        <v>9</v>
      </c>
      <c r="M73" s="14" t="str">
        <f t="shared" ca="1" si="9"/>
        <v/>
      </c>
    </row>
    <row r="74" spans="2:13">
      <c r="B74" s="14" t="s">
        <v>157</v>
      </c>
      <c r="C74" s="14">
        <v>1</v>
      </c>
      <c r="D74" s="14">
        <v>1</v>
      </c>
      <c r="E74" s="14">
        <v>0</v>
      </c>
      <c r="F74" s="14"/>
      <c r="G74" s="14"/>
      <c r="H74" s="8" t="str">
        <f ca="1">IF(RAND()&lt;0.25,
    "",
    IF($E74=0,
       CHOOSE(MATCH(RAND(),{0,0.2,0.4,0.6,0.7,0.8,0.85,0.9,0.95,1}),"B-354","B-386","B-4354","B-347","B-357","B-3471","B-34715","B-3571","B-35715"),
       IF($G74=24,
          "B-386",
          IF($G74=12,
             CHOOSE(MATCH(RAND(),{0,0.32,0.49,0.66,0.74,0.82,0.9,1}),"B-386","B-347","B-357","B-3471","B-34715","B-3571","B-35715"),
             "")
)))</f>
        <v/>
      </c>
      <c r="I74" s="8" t="str">
        <f t="shared" ca="1" si="8"/>
        <v/>
      </c>
      <c r="J74">
        <f t="shared" ca="1" si="5"/>
        <v>60</v>
      </c>
      <c r="K74">
        <f t="shared" ca="1" si="6"/>
        <v>10.0625</v>
      </c>
      <c r="L74" s="14">
        <f t="shared" ca="1" si="7"/>
        <v>9</v>
      </c>
      <c r="M74" s="14" t="str">
        <f t="shared" ca="1" si="9"/>
        <v/>
      </c>
    </row>
    <row r="75" spans="2:13" hidden="1">
      <c r="B75" s="14" t="s">
        <v>157</v>
      </c>
      <c r="C75" s="14">
        <v>1</v>
      </c>
      <c r="D75" s="14">
        <v>1</v>
      </c>
      <c r="E75" s="14">
        <v>1</v>
      </c>
      <c r="F75" s="14">
        <v>0</v>
      </c>
      <c r="G75" s="14">
        <v>12</v>
      </c>
      <c r="H75" s="8" t="str">
        <f ca="1">IF(RAND()&lt;0.25,
    "",
    IF($E75=0,
       CHOOSE(MATCH(RAND(),{0,0.2,0.4,0.6,0.7,0.8,0.85,0.9,0.95,1}),"B-354","B-386","B-4354","B-347","B-357","B-3471","B-34715","B-3571","B-35715"),
       IF($G75=24,
          "B-386",
          IF($G75=12,
             CHOOSE(MATCH(RAND(),{0,0.32,0.49,0.66,0.74,0.82,0.9,1}),"B-386","B-347","B-357","B-3471","B-34715","B-3571","B-35715"),
             "")
)))</f>
        <v>B-34715</v>
      </c>
      <c r="I75" s="8" t="str">
        <f t="shared" ca="1" si="8"/>
        <v/>
      </c>
      <c r="J75">
        <f t="shared" ca="1" si="5"/>
        <v>60</v>
      </c>
      <c r="K75">
        <f t="shared" ca="1" si="6"/>
        <v>57.9375</v>
      </c>
      <c r="L75" s="14">
        <f t="shared" ca="1" si="7"/>
        <v>9</v>
      </c>
      <c r="M75" s="14">
        <f t="shared" ca="1" si="9"/>
        <v>5.9375</v>
      </c>
    </row>
    <row r="76" spans="2:13">
      <c r="B76" s="14" t="s">
        <v>157</v>
      </c>
      <c r="C76" s="14">
        <v>1</v>
      </c>
      <c r="D76" s="14">
        <v>1</v>
      </c>
      <c r="E76" s="14">
        <v>1</v>
      </c>
      <c r="F76" s="14">
        <v>0</v>
      </c>
      <c r="G76" s="14">
        <v>24</v>
      </c>
      <c r="H76" s="8" t="str">
        <f ca="1">IF(RAND()&lt;0.25,
    "",
    IF($E76=0,
       CHOOSE(MATCH(RAND(),{0,0.2,0.4,0.6,0.7,0.8,0.85,0.9,0.95,1}),"B-354","B-386","B-4354","B-347","B-357","B-3471","B-34715","B-3571","B-35715"),
       IF($G76=24,
          "B-386",
          IF($G76=12,
             CHOOSE(MATCH(RAND(),{0,0.32,0.49,0.66,0.74,0.82,0.9,1}),"B-386","B-347","B-357","B-3471","B-34715","B-3571","B-35715"),
             "")
)))</f>
        <v>B-386</v>
      </c>
      <c r="I76" s="8" t="str">
        <f t="shared" ca="1" si="8"/>
        <v/>
      </c>
      <c r="J76">
        <f t="shared" ca="1" si="5"/>
        <v>60</v>
      </c>
      <c r="K76">
        <f t="shared" ca="1" si="6"/>
        <v>73.9375</v>
      </c>
      <c r="L76" s="14">
        <f t="shared" ca="1" si="7"/>
        <v>4.5</v>
      </c>
      <c r="M76" s="14">
        <f t="shared" ca="1" si="9"/>
        <v>5.875</v>
      </c>
    </row>
    <row r="77" spans="2:13" hidden="1">
      <c r="B77" s="14" t="s">
        <v>157</v>
      </c>
      <c r="C77" s="14">
        <v>1</v>
      </c>
      <c r="D77" s="14">
        <v>1</v>
      </c>
      <c r="E77" s="14">
        <v>1</v>
      </c>
      <c r="F77" s="14">
        <v>0</v>
      </c>
      <c r="G77" s="14"/>
      <c r="H77" s="8" t="str">
        <f ca="1">IF(RAND()&lt;0.25,
    "",
    IF($E77=0,
       CHOOSE(MATCH(RAND(),{0,0.2,0.4,0.6,0.7,0.8,0.85,0.9,0.95,1}),"B-354","B-386","B-4354","B-347","B-357","B-3471","B-34715","B-3571","B-35715"),
       IF($G77=24,
          "B-386",
          IF($G77=12,
             CHOOSE(MATCH(RAND(),{0,0.32,0.49,0.66,0.74,0.82,0.9,1}),"B-386","B-347","B-357","B-3471","B-34715","B-3571","B-35715"),
             "")
)))</f>
        <v/>
      </c>
      <c r="I77" s="8" t="str">
        <f t="shared" ca="1" si="8"/>
        <v/>
      </c>
      <c r="J77">
        <f t="shared" ca="1" si="5"/>
        <v>60</v>
      </c>
      <c r="K77">
        <f t="shared" ca="1" si="6"/>
        <v>66.8125</v>
      </c>
      <c r="L77" s="14">
        <f t="shared" ca="1" si="7"/>
        <v>4.5</v>
      </c>
      <c r="M77" s="14">
        <f t="shared" ca="1" si="9"/>
        <v>1.75</v>
      </c>
    </row>
    <row r="78" spans="2:13" hidden="1">
      <c r="B78" s="14" t="s">
        <v>157</v>
      </c>
      <c r="C78" s="14">
        <v>1</v>
      </c>
      <c r="D78" s="14">
        <v>1</v>
      </c>
      <c r="E78" s="14">
        <v>1</v>
      </c>
      <c r="F78" s="14">
        <v>1</v>
      </c>
      <c r="G78" s="14"/>
      <c r="H78" s="8" t="str">
        <f ca="1">IF(RAND()&lt;0.25,
    "",
    IF($E78=0,
       CHOOSE(MATCH(RAND(),{0,0.2,0.4,0.6,0.7,0.8,0.85,0.9,0.95,1}),"B-354","B-386","B-4354","B-347","B-357","B-3471","B-34715","B-3571","B-35715"),
       IF($G78=24,
          "B-386",
          IF($G78=12,
             CHOOSE(MATCH(RAND(),{0,0.32,0.49,0.66,0.74,0.82,0.9,1}),"B-386","B-347","B-357","B-3471","B-34715","B-3571","B-35715"),
             "")
)))</f>
        <v/>
      </c>
      <c r="I78" s="8" t="str">
        <f t="shared" ca="1" si="8"/>
        <v/>
      </c>
      <c r="J78">
        <f t="shared" ca="1" si="5"/>
        <v>60</v>
      </c>
      <c r="K78">
        <f t="shared" ca="1" si="6"/>
        <v>60.9375</v>
      </c>
      <c r="L78" s="14">
        <f t="shared" ca="1" si="7"/>
        <v>1</v>
      </c>
      <c r="M78" s="14">
        <f t="shared" ca="1" si="9"/>
        <v>8.5</v>
      </c>
    </row>
    <row r="79" spans="2:13">
      <c r="B79" s="14" t="s">
        <v>21</v>
      </c>
      <c r="C79" s="14">
        <v>0</v>
      </c>
      <c r="D79" s="14"/>
      <c r="E79" s="14">
        <v>0</v>
      </c>
      <c r="F79" s="14"/>
      <c r="G79" s="14"/>
      <c r="H79" s="8" t="str">
        <f ca="1">IF(RAND()&lt;0.25,
    "",
    IF($E79=0,
       CHOOSE(MATCH(RAND(),{0,0.2,0.4,0.6,0.7,0.8,0.85,0.9,0.95,1}),"B-354","B-386","B-4354","B-347","B-357","B-3471","B-34715","B-3571","B-35715"),
       IF($G79=24,
          "B-386",
          IF($G79=12,
             CHOOSE(MATCH(RAND(),{0,0.32,0.49,0.66,0.74,0.82,0.9,1}),"B-386","B-347","B-357","B-3471","B-34715","B-3571","B-35715"),
             "")
)))</f>
        <v>B-4354</v>
      </c>
      <c r="I79" s="8" t="str">
        <f t="shared" ca="1" si="8"/>
        <v/>
      </c>
      <c r="J79">
        <f t="shared" ca="1" si="5"/>
        <v>58.1875</v>
      </c>
      <c r="K79">
        <f t="shared" ca="1" si="6"/>
        <v>68.6875</v>
      </c>
      <c r="L79" s="14">
        <f t="shared" ca="1" si="7"/>
        <v>2.5</v>
      </c>
      <c r="M79" s="14">
        <f t="shared" ca="1" si="9"/>
        <v>1</v>
      </c>
    </row>
    <row r="80" spans="2:13">
      <c r="B80" s="14" t="s">
        <v>21</v>
      </c>
      <c r="C80" s="14">
        <v>0</v>
      </c>
      <c r="D80" s="14"/>
      <c r="E80" s="14">
        <v>1</v>
      </c>
      <c r="F80" s="14">
        <v>0</v>
      </c>
      <c r="G80" s="14">
        <v>12</v>
      </c>
      <c r="H80" s="8" t="str">
        <f ca="1">IF(RAND()&lt;0.25,
    "",
    IF($E80=0,
       CHOOSE(MATCH(RAND(),{0,0.2,0.4,0.6,0.7,0.8,0.85,0.9,0.95,1}),"B-354","B-386","B-4354","B-347","B-357","B-3471","B-34715","B-3571","B-35715"),
       IF($G80=24,
          "B-386",
          IF($G80=12,
             CHOOSE(MATCH(RAND(),{0,0.32,0.49,0.66,0.74,0.82,0.9,1}),"B-386","B-347","B-357","B-3471","B-34715","B-3571","B-35715"),
             "")
)))</f>
        <v>B-357</v>
      </c>
      <c r="I80" s="8" t="str">
        <f t="shared" ca="1" si="8"/>
        <v/>
      </c>
      <c r="J80">
        <f t="shared" ca="1" si="5"/>
        <v>68.875</v>
      </c>
      <c r="K80">
        <f t="shared" ca="1" si="6"/>
        <v>75.1875</v>
      </c>
      <c r="L80" s="14">
        <f t="shared" ca="1" si="7"/>
        <v>6.3125</v>
      </c>
      <c r="M80" s="14">
        <f t="shared" ca="1" si="9"/>
        <v>3.625</v>
      </c>
    </row>
    <row r="81" spans="2:13" hidden="1">
      <c r="B81" s="14" t="s">
        <v>21</v>
      </c>
      <c r="C81" s="14">
        <v>0</v>
      </c>
      <c r="D81" s="14"/>
      <c r="E81" s="14">
        <v>1</v>
      </c>
      <c r="F81" s="14">
        <v>0</v>
      </c>
      <c r="G81" s="14">
        <v>24</v>
      </c>
      <c r="H81" s="8" t="str">
        <f ca="1">IF(RAND()&lt;0.25,
    "",
    IF($E81=0,
       CHOOSE(MATCH(RAND(),{0,0.2,0.4,0.6,0.7,0.8,0.85,0.9,0.95,1}),"B-354","B-386","B-4354","B-347","B-357","B-3471","B-34715","B-3571","B-35715"),
       IF($G81=24,
          "B-386",
          IF($G81=12,
             CHOOSE(MATCH(RAND(),{0,0.32,0.49,0.66,0.74,0.82,0.9,1}),"B-386","B-347","B-357","B-3471","B-34715","B-3571","B-35715"),
             "")
)))</f>
        <v/>
      </c>
      <c r="I81" s="8" t="str">
        <f t="shared" ca="1" si="8"/>
        <v/>
      </c>
      <c r="J81">
        <f t="shared" ca="1" si="5"/>
        <v>87.5</v>
      </c>
      <c r="K81">
        <f t="shared" ca="1" si="6"/>
        <v>63.5625</v>
      </c>
      <c r="L81" s="14">
        <f t="shared" ca="1" si="7"/>
        <v>12</v>
      </c>
      <c r="M81" s="14">
        <f t="shared" ca="1" si="9"/>
        <v>1</v>
      </c>
    </row>
    <row r="82" spans="2:13" hidden="1">
      <c r="B82" s="14" t="s">
        <v>21</v>
      </c>
      <c r="C82" s="14">
        <v>0</v>
      </c>
      <c r="D82" s="14"/>
      <c r="E82" s="14">
        <v>1</v>
      </c>
      <c r="F82" s="14">
        <v>0</v>
      </c>
      <c r="G82" s="14"/>
      <c r="H82" s="8" t="str">
        <f ca="1">IF(RAND()&lt;0.25,
    "",
    IF($E82=0,
       CHOOSE(MATCH(RAND(),{0,0.2,0.4,0.6,0.7,0.8,0.85,0.9,0.95,1}),"B-354","B-386","B-4354","B-347","B-357","B-3471","B-34715","B-3571","B-35715"),
       IF($G82=24,
          "B-386",
          IF($G82=12,
             CHOOSE(MATCH(RAND(),{0,0.32,0.49,0.66,0.74,0.82,0.9,1}),"B-386","B-347","B-357","B-3471","B-34715","B-3571","B-35715"),
             "")
)))</f>
        <v/>
      </c>
      <c r="I82" s="8" t="str">
        <f t="shared" ca="1" si="8"/>
        <v/>
      </c>
      <c r="J82">
        <f t="shared" ca="1" si="5"/>
        <v>96</v>
      </c>
      <c r="K82">
        <f t="shared" ca="1" si="6"/>
        <v>53.6875</v>
      </c>
      <c r="L82" s="14">
        <f t="shared" ca="1" si="7"/>
        <v>1</v>
      </c>
      <c r="M82" s="14">
        <f t="shared" ca="1" si="9"/>
        <v>5.4375</v>
      </c>
    </row>
    <row r="83" spans="2:13" hidden="1">
      <c r="B83" s="14" t="s">
        <v>21</v>
      </c>
      <c r="C83" s="14">
        <v>0</v>
      </c>
      <c r="D83" s="14"/>
      <c r="E83" s="14">
        <v>1</v>
      </c>
      <c r="F83" s="14">
        <v>1</v>
      </c>
      <c r="G83" s="14"/>
      <c r="H83" s="8" t="str">
        <f ca="1">IF(RAND()&lt;0.25,
    "",
    IF($E83=0,
       CHOOSE(MATCH(RAND(),{0,0.2,0.4,0.6,0.7,0.8,0.85,0.9,0.95,1}),"B-354","B-386","B-4354","B-347","B-357","B-3471","B-34715","B-3571","B-35715"),
       IF($G83=24,
          "B-386",
          IF($G83=12,
             CHOOSE(MATCH(RAND(),{0,0.32,0.49,0.66,0.74,0.82,0.9,1}),"B-386","B-347","B-357","B-3471","B-34715","B-3571","B-35715"),
             "")
)))</f>
        <v/>
      </c>
      <c r="I83" s="8" t="str">
        <f t="shared" ca="1" si="8"/>
        <v/>
      </c>
      <c r="J83">
        <f t="shared" ca="1" si="5"/>
        <v>96</v>
      </c>
      <c r="K83">
        <f t="shared" ca="1" si="6"/>
        <v>39.1875</v>
      </c>
      <c r="L83" s="14">
        <f t="shared" ca="1" si="7"/>
        <v>9</v>
      </c>
      <c r="M83" s="14">
        <f t="shared" ca="1" si="9"/>
        <v>1</v>
      </c>
    </row>
    <row r="84" spans="2:13" hidden="1">
      <c r="B84" s="14" t="s">
        <v>21</v>
      </c>
      <c r="C84" s="14">
        <v>1</v>
      </c>
      <c r="D84" s="14">
        <v>0</v>
      </c>
      <c r="E84" s="14">
        <v>0</v>
      </c>
      <c r="F84" s="14"/>
      <c r="G84" s="14"/>
      <c r="H84" s="8" t="str">
        <f ca="1">IF(RAND()&lt;0.25,
    "",
    IF($E84=0,
       CHOOSE(MATCH(RAND(),{0,0.2,0.4,0.6,0.7,0.8,0.85,0.9,0.95,1}),"B-354","B-386","B-4354","B-347","B-357","B-3471","B-34715","B-3571","B-35715"),
       IF($G84=24,
          "B-386",
          IF($G84=12,
             CHOOSE(MATCH(RAND(),{0,0.32,0.49,0.66,0.74,0.82,0.9,1}),"B-386","B-347","B-357","B-3471","B-34715","B-3571","B-35715"),
             "")
)))</f>
        <v/>
      </c>
      <c r="I84" s="8" t="str">
        <f t="shared" ca="1" si="8"/>
        <v/>
      </c>
      <c r="J84">
        <f t="shared" ca="1" si="5"/>
        <v>68.875</v>
      </c>
      <c r="K84">
        <f t="shared" ca="1" si="6"/>
        <v>7.6875</v>
      </c>
      <c r="L84" s="14">
        <f t="shared" ca="1" si="7"/>
        <v>12</v>
      </c>
      <c r="M84" s="14">
        <f t="shared" ca="1" si="9"/>
        <v>5.8125</v>
      </c>
    </row>
    <row r="85" spans="2:13">
      <c r="B85" s="14" t="s">
        <v>21</v>
      </c>
      <c r="C85" s="14">
        <v>1</v>
      </c>
      <c r="D85" s="14">
        <v>0</v>
      </c>
      <c r="E85" s="14">
        <v>1</v>
      </c>
      <c r="F85" s="14">
        <v>0</v>
      </c>
      <c r="G85" s="14">
        <v>12</v>
      </c>
      <c r="H85" s="8" t="str">
        <f ca="1">IF(RAND()&lt;0.25,
    "",
    IF($E85=0,
       CHOOSE(MATCH(RAND(),{0,0.2,0.4,0.6,0.7,0.8,0.85,0.9,0.95,1}),"B-354","B-386","B-4354","B-347","B-357","B-3471","B-34715","B-3571","B-35715"),
       IF($G85=24,
          "B-386",
          IF($G85=12,
             CHOOSE(MATCH(RAND(),{0,0.32,0.49,0.66,0.74,0.82,0.9,1}),"B-386","B-347","B-357","B-3471","B-34715","B-3571","B-35715"),
             "")
)))</f>
        <v>B-386</v>
      </c>
      <c r="I85" s="8" t="str">
        <f t="shared" ca="1" si="8"/>
        <v/>
      </c>
      <c r="J85">
        <f t="shared" ca="1" si="5"/>
        <v>72.875</v>
      </c>
      <c r="K85">
        <f t="shared" ca="1" si="6"/>
        <v>46.5</v>
      </c>
      <c r="L85" s="14">
        <f t="shared" ca="1" si="7"/>
        <v>4.5</v>
      </c>
      <c r="M85" s="14">
        <f t="shared" ca="1" si="9"/>
        <v>4.25</v>
      </c>
    </row>
    <row r="86" spans="2:13">
      <c r="B86" s="14" t="s">
        <v>21</v>
      </c>
      <c r="C86" s="14">
        <v>1</v>
      </c>
      <c r="D86" s="14">
        <v>0</v>
      </c>
      <c r="E86" s="14">
        <v>1</v>
      </c>
      <c r="F86" s="14">
        <v>0</v>
      </c>
      <c r="G86" s="14">
        <v>24</v>
      </c>
      <c r="H86" s="8" t="str">
        <f ca="1">IF(RAND()&lt;0.25,
    "",
    IF($E86=0,
       CHOOSE(MATCH(RAND(),{0,0.2,0.4,0.6,0.7,0.8,0.85,0.9,0.95,1}),"B-354","B-386","B-4354","B-347","B-357","B-3471","B-34715","B-3571","B-35715"),
       IF($G86=24,
          "B-386",
          IF($G86=12,
             CHOOSE(MATCH(RAND(),{0,0.32,0.49,0.66,0.74,0.82,0.9,1}),"B-386","B-347","B-357","B-3471","B-34715","B-3571","B-35715"),
             "")
)))</f>
        <v>B-386</v>
      </c>
      <c r="I86" s="8" t="str">
        <f t="shared" ca="1" si="8"/>
        <v/>
      </c>
      <c r="J86">
        <f t="shared" ca="1" si="5"/>
        <v>85.375</v>
      </c>
      <c r="K86">
        <f t="shared" ca="1" si="6"/>
        <v>70.875</v>
      </c>
      <c r="L86" s="14">
        <f t="shared" ca="1" si="7"/>
        <v>2.5625</v>
      </c>
      <c r="M86" s="14">
        <f t="shared" ca="1" si="9"/>
        <v>4.5625</v>
      </c>
    </row>
    <row r="87" spans="2:13" hidden="1">
      <c r="B87" s="14" t="s">
        <v>21</v>
      </c>
      <c r="C87" s="14">
        <v>1</v>
      </c>
      <c r="D87" s="14">
        <v>0</v>
      </c>
      <c r="E87" s="14">
        <v>1</v>
      </c>
      <c r="F87" s="14">
        <v>0</v>
      </c>
      <c r="G87" s="14"/>
      <c r="H87" s="8" t="str">
        <f ca="1">IF(RAND()&lt;0.25,
    "",
    IF($E87=0,
       CHOOSE(MATCH(RAND(),{0,0.2,0.4,0.6,0.7,0.8,0.85,0.9,0.95,1}),"B-354","B-386","B-4354","B-347","B-357","B-3471","B-34715","B-3571","B-35715"),
       IF($G87=24,
          "B-386",
          IF($G87=12,
             CHOOSE(MATCH(RAND(),{0,0.32,0.49,0.66,0.74,0.82,0.9,1}),"B-386","B-347","B-357","B-3471","B-34715","B-3571","B-35715"),
             "")
)))</f>
        <v/>
      </c>
      <c r="I87" s="8" t="str">
        <f t="shared" ca="1" si="8"/>
        <v/>
      </c>
      <c r="J87">
        <f t="shared" ca="1" si="5"/>
        <v>96</v>
      </c>
      <c r="K87">
        <f t="shared" ca="1" si="6"/>
        <v>5.3125</v>
      </c>
      <c r="L87" s="14">
        <f t="shared" ca="1" si="7"/>
        <v>12</v>
      </c>
      <c r="M87" s="14" t="str">
        <f t="shared" ca="1" si="9"/>
        <v/>
      </c>
    </row>
    <row r="88" spans="2:13" hidden="1">
      <c r="B88" s="14" t="s">
        <v>21</v>
      </c>
      <c r="C88" s="14">
        <v>1</v>
      </c>
      <c r="D88" s="14">
        <v>0</v>
      </c>
      <c r="E88" s="14">
        <v>1</v>
      </c>
      <c r="F88" s="14">
        <v>1</v>
      </c>
      <c r="G88" s="14"/>
      <c r="H88" s="8" t="str">
        <f ca="1">IF(RAND()&lt;0.25,
    "",
    IF($E88=0,
       CHOOSE(MATCH(RAND(),{0,0.2,0.4,0.6,0.7,0.8,0.85,0.9,0.95,1}),"B-354","B-386","B-4354","B-347","B-357","B-3471","B-34715","B-3571","B-35715"),
       IF($G88=24,
          "B-386",
          IF($G88=12,
             CHOOSE(MATCH(RAND(),{0,0.32,0.49,0.66,0.74,0.82,0.9,1}),"B-386","B-347","B-357","B-3471","B-34715","B-3571","B-35715"),
             "")
)))</f>
        <v/>
      </c>
      <c r="I88" s="8" t="str">
        <f t="shared" ca="1" si="8"/>
        <v/>
      </c>
      <c r="J88">
        <f t="shared" ca="1" si="5"/>
        <v>96</v>
      </c>
      <c r="K88">
        <f t="shared" ca="1" si="6"/>
        <v>58.375</v>
      </c>
      <c r="L88" s="14">
        <f t="shared" ca="1" si="7"/>
        <v>2.3125</v>
      </c>
      <c r="M88" s="14">
        <f t="shared" ca="1" si="9"/>
        <v>1.9375</v>
      </c>
    </row>
    <row r="89" spans="2:13">
      <c r="B89" s="14" t="s">
        <v>21</v>
      </c>
      <c r="C89" s="14">
        <v>1</v>
      </c>
      <c r="D89" s="14">
        <v>1</v>
      </c>
      <c r="E89" s="14">
        <v>0</v>
      </c>
      <c r="F89" s="14"/>
      <c r="G89" s="14"/>
      <c r="H89" s="8" t="str">
        <f ca="1">IF(RAND()&lt;0.25,
    "",
    IF($E89=0,
       CHOOSE(MATCH(RAND(),{0,0.2,0.4,0.6,0.7,0.8,0.85,0.9,0.95,1}),"B-354","B-386","B-4354","B-347","B-357","B-3471","B-34715","B-3571","B-35715"),
       IF($G89=24,
          "B-386",
          IF($G89=12,
             CHOOSE(MATCH(RAND(),{0,0.32,0.49,0.66,0.74,0.82,0.9,1}),"B-386","B-347","B-357","B-3471","B-34715","B-3571","B-35715"),
             "")
)))</f>
        <v>B-354</v>
      </c>
      <c r="I89" s="8" t="str">
        <f t="shared" ca="1" si="8"/>
        <v/>
      </c>
      <c r="J89">
        <f t="shared" ca="1" si="5"/>
        <v>96</v>
      </c>
      <c r="K89">
        <f t="shared" ca="1" si="6"/>
        <v>40.375</v>
      </c>
      <c r="L89" s="14">
        <f t="shared" ca="1" si="7"/>
        <v>1</v>
      </c>
      <c r="M89" s="14" t="str">
        <f t="shared" ca="1" si="9"/>
        <v/>
      </c>
    </row>
    <row r="90" spans="2:13">
      <c r="B90" s="14" t="s">
        <v>21</v>
      </c>
      <c r="C90" s="14">
        <v>1</v>
      </c>
      <c r="D90" s="14">
        <v>1</v>
      </c>
      <c r="E90" s="14">
        <v>1</v>
      </c>
      <c r="F90" s="14">
        <v>0</v>
      </c>
      <c r="G90" s="14">
        <v>12</v>
      </c>
      <c r="H90" s="8" t="str">
        <f ca="1">IF(RAND()&lt;0.25,
    "",
    IF($E90=0,
       CHOOSE(MATCH(RAND(),{0,0.2,0.4,0.6,0.7,0.8,0.85,0.9,0.95,1}),"B-354","B-386","B-4354","B-347","B-357","B-3471","B-34715","B-3571","B-35715"),
       IF($G90=24,
          "B-386",
          IF($G90=12,
             CHOOSE(MATCH(RAND(),{0,0.32,0.49,0.66,0.74,0.82,0.9,1}),"B-386","B-347","B-357","B-3471","B-34715","B-3571","B-35715"),
             "")
)))</f>
        <v/>
      </c>
      <c r="I90" s="8" t="str">
        <f t="shared" ca="1" si="8"/>
        <v/>
      </c>
      <c r="J90">
        <f t="shared" ca="1" si="5"/>
        <v>98.875</v>
      </c>
      <c r="K90">
        <f t="shared" ca="1" si="6"/>
        <v>65.25</v>
      </c>
      <c r="L90" s="14">
        <f t="shared" ca="1" si="7"/>
        <v>1</v>
      </c>
      <c r="M90" s="14">
        <f t="shared" ca="1" si="9"/>
        <v>5.6875</v>
      </c>
    </row>
    <row r="91" spans="2:13" hidden="1">
      <c r="B91" s="14" t="s">
        <v>21</v>
      </c>
      <c r="C91" s="14">
        <v>1</v>
      </c>
      <c r="D91" s="14">
        <v>1</v>
      </c>
      <c r="E91" s="14">
        <v>1</v>
      </c>
      <c r="F91" s="14">
        <v>0</v>
      </c>
      <c r="G91" s="14">
        <v>24</v>
      </c>
      <c r="H91" s="8" t="str">
        <f ca="1">IF(RAND()&lt;0.25,
    "",
    IF($E91=0,
       CHOOSE(MATCH(RAND(),{0,0.2,0.4,0.6,0.7,0.8,0.85,0.9,0.95,1}),"B-354","B-386","B-4354","B-347","B-357","B-3471","B-34715","B-3571","B-35715"),
       IF($G91=24,
          "B-386",
          IF($G91=12,
             CHOOSE(MATCH(RAND(),{0,0.32,0.49,0.66,0.74,0.82,0.9,1}),"B-386","B-347","B-357","B-3471","B-34715","B-3571","B-35715"),
             "")
)))</f>
        <v>B-386</v>
      </c>
      <c r="I91" s="8" t="str">
        <f t="shared" ca="1" si="8"/>
        <v/>
      </c>
      <c r="J91">
        <f t="shared" ca="1" si="5"/>
        <v>82.1875</v>
      </c>
      <c r="K91">
        <f t="shared" ca="1" si="6"/>
        <v>50.625</v>
      </c>
      <c r="L91" s="14">
        <f t="shared" ca="1" si="7"/>
        <v>12</v>
      </c>
      <c r="M91" s="14">
        <f t="shared" ca="1" si="9"/>
        <v>1</v>
      </c>
    </row>
    <row r="92" spans="2:13" hidden="1">
      <c r="B92" s="14" t="s">
        <v>21</v>
      </c>
      <c r="C92" s="14">
        <v>1</v>
      </c>
      <c r="D92" s="14">
        <v>1</v>
      </c>
      <c r="E92" s="14">
        <v>1</v>
      </c>
      <c r="F92" s="14">
        <v>0</v>
      </c>
      <c r="G92" s="14"/>
      <c r="H92" s="8" t="str">
        <f ca="1">IF(RAND()&lt;0.25,
    "",
    IF($E92=0,
       CHOOSE(MATCH(RAND(),{0,0.2,0.4,0.6,0.7,0.8,0.85,0.9,0.95,1}),"B-354","B-386","B-4354","B-347","B-357","B-3471","B-34715","B-3571","B-35715"),
       IF($G92=24,
          "B-386",
          IF($G92=12,
             CHOOSE(MATCH(RAND(),{0,0.32,0.49,0.66,0.74,0.82,0.9,1}),"B-386","B-347","B-357","B-3471","B-34715","B-3571","B-35715"),
             "")
)))</f>
        <v/>
      </c>
      <c r="I92" s="8" t="str">
        <f t="shared" ca="1" si="8"/>
        <v/>
      </c>
      <c r="J92">
        <f t="shared" ca="1" si="5"/>
        <v>65.0625</v>
      </c>
      <c r="K92">
        <f t="shared" ca="1" si="6"/>
        <v>8</v>
      </c>
      <c r="L92" s="14">
        <f t="shared" ca="1" si="7"/>
        <v>12</v>
      </c>
      <c r="M92" s="14">
        <f t="shared" ca="1" si="9"/>
        <v>4.6875</v>
      </c>
    </row>
    <row r="93" spans="2:13" ht="15" hidden="1" thickBot="1">
      <c r="B93" s="50" t="s">
        <v>21</v>
      </c>
      <c r="C93" s="50">
        <v>1</v>
      </c>
      <c r="D93" s="50">
        <v>1</v>
      </c>
      <c r="E93" s="50">
        <v>1</v>
      </c>
      <c r="F93" s="50">
        <v>1</v>
      </c>
      <c r="G93" s="50"/>
      <c r="H93" s="51" t="str">
        <f ca="1">IF(RAND()&lt;0.25,
    "",
    IF($E93=0,
       CHOOSE(MATCH(RAND(),{0,0.2,0.4,0.6,0.7,0.8,0.85,0.9,0.95,1}),"B-354","B-386","B-4354","B-347","B-357","B-3471","B-34715","B-3571","B-35715"),
       IF($G93=24,
          "B-386",
          IF($G93=12,
             CHOOSE(MATCH(RAND(),{0,0.32,0.49,0.66,0.74,0.82,0.9,1}),"B-386","B-347","B-357","B-3471","B-34715","B-3571","B-35715"),
             "")
)))</f>
        <v/>
      </c>
      <c r="I93" s="51" t="str">
        <f t="shared" ca="1" si="8"/>
        <v/>
      </c>
      <c r="J93" s="49">
        <f t="shared" ca="1" si="5"/>
        <v>96</v>
      </c>
      <c r="K93" s="49">
        <f t="shared" ca="1" si="6"/>
        <v>52.3125</v>
      </c>
      <c r="L93" s="50">
        <f t="shared" ca="1" si="7"/>
        <v>1.25</v>
      </c>
      <c r="M93" s="14">
        <f t="shared" ca="1" si="9"/>
        <v>5.625</v>
      </c>
    </row>
    <row r="94" spans="2:13">
      <c r="B94" s="14" t="s">
        <v>156</v>
      </c>
      <c r="C94" s="19">
        <v>0</v>
      </c>
      <c r="D94" s="19"/>
      <c r="E94" s="19">
        <v>0</v>
      </c>
      <c r="F94" s="19"/>
      <c r="G94" s="14"/>
      <c r="H94" s="8" t="str">
        <f ca="1">IF(RAND()&lt;0.25,
    "",
    IF($E94=0,
       CHOOSE(MATCH(RAND(),{0,0.2,0.4,0.6,0.7,0.8,0.85,0.9,0.95,1}),"B-354","B-386","B-4354","B-347","B-357","B-3471","B-34715","B-3571","B-35715"),
       IF($G94=24,
          "B-386",
          IF($G94=12,
             CHOOSE(MATCH(RAND(),{0,0.32,0.49,0.66,0.74,0.82,0.9,1}),"B-386","B-347","B-357","B-3471","B-34715","B-3571","B-35715"),
             "")
)))</f>
        <v>B-347</v>
      </c>
      <c r="I94" s="8" t="str">
        <f t="shared" ca="1" si="8"/>
        <v/>
      </c>
      <c r="J94">
        <f t="shared" ca="1" si="5"/>
        <v>44.5625</v>
      </c>
      <c r="K94">
        <f t="shared" ca="1" si="6"/>
        <v>67.125</v>
      </c>
      <c r="L94" s="14">
        <f t="shared" ca="1" si="7"/>
        <v>12</v>
      </c>
      <c r="M94" s="14">
        <f t="shared" ca="1" si="9"/>
        <v>8.125</v>
      </c>
    </row>
    <row r="95" spans="2:13" hidden="1">
      <c r="B95" s="14" t="s">
        <v>156</v>
      </c>
      <c r="C95" s="14">
        <v>0</v>
      </c>
      <c r="D95" s="14"/>
      <c r="E95" s="14">
        <v>1</v>
      </c>
      <c r="F95" s="14">
        <v>0</v>
      </c>
      <c r="G95" s="14">
        <v>12</v>
      </c>
      <c r="H95" s="8" t="str">
        <f ca="1">IF(RAND()&lt;0.25,
    "",
    IF($E95=0,
       CHOOSE(MATCH(RAND(),{0,0.2,0.4,0.6,0.7,0.8,0.85,0.9,0.95,1}),"B-354","B-386","B-4354","B-347","B-357","B-3471","B-34715","B-3571","B-35715"),
       IF($G95=24,
          "B-386",
          IF($G95=12,
             CHOOSE(MATCH(RAND(),{0,0.32,0.49,0.66,0.74,0.82,0.9,1}),"B-386","B-347","B-357","B-3471","B-34715","B-3571","B-35715"),
             "")
)))</f>
        <v/>
      </c>
      <c r="I95" s="8" t="str">
        <f t="shared" ca="1" si="8"/>
        <v/>
      </c>
      <c r="J95">
        <f t="shared" ca="1" si="5"/>
        <v>47.375</v>
      </c>
      <c r="K95">
        <f t="shared" ca="1" si="6"/>
        <v>23.3125</v>
      </c>
      <c r="L95" s="14">
        <f t="shared" ca="1" si="7"/>
        <v>12</v>
      </c>
      <c r="M95" s="14">
        <f t="shared" ca="1" si="9"/>
        <v>2.5</v>
      </c>
    </row>
    <row r="96" spans="2:13" hidden="1">
      <c r="B96" s="14" t="s">
        <v>156</v>
      </c>
      <c r="C96" s="14">
        <v>0</v>
      </c>
      <c r="D96" s="14"/>
      <c r="E96" s="14">
        <v>1</v>
      </c>
      <c r="F96" s="14">
        <v>0</v>
      </c>
      <c r="G96" s="14">
        <v>24</v>
      </c>
      <c r="H96" s="8" t="str">
        <f ca="1">IF(RAND()&lt;0.25,
    "",
    IF($E96=0,
       CHOOSE(MATCH(RAND(),{0,0.2,0.4,0.6,0.7,0.8,0.85,0.9,0.95,1}),"B-354","B-386","B-4354","B-347","B-357","B-3471","B-34715","B-3571","B-35715"),
       IF($G96=24,
          "B-386",
          IF($G96=12,
             CHOOSE(MATCH(RAND(),{0,0.32,0.49,0.66,0.74,0.82,0.9,1}),"B-386","B-347","B-357","B-3471","B-34715","B-3571","B-35715"),
             "")
)))</f>
        <v>B-386</v>
      </c>
      <c r="I96" s="8" t="str">
        <f t="shared" ca="1" si="8"/>
        <v/>
      </c>
      <c r="J96">
        <f t="shared" ca="1" si="5"/>
        <v>46.375</v>
      </c>
      <c r="K96">
        <f t="shared" ca="1" si="6"/>
        <v>51.0625</v>
      </c>
      <c r="L96" s="14">
        <f t="shared" ca="1" si="7"/>
        <v>2.125</v>
      </c>
      <c r="M96" s="14">
        <f t="shared" ca="1" si="9"/>
        <v>7.1875</v>
      </c>
    </row>
    <row r="97" spans="2:13" hidden="1">
      <c r="B97" s="14" t="s">
        <v>156</v>
      </c>
      <c r="C97" s="14">
        <v>0</v>
      </c>
      <c r="D97" s="14"/>
      <c r="E97" s="14">
        <v>1</v>
      </c>
      <c r="F97" s="14">
        <v>0</v>
      </c>
      <c r="G97" s="14"/>
      <c r="H97" s="8" t="str">
        <f ca="1">IF(RAND()&lt;0.25,
    "",
    IF($E97=0,
       CHOOSE(MATCH(RAND(),{0,0.2,0.4,0.6,0.7,0.8,0.85,0.9,0.95,1}),"B-354","B-386","B-4354","B-347","B-357","B-3471","B-34715","B-3571","B-35715"),
       IF($G97=24,
          "B-386",
          IF($G97=12,
             CHOOSE(MATCH(RAND(),{0,0.32,0.49,0.66,0.74,0.82,0.9,1}),"B-386","B-347","B-357","B-3471","B-34715","B-3571","B-35715"),
             "")
)))</f>
        <v/>
      </c>
      <c r="I97" s="8" t="str">
        <f t="shared" ca="1" si="8"/>
        <v/>
      </c>
      <c r="J97">
        <f t="shared" ca="1" si="5"/>
        <v>9.6875</v>
      </c>
      <c r="K97">
        <f t="shared" ca="1" si="6"/>
        <v>61.3125</v>
      </c>
      <c r="L97" s="14">
        <f t="shared" ca="1" si="7"/>
        <v>4.5</v>
      </c>
      <c r="M97" s="14">
        <f t="shared" ca="1" si="9"/>
        <v>2.5</v>
      </c>
    </row>
    <row r="98" spans="2:13" hidden="1">
      <c r="B98" s="14" t="s">
        <v>156</v>
      </c>
      <c r="C98" s="14">
        <v>0</v>
      </c>
      <c r="D98" s="14"/>
      <c r="E98" s="14">
        <v>1</v>
      </c>
      <c r="F98" s="14">
        <v>1</v>
      </c>
      <c r="G98" s="14"/>
      <c r="H98" s="8" t="str">
        <f ca="1">IF(RAND()&lt;0.25,
    "",
    IF($E98=0,
       CHOOSE(MATCH(RAND(),{0,0.2,0.4,0.6,0.7,0.8,0.85,0.9,0.95,1}),"B-354","B-386","B-4354","B-347","B-357","B-3471","B-34715","B-3571","B-35715"),
       IF($G98=24,
          "B-386",
          IF($G98=12,
             CHOOSE(MATCH(RAND(),{0,0.32,0.49,0.66,0.74,0.82,0.9,1}),"B-386","B-347","B-357","B-3471","B-34715","B-3571","B-35715"),
             "")
)))</f>
        <v/>
      </c>
      <c r="I98" s="8" t="str">
        <f t="shared" ca="1" si="8"/>
        <v/>
      </c>
      <c r="J98">
        <f t="shared" ca="1" si="5"/>
        <v>4.5625</v>
      </c>
      <c r="K98">
        <f t="shared" ca="1" si="6"/>
        <v>6.125</v>
      </c>
      <c r="L98" s="14">
        <f t="shared" ca="1" si="7"/>
        <v>1.9375</v>
      </c>
      <c r="M98" s="14">
        <f t="shared" ca="1" si="9"/>
        <v>1</v>
      </c>
    </row>
    <row r="99" spans="2:13" hidden="1">
      <c r="B99" s="14" t="s">
        <v>156</v>
      </c>
      <c r="C99" s="14">
        <v>1</v>
      </c>
      <c r="D99" s="14">
        <v>0</v>
      </c>
      <c r="E99" s="14">
        <v>0</v>
      </c>
      <c r="F99" s="14"/>
      <c r="G99" s="14"/>
      <c r="H99" s="8" t="str">
        <f ca="1">IF(RAND()&lt;0.25,
    "",
    IF($E99=0,
       CHOOSE(MATCH(RAND(),{0,0.2,0.4,0.6,0.7,0.8,0.85,0.9,0.95,1}),"B-354","B-386","B-4354","B-347","B-357","B-3471","B-34715","B-3571","B-35715"),
       IF($G99=24,
          "B-386",
          IF($G99=12,
             CHOOSE(MATCH(RAND(),{0,0.32,0.49,0.66,0.74,0.82,0.9,1}),"B-386","B-347","B-357","B-3471","B-34715","B-3571","B-35715"),
             "")
)))</f>
        <v>B-354</v>
      </c>
      <c r="I99" s="8" t="str">
        <f t="shared" ca="1" si="8"/>
        <v>B-386</v>
      </c>
      <c r="J99">
        <f t="shared" ca="1" si="5"/>
        <v>46.8125</v>
      </c>
      <c r="K99">
        <f t="shared" ca="1" si="6"/>
        <v>57</v>
      </c>
      <c r="L99" s="14">
        <f t="shared" ca="1" si="7"/>
        <v>4.5</v>
      </c>
      <c r="M99" s="14">
        <f t="shared" ca="1" si="9"/>
        <v>4.1875</v>
      </c>
    </row>
    <row r="100" spans="2:13">
      <c r="B100" s="14" t="s">
        <v>156</v>
      </c>
      <c r="C100" s="14">
        <v>1</v>
      </c>
      <c r="D100" s="14">
        <v>0</v>
      </c>
      <c r="E100" s="14">
        <v>1</v>
      </c>
      <c r="F100" s="14">
        <v>0</v>
      </c>
      <c r="G100" s="14">
        <v>12</v>
      </c>
      <c r="H100" s="8" t="str">
        <f ca="1">IF(RAND()&lt;0.25,
    "",
    IF($E100=0,
       CHOOSE(MATCH(RAND(),{0,0.2,0.4,0.6,0.7,0.8,0.85,0.9,0.95,1}),"B-354","B-386","B-4354","B-347","B-357","B-3471","B-34715","B-3571","B-35715"),
       IF($G100=24,
          "B-386",
          IF($G100=12,
             CHOOSE(MATCH(RAND(),{0,0.32,0.49,0.66,0.74,0.82,0.9,1}),"B-386","B-347","B-357","B-3471","B-34715","B-3571","B-35715"),
             "")
)))</f>
        <v>B-3571</v>
      </c>
      <c r="I100" s="8" t="str">
        <f t="shared" ca="1" si="8"/>
        <v/>
      </c>
      <c r="J100">
        <f t="shared" ca="1" si="5"/>
        <v>20.0625</v>
      </c>
      <c r="K100">
        <f t="shared" ca="1" si="6"/>
        <v>71.3125</v>
      </c>
      <c r="L100" s="14">
        <f t="shared" ca="1" si="7"/>
        <v>5.5</v>
      </c>
      <c r="M100" s="14" t="str">
        <f t="shared" ca="1" si="9"/>
        <v/>
      </c>
    </row>
    <row r="101" spans="2:13">
      <c r="B101" s="14" t="s">
        <v>156</v>
      </c>
      <c r="C101" s="14">
        <v>1</v>
      </c>
      <c r="D101" s="14">
        <v>0</v>
      </c>
      <c r="E101" s="14">
        <v>1</v>
      </c>
      <c r="F101" s="14">
        <v>0</v>
      </c>
      <c r="G101" s="14">
        <v>24</v>
      </c>
      <c r="H101" s="8" t="str">
        <f ca="1">IF(RAND()&lt;0.25,
    "",
    IF($E101=0,
       CHOOSE(MATCH(RAND(),{0,0.2,0.4,0.6,0.7,0.8,0.85,0.9,0.95,1}),"B-354","B-386","B-4354","B-347","B-357","B-3471","B-34715","B-3571","B-35715"),
       IF($G101=24,
          "B-386",
          IF($G101=12,
             CHOOSE(MATCH(RAND(),{0,0.32,0.49,0.66,0.74,0.82,0.9,1}),"B-386","B-347","B-357","B-3471","B-34715","B-3571","B-35715"),
             "")
)))</f>
        <v>B-386</v>
      </c>
      <c r="I101" s="8" t="str">
        <f t="shared" ca="1" si="8"/>
        <v/>
      </c>
      <c r="J101">
        <f t="shared" ca="1" si="5"/>
        <v>41.4375</v>
      </c>
      <c r="K101">
        <f t="shared" ca="1" si="6"/>
        <v>75.875</v>
      </c>
      <c r="L101" s="14">
        <f t="shared" ca="1" si="7"/>
        <v>1.1875</v>
      </c>
      <c r="M101" s="14">
        <f t="shared" ca="1" si="9"/>
        <v>1</v>
      </c>
    </row>
    <row r="102" spans="2:13" hidden="1">
      <c r="B102" s="14" t="s">
        <v>156</v>
      </c>
      <c r="C102" s="14">
        <v>1</v>
      </c>
      <c r="D102" s="14">
        <v>0</v>
      </c>
      <c r="E102" s="14">
        <v>1</v>
      </c>
      <c r="F102" s="14">
        <v>0</v>
      </c>
      <c r="G102" s="14"/>
      <c r="H102" s="8" t="str">
        <f ca="1">IF(RAND()&lt;0.25,
    "",
    IF($E102=0,
       CHOOSE(MATCH(RAND(),{0,0.2,0.4,0.6,0.7,0.8,0.85,0.9,0.95,1}),"B-354","B-386","B-4354","B-347","B-357","B-3471","B-34715","B-3571","B-35715"),
       IF($G102=24,
          "B-386",
          IF($G102=12,
             CHOOSE(MATCH(RAND(),{0,0.32,0.49,0.66,0.74,0.82,0.9,1}),"B-386","B-347","B-357","B-3471","B-34715","B-3571","B-35715"),
             "")
)))</f>
        <v/>
      </c>
      <c r="I102" s="8" t="str">
        <f t="shared" ca="1" si="8"/>
        <v/>
      </c>
      <c r="J102">
        <f t="shared" ca="1" si="5"/>
        <v>33.0625</v>
      </c>
      <c r="K102">
        <f t="shared" ca="1" si="6"/>
        <v>77.4375</v>
      </c>
      <c r="L102" s="14">
        <f t="shared" ca="1" si="7"/>
        <v>4.5</v>
      </c>
      <c r="M102" s="14">
        <f t="shared" ca="1" si="9"/>
        <v>1</v>
      </c>
    </row>
    <row r="103" spans="2:13" hidden="1">
      <c r="B103" s="14" t="s">
        <v>156</v>
      </c>
      <c r="C103" s="14">
        <v>1</v>
      </c>
      <c r="D103" s="14">
        <v>0</v>
      </c>
      <c r="E103" s="14">
        <v>1</v>
      </c>
      <c r="F103" s="14">
        <v>1</v>
      </c>
      <c r="G103" s="14"/>
      <c r="H103" s="8" t="str">
        <f ca="1">IF(RAND()&lt;0.25,
    "",
    IF($E103=0,
       CHOOSE(MATCH(RAND(),{0,0.2,0.4,0.6,0.7,0.8,0.85,0.9,0.95,1}),"B-354","B-386","B-4354","B-347","B-357","B-3471","B-34715","B-3571","B-35715"),
       IF($G103=24,
          "B-386",
          IF($G103=12,
             CHOOSE(MATCH(RAND(),{0,0.32,0.49,0.66,0.74,0.82,0.9,1}),"B-386","B-347","B-357","B-3471","B-34715","B-3571","B-35715"),
             "")
)))</f>
        <v/>
      </c>
      <c r="I103" s="8" t="str">
        <f t="shared" ca="1" si="8"/>
        <v/>
      </c>
      <c r="J103">
        <f t="shared" ca="1" si="5"/>
        <v>12.8125</v>
      </c>
      <c r="K103">
        <f t="shared" ca="1" si="6"/>
        <v>21.5625</v>
      </c>
      <c r="L103" s="14">
        <f t="shared" ca="1" si="7"/>
        <v>12</v>
      </c>
      <c r="M103" s="14">
        <f t="shared" ca="1" si="9"/>
        <v>1</v>
      </c>
    </row>
    <row r="104" spans="2:13">
      <c r="B104" s="14" t="s">
        <v>156</v>
      </c>
      <c r="C104" s="14">
        <v>1</v>
      </c>
      <c r="D104" s="14">
        <v>1</v>
      </c>
      <c r="E104" s="14">
        <v>0</v>
      </c>
      <c r="F104" s="14"/>
      <c r="G104" s="14"/>
      <c r="H104" s="8" t="str">
        <f ca="1">IF(RAND()&lt;0.25,
    "",
    IF($E104=0,
       CHOOSE(MATCH(RAND(),{0,0.2,0.4,0.6,0.7,0.8,0.85,0.9,0.95,1}),"B-354","B-386","B-4354","B-347","B-357","B-3471","B-34715","B-3571","B-35715"),
       IF($G104=24,
          "B-386",
          IF($G104=12,
             CHOOSE(MATCH(RAND(),{0,0.32,0.49,0.66,0.74,0.82,0.9,1}),"B-386","B-347","B-357","B-3471","B-34715","B-3571","B-35715"),
             "")
)))</f>
        <v>B-347</v>
      </c>
      <c r="I104" s="8" t="str">
        <f t="shared" ca="1" si="8"/>
        <v/>
      </c>
      <c r="J104">
        <f t="shared" ca="1" si="5"/>
        <v>27.1875</v>
      </c>
      <c r="K104">
        <f t="shared" ca="1" si="6"/>
        <v>64.5</v>
      </c>
      <c r="L104" s="14">
        <f t="shared" ca="1" si="7"/>
        <v>9</v>
      </c>
      <c r="M104" s="14">
        <f t="shared" ca="1" si="9"/>
        <v>1</v>
      </c>
    </row>
    <row r="105" spans="2:13">
      <c r="B105" s="14" t="s">
        <v>156</v>
      </c>
      <c r="C105" s="14">
        <v>1</v>
      </c>
      <c r="D105" s="14">
        <v>1</v>
      </c>
      <c r="E105" s="14">
        <v>1</v>
      </c>
      <c r="F105" s="14">
        <v>0</v>
      </c>
      <c r="G105" s="14">
        <v>12</v>
      </c>
      <c r="H105" s="8" t="str">
        <f ca="1">IF(RAND()&lt;0.25,
    "",
    IF($E105=0,
       CHOOSE(MATCH(RAND(),{0,0.2,0.4,0.6,0.7,0.8,0.85,0.9,0.95,1}),"B-354","B-386","B-4354","B-347","B-357","B-3471","B-34715","B-3571","B-35715"),
       IF($G105=24,
          "B-386",
          IF($G105=12,
             CHOOSE(MATCH(RAND(),{0,0.32,0.49,0.66,0.74,0.82,0.9,1}),"B-386","B-347","B-357","B-3471","B-34715","B-3571","B-35715"),
             "")
)))</f>
        <v>B-347</v>
      </c>
      <c r="I105" s="8" t="str">
        <f t="shared" ca="1" si="8"/>
        <v/>
      </c>
      <c r="J105">
        <f t="shared" ca="1" si="5"/>
        <v>44.9375</v>
      </c>
      <c r="K105">
        <f t="shared" ca="1" si="6"/>
        <v>54.3125</v>
      </c>
      <c r="L105" s="14">
        <f t="shared" ca="1" si="7"/>
        <v>2.25</v>
      </c>
      <c r="M105" s="14">
        <f t="shared" ca="1" si="9"/>
        <v>1.6875</v>
      </c>
    </row>
    <row r="106" spans="2:13" hidden="1">
      <c r="B106" s="14" t="s">
        <v>156</v>
      </c>
      <c r="C106" s="14">
        <v>1</v>
      </c>
      <c r="D106" s="14">
        <v>1</v>
      </c>
      <c r="E106" s="14">
        <v>1</v>
      </c>
      <c r="F106" s="14">
        <v>0</v>
      </c>
      <c r="G106" s="14">
        <v>24</v>
      </c>
      <c r="H106" s="8" t="str">
        <f ca="1">IF(RAND()&lt;0.25,
    "",
    IF($E106=0,
       CHOOSE(MATCH(RAND(),{0,0.2,0.4,0.6,0.7,0.8,0.85,0.9,0.95,1}),"B-354","B-386","B-4354","B-347","B-357","B-3471","B-34715","B-3571","B-35715"),
       IF($G106=24,
          "B-386",
          IF($G106=12,
             CHOOSE(MATCH(RAND(),{0,0.32,0.49,0.66,0.74,0.82,0.9,1}),"B-386","B-347","B-357","B-3471","B-34715","B-3571","B-35715"),
             "")
)))</f>
        <v>B-386</v>
      </c>
      <c r="I106" s="8" t="str">
        <f t="shared" ca="1" si="8"/>
        <v/>
      </c>
      <c r="J106">
        <f t="shared" ca="1" si="5"/>
        <v>11.625</v>
      </c>
      <c r="K106">
        <f t="shared" ca="1" si="6"/>
        <v>41.875</v>
      </c>
      <c r="L106" s="14">
        <f t="shared" ca="1" si="7"/>
        <v>4.5</v>
      </c>
      <c r="M106" s="14">
        <f t="shared" ca="1" si="9"/>
        <v>4.125</v>
      </c>
    </row>
    <row r="107" spans="2:13" hidden="1">
      <c r="B107" s="14" t="s">
        <v>156</v>
      </c>
      <c r="C107" s="14">
        <v>1</v>
      </c>
      <c r="D107" s="14">
        <v>1</v>
      </c>
      <c r="E107" s="14">
        <v>1</v>
      </c>
      <c r="F107" s="14">
        <v>0</v>
      </c>
      <c r="G107" s="14"/>
      <c r="H107" s="8" t="str">
        <f ca="1">IF(RAND()&lt;0.25,
    "",
    IF($E107=0,
       CHOOSE(MATCH(RAND(),{0,0.2,0.4,0.6,0.7,0.8,0.85,0.9,0.95,1}),"B-354","B-386","B-4354","B-347","B-357","B-3471","B-34715","B-3571","B-35715"),
       IF($G107=24,
          "B-386",
          IF($G107=12,
             CHOOSE(MATCH(RAND(),{0,0.32,0.49,0.66,0.74,0.82,0.9,1}),"B-386","B-347","B-357","B-3471","B-34715","B-3571","B-35715"),
             "")
)))</f>
        <v/>
      </c>
      <c r="I107" s="8" t="str">
        <f t="shared" ca="1" si="8"/>
        <v/>
      </c>
      <c r="J107">
        <f t="shared" ca="1" si="5"/>
        <v>38.6875</v>
      </c>
      <c r="K107">
        <f t="shared" ca="1" si="6"/>
        <v>32.625</v>
      </c>
      <c r="L107" s="14">
        <f t="shared" ca="1" si="7"/>
        <v>1</v>
      </c>
      <c r="M107" s="14" t="str">
        <f t="shared" ca="1" si="9"/>
        <v/>
      </c>
    </row>
    <row r="108" spans="2:13" hidden="1">
      <c r="B108" s="14" t="s">
        <v>156</v>
      </c>
      <c r="C108" s="14">
        <v>1</v>
      </c>
      <c r="D108" s="14">
        <v>1</v>
      </c>
      <c r="E108" s="14">
        <v>1</v>
      </c>
      <c r="F108" s="14">
        <v>1</v>
      </c>
      <c r="G108" s="14"/>
      <c r="H108" s="8" t="str">
        <f ca="1">IF(RAND()&lt;0.25,
    "",
    IF($E108=0,
       CHOOSE(MATCH(RAND(),{0,0.2,0.4,0.6,0.7,0.8,0.85,0.9,0.95,1}),"B-354","B-386","B-4354","B-347","B-357","B-3471","B-34715","B-3571","B-35715"),
       IF($G108=24,
          "B-386",
          IF($G108=12,
             CHOOSE(MATCH(RAND(),{0,0.32,0.49,0.66,0.74,0.82,0.9,1}),"B-386","B-347","B-357","B-3471","B-34715","B-3571","B-35715"),
             "")
)))</f>
        <v/>
      </c>
      <c r="I108" s="8" t="str">
        <f t="shared" ca="1" si="8"/>
        <v/>
      </c>
      <c r="J108">
        <f t="shared" ca="1" si="5"/>
        <v>9.1875</v>
      </c>
      <c r="K108">
        <f t="shared" ca="1" si="6"/>
        <v>23.625</v>
      </c>
      <c r="L108" s="14">
        <f t="shared" ca="1" si="7"/>
        <v>4.5</v>
      </c>
      <c r="M108" s="14" t="str">
        <f t="shared" ca="1" si="9"/>
        <v/>
      </c>
    </row>
    <row r="109" spans="2:13">
      <c r="B109" s="14" t="s">
        <v>157</v>
      </c>
      <c r="C109" s="14">
        <v>0</v>
      </c>
      <c r="D109" s="14"/>
      <c r="E109" s="14">
        <v>0</v>
      </c>
      <c r="F109" s="14"/>
      <c r="G109" s="14"/>
      <c r="H109" s="8" t="str">
        <f ca="1">IF(RAND()&lt;0.25,
    "",
    IF($E109=0,
       CHOOSE(MATCH(RAND(),{0,0.2,0.4,0.6,0.7,0.8,0.85,0.9,0.95,1}),"B-354","B-386","B-4354","B-347","B-357","B-3471","B-34715","B-3571","B-35715"),
       IF($G109=24,
          "B-386",
          IF($G109=12,
             CHOOSE(MATCH(RAND(),{0,0.32,0.49,0.66,0.74,0.82,0.9,1}),"B-386","B-347","B-357","B-3471","B-34715","B-3571","B-35715"),
             "")
)))</f>
        <v/>
      </c>
      <c r="I109" s="8" t="str">
        <f t="shared" ca="1" si="8"/>
        <v/>
      </c>
      <c r="J109">
        <f t="shared" ca="1" si="5"/>
        <v>60</v>
      </c>
      <c r="K109">
        <f t="shared" ca="1" si="6"/>
        <v>65.4375</v>
      </c>
      <c r="L109" s="14">
        <f t="shared" ca="1" si="7"/>
        <v>9.5625</v>
      </c>
      <c r="M109" s="14">
        <f t="shared" ca="1" si="9"/>
        <v>1</v>
      </c>
    </row>
    <row r="110" spans="2:13">
      <c r="B110" s="14" t="s">
        <v>157</v>
      </c>
      <c r="C110" s="14">
        <v>0</v>
      </c>
      <c r="D110" s="14"/>
      <c r="E110" s="14">
        <v>1</v>
      </c>
      <c r="F110" s="14">
        <v>0</v>
      </c>
      <c r="G110" s="14">
        <v>12</v>
      </c>
      <c r="H110" s="8" t="str">
        <f ca="1">IF(RAND()&lt;0.25,
    "",
    IF($E110=0,
       CHOOSE(MATCH(RAND(),{0,0.2,0.4,0.6,0.7,0.8,0.85,0.9,0.95,1}),"B-354","B-386","B-4354","B-347","B-357","B-3471","B-34715","B-3571","B-35715"),
       IF($G110=24,
          "B-386",
          IF($G110=12,
             CHOOSE(MATCH(RAND(),{0,0.32,0.49,0.66,0.74,0.82,0.9,1}),"B-386","B-347","B-357","B-3471","B-34715","B-3571","B-35715"),
             "")
)))</f>
        <v>B-386</v>
      </c>
      <c r="I110" s="8" t="str">
        <f t="shared" ca="1" si="8"/>
        <v/>
      </c>
      <c r="J110">
        <f t="shared" ca="1" si="5"/>
        <v>60</v>
      </c>
      <c r="K110">
        <f t="shared" ca="1" si="6"/>
        <v>54</v>
      </c>
      <c r="L110" s="14">
        <f t="shared" ca="1" si="7"/>
        <v>9</v>
      </c>
      <c r="M110" s="14" t="str">
        <f t="shared" ca="1" si="9"/>
        <v/>
      </c>
    </row>
    <row r="111" spans="2:13">
      <c r="B111" s="14" t="s">
        <v>157</v>
      </c>
      <c r="C111" s="14">
        <v>0</v>
      </c>
      <c r="D111" s="14"/>
      <c r="E111" s="14">
        <v>1</v>
      </c>
      <c r="F111" s="14">
        <v>0</v>
      </c>
      <c r="G111" s="14">
        <v>24</v>
      </c>
      <c r="H111" s="8" t="str">
        <f ca="1">IF(RAND()&lt;0.25,
    "",
    IF($E111=0,
       CHOOSE(MATCH(RAND(),{0,0.2,0.4,0.6,0.7,0.8,0.85,0.9,0.95,1}),"B-354","B-386","B-4354","B-347","B-357","B-3471","B-34715","B-3571","B-35715"),
       IF($G111=24,
          "B-386",
          IF($G111=12,
             CHOOSE(MATCH(RAND(),{0,0.32,0.49,0.66,0.74,0.82,0.9,1}),"B-386","B-347","B-357","B-3471","B-34715","B-3571","B-35715"),
             "")
)))</f>
        <v/>
      </c>
      <c r="I111" s="8" t="str">
        <f t="shared" ca="1" si="8"/>
        <v/>
      </c>
      <c r="J111">
        <f t="shared" ca="1" si="5"/>
        <v>60</v>
      </c>
      <c r="K111">
        <f t="shared" ca="1" si="6"/>
        <v>63.6875</v>
      </c>
      <c r="L111" s="14">
        <f t="shared" ca="1" si="7"/>
        <v>1.1875</v>
      </c>
      <c r="M111" s="14">
        <f t="shared" ca="1" si="9"/>
        <v>6.8125</v>
      </c>
    </row>
    <row r="112" spans="2:13" hidden="1">
      <c r="B112" s="14" t="s">
        <v>157</v>
      </c>
      <c r="C112" s="14">
        <v>0</v>
      </c>
      <c r="D112" s="14"/>
      <c r="E112" s="14">
        <v>1</v>
      </c>
      <c r="F112" s="14">
        <v>0</v>
      </c>
      <c r="G112" s="14"/>
      <c r="H112" s="8" t="str">
        <f ca="1">IF(RAND()&lt;0.25,
    "",
    IF($E112=0,
       CHOOSE(MATCH(RAND(),{0,0.2,0.4,0.6,0.7,0.8,0.85,0.9,0.95,1}),"B-354","B-386","B-4354","B-347","B-357","B-3471","B-34715","B-3571","B-35715"),
       IF($G112=24,
          "B-386",
          IF($G112=12,
             CHOOSE(MATCH(RAND(),{0,0.32,0.49,0.66,0.74,0.82,0.9,1}),"B-386","B-347","B-357","B-3471","B-34715","B-3571","B-35715"),
             "")
)))</f>
        <v/>
      </c>
      <c r="I112" s="8" t="str">
        <f t="shared" ca="1" si="8"/>
        <v/>
      </c>
      <c r="J112">
        <f t="shared" ca="1" si="5"/>
        <v>60</v>
      </c>
      <c r="K112">
        <f t="shared" ca="1" si="6"/>
        <v>56.125</v>
      </c>
      <c r="L112" s="14">
        <f t="shared" ca="1" si="7"/>
        <v>1</v>
      </c>
      <c r="M112" s="14">
        <f t="shared" ca="1" si="9"/>
        <v>1</v>
      </c>
    </row>
    <row r="113" spans="2:13" hidden="1">
      <c r="B113" s="14" t="s">
        <v>157</v>
      </c>
      <c r="C113" s="14">
        <v>0</v>
      </c>
      <c r="D113" s="14"/>
      <c r="E113" s="14">
        <v>1</v>
      </c>
      <c r="F113" s="14">
        <v>1</v>
      </c>
      <c r="G113" s="14"/>
      <c r="H113" s="8" t="str">
        <f ca="1">IF(RAND()&lt;0.25,
    "",
    IF($E113=0,
       CHOOSE(MATCH(RAND(),{0,0.2,0.4,0.6,0.7,0.8,0.85,0.9,0.95,1}),"B-354","B-386","B-4354","B-347","B-357","B-3471","B-34715","B-3571","B-35715"),
       IF($G113=24,
          "B-386",
          IF($G113=12,
             CHOOSE(MATCH(RAND(),{0,0.32,0.49,0.66,0.74,0.82,0.9,1}),"B-386","B-347","B-357","B-3471","B-34715","B-3571","B-35715"),
             "")
)))</f>
        <v/>
      </c>
      <c r="I113" s="8" t="str">
        <f t="shared" ca="1" si="8"/>
        <v/>
      </c>
      <c r="J113">
        <f t="shared" ref="J113:J176" ca="1" si="10">IF(B113="BOTTOM",
   60,
   IF(B113="TOP",
      RANDBETWEEN(3*16,50*16)/16,
      IF(B113="WHOLE",
         IF(RAND()&lt;0.75,
            RANDBETWEEN(36*16,110*16)/16,
            96
         ),
         ""
      )
   )
)</f>
        <v>60</v>
      </c>
      <c r="K113">
        <f t="shared" ref="K113:K176" ca="1" si="11">_xlfn.LET(
_xlpm.minVal, IF($H113&lt;&gt;"",40,5),
RANDBETWEEN(_xlpm.minVal*16,80*16)/16
)</f>
        <v>73.5625</v>
      </c>
      <c r="L113" s="14">
        <f t="shared" ca="1" si="7"/>
        <v>4.5</v>
      </c>
      <c r="M113" s="14">
        <f t="shared" ca="1" si="9"/>
        <v>1</v>
      </c>
    </row>
    <row r="114" spans="2:13">
      <c r="B114" s="14" t="s">
        <v>157</v>
      </c>
      <c r="C114" s="14">
        <v>1</v>
      </c>
      <c r="D114" s="14">
        <v>0</v>
      </c>
      <c r="E114" s="14">
        <v>0</v>
      </c>
      <c r="F114" s="14"/>
      <c r="G114" s="14"/>
      <c r="H114" s="8" t="str">
        <f ca="1">IF(RAND()&lt;0.25,
    "",
    IF($E114=0,
       CHOOSE(MATCH(RAND(),{0,0.2,0.4,0.6,0.7,0.8,0.85,0.9,0.95,1}),"B-354","B-386","B-4354","B-347","B-357","B-3471","B-34715","B-3571","B-35715"),
       IF($G114=24,
          "B-386",
          IF($G114=12,
             CHOOSE(MATCH(RAND(),{0,0.32,0.49,0.66,0.74,0.82,0.9,1}),"B-386","B-347","B-357","B-3471","B-34715","B-3571","B-35715"),
             "")
)))</f>
        <v>B-386</v>
      </c>
      <c r="I114" s="8" t="str">
        <f t="shared" ca="1" si="8"/>
        <v/>
      </c>
      <c r="J114">
        <f t="shared" ca="1" si="10"/>
        <v>60</v>
      </c>
      <c r="K114">
        <f t="shared" ca="1" si="11"/>
        <v>50.625</v>
      </c>
      <c r="L114" s="14">
        <f t="shared" ca="1" si="7"/>
        <v>4.5</v>
      </c>
      <c r="M114" s="14" t="str">
        <f t="shared" ca="1" si="9"/>
        <v/>
      </c>
    </row>
    <row r="115" spans="2:13">
      <c r="B115" s="14" t="s">
        <v>157</v>
      </c>
      <c r="C115" s="14">
        <v>1</v>
      </c>
      <c r="D115" s="14">
        <v>0</v>
      </c>
      <c r="E115" s="14">
        <v>1</v>
      </c>
      <c r="F115" s="14">
        <v>0</v>
      </c>
      <c r="G115" s="14">
        <v>12</v>
      </c>
      <c r="H115" s="8" t="str">
        <f ca="1">IF(RAND()&lt;0.25,
    "",
    IF($E115=0,
       CHOOSE(MATCH(RAND(),{0,0.2,0.4,0.6,0.7,0.8,0.85,0.9,0.95,1}),"B-354","B-386","B-4354","B-347","B-357","B-3471","B-34715","B-3571","B-35715"),
       IF($G115=24,
          "B-386",
          IF($G115=12,
             CHOOSE(MATCH(RAND(),{0,0.32,0.49,0.66,0.74,0.82,0.9,1}),"B-386","B-347","B-357","B-3471","B-34715","B-3571","B-35715"),
             "")
)))</f>
        <v/>
      </c>
      <c r="I115" s="8" t="str">
        <f t="shared" ca="1" si="8"/>
        <v/>
      </c>
      <c r="J115">
        <f t="shared" ca="1" si="10"/>
        <v>60</v>
      </c>
      <c r="K115">
        <f t="shared" ca="1" si="11"/>
        <v>61.5625</v>
      </c>
      <c r="L115" s="14">
        <f t="shared" ca="1" si="7"/>
        <v>6.5</v>
      </c>
      <c r="M115" s="14">
        <f t="shared" ca="1" si="9"/>
        <v>8.375</v>
      </c>
    </row>
    <row r="116" spans="2:13">
      <c r="B116" s="14" t="s">
        <v>157</v>
      </c>
      <c r="C116" s="14">
        <v>1</v>
      </c>
      <c r="D116" s="14">
        <v>0</v>
      </c>
      <c r="E116" s="14">
        <v>1</v>
      </c>
      <c r="F116" s="14">
        <v>0</v>
      </c>
      <c r="G116" s="14">
        <v>24</v>
      </c>
      <c r="H116" s="8" t="str">
        <f ca="1">IF(RAND()&lt;0.25,
    "",
    IF($E116=0,
       CHOOSE(MATCH(RAND(),{0,0.2,0.4,0.6,0.7,0.8,0.85,0.9,0.95,1}),"B-354","B-386","B-4354","B-347","B-357","B-3471","B-34715","B-3571","B-35715"),
       IF($G116=24,
          "B-386",
          IF($G116=12,
             CHOOSE(MATCH(RAND(),{0,0.32,0.49,0.66,0.74,0.82,0.9,1}),"B-386","B-347","B-357","B-3471","B-34715","B-3571","B-35715"),
             "")
)))</f>
        <v/>
      </c>
      <c r="I116" s="8" t="str">
        <f t="shared" ca="1" si="8"/>
        <v/>
      </c>
      <c r="J116">
        <f t="shared" ca="1" si="10"/>
        <v>60</v>
      </c>
      <c r="K116">
        <f t="shared" ca="1" si="11"/>
        <v>72.125</v>
      </c>
      <c r="L116" s="14">
        <f t="shared" ca="1" si="7"/>
        <v>9</v>
      </c>
      <c r="M116" s="14">
        <f t="shared" ca="1" si="9"/>
        <v>1</v>
      </c>
    </row>
    <row r="117" spans="2:13" hidden="1">
      <c r="B117" s="14" t="s">
        <v>157</v>
      </c>
      <c r="C117" s="14">
        <v>1</v>
      </c>
      <c r="D117" s="14">
        <v>0</v>
      </c>
      <c r="E117" s="14">
        <v>1</v>
      </c>
      <c r="F117" s="14">
        <v>0</v>
      </c>
      <c r="G117" s="14"/>
      <c r="H117" s="8" t="str">
        <f ca="1">IF(RAND()&lt;0.25,
    "",
    IF($E117=0,
       CHOOSE(MATCH(RAND(),{0,0.2,0.4,0.6,0.7,0.8,0.85,0.9,0.95,1}),"B-354","B-386","B-4354","B-347","B-357","B-3471","B-34715","B-3571","B-35715"),
       IF($G117=24,
          "B-386",
          IF($G117=12,
             CHOOSE(MATCH(RAND(),{0,0.32,0.49,0.66,0.74,0.82,0.9,1}),"B-386","B-347","B-357","B-3471","B-34715","B-3571","B-35715"),
             "")
)))</f>
        <v/>
      </c>
      <c r="I117" s="8" t="str">
        <f t="shared" ca="1" si="8"/>
        <v/>
      </c>
      <c r="J117">
        <f t="shared" ca="1" si="10"/>
        <v>60</v>
      </c>
      <c r="K117">
        <f t="shared" ca="1" si="11"/>
        <v>69.6875</v>
      </c>
      <c r="L117" s="14">
        <f t="shared" ca="1" si="7"/>
        <v>1</v>
      </c>
      <c r="M117" s="14">
        <f t="shared" ca="1" si="9"/>
        <v>5.0625</v>
      </c>
    </row>
    <row r="118" spans="2:13" hidden="1">
      <c r="B118" s="14" t="s">
        <v>157</v>
      </c>
      <c r="C118" s="14">
        <v>1</v>
      </c>
      <c r="D118" s="14">
        <v>0</v>
      </c>
      <c r="E118" s="14">
        <v>1</v>
      </c>
      <c r="F118" s="14">
        <v>1</v>
      </c>
      <c r="G118" s="14"/>
      <c r="H118" s="8" t="str">
        <f ca="1">IF(RAND()&lt;0.25,
    "",
    IF($E118=0,
       CHOOSE(MATCH(RAND(),{0,0.2,0.4,0.6,0.7,0.8,0.85,0.9,0.95,1}),"B-354","B-386","B-4354","B-347","B-357","B-3471","B-34715","B-3571","B-35715"),
       IF($G118=24,
          "B-386",
          IF($G118=12,
             CHOOSE(MATCH(RAND(),{0,0.32,0.49,0.66,0.74,0.82,0.9,1}),"B-386","B-347","B-357","B-3471","B-34715","B-3571","B-35715"),
             "")
)))</f>
        <v/>
      </c>
      <c r="I118" s="8" t="str">
        <f t="shared" ca="1" si="8"/>
        <v/>
      </c>
      <c r="J118">
        <f t="shared" ca="1" si="10"/>
        <v>60</v>
      </c>
      <c r="K118">
        <f t="shared" ca="1" si="11"/>
        <v>28.875</v>
      </c>
      <c r="L118" s="14">
        <f t="shared" ca="1" si="7"/>
        <v>4.5</v>
      </c>
      <c r="M118" s="14">
        <f t="shared" ca="1" si="9"/>
        <v>1</v>
      </c>
    </row>
    <row r="119" spans="2:13">
      <c r="B119" s="14" t="s">
        <v>157</v>
      </c>
      <c r="C119" s="14">
        <v>1</v>
      </c>
      <c r="D119" s="14">
        <v>1</v>
      </c>
      <c r="E119" s="14">
        <v>0</v>
      </c>
      <c r="F119" s="14"/>
      <c r="G119" s="14"/>
      <c r="H119" s="8" t="str">
        <f ca="1">IF(RAND()&lt;0.25,
    "",
    IF($E119=0,
       CHOOSE(MATCH(RAND(),{0,0.2,0.4,0.6,0.7,0.8,0.85,0.9,0.95,1}),"B-354","B-386","B-4354","B-347","B-357","B-3471","B-34715","B-3571","B-35715"),
       IF($G119=24,
          "B-386",
          IF($G119=12,
             CHOOSE(MATCH(RAND(),{0,0.32,0.49,0.66,0.74,0.82,0.9,1}),"B-386","B-347","B-357","B-3471","B-34715","B-3571","B-35715"),
             "")
)))</f>
        <v>B-3571</v>
      </c>
      <c r="I119" s="8" t="str">
        <f t="shared" ca="1" si="8"/>
        <v/>
      </c>
      <c r="J119">
        <f t="shared" ca="1" si="10"/>
        <v>60</v>
      </c>
      <c r="K119">
        <f t="shared" ca="1" si="11"/>
        <v>68.8125</v>
      </c>
      <c r="L119" s="14">
        <f t="shared" ca="1" si="7"/>
        <v>12</v>
      </c>
      <c r="M119" s="14">
        <f t="shared" ca="1" si="9"/>
        <v>1</v>
      </c>
    </row>
    <row r="120" spans="2:13">
      <c r="B120" s="14" t="s">
        <v>157</v>
      </c>
      <c r="C120" s="14">
        <v>1</v>
      </c>
      <c r="D120" s="14">
        <v>1</v>
      </c>
      <c r="E120" s="14">
        <v>1</v>
      </c>
      <c r="F120" s="14">
        <v>0</v>
      </c>
      <c r="G120" s="14">
        <v>12</v>
      </c>
      <c r="H120" s="8" t="str">
        <f ca="1">IF(RAND()&lt;0.25,
    "",
    IF($E120=0,
       CHOOSE(MATCH(RAND(),{0,0.2,0.4,0.6,0.7,0.8,0.85,0.9,0.95,1}),"B-354","B-386","B-4354","B-347","B-357","B-3471","B-34715","B-3571","B-35715"),
       IF($G120=24,
          "B-386",
          IF($G120=12,
             CHOOSE(MATCH(RAND(),{0,0.32,0.49,0.66,0.74,0.82,0.9,1}),"B-386","B-347","B-357","B-3471","B-34715","B-3571","B-35715"),
             "")
)))</f>
        <v>B-347</v>
      </c>
      <c r="I120" s="8" t="str">
        <f t="shared" ca="1" si="8"/>
        <v/>
      </c>
      <c r="J120">
        <f t="shared" ca="1" si="10"/>
        <v>60</v>
      </c>
      <c r="K120">
        <f t="shared" ca="1" si="11"/>
        <v>70.25</v>
      </c>
      <c r="L120" s="14">
        <f t="shared" ca="1" si="7"/>
        <v>8.375</v>
      </c>
      <c r="M120" s="14">
        <f t="shared" ca="1" si="9"/>
        <v>5</v>
      </c>
    </row>
    <row r="121" spans="2:13">
      <c r="B121" s="14" t="s">
        <v>157</v>
      </c>
      <c r="C121" s="14">
        <v>1</v>
      </c>
      <c r="D121" s="14">
        <v>1</v>
      </c>
      <c r="E121" s="14">
        <v>1</v>
      </c>
      <c r="F121" s="14">
        <v>0</v>
      </c>
      <c r="G121" s="14">
        <v>24</v>
      </c>
      <c r="H121" s="8" t="str">
        <f ca="1">IF(RAND()&lt;0.25,
    "",
    IF($E121=0,
       CHOOSE(MATCH(RAND(),{0,0.2,0.4,0.6,0.7,0.8,0.85,0.9,0.95,1}),"B-354","B-386","B-4354","B-347","B-357","B-3471","B-34715","B-3571","B-35715"),
       IF($G121=24,
          "B-386",
          IF($G121=12,
             CHOOSE(MATCH(RAND(),{0,0.32,0.49,0.66,0.74,0.82,0.9,1}),"B-386","B-347","B-357","B-3471","B-34715","B-3571","B-35715"),
             "")
)))</f>
        <v>B-386</v>
      </c>
      <c r="I121" s="8" t="str">
        <f t="shared" ca="1" si="8"/>
        <v/>
      </c>
      <c r="J121">
        <f t="shared" ca="1" si="10"/>
        <v>60</v>
      </c>
      <c r="K121">
        <f t="shared" ca="1" si="11"/>
        <v>74.4375</v>
      </c>
      <c r="L121" s="14">
        <f t="shared" ca="1" si="7"/>
        <v>1</v>
      </c>
      <c r="M121" s="14">
        <f t="shared" ca="1" si="9"/>
        <v>2.0625</v>
      </c>
    </row>
    <row r="122" spans="2:13" hidden="1">
      <c r="B122" s="14" t="s">
        <v>157</v>
      </c>
      <c r="C122" s="14">
        <v>1</v>
      </c>
      <c r="D122" s="14">
        <v>1</v>
      </c>
      <c r="E122" s="14">
        <v>1</v>
      </c>
      <c r="F122" s="14">
        <v>0</v>
      </c>
      <c r="G122" s="14"/>
      <c r="H122" s="8" t="str">
        <f ca="1">IF(RAND()&lt;0.25,
    "",
    IF($E122=0,
       CHOOSE(MATCH(RAND(),{0,0.2,0.4,0.6,0.7,0.8,0.85,0.9,0.95,1}),"B-354","B-386","B-4354","B-347","B-357","B-3471","B-34715","B-3571","B-35715"),
       IF($G122=24,
          "B-386",
          IF($G122=12,
             CHOOSE(MATCH(RAND(),{0,0.32,0.49,0.66,0.74,0.82,0.9,1}),"B-386","B-347","B-357","B-3471","B-34715","B-3571","B-35715"),
             "")
)))</f>
        <v/>
      </c>
      <c r="I122" s="8" t="str">
        <f t="shared" ca="1" si="8"/>
        <v/>
      </c>
      <c r="J122">
        <f t="shared" ca="1" si="10"/>
        <v>60</v>
      </c>
      <c r="K122">
        <f t="shared" ca="1" si="11"/>
        <v>51.5</v>
      </c>
      <c r="L122" s="14">
        <f t="shared" ca="1" si="7"/>
        <v>12</v>
      </c>
      <c r="M122" s="14">
        <f t="shared" ca="1" si="9"/>
        <v>1</v>
      </c>
    </row>
    <row r="123" spans="2:13" hidden="1">
      <c r="B123" s="14" t="s">
        <v>157</v>
      </c>
      <c r="C123" s="14">
        <v>1</v>
      </c>
      <c r="D123" s="14">
        <v>1</v>
      </c>
      <c r="E123" s="14">
        <v>1</v>
      </c>
      <c r="F123" s="14">
        <v>1</v>
      </c>
      <c r="G123" s="14"/>
      <c r="H123" s="8" t="str">
        <f ca="1">IF(RAND()&lt;0.25,
    "",
    IF($E123=0,
       CHOOSE(MATCH(RAND(),{0,0.2,0.4,0.6,0.7,0.8,0.85,0.9,0.95,1}),"B-354","B-386","B-4354","B-347","B-357","B-3471","B-34715","B-3571","B-35715"),
       IF($G123=24,
          "B-386",
          IF($G123=12,
             CHOOSE(MATCH(RAND(),{0,0.32,0.49,0.66,0.74,0.82,0.9,1}),"B-386","B-347","B-357","B-3471","B-34715","B-3571","B-35715"),
             "")
)))</f>
        <v/>
      </c>
      <c r="I123" s="8" t="str">
        <f t="shared" ca="1" si="8"/>
        <v/>
      </c>
      <c r="J123">
        <f t="shared" ca="1" si="10"/>
        <v>60</v>
      </c>
      <c r="K123">
        <f t="shared" ca="1" si="11"/>
        <v>64.125</v>
      </c>
      <c r="L123" s="14">
        <f t="shared" ca="1" si="7"/>
        <v>1</v>
      </c>
      <c r="M123" s="14" t="str">
        <f t="shared" ca="1" si="9"/>
        <v/>
      </c>
    </row>
    <row r="124" spans="2:13">
      <c r="B124" s="14" t="s">
        <v>21</v>
      </c>
      <c r="C124" s="14">
        <v>0</v>
      </c>
      <c r="D124" s="14"/>
      <c r="E124" s="14">
        <v>0</v>
      </c>
      <c r="F124" s="14"/>
      <c r="G124" s="14"/>
      <c r="H124" s="8" t="str">
        <f ca="1">IF(RAND()&lt;0.25,
    "",
    IF($E124=0,
       CHOOSE(MATCH(RAND(),{0,0.2,0.4,0.6,0.7,0.8,0.85,0.9,0.95,1}),"B-354","B-386","B-4354","B-347","B-357","B-3471","B-34715","B-3571","B-35715"),
       IF($G124=24,
          "B-386",
          IF($G124=12,
             CHOOSE(MATCH(RAND(),{0,0.32,0.49,0.66,0.74,0.82,0.9,1}),"B-386","B-347","B-357","B-3471","B-34715","B-3571","B-35715"),
             "")
)))</f>
        <v>B-354</v>
      </c>
      <c r="I124" s="8" t="str">
        <f t="shared" ca="1" si="8"/>
        <v/>
      </c>
      <c r="J124">
        <f t="shared" ca="1" si="10"/>
        <v>96</v>
      </c>
      <c r="K124">
        <f t="shared" ca="1" si="11"/>
        <v>67.75</v>
      </c>
      <c r="L124" s="14">
        <f t="shared" ca="1" si="7"/>
        <v>4.5</v>
      </c>
      <c r="M124" s="14">
        <f t="shared" ca="1" si="9"/>
        <v>8.4375</v>
      </c>
    </row>
    <row r="125" spans="2:13">
      <c r="B125" s="14" t="s">
        <v>21</v>
      </c>
      <c r="C125" s="14">
        <v>0</v>
      </c>
      <c r="D125" s="14"/>
      <c r="E125" s="14">
        <v>1</v>
      </c>
      <c r="F125" s="14">
        <v>0</v>
      </c>
      <c r="G125" s="14">
        <v>12</v>
      </c>
      <c r="H125" s="8" t="str">
        <f ca="1">IF(RAND()&lt;0.25,
    "",
    IF($E125=0,
       CHOOSE(MATCH(RAND(),{0,0.2,0.4,0.6,0.7,0.8,0.85,0.9,0.95,1}),"B-354","B-386","B-4354","B-347","B-357","B-3471","B-34715","B-3571","B-35715"),
       IF($G125=24,
          "B-386",
          IF($G125=12,
             CHOOSE(MATCH(RAND(),{0,0.32,0.49,0.66,0.74,0.82,0.9,1}),"B-386","B-347","B-357","B-3471","B-34715","B-3571","B-35715"),
             "")
)))</f>
        <v>B-357</v>
      </c>
      <c r="I125" s="8" t="str">
        <f t="shared" ca="1" si="8"/>
        <v/>
      </c>
      <c r="J125">
        <f t="shared" ca="1" si="10"/>
        <v>96</v>
      </c>
      <c r="K125">
        <f t="shared" ca="1" si="11"/>
        <v>57.3125</v>
      </c>
      <c r="L125" s="14">
        <f t="shared" ca="1" si="7"/>
        <v>8.3125</v>
      </c>
      <c r="M125" s="14">
        <f t="shared" ca="1" si="9"/>
        <v>1</v>
      </c>
    </row>
    <row r="126" spans="2:13">
      <c r="B126" s="14" t="s">
        <v>21</v>
      </c>
      <c r="C126" s="14">
        <v>0</v>
      </c>
      <c r="D126" s="14"/>
      <c r="E126" s="14">
        <v>1</v>
      </c>
      <c r="F126" s="14">
        <v>0</v>
      </c>
      <c r="G126" s="14">
        <v>24</v>
      </c>
      <c r="H126" s="8" t="str">
        <f ca="1">IF(RAND()&lt;0.25,
    "",
    IF($E126=0,
       CHOOSE(MATCH(RAND(),{0,0.2,0.4,0.6,0.7,0.8,0.85,0.9,0.95,1}),"B-354","B-386","B-4354","B-347","B-357","B-3471","B-34715","B-3571","B-35715"),
       IF($G126=24,
          "B-386",
          IF($G126=12,
             CHOOSE(MATCH(RAND(),{0,0.32,0.49,0.66,0.74,0.82,0.9,1}),"B-386","B-347","B-357","B-3471","B-34715","B-3571","B-35715"),
             "")
)))</f>
        <v>B-386</v>
      </c>
      <c r="I126" s="8" t="str">
        <f t="shared" ca="1" si="8"/>
        <v/>
      </c>
      <c r="J126">
        <f t="shared" ca="1" si="10"/>
        <v>90.1875</v>
      </c>
      <c r="K126">
        <f t="shared" ca="1" si="11"/>
        <v>61.875</v>
      </c>
      <c r="L126" s="14">
        <f t="shared" ca="1" si="7"/>
        <v>9</v>
      </c>
      <c r="M126" s="14">
        <f t="shared" ca="1" si="9"/>
        <v>1</v>
      </c>
    </row>
    <row r="127" spans="2:13" hidden="1">
      <c r="B127" s="14" t="s">
        <v>21</v>
      </c>
      <c r="C127" s="14">
        <v>0</v>
      </c>
      <c r="D127" s="14"/>
      <c r="E127" s="14">
        <v>1</v>
      </c>
      <c r="F127" s="14">
        <v>0</v>
      </c>
      <c r="G127" s="14"/>
      <c r="H127" s="8" t="str">
        <f ca="1">IF(RAND()&lt;0.25,
    "",
    IF($E127=0,
       CHOOSE(MATCH(RAND(),{0,0.2,0.4,0.6,0.7,0.8,0.85,0.9,0.95,1}),"B-354","B-386","B-4354","B-347","B-357","B-3471","B-34715","B-3571","B-35715"),
       IF($G127=24,
          "B-386",
          IF($G127=12,
             CHOOSE(MATCH(RAND(),{0,0.32,0.49,0.66,0.74,0.82,0.9,1}),"B-386","B-347","B-357","B-3471","B-34715","B-3571","B-35715"),
             "")
)))</f>
        <v/>
      </c>
      <c r="I127" s="8" t="str">
        <f t="shared" ca="1" si="8"/>
        <v/>
      </c>
      <c r="J127">
        <f t="shared" ca="1" si="10"/>
        <v>103.5625</v>
      </c>
      <c r="K127">
        <f t="shared" ca="1" si="11"/>
        <v>59.3125</v>
      </c>
      <c r="L127" s="14">
        <f t="shared" ca="1" si="7"/>
        <v>4.5</v>
      </c>
      <c r="M127" s="14">
        <f t="shared" ca="1" si="9"/>
        <v>5.0625</v>
      </c>
    </row>
    <row r="128" spans="2:13" hidden="1">
      <c r="B128" s="14" t="s">
        <v>21</v>
      </c>
      <c r="C128" s="14">
        <v>0</v>
      </c>
      <c r="D128" s="14"/>
      <c r="E128" s="14">
        <v>1</v>
      </c>
      <c r="F128" s="14">
        <v>1</v>
      </c>
      <c r="G128" s="14"/>
      <c r="H128" s="8" t="str">
        <f ca="1">IF(RAND()&lt;0.25,
    "",
    IF($E128=0,
       CHOOSE(MATCH(RAND(),{0,0.2,0.4,0.6,0.7,0.8,0.85,0.9,0.95,1}),"B-354","B-386","B-4354","B-347","B-357","B-3471","B-34715","B-3571","B-35715"),
       IF($G128=24,
          "B-386",
          IF($G128=12,
             CHOOSE(MATCH(RAND(),{0,0.32,0.49,0.66,0.74,0.82,0.9,1}),"B-386","B-347","B-357","B-3471","B-34715","B-3571","B-35715"),
             "")
)))</f>
        <v/>
      </c>
      <c r="I128" s="8" t="str">
        <f t="shared" ca="1" si="8"/>
        <v/>
      </c>
      <c r="J128">
        <f t="shared" ca="1" si="10"/>
        <v>60.8125</v>
      </c>
      <c r="K128">
        <f t="shared" ca="1" si="11"/>
        <v>79.9375</v>
      </c>
      <c r="L128" s="14">
        <f t="shared" ca="1" si="7"/>
        <v>12</v>
      </c>
      <c r="M128" s="14">
        <f t="shared" ca="1" si="9"/>
        <v>2.0625</v>
      </c>
    </row>
    <row r="129" spans="2:13">
      <c r="B129" s="14" t="s">
        <v>21</v>
      </c>
      <c r="C129" s="14">
        <v>1</v>
      </c>
      <c r="D129" s="14">
        <v>0</v>
      </c>
      <c r="E129" s="14">
        <v>0</v>
      </c>
      <c r="F129" s="14"/>
      <c r="G129" s="14"/>
      <c r="H129" s="8" t="str">
        <f ca="1">IF(RAND()&lt;0.25,
    "",
    IF($E129=0,
       CHOOSE(MATCH(RAND(),{0,0.2,0.4,0.6,0.7,0.8,0.85,0.9,0.95,1}),"B-354","B-386","B-4354","B-347","B-357","B-3471","B-34715","B-3571","B-35715"),
       IF($G129=24,
          "B-386",
          IF($G129=12,
             CHOOSE(MATCH(RAND(),{0,0.32,0.49,0.66,0.74,0.82,0.9,1}),"B-386","B-347","B-357","B-3471","B-34715","B-3571","B-35715"),
             "")
)))</f>
        <v>B-354</v>
      </c>
      <c r="I129" s="8" t="str">
        <f t="shared" ca="1" si="8"/>
        <v/>
      </c>
      <c r="J129">
        <f t="shared" ca="1" si="10"/>
        <v>96</v>
      </c>
      <c r="K129">
        <f t="shared" ca="1" si="11"/>
        <v>64.8125</v>
      </c>
      <c r="L129" s="14">
        <f t="shared" ca="1" si="7"/>
        <v>1.25</v>
      </c>
      <c r="M129" s="14" t="str">
        <f t="shared" ca="1" si="9"/>
        <v/>
      </c>
    </row>
    <row r="130" spans="2:13">
      <c r="B130" s="14" t="s">
        <v>21</v>
      </c>
      <c r="C130" s="14">
        <v>1</v>
      </c>
      <c r="D130" s="14">
        <v>0</v>
      </c>
      <c r="E130" s="14">
        <v>1</v>
      </c>
      <c r="F130" s="14">
        <v>0</v>
      </c>
      <c r="G130" s="14">
        <v>12</v>
      </c>
      <c r="H130" s="8" t="str">
        <f ca="1">IF(RAND()&lt;0.25,
    "",
    IF($E130=0,
       CHOOSE(MATCH(RAND(),{0,0.2,0.4,0.6,0.7,0.8,0.85,0.9,0.95,1}),"B-354","B-386","B-4354","B-347","B-357","B-3471","B-34715","B-3571","B-35715"),
       IF($G130=24,
          "B-386",
          IF($G130=12,
             CHOOSE(MATCH(RAND(),{0,0.32,0.49,0.66,0.74,0.82,0.9,1}),"B-386","B-347","B-357","B-3471","B-34715","B-3571","B-35715"),
             "")
)))</f>
        <v>B-3571</v>
      </c>
      <c r="I130" s="8" t="str">
        <f t="shared" ca="1" si="8"/>
        <v/>
      </c>
      <c r="J130">
        <f t="shared" ca="1" si="10"/>
        <v>78.9375</v>
      </c>
      <c r="K130">
        <f t="shared" ca="1" si="11"/>
        <v>62.0625</v>
      </c>
      <c r="L130" s="14">
        <f t="shared" ca="1" si="7"/>
        <v>4.1875</v>
      </c>
      <c r="M130" s="14" t="str">
        <f t="shared" ca="1" si="9"/>
        <v/>
      </c>
    </row>
    <row r="131" spans="2:13" hidden="1">
      <c r="B131" s="14" t="s">
        <v>21</v>
      </c>
      <c r="C131" s="14">
        <v>1</v>
      </c>
      <c r="D131" s="14">
        <v>0</v>
      </c>
      <c r="E131" s="14">
        <v>1</v>
      </c>
      <c r="F131" s="14">
        <v>0</v>
      </c>
      <c r="G131" s="14">
        <v>24</v>
      </c>
      <c r="H131" s="8" t="str">
        <f ca="1">IF(RAND()&lt;0.25,
    "",
    IF($E131=0,
       CHOOSE(MATCH(RAND(),{0,0.2,0.4,0.6,0.7,0.8,0.85,0.9,0.95,1}),"B-354","B-386","B-4354","B-347","B-357","B-3471","B-34715","B-3571","B-35715"),
       IF($G131=24,
          "B-386",
          IF($G131=12,
             CHOOSE(MATCH(RAND(),{0,0.32,0.49,0.66,0.74,0.82,0.9,1}),"B-386","B-347","B-357","B-3471","B-34715","B-3571","B-35715"),
             "")
)))</f>
        <v/>
      </c>
      <c r="I131" s="8" t="str">
        <f t="shared" ca="1" si="8"/>
        <v/>
      </c>
      <c r="J131">
        <f t="shared" ca="1" si="10"/>
        <v>97.4375</v>
      </c>
      <c r="K131">
        <f t="shared" ca="1" si="11"/>
        <v>77.5</v>
      </c>
      <c r="L131" s="14">
        <f t="shared" ca="1" si="7"/>
        <v>12</v>
      </c>
      <c r="M131" s="14">
        <f t="shared" ca="1" si="9"/>
        <v>4.625</v>
      </c>
    </row>
    <row r="132" spans="2:13" hidden="1">
      <c r="B132" s="14" t="s">
        <v>21</v>
      </c>
      <c r="C132" s="14">
        <v>1</v>
      </c>
      <c r="D132" s="14">
        <v>0</v>
      </c>
      <c r="E132" s="14">
        <v>1</v>
      </c>
      <c r="F132" s="14">
        <v>0</v>
      </c>
      <c r="G132" s="14"/>
      <c r="H132" s="8" t="str">
        <f ca="1">IF(RAND()&lt;0.25,
    "",
    IF($E132=0,
       CHOOSE(MATCH(RAND(),{0,0.2,0.4,0.6,0.7,0.8,0.85,0.9,0.95,1}),"B-354","B-386","B-4354","B-347","B-357","B-3471","B-34715","B-3571","B-35715"),
       IF($G132=24,
          "B-386",
          IF($G132=12,
             CHOOSE(MATCH(RAND(),{0,0.32,0.49,0.66,0.74,0.82,0.9,1}),"B-386","B-347","B-357","B-3471","B-34715","B-3571","B-35715"),
             "")
)))</f>
        <v/>
      </c>
      <c r="I132" s="8" t="str">
        <f t="shared" ca="1" si="8"/>
        <v/>
      </c>
      <c r="J132">
        <f t="shared" ca="1" si="10"/>
        <v>92.25</v>
      </c>
      <c r="K132">
        <f t="shared" ca="1" si="11"/>
        <v>39.5</v>
      </c>
      <c r="L132" s="14">
        <f t="shared" ref="L132:L195" ca="1" si="12" xml:space="preserve">    _xlfn.LET(
      _xlpm.k, RANDBETWEEN(1,6),
      _xlpm.step, 1/16,
      IF(
        _xlpm.k=1, 1,
        IF(
          _xlpm.k=2, 4.5,
          IF(
            _xlpm.k=3, 9,
            IF(
              _xlpm.k=4, 12,
              IF(
                _xlpm.k=5,
                  1 + _xlpm.step*RANDBETWEEN(1, (4.5-1)/_xlpm.step - 1),
                  4.5 + _xlpm.step*RANDBETWEEN(1, (12-4.5)/_xlpm.step - 1)
              )
            )
          )
        )
      )
    )</f>
        <v>7.875</v>
      </c>
      <c r="M132" s="14" t="str">
        <f t="shared" ca="1" si="9"/>
        <v/>
      </c>
    </row>
    <row r="133" spans="2:13" hidden="1">
      <c r="B133" s="14" t="s">
        <v>21</v>
      </c>
      <c r="C133" s="14">
        <v>1</v>
      </c>
      <c r="D133" s="14">
        <v>0</v>
      </c>
      <c r="E133" s="14">
        <v>1</v>
      </c>
      <c r="F133" s="14">
        <v>1</v>
      </c>
      <c r="G133" s="14"/>
      <c r="H133" s="8" t="str">
        <f ca="1">IF(RAND()&lt;0.25,
    "",
    IF($E133=0,
       CHOOSE(MATCH(RAND(),{0,0.2,0.4,0.6,0.7,0.8,0.85,0.9,0.95,1}),"B-354","B-386","B-4354","B-347","B-357","B-3471","B-34715","B-3571","B-35715"),
       IF($G133=24,
          "B-386",
          IF($G133=12,
             CHOOSE(MATCH(RAND(),{0,0.32,0.49,0.66,0.74,0.82,0.9,1}),"B-386","B-347","B-357","B-3471","B-34715","B-3571","B-35715"),
             "")
)))</f>
        <v/>
      </c>
      <c r="I133" s="8" t="str">
        <f t="shared" ref="I133:I196" ca="1" si="13">IF($H133="",
    "",
    IF(AND($E133=0,OR($H133="B-354",$H133="B-386",$H133="B-4354")),
       IF(RAND()&lt;0.5,
          "",
          IF($H133="B-354",
             "B-386",
             IF($H133="B-4354",
                "B-386",
                IF($H133="B-386",
                   IF(RAND()&lt;0.5,
                      "B-354",
                      "B-4354"),
                   "")
                 ))),
       ""))</f>
        <v/>
      </c>
      <c r="J133">
        <f t="shared" ca="1" si="10"/>
        <v>36.75</v>
      </c>
      <c r="K133">
        <f t="shared" ca="1" si="11"/>
        <v>32.75</v>
      </c>
      <c r="L133" s="14">
        <f t="shared" ca="1" si="12"/>
        <v>9</v>
      </c>
      <c r="M133" s="14" t="str">
        <f t="shared" ref="M133:M196" ca="1" si="14">_xlfn.LET(
  _xlpm.r, RAND(),
  IF(
     _xlpm.r &lt; 0.25,
     1,
     IF(
        _xlpm.r &lt; 0.5,
        1 + RANDBETWEEN(0,16*4)/16,
        IF(
            _xlpm.r &lt; 0.75,
            4.5 + RANDBETWEEN(0,16*4)/16,
            ""
           )
        )
     )
)</f>
        <v/>
      </c>
    </row>
    <row r="134" spans="2:13">
      <c r="B134" s="14" t="s">
        <v>21</v>
      </c>
      <c r="C134" s="14">
        <v>1</v>
      </c>
      <c r="D134" s="14">
        <v>1</v>
      </c>
      <c r="E134" s="14">
        <v>0</v>
      </c>
      <c r="F134" s="14"/>
      <c r="G134" s="14"/>
      <c r="H134" s="8" t="str">
        <f ca="1">IF(RAND()&lt;0.25,
    "",
    IF($E134=0,
       CHOOSE(MATCH(RAND(),{0,0.2,0.4,0.6,0.7,0.8,0.85,0.9,0.95,1}),"B-354","B-386","B-4354","B-347","B-357","B-3471","B-34715","B-3571","B-35715"),
       IF($G134=24,
          "B-386",
          IF($G134=12,
             CHOOSE(MATCH(RAND(),{0,0.32,0.49,0.66,0.74,0.82,0.9,1}),"B-386","B-347","B-357","B-3471","B-34715","B-3571","B-35715"),
             "")
)))</f>
        <v/>
      </c>
      <c r="I134" s="8" t="str">
        <f t="shared" ca="1" si="13"/>
        <v/>
      </c>
      <c r="J134">
        <f t="shared" ca="1" si="10"/>
        <v>93.375</v>
      </c>
      <c r="K134">
        <f t="shared" ca="1" si="11"/>
        <v>36.8125</v>
      </c>
      <c r="L134" s="14">
        <f t="shared" ca="1" si="12"/>
        <v>12</v>
      </c>
      <c r="M134" s="14" t="str">
        <f t="shared" ca="1" si="14"/>
        <v/>
      </c>
    </row>
    <row r="135" spans="2:13">
      <c r="B135" s="14" t="s">
        <v>21</v>
      </c>
      <c r="C135" s="14">
        <v>1</v>
      </c>
      <c r="D135" s="14">
        <v>1</v>
      </c>
      <c r="E135" s="14">
        <v>1</v>
      </c>
      <c r="F135" s="14">
        <v>0</v>
      </c>
      <c r="G135" s="14">
        <v>12</v>
      </c>
      <c r="H135" s="8" t="str">
        <f ca="1">IF(RAND()&lt;0.25,
    "",
    IF($E135=0,
       CHOOSE(MATCH(RAND(),{0,0.2,0.4,0.6,0.7,0.8,0.85,0.9,0.95,1}),"B-354","B-386","B-4354","B-347","B-357","B-3471","B-34715","B-3571","B-35715"),
       IF($G135=24,
          "B-386",
          IF($G135=12,
             CHOOSE(MATCH(RAND(),{0,0.32,0.49,0.66,0.74,0.82,0.9,1}),"B-386","B-347","B-357","B-3471","B-34715","B-3571","B-35715"),
             "")
)))</f>
        <v>B-357</v>
      </c>
      <c r="I135" s="8" t="str">
        <f t="shared" ca="1" si="13"/>
        <v/>
      </c>
      <c r="J135">
        <f t="shared" ca="1" si="10"/>
        <v>107.375</v>
      </c>
      <c r="K135">
        <f t="shared" ca="1" si="11"/>
        <v>50.25</v>
      </c>
      <c r="L135" s="14">
        <f t="shared" ca="1" si="12"/>
        <v>3.8125</v>
      </c>
      <c r="M135" s="14">
        <f t="shared" ca="1" si="14"/>
        <v>1.1875</v>
      </c>
    </row>
    <row r="136" spans="2:13">
      <c r="B136" s="14" t="s">
        <v>21</v>
      </c>
      <c r="C136" s="14">
        <v>1</v>
      </c>
      <c r="D136" s="14">
        <v>1</v>
      </c>
      <c r="E136" s="14">
        <v>1</v>
      </c>
      <c r="F136" s="14">
        <v>0</v>
      </c>
      <c r="G136" s="14">
        <v>24</v>
      </c>
      <c r="H136" s="8" t="str">
        <f ca="1">IF(RAND()&lt;0.25,
    "",
    IF($E136=0,
       CHOOSE(MATCH(RAND(),{0,0.2,0.4,0.6,0.7,0.8,0.85,0.9,0.95,1}),"B-354","B-386","B-4354","B-347","B-357","B-3471","B-34715","B-3571","B-35715"),
       IF($G136=24,
          "B-386",
          IF($G136=12,
             CHOOSE(MATCH(RAND(),{0,0.32,0.49,0.66,0.74,0.82,0.9,1}),"B-386","B-347","B-357","B-3471","B-34715","B-3571","B-35715"),
             "")
)))</f>
        <v>B-386</v>
      </c>
      <c r="I136" s="8" t="str">
        <f t="shared" ca="1" si="13"/>
        <v/>
      </c>
      <c r="J136">
        <f t="shared" ca="1" si="10"/>
        <v>96</v>
      </c>
      <c r="K136">
        <f t="shared" ca="1" si="11"/>
        <v>77.5</v>
      </c>
      <c r="L136" s="14">
        <f t="shared" ca="1" si="12"/>
        <v>1</v>
      </c>
      <c r="M136" s="14">
        <f t="shared" ca="1" si="14"/>
        <v>1</v>
      </c>
    </row>
    <row r="137" spans="2:13" hidden="1">
      <c r="B137" s="14" t="s">
        <v>21</v>
      </c>
      <c r="C137" s="14">
        <v>1</v>
      </c>
      <c r="D137" s="14">
        <v>1</v>
      </c>
      <c r="E137" s="14">
        <v>1</v>
      </c>
      <c r="F137" s="14">
        <v>0</v>
      </c>
      <c r="G137" s="14"/>
      <c r="H137" s="8" t="str">
        <f ca="1">IF(RAND()&lt;0.25,
    "",
    IF($E137=0,
       CHOOSE(MATCH(RAND(),{0,0.2,0.4,0.6,0.7,0.8,0.85,0.9,0.95,1}),"B-354","B-386","B-4354","B-347","B-357","B-3471","B-34715","B-3571","B-35715"),
       IF($G137=24,
          "B-386",
          IF($G137=12,
             CHOOSE(MATCH(RAND(),{0,0.32,0.49,0.66,0.74,0.82,0.9,1}),"B-386","B-347","B-357","B-3471","B-34715","B-3571","B-35715"),
             "")
)))</f>
        <v/>
      </c>
      <c r="I137" s="8" t="str">
        <f t="shared" ca="1" si="13"/>
        <v/>
      </c>
      <c r="J137">
        <f t="shared" ca="1" si="10"/>
        <v>96</v>
      </c>
      <c r="K137">
        <f t="shared" ca="1" si="11"/>
        <v>9.9375</v>
      </c>
      <c r="L137" s="14">
        <f t="shared" ca="1" si="12"/>
        <v>12</v>
      </c>
      <c r="M137" s="14">
        <f t="shared" ca="1" si="14"/>
        <v>3.875</v>
      </c>
    </row>
    <row r="138" spans="2:13" ht="15" hidden="1" thickBot="1">
      <c r="B138" s="50" t="s">
        <v>21</v>
      </c>
      <c r="C138" s="50">
        <v>1</v>
      </c>
      <c r="D138" s="50">
        <v>1</v>
      </c>
      <c r="E138" s="50">
        <v>1</v>
      </c>
      <c r="F138" s="50">
        <v>1</v>
      </c>
      <c r="G138" s="50"/>
      <c r="H138" s="51" t="str">
        <f ca="1">IF(RAND()&lt;0.25,
    "",
    IF($E138=0,
       CHOOSE(MATCH(RAND(),{0,0.2,0.4,0.6,0.7,0.8,0.85,0.9,0.95,1}),"B-354","B-386","B-4354","B-347","B-357","B-3471","B-34715","B-3571","B-35715"),
       IF($G138=24,
          "B-386",
          IF($G138=12,
             CHOOSE(MATCH(RAND(),{0,0.32,0.49,0.66,0.74,0.82,0.9,1}),"B-386","B-347","B-357","B-3471","B-34715","B-3571","B-35715"),
             "")
)))</f>
        <v/>
      </c>
      <c r="I138" s="51" t="str">
        <f t="shared" ca="1" si="13"/>
        <v/>
      </c>
      <c r="J138" s="49">
        <f t="shared" ca="1" si="10"/>
        <v>96</v>
      </c>
      <c r="K138" s="49">
        <f t="shared" ca="1" si="11"/>
        <v>10.5625</v>
      </c>
      <c r="L138" s="50">
        <f t="shared" ca="1" si="12"/>
        <v>12</v>
      </c>
      <c r="M138" s="14">
        <f t="shared" ca="1" si="14"/>
        <v>1</v>
      </c>
    </row>
    <row r="139" spans="2:13">
      <c r="B139" s="14" t="s">
        <v>156</v>
      </c>
      <c r="C139" s="19">
        <v>0</v>
      </c>
      <c r="D139" s="19"/>
      <c r="E139" s="19">
        <v>0</v>
      </c>
      <c r="F139" s="19"/>
      <c r="G139" s="14"/>
      <c r="H139" s="8" t="str">
        <f ca="1">IF(RAND()&lt;0.25,
    "",
    IF($E139=0,
       CHOOSE(MATCH(RAND(),{0,0.2,0.4,0.6,0.7,0.8,0.85,0.9,0.95,1}),"B-354","B-386","B-4354","B-347","B-357","B-3471","B-34715","B-3571","B-35715"),
       IF($G139=24,
          "B-386",
          IF($G139=12,
             CHOOSE(MATCH(RAND(),{0,0.32,0.49,0.66,0.74,0.82,0.9,1}),"B-386","B-347","B-357","B-3471","B-34715","B-3571","B-35715"),
             "")
)))</f>
        <v>B-4354</v>
      </c>
      <c r="I139" s="8" t="str">
        <f t="shared" ca="1" si="13"/>
        <v/>
      </c>
      <c r="J139">
        <f t="shared" ca="1" si="10"/>
        <v>34</v>
      </c>
      <c r="K139">
        <f t="shared" ca="1" si="11"/>
        <v>41.1875</v>
      </c>
      <c r="L139" s="14">
        <f t="shared" ca="1" si="12"/>
        <v>2.1875</v>
      </c>
      <c r="M139" s="14">
        <f t="shared" ca="1" si="14"/>
        <v>5.25</v>
      </c>
    </row>
    <row r="140" spans="2:13">
      <c r="B140" s="14" t="s">
        <v>156</v>
      </c>
      <c r="C140" s="14">
        <v>0</v>
      </c>
      <c r="D140" s="14"/>
      <c r="E140" s="14">
        <v>1</v>
      </c>
      <c r="F140" s="14">
        <v>0</v>
      </c>
      <c r="G140" s="14">
        <v>12</v>
      </c>
      <c r="H140" s="8" t="str">
        <f ca="1">IF(RAND()&lt;0.25,
    "",
    IF($E140=0,
       CHOOSE(MATCH(RAND(),{0,0.2,0.4,0.6,0.7,0.8,0.85,0.9,0.95,1}),"B-354","B-386","B-4354","B-347","B-357","B-3471","B-34715","B-3571","B-35715"),
       IF($G140=24,
          "B-386",
          IF($G140=12,
             CHOOSE(MATCH(RAND(),{0,0.32,0.49,0.66,0.74,0.82,0.9,1}),"B-386","B-347","B-357","B-3471","B-34715","B-3571","B-35715"),
             "")
)))</f>
        <v>B-34715</v>
      </c>
      <c r="I140" s="8" t="str">
        <f t="shared" ca="1" si="13"/>
        <v/>
      </c>
      <c r="J140">
        <f t="shared" ca="1" si="10"/>
        <v>24.5</v>
      </c>
      <c r="K140">
        <f t="shared" ca="1" si="11"/>
        <v>53</v>
      </c>
      <c r="L140" s="14">
        <f t="shared" ca="1" si="12"/>
        <v>1</v>
      </c>
      <c r="M140" s="14">
        <f t="shared" ca="1" si="14"/>
        <v>1</v>
      </c>
    </row>
    <row r="141" spans="2:13">
      <c r="B141" s="14" t="s">
        <v>156</v>
      </c>
      <c r="C141" s="14">
        <v>0</v>
      </c>
      <c r="D141" s="14"/>
      <c r="E141" s="14">
        <v>1</v>
      </c>
      <c r="F141" s="14">
        <v>0</v>
      </c>
      <c r="G141" s="14">
        <v>24</v>
      </c>
      <c r="H141" s="8" t="str">
        <f ca="1">IF(RAND()&lt;0.25,
    "",
    IF($E141=0,
       CHOOSE(MATCH(RAND(),{0,0.2,0.4,0.6,0.7,0.8,0.85,0.9,0.95,1}),"B-354","B-386","B-4354","B-347","B-357","B-3471","B-34715","B-3571","B-35715"),
       IF($G141=24,
          "B-386",
          IF($G141=12,
             CHOOSE(MATCH(RAND(),{0,0.32,0.49,0.66,0.74,0.82,0.9,1}),"B-386","B-347","B-357","B-3471","B-34715","B-3571","B-35715"),
             "")
)))</f>
        <v/>
      </c>
      <c r="I141" s="8" t="str">
        <f t="shared" ca="1" si="13"/>
        <v/>
      </c>
      <c r="J141">
        <f t="shared" ca="1" si="10"/>
        <v>39.6875</v>
      </c>
      <c r="K141">
        <f t="shared" ca="1" si="11"/>
        <v>15.6875</v>
      </c>
      <c r="L141" s="14">
        <f t="shared" ca="1" si="12"/>
        <v>2.25</v>
      </c>
      <c r="M141" s="14">
        <f t="shared" ca="1" si="14"/>
        <v>4.0625</v>
      </c>
    </row>
    <row r="142" spans="2:13" hidden="1">
      <c r="B142" s="14" t="s">
        <v>156</v>
      </c>
      <c r="C142" s="14">
        <v>0</v>
      </c>
      <c r="D142" s="14"/>
      <c r="E142" s="14">
        <v>1</v>
      </c>
      <c r="F142" s="14">
        <v>0</v>
      </c>
      <c r="G142" s="14"/>
      <c r="H142" s="8" t="str">
        <f ca="1">IF(RAND()&lt;0.25,
    "",
    IF($E142=0,
       CHOOSE(MATCH(RAND(),{0,0.2,0.4,0.6,0.7,0.8,0.85,0.9,0.95,1}),"B-354","B-386","B-4354","B-347","B-357","B-3471","B-34715","B-3571","B-35715"),
       IF($G142=24,
          "B-386",
          IF($G142=12,
             CHOOSE(MATCH(RAND(),{0,0.32,0.49,0.66,0.74,0.82,0.9,1}),"B-386","B-347","B-357","B-3471","B-34715","B-3571","B-35715"),
             "")
)))</f>
        <v/>
      </c>
      <c r="I142" s="8" t="str">
        <f t="shared" ca="1" si="13"/>
        <v/>
      </c>
      <c r="J142">
        <f t="shared" ca="1" si="10"/>
        <v>3.25</v>
      </c>
      <c r="K142">
        <f t="shared" ca="1" si="11"/>
        <v>77.5</v>
      </c>
      <c r="L142" s="14">
        <f t="shared" ca="1" si="12"/>
        <v>4.5</v>
      </c>
      <c r="M142" s="14" t="str">
        <f t="shared" ca="1" si="14"/>
        <v/>
      </c>
    </row>
    <row r="143" spans="2:13" hidden="1">
      <c r="B143" s="14" t="s">
        <v>156</v>
      </c>
      <c r="C143" s="14">
        <v>0</v>
      </c>
      <c r="D143" s="14"/>
      <c r="E143" s="14">
        <v>1</v>
      </c>
      <c r="F143" s="14">
        <v>1</v>
      </c>
      <c r="G143" s="14"/>
      <c r="H143" s="8" t="str">
        <f ca="1">IF(RAND()&lt;0.25,
    "",
    IF($E143=0,
       CHOOSE(MATCH(RAND(),{0,0.2,0.4,0.6,0.7,0.8,0.85,0.9,0.95,1}),"B-354","B-386","B-4354","B-347","B-357","B-3471","B-34715","B-3571","B-35715"),
       IF($G143=24,
          "B-386",
          IF($G143=12,
             CHOOSE(MATCH(RAND(),{0,0.32,0.49,0.66,0.74,0.82,0.9,1}),"B-386","B-347","B-357","B-3471","B-34715","B-3571","B-35715"),
             "")
)))</f>
        <v/>
      </c>
      <c r="I143" s="8" t="str">
        <f t="shared" ca="1" si="13"/>
        <v/>
      </c>
      <c r="J143">
        <f t="shared" ca="1" si="10"/>
        <v>19.75</v>
      </c>
      <c r="K143">
        <f t="shared" ca="1" si="11"/>
        <v>52.5</v>
      </c>
      <c r="L143" s="14">
        <f t="shared" ca="1" si="12"/>
        <v>3.375</v>
      </c>
      <c r="M143" s="14">
        <f t="shared" ca="1" si="14"/>
        <v>1</v>
      </c>
    </row>
    <row r="144" spans="2:13">
      <c r="B144" s="14" t="s">
        <v>156</v>
      </c>
      <c r="C144" s="14">
        <v>1</v>
      </c>
      <c r="D144" s="14">
        <v>0</v>
      </c>
      <c r="E144" s="14">
        <v>0</v>
      </c>
      <c r="F144" s="14"/>
      <c r="G144" s="14"/>
      <c r="H144" s="8" t="str">
        <f ca="1">IF(RAND()&lt;0.25,
    "",
    IF($E144=0,
       CHOOSE(MATCH(RAND(),{0,0.2,0.4,0.6,0.7,0.8,0.85,0.9,0.95,1}),"B-354","B-386","B-4354","B-347","B-357","B-3471","B-34715","B-3571","B-35715"),
       IF($G144=24,
          "B-386",
          IF($G144=12,
             CHOOSE(MATCH(RAND(),{0,0.32,0.49,0.66,0.74,0.82,0.9,1}),"B-386","B-347","B-357","B-3471","B-34715","B-3571","B-35715"),
             "")
)))</f>
        <v/>
      </c>
      <c r="I144" s="8" t="str">
        <f t="shared" ca="1" si="13"/>
        <v/>
      </c>
      <c r="J144">
        <f t="shared" ca="1" si="10"/>
        <v>25.9375</v>
      </c>
      <c r="K144">
        <f t="shared" ca="1" si="11"/>
        <v>46.1875</v>
      </c>
      <c r="L144" s="14">
        <f t="shared" ca="1" si="12"/>
        <v>1</v>
      </c>
      <c r="M144" s="14">
        <f t="shared" ca="1" si="14"/>
        <v>4.6875</v>
      </c>
    </row>
    <row r="145" spans="2:13" hidden="1">
      <c r="B145" s="14" t="s">
        <v>156</v>
      </c>
      <c r="C145" s="14">
        <v>1</v>
      </c>
      <c r="D145" s="14">
        <v>0</v>
      </c>
      <c r="E145" s="14">
        <v>1</v>
      </c>
      <c r="F145" s="14">
        <v>0</v>
      </c>
      <c r="G145" s="14">
        <v>12</v>
      </c>
      <c r="H145" s="8" t="str">
        <f ca="1">IF(RAND()&lt;0.25,
    "",
    IF($E145=0,
       CHOOSE(MATCH(RAND(),{0,0.2,0.4,0.6,0.7,0.8,0.85,0.9,0.95,1}),"B-354","B-386","B-4354","B-347","B-357","B-3471","B-34715","B-3571","B-35715"),
       IF($G145=24,
          "B-386",
          IF($G145=12,
             CHOOSE(MATCH(RAND(),{0,0.32,0.49,0.66,0.74,0.82,0.9,1}),"B-386","B-347","B-357","B-3471","B-34715","B-3571","B-35715"),
             "")
)))</f>
        <v>B-357</v>
      </c>
      <c r="I145" s="8" t="str">
        <f t="shared" ca="1" si="13"/>
        <v/>
      </c>
      <c r="J145">
        <f t="shared" ca="1" si="10"/>
        <v>10.375</v>
      </c>
      <c r="K145">
        <f t="shared" ca="1" si="11"/>
        <v>65.75</v>
      </c>
      <c r="L145" s="14">
        <f t="shared" ca="1" si="12"/>
        <v>6.875</v>
      </c>
      <c r="M145" s="14">
        <f t="shared" ca="1" si="14"/>
        <v>1</v>
      </c>
    </row>
    <row r="146" spans="2:13" hidden="1">
      <c r="B146" s="14" t="s">
        <v>156</v>
      </c>
      <c r="C146" s="14">
        <v>1</v>
      </c>
      <c r="D146" s="14">
        <v>0</v>
      </c>
      <c r="E146" s="14">
        <v>1</v>
      </c>
      <c r="F146" s="14">
        <v>0</v>
      </c>
      <c r="G146" s="14">
        <v>24</v>
      </c>
      <c r="H146" s="8" t="str">
        <f ca="1">IF(RAND()&lt;0.25,
    "",
    IF($E146=0,
       CHOOSE(MATCH(RAND(),{0,0.2,0.4,0.6,0.7,0.8,0.85,0.9,0.95,1}),"B-354","B-386","B-4354","B-347","B-357","B-3471","B-34715","B-3571","B-35715"),
       IF($G146=24,
          "B-386",
          IF($G146=12,
             CHOOSE(MATCH(RAND(),{0,0.32,0.49,0.66,0.74,0.82,0.9,1}),"B-386","B-347","B-357","B-3471","B-34715","B-3571","B-35715"),
             "")
)))</f>
        <v>B-386</v>
      </c>
      <c r="I146" s="8" t="str">
        <f t="shared" ca="1" si="13"/>
        <v/>
      </c>
      <c r="J146">
        <f t="shared" ca="1" si="10"/>
        <v>20.5</v>
      </c>
      <c r="K146">
        <f t="shared" ca="1" si="11"/>
        <v>76.5625</v>
      </c>
      <c r="L146" s="14">
        <f t="shared" ca="1" si="12"/>
        <v>12</v>
      </c>
      <c r="M146" s="14">
        <f t="shared" ca="1" si="14"/>
        <v>1.1875</v>
      </c>
    </row>
    <row r="147" spans="2:13" hidden="1">
      <c r="B147" s="14" t="s">
        <v>156</v>
      </c>
      <c r="C147" s="14">
        <v>1</v>
      </c>
      <c r="D147" s="14">
        <v>0</v>
      </c>
      <c r="E147" s="14">
        <v>1</v>
      </c>
      <c r="F147" s="14">
        <v>0</v>
      </c>
      <c r="G147" s="14"/>
      <c r="H147" s="8" t="str">
        <f ca="1">IF(RAND()&lt;0.25,
    "",
    IF($E147=0,
       CHOOSE(MATCH(RAND(),{0,0.2,0.4,0.6,0.7,0.8,0.85,0.9,0.95,1}),"B-354","B-386","B-4354","B-347","B-357","B-3471","B-34715","B-3571","B-35715"),
       IF($G147=24,
          "B-386",
          IF($G147=12,
             CHOOSE(MATCH(RAND(),{0,0.32,0.49,0.66,0.74,0.82,0.9,1}),"B-386","B-347","B-357","B-3471","B-34715","B-3571","B-35715"),
             "")
)))</f>
        <v/>
      </c>
      <c r="I147" s="8" t="str">
        <f t="shared" ca="1" si="13"/>
        <v/>
      </c>
      <c r="J147">
        <f t="shared" ca="1" si="10"/>
        <v>13.4375</v>
      </c>
      <c r="K147">
        <f t="shared" ca="1" si="11"/>
        <v>53.0625</v>
      </c>
      <c r="L147" s="14">
        <f t="shared" ca="1" si="12"/>
        <v>7.0625</v>
      </c>
      <c r="M147" s="14" t="str">
        <f t="shared" ca="1" si="14"/>
        <v/>
      </c>
    </row>
    <row r="148" spans="2:13" hidden="1">
      <c r="B148" s="14" t="s">
        <v>156</v>
      </c>
      <c r="C148" s="14">
        <v>1</v>
      </c>
      <c r="D148" s="14">
        <v>0</v>
      </c>
      <c r="E148" s="14">
        <v>1</v>
      </c>
      <c r="F148" s="14">
        <v>1</v>
      </c>
      <c r="G148" s="14"/>
      <c r="H148" s="8" t="str">
        <f ca="1">IF(RAND()&lt;0.25,
    "",
    IF($E148=0,
       CHOOSE(MATCH(RAND(),{0,0.2,0.4,0.6,0.7,0.8,0.85,0.9,0.95,1}),"B-354","B-386","B-4354","B-347","B-357","B-3471","B-34715","B-3571","B-35715"),
       IF($G148=24,
          "B-386",
          IF($G148=12,
             CHOOSE(MATCH(RAND(),{0,0.32,0.49,0.66,0.74,0.82,0.9,1}),"B-386","B-347","B-357","B-3471","B-34715","B-3571","B-35715"),
             "")
)))</f>
        <v/>
      </c>
      <c r="I148" s="8" t="str">
        <f t="shared" ca="1" si="13"/>
        <v/>
      </c>
      <c r="J148">
        <f t="shared" ca="1" si="10"/>
        <v>40.4375</v>
      </c>
      <c r="K148">
        <f t="shared" ca="1" si="11"/>
        <v>31.125</v>
      </c>
      <c r="L148" s="14">
        <f t="shared" ca="1" si="12"/>
        <v>4.5</v>
      </c>
      <c r="M148" s="14">
        <f t="shared" ca="1" si="14"/>
        <v>6.875</v>
      </c>
    </row>
    <row r="149" spans="2:13" hidden="1">
      <c r="B149" s="14" t="s">
        <v>156</v>
      </c>
      <c r="C149" s="14">
        <v>1</v>
      </c>
      <c r="D149" s="14">
        <v>1</v>
      </c>
      <c r="E149" s="14">
        <v>0</v>
      </c>
      <c r="F149" s="14"/>
      <c r="G149" s="14"/>
      <c r="H149" s="8" t="str">
        <f ca="1">IF(RAND()&lt;0.25,
    "",
    IF($E149=0,
       CHOOSE(MATCH(RAND(),{0,0.2,0.4,0.6,0.7,0.8,0.85,0.9,0.95,1}),"B-354","B-386","B-4354","B-347","B-357","B-3471","B-34715","B-3571","B-35715"),
       IF($G149=24,
          "B-386",
          IF($G149=12,
             CHOOSE(MATCH(RAND(),{0,0.32,0.49,0.66,0.74,0.82,0.9,1}),"B-386","B-347","B-357","B-3471","B-34715","B-3571","B-35715"),
             "")
)))</f>
        <v>B-347</v>
      </c>
      <c r="I149" s="8" t="str">
        <f t="shared" ca="1" si="13"/>
        <v/>
      </c>
      <c r="J149">
        <f t="shared" ca="1" si="10"/>
        <v>49.0625</v>
      </c>
      <c r="K149">
        <f t="shared" ca="1" si="11"/>
        <v>74.125</v>
      </c>
      <c r="L149" s="14">
        <f t="shared" ca="1" si="12"/>
        <v>9</v>
      </c>
      <c r="M149" s="14">
        <f t="shared" ca="1" si="14"/>
        <v>1</v>
      </c>
    </row>
    <row r="150" spans="2:13" hidden="1">
      <c r="B150" s="14" t="s">
        <v>156</v>
      </c>
      <c r="C150" s="14">
        <v>1</v>
      </c>
      <c r="D150" s="14">
        <v>1</v>
      </c>
      <c r="E150" s="14">
        <v>1</v>
      </c>
      <c r="F150" s="14">
        <v>0</v>
      </c>
      <c r="G150" s="14">
        <v>12</v>
      </c>
      <c r="H150" s="8" t="str">
        <f ca="1">IF(RAND()&lt;0.25,
    "",
    IF($E150=0,
       CHOOSE(MATCH(RAND(),{0,0.2,0.4,0.6,0.7,0.8,0.85,0.9,0.95,1}),"B-354","B-386","B-4354","B-347","B-357","B-3471","B-34715","B-3571","B-35715"),
       IF($G150=24,
          "B-386",
          IF($G150=12,
             CHOOSE(MATCH(RAND(),{0,0.32,0.49,0.66,0.74,0.82,0.9,1}),"B-386","B-347","B-357","B-3471","B-34715","B-3571","B-35715"),
             "")
)))</f>
        <v/>
      </c>
      <c r="I150" s="8" t="str">
        <f t="shared" ca="1" si="13"/>
        <v/>
      </c>
      <c r="J150">
        <f t="shared" ca="1" si="10"/>
        <v>36.3125</v>
      </c>
      <c r="K150">
        <f t="shared" ca="1" si="11"/>
        <v>53.5</v>
      </c>
      <c r="L150" s="14">
        <f t="shared" ca="1" si="12"/>
        <v>9</v>
      </c>
      <c r="M150" s="14">
        <f t="shared" ca="1" si="14"/>
        <v>1</v>
      </c>
    </row>
    <row r="151" spans="2:13">
      <c r="B151" s="14" t="s">
        <v>156</v>
      </c>
      <c r="C151" s="14">
        <v>1</v>
      </c>
      <c r="D151" s="14">
        <v>1</v>
      </c>
      <c r="E151" s="14">
        <v>1</v>
      </c>
      <c r="F151" s="14">
        <v>0</v>
      </c>
      <c r="G151" s="14">
        <v>24</v>
      </c>
      <c r="H151" s="8" t="str">
        <f ca="1">IF(RAND()&lt;0.25,
    "",
    IF($E151=0,
       CHOOSE(MATCH(RAND(),{0,0.2,0.4,0.6,0.7,0.8,0.85,0.9,0.95,1}),"B-354","B-386","B-4354","B-347","B-357","B-3471","B-34715","B-3571","B-35715"),
       IF($G151=24,
          "B-386",
          IF($G151=12,
             CHOOSE(MATCH(RAND(),{0,0.32,0.49,0.66,0.74,0.82,0.9,1}),"B-386","B-347","B-357","B-3471","B-34715","B-3571","B-35715"),
             "")
)))</f>
        <v>B-386</v>
      </c>
      <c r="I151" s="8" t="str">
        <f t="shared" ca="1" si="13"/>
        <v/>
      </c>
      <c r="J151">
        <f t="shared" ca="1" si="10"/>
        <v>30.1875</v>
      </c>
      <c r="K151">
        <f t="shared" ca="1" si="11"/>
        <v>54.375</v>
      </c>
      <c r="L151" s="14">
        <f t="shared" ca="1" si="12"/>
        <v>9</v>
      </c>
      <c r="M151" s="14">
        <f t="shared" ca="1" si="14"/>
        <v>4.875</v>
      </c>
    </row>
    <row r="152" spans="2:13" hidden="1">
      <c r="B152" s="14" t="s">
        <v>156</v>
      </c>
      <c r="C152" s="14">
        <v>1</v>
      </c>
      <c r="D152" s="14">
        <v>1</v>
      </c>
      <c r="E152" s="14">
        <v>1</v>
      </c>
      <c r="F152" s="14">
        <v>0</v>
      </c>
      <c r="G152" s="14"/>
      <c r="H152" s="8" t="str">
        <f ca="1">IF(RAND()&lt;0.25,
    "",
    IF($E152=0,
       CHOOSE(MATCH(RAND(),{0,0.2,0.4,0.6,0.7,0.8,0.85,0.9,0.95,1}),"B-354","B-386","B-4354","B-347","B-357","B-3471","B-34715","B-3571","B-35715"),
       IF($G152=24,
          "B-386",
          IF($G152=12,
             CHOOSE(MATCH(RAND(),{0,0.32,0.49,0.66,0.74,0.82,0.9,1}),"B-386","B-347","B-357","B-3471","B-34715","B-3571","B-35715"),
             "")
)))</f>
        <v/>
      </c>
      <c r="I152" s="8" t="str">
        <f t="shared" ca="1" si="13"/>
        <v/>
      </c>
      <c r="J152">
        <f t="shared" ca="1" si="10"/>
        <v>16.5</v>
      </c>
      <c r="K152">
        <f t="shared" ca="1" si="11"/>
        <v>38.875</v>
      </c>
      <c r="L152" s="14">
        <f t="shared" ca="1" si="12"/>
        <v>1</v>
      </c>
      <c r="M152" s="14">
        <f t="shared" ca="1" si="14"/>
        <v>4.125</v>
      </c>
    </row>
    <row r="153" spans="2:13" hidden="1">
      <c r="B153" s="14" t="s">
        <v>156</v>
      </c>
      <c r="C153" s="14">
        <v>1</v>
      </c>
      <c r="D153" s="14">
        <v>1</v>
      </c>
      <c r="E153" s="14">
        <v>1</v>
      </c>
      <c r="F153" s="14">
        <v>1</v>
      </c>
      <c r="G153" s="14"/>
      <c r="H153" s="8" t="str">
        <f ca="1">IF(RAND()&lt;0.25,
    "",
    IF($E153=0,
       CHOOSE(MATCH(RAND(),{0,0.2,0.4,0.6,0.7,0.8,0.85,0.9,0.95,1}),"B-354","B-386","B-4354","B-347","B-357","B-3471","B-34715","B-3571","B-35715"),
       IF($G153=24,
          "B-386",
          IF($G153=12,
             CHOOSE(MATCH(RAND(),{0,0.32,0.49,0.66,0.74,0.82,0.9,1}),"B-386","B-347","B-357","B-3471","B-34715","B-3571","B-35715"),
             "")
)))</f>
        <v/>
      </c>
      <c r="I153" s="8" t="str">
        <f t="shared" ca="1" si="13"/>
        <v/>
      </c>
      <c r="J153">
        <f t="shared" ca="1" si="10"/>
        <v>37.8125</v>
      </c>
      <c r="K153">
        <f t="shared" ca="1" si="11"/>
        <v>34.6875</v>
      </c>
      <c r="L153" s="14">
        <f t="shared" ca="1" si="12"/>
        <v>4.5</v>
      </c>
      <c r="M153" s="14" t="str">
        <f t="shared" ca="1" si="14"/>
        <v/>
      </c>
    </row>
    <row r="154" spans="2:13">
      <c r="B154" s="14" t="s">
        <v>157</v>
      </c>
      <c r="C154" s="14">
        <v>0</v>
      </c>
      <c r="D154" s="14"/>
      <c r="E154" s="14">
        <v>0</v>
      </c>
      <c r="F154" s="14"/>
      <c r="G154" s="14"/>
      <c r="H154" s="8" t="str">
        <f ca="1">IF(RAND()&lt;0.25,
    "",
    IF($E154=0,
       CHOOSE(MATCH(RAND(),{0,0.2,0.4,0.6,0.7,0.8,0.85,0.9,0.95,1}),"B-354","B-386","B-4354","B-347","B-357","B-3471","B-34715","B-3571","B-35715"),
       IF($G154=24,
          "B-386",
          IF($G154=12,
             CHOOSE(MATCH(RAND(),{0,0.32,0.49,0.66,0.74,0.82,0.9,1}),"B-386","B-347","B-357","B-3471","B-34715","B-3571","B-35715"),
             "")
)))</f>
        <v>B-386</v>
      </c>
      <c r="I154" s="8" t="str">
        <f t="shared" ca="1" si="13"/>
        <v/>
      </c>
      <c r="J154">
        <f t="shared" ca="1" si="10"/>
        <v>60</v>
      </c>
      <c r="K154">
        <f t="shared" ca="1" si="11"/>
        <v>58.8125</v>
      </c>
      <c r="L154" s="14">
        <f t="shared" ca="1" si="12"/>
        <v>1</v>
      </c>
      <c r="M154" s="14">
        <f t="shared" ca="1" si="14"/>
        <v>2.4375</v>
      </c>
    </row>
    <row r="155" spans="2:13">
      <c r="B155" s="14" t="s">
        <v>157</v>
      </c>
      <c r="C155" s="14">
        <v>0</v>
      </c>
      <c r="D155" s="14"/>
      <c r="E155" s="14">
        <v>1</v>
      </c>
      <c r="F155" s="14">
        <v>0</v>
      </c>
      <c r="G155" s="14">
        <v>12</v>
      </c>
      <c r="H155" s="8" t="str">
        <f ca="1">IF(RAND()&lt;0.25,
    "",
    IF($E155=0,
       CHOOSE(MATCH(RAND(),{0,0.2,0.4,0.6,0.7,0.8,0.85,0.9,0.95,1}),"B-354","B-386","B-4354","B-347","B-357","B-3471","B-34715","B-3571","B-35715"),
       IF($G155=24,
          "B-386",
          IF($G155=12,
             CHOOSE(MATCH(RAND(),{0,0.32,0.49,0.66,0.74,0.82,0.9,1}),"B-386","B-347","B-357","B-3471","B-34715","B-3571","B-35715"),
             "")
)))</f>
        <v>B-347</v>
      </c>
      <c r="I155" s="8" t="str">
        <f t="shared" ca="1" si="13"/>
        <v/>
      </c>
      <c r="J155">
        <f t="shared" ca="1" si="10"/>
        <v>60</v>
      </c>
      <c r="K155">
        <f t="shared" ca="1" si="11"/>
        <v>54.6875</v>
      </c>
      <c r="L155" s="14">
        <f t="shared" ca="1" si="12"/>
        <v>10.625</v>
      </c>
      <c r="M155" s="14" t="str">
        <f t="shared" ca="1" si="14"/>
        <v/>
      </c>
    </row>
    <row r="156" spans="2:13">
      <c r="B156" s="14" t="s">
        <v>157</v>
      </c>
      <c r="C156" s="14">
        <v>0</v>
      </c>
      <c r="D156" s="14"/>
      <c r="E156" s="14">
        <v>1</v>
      </c>
      <c r="F156" s="14">
        <v>0</v>
      </c>
      <c r="G156" s="14">
        <v>24</v>
      </c>
      <c r="H156" s="8" t="str">
        <f ca="1">IF(RAND()&lt;0.25,
    "",
    IF($E156=0,
       CHOOSE(MATCH(RAND(),{0,0.2,0.4,0.6,0.7,0.8,0.85,0.9,0.95,1}),"B-354","B-386","B-4354","B-347","B-357","B-3471","B-34715","B-3571","B-35715"),
       IF($G156=24,
          "B-386",
          IF($G156=12,
             CHOOSE(MATCH(RAND(),{0,0.32,0.49,0.66,0.74,0.82,0.9,1}),"B-386","B-347","B-357","B-3471","B-34715","B-3571","B-35715"),
             "")
)))</f>
        <v/>
      </c>
      <c r="I156" s="8" t="str">
        <f t="shared" ca="1" si="13"/>
        <v/>
      </c>
      <c r="J156">
        <f t="shared" ca="1" si="10"/>
        <v>60</v>
      </c>
      <c r="K156">
        <f t="shared" ca="1" si="11"/>
        <v>16</v>
      </c>
      <c r="L156" s="14">
        <f t="shared" ca="1" si="12"/>
        <v>1.5625</v>
      </c>
      <c r="M156" s="14">
        <f t="shared" ca="1" si="14"/>
        <v>4.0625</v>
      </c>
    </row>
    <row r="157" spans="2:13" hidden="1">
      <c r="B157" s="14" t="s">
        <v>157</v>
      </c>
      <c r="C157" s="14">
        <v>0</v>
      </c>
      <c r="D157" s="14"/>
      <c r="E157" s="14">
        <v>1</v>
      </c>
      <c r="F157" s="14">
        <v>0</v>
      </c>
      <c r="G157" s="14"/>
      <c r="H157" s="8" t="str">
        <f ca="1">IF(RAND()&lt;0.25,
    "",
    IF($E157=0,
       CHOOSE(MATCH(RAND(),{0,0.2,0.4,0.6,0.7,0.8,0.85,0.9,0.95,1}),"B-354","B-386","B-4354","B-347","B-357","B-3471","B-34715","B-3571","B-35715"),
       IF($G157=24,
          "B-386",
          IF($G157=12,
             CHOOSE(MATCH(RAND(),{0,0.32,0.49,0.66,0.74,0.82,0.9,1}),"B-386","B-347","B-357","B-3471","B-34715","B-3571","B-35715"),
             "")
)))</f>
        <v/>
      </c>
      <c r="I157" s="8" t="str">
        <f t="shared" ca="1" si="13"/>
        <v/>
      </c>
      <c r="J157">
        <f t="shared" ca="1" si="10"/>
        <v>60</v>
      </c>
      <c r="K157">
        <f t="shared" ca="1" si="11"/>
        <v>23.8125</v>
      </c>
      <c r="L157" s="14">
        <f t="shared" ca="1" si="12"/>
        <v>1</v>
      </c>
      <c r="M157" s="14">
        <f t="shared" ca="1" si="14"/>
        <v>1</v>
      </c>
    </row>
    <row r="158" spans="2:13" hidden="1">
      <c r="B158" s="14" t="s">
        <v>157</v>
      </c>
      <c r="C158" s="14">
        <v>0</v>
      </c>
      <c r="D158" s="14"/>
      <c r="E158" s="14">
        <v>1</v>
      </c>
      <c r="F158" s="14">
        <v>1</v>
      </c>
      <c r="G158" s="14"/>
      <c r="H158" s="8" t="str">
        <f ca="1">IF(RAND()&lt;0.25,
    "",
    IF($E158=0,
       CHOOSE(MATCH(RAND(),{0,0.2,0.4,0.6,0.7,0.8,0.85,0.9,0.95,1}),"B-354","B-386","B-4354","B-347","B-357","B-3471","B-34715","B-3571","B-35715"),
       IF($G158=24,
          "B-386",
          IF($G158=12,
             CHOOSE(MATCH(RAND(),{0,0.32,0.49,0.66,0.74,0.82,0.9,1}),"B-386","B-347","B-357","B-3471","B-34715","B-3571","B-35715"),
             "")
)))</f>
        <v/>
      </c>
      <c r="I158" s="8" t="str">
        <f t="shared" ca="1" si="13"/>
        <v/>
      </c>
      <c r="J158">
        <f t="shared" ca="1" si="10"/>
        <v>60</v>
      </c>
      <c r="K158">
        <f t="shared" ca="1" si="11"/>
        <v>51.25</v>
      </c>
      <c r="L158" s="14">
        <f t="shared" ca="1" si="12"/>
        <v>4.5</v>
      </c>
      <c r="M158" s="14">
        <f t="shared" ca="1" si="14"/>
        <v>1</v>
      </c>
    </row>
    <row r="159" spans="2:13">
      <c r="B159" s="14" t="s">
        <v>157</v>
      </c>
      <c r="C159" s="14">
        <v>1</v>
      </c>
      <c r="D159" s="14">
        <v>0</v>
      </c>
      <c r="E159" s="14">
        <v>0</v>
      </c>
      <c r="F159" s="14"/>
      <c r="G159" s="14"/>
      <c r="H159" s="8" t="str">
        <f ca="1">IF(RAND()&lt;0.25,
    "",
    IF($E159=0,
       CHOOSE(MATCH(RAND(),{0,0.2,0.4,0.6,0.7,0.8,0.85,0.9,0.95,1}),"B-354","B-386","B-4354","B-347","B-357","B-3471","B-34715","B-3571","B-35715"),
       IF($G159=24,
          "B-386",
          IF($G159=12,
             CHOOSE(MATCH(RAND(),{0,0.32,0.49,0.66,0.74,0.82,0.9,1}),"B-386","B-347","B-357","B-3471","B-34715","B-3571","B-35715"),
             "")
)))</f>
        <v>B-3471</v>
      </c>
      <c r="I159" s="8" t="str">
        <f t="shared" ca="1" si="13"/>
        <v/>
      </c>
      <c r="J159">
        <f t="shared" ca="1" si="10"/>
        <v>60</v>
      </c>
      <c r="K159">
        <f t="shared" ca="1" si="11"/>
        <v>55.9375</v>
      </c>
      <c r="L159" s="14">
        <f t="shared" ca="1" si="12"/>
        <v>2</v>
      </c>
      <c r="M159" s="14">
        <f t="shared" ca="1" si="14"/>
        <v>3.5625</v>
      </c>
    </row>
    <row r="160" spans="2:13" hidden="1">
      <c r="B160" s="14" t="s">
        <v>157</v>
      </c>
      <c r="C160" s="14">
        <v>1</v>
      </c>
      <c r="D160" s="14">
        <v>0</v>
      </c>
      <c r="E160" s="14">
        <v>1</v>
      </c>
      <c r="F160" s="14">
        <v>0</v>
      </c>
      <c r="G160" s="14">
        <v>12</v>
      </c>
      <c r="H160" s="8" t="str">
        <f ca="1">IF(RAND()&lt;0.25,
    "",
    IF($E160=0,
       CHOOSE(MATCH(RAND(),{0,0.2,0.4,0.6,0.7,0.8,0.85,0.9,0.95,1}),"B-354","B-386","B-4354","B-347","B-357","B-3471","B-34715","B-3571","B-35715"),
       IF($G160=24,
          "B-386",
          IF($G160=12,
             CHOOSE(MATCH(RAND(),{0,0.32,0.49,0.66,0.74,0.82,0.9,1}),"B-386","B-347","B-357","B-3471","B-34715","B-3571","B-35715"),
             "")
)))</f>
        <v>B-3571</v>
      </c>
      <c r="I160" s="8" t="str">
        <f t="shared" ca="1" si="13"/>
        <v/>
      </c>
      <c r="J160">
        <f t="shared" ca="1" si="10"/>
        <v>60</v>
      </c>
      <c r="K160">
        <f t="shared" ca="1" si="11"/>
        <v>54.6875</v>
      </c>
      <c r="L160" s="14">
        <f t="shared" ca="1" si="12"/>
        <v>9</v>
      </c>
      <c r="M160" s="14">
        <f t="shared" ca="1" si="14"/>
        <v>1</v>
      </c>
    </row>
    <row r="161" spans="2:13" hidden="1">
      <c r="B161" s="14" t="s">
        <v>157</v>
      </c>
      <c r="C161" s="14">
        <v>1</v>
      </c>
      <c r="D161" s="14">
        <v>0</v>
      </c>
      <c r="E161" s="14">
        <v>1</v>
      </c>
      <c r="F161" s="14">
        <v>0</v>
      </c>
      <c r="G161" s="14">
        <v>24</v>
      </c>
      <c r="H161" s="8" t="str">
        <f ca="1">IF(RAND()&lt;0.25,
    "",
    IF($E161=0,
       CHOOSE(MATCH(RAND(),{0,0.2,0.4,0.6,0.7,0.8,0.85,0.9,0.95,1}),"B-354","B-386","B-4354","B-347","B-357","B-3471","B-34715","B-3571","B-35715"),
       IF($G161=24,
          "B-386",
          IF($G161=12,
             CHOOSE(MATCH(RAND(),{0,0.32,0.49,0.66,0.74,0.82,0.9,1}),"B-386","B-347","B-357","B-3471","B-34715","B-3571","B-35715"),
             "")
)))</f>
        <v/>
      </c>
      <c r="I161" s="8" t="str">
        <f t="shared" ca="1" si="13"/>
        <v/>
      </c>
      <c r="J161">
        <f t="shared" ca="1" si="10"/>
        <v>60</v>
      </c>
      <c r="K161">
        <f t="shared" ca="1" si="11"/>
        <v>54.125</v>
      </c>
      <c r="L161" s="14">
        <f t="shared" ca="1" si="12"/>
        <v>2.75</v>
      </c>
      <c r="M161" s="14">
        <f t="shared" ca="1" si="14"/>
        <v>1</v>
      </c>
    </row>
    <row r="162" spans="2:13" hidden="1">
      <c r="B162" s="14" t="s">
        <v>157</v>
      </c>
      <c r="C162" s="14">
        <v>1</v>
      </c>
      <c r="D162" s="14">
        <v>0</v>
      </c>
      <c r="E162" s="14">
        <v>1</v>
      </c>
      <c r="F162" s="14">
        <v>0</v>
      </c>
      <c r="G162" s="14"/>
      <c r="H162" s="8" t="str">
        <f ca="1">IF(RAND()&lt;0.25,
    "",
    IF($E162=0,
       CHOOSE(MATCH(RAND(),{0,0.2,0.4,0.6,0.7,0.8,0.85,0.9,0.95,1}),"B-354","B-386","B-4354","B-347","B-357","B-3471","B-34715","B-3571","B-35715"),
       IF($G162=24,
          "B-386",
          IF($G162=12,
             CHOOSE(MATCH(RAND(),{0,0.32,0.49,0.66,0.74,0.82,0.9,1}),"B-386","B-347","B-357","B-3471","B-34715","B-3571","B-35715"),
             "")
)))</f>
        <v/>
      </c>
      <c r="I162" s="8" t="str">
        <f t="shared" ca="1" si="13"/>
        <v/>
      </c>
      <c r="J162">
        <f t="shared" ca="1" si="10"/>
        <v>60</v>
      </c>
      <c r="K162">
        <f t="shared" ca="1" si="11"/>
        <v>32.6875</v>
      </c>
      <c r="L162" s="14">
        <f t="shared" ca="1" si="12"/>
        <v>5.875</v>
      </c>
      <c r="M162" s="14">
        <f t="shared" ca="1" si="14"/>
        <v>3.6875</v>
      </c>
    </row>
    <row r="163" spans="2:13" hidden="1">
      <c r="B163" s="14" t="s">
        <v>157</v>
      </c>
      <c r="C163" s="14">
        <v>1</v>
      </c>
      <c r="D163" s="14">
        <v>0</v>
      </c>
      <c r="E163" s="14">
        <v>1</v>
      </c>
      <c r="F163" s="14">
        <v>1</v>
      </c>
      <c r="G163" s="14"/>
      <c r="H163" s="8" t="str">
        <f ca="1">IF(RAND()&lt;0.25,
    "",
    IF($E163=0,
       CHOOSE(MATCH(RAND(),{0,0.2,0.4,0.6,0.7,0.8,0.85,0.9,0.95,1}),"B-354","B-386","B-4354","B-347","B-357","B-3471","B-34715","B-3571","B-35715"),
       IF($G163=24,
          "B-386",
          IF($G163=12,
             CHOOSE(MATCH(RAND(),{0,0.32,0.49,0.66,0.74,0.82,0.9,1}),"B-386","B-347","B-357","B-3471","B-34715","B-3571","B-35715"),
             "")
)))</f>
        <v/>
      </c>
      <c r="I163" s="8" t="str">
        <f t="shared" ca="1" si="13"/>
        <v/>
      </c>
      <c r="J163">
        <f t="shared" ca="1" si="10"/>
        <v>60</v>
      </c>
      <c r="K163">
        <f t="shared" ca="1" si="11"/>
        <v>24.375</v>
      </c>
      <c r="L163" s="14">
        <f t="shared" ca="1" si="12"/>
        <v>4.5</v>
      </c>
      <c r="M163" s="14" t="str">
        <f t="shared" ca="1" si="14"/>
        <v/>
      </c>
    </row>
    <row r="164" spans="2:13" hidden="1">
      <c r="B164" s="14" t="s">
        <v>157</v>
      </c>
      <c r="C164" s="14">
        <v>1</v>
      </c>
      <c r="D164" s="14">
        <v>1</v>
      </c>
      <c r="E164" s="14">
        <v>0</v>
      </c>
      <c r="F164" s="14"/>
      <c r="G164" s="14"/>
      <c r="H164" s="8" t="str">
        <f ca="1">IF(RAND()&lt;0.25,
    "",
    IF($E164=0,
       CHOOSE(MATCH(RAND(),{0,0.2,0.4,0.6,0.7,0.8,0.85,0.9,0.95,1}),"B-354","B-386","B-4354","B-347","B-357","B-3471","B-34715","B-3571","B-35715"),
       IF($G164=24,
          "B-386",
          IF($G164=12,
             CHOOSE(MATCH(RAND(),{0,0.32,0.49,0.66,0.74,0.82,0.9,1}),"B-386","B-347","B-357","B-3471","B-34715","B-3571","B-35715"),
             "")
)))</f>
        <v>B-354</v>
      </c>
      <c r="I164" s="8" t="str">
        <f t="shared" ca="1" si="13"/>
        <v>B-386</v>
      </c>
      <c r="J164">
        <f t="shared" ca="1" si="10"/>
        <v>60</v>
      </c>
      <c r="K164">
        <f t="shared" ca="1" si="11"/>
        <v>43.75</v>
      </c>
      <c r="L164" s="14">
        <f t="shared" ca="1" si="12"/>
        <v>1.3125</v>
      </c>
      <c r="M164" s="14">
        <f t="shared" ca="1" si="14"/>
        <v>6.4375</v>
      </c>
    </row>
    <row r="165" spans="2:13" hidden="1">
      <c r="B165" s="14" t="s">
        <v>157</v>
      </c>
      <c r="C165" s="14">
        <v>1</v>
      </c>
      <c r="D165" s="14">
        <v>1</v>
      </c>
      <c r="E165" s="14">
        <v>1</v>
      </c>
      <c r="F165" s="14">
        <v>0</v>
      </c>
      <c r="G165" s="14">
        <v>12</v>
      </c>
      <c r="H165" s="8" t="str">
        <f ca="1">IF(RAND()&lt;0.25,
    "",
    IF($E165=0,
       CHOOSE(MATCH(RAND(),{0,0.2,0.4,0.6,0.7,0.8,0.85,0.9,0.95,1}),"B-354","B-386","B-4354","B-347","B-357","B-3471","B-34715","B-3571","B-35715"),
       IF($G165=24,
          "B-386",
          IF($G165=12,
             CHOOSE(MATCH(RAND(),{0,0.32,0.49,0.66,0.74,0.82,0.9,1}),"B-386","B-347","B-357","B-3471","B-34715","B-3571","B-35715"),
             "")
)))</f>
        <v>B-347</v>
      </c>
      <c r="I165" s="8" t="str">
        <f t="shared" ca="1" si="13"/>
        <v/>
      </c>
      <c r="J165">
        <f t="shared" ca="1" si="10"/>
        <v>60</v>
      </c>
      <c r="K165">
        <f t="shared" ca="1" si="11"/>
        <v>79.625</v>
      </c>
      <c r="L165" s="14">
        <f t="shared" ca="1" si="12"/>
        <v>4.5</v>
      </c>
      <c r="M165" s="14">
        <f t="shared" ca="1" si="14"/>
        <v>4.8125</v>
      </c>
    </row>
    <row r="166" spans="2:13">
      <c r="B166" s="14" t="s">
        <v>157</v>
      </c>
      <c r="C166" s="14">
        <v>1</v>
      </c>
      <c r="D166" s="14">
        <v>1</v>
      </c>
      <c r="E166" s="14">
        <v>1</v>
      </c>
      <c r="F166" s="14">
        <v>0</v>
      </c>
      <c r="G166" s="14">
        <v>24</v>
      </c>
      <c r="H166" s="8" t="str">
        <f ca="1">IF(RAND()&lt;0.25,
    "",
    IF($E166=0,
       CHOOSE(MATCH(RAND(),{0,0.2,0.4,0.6,0.7,0.8,0.85,0.9,0.95,1}),"B-354","B-386","B-4354","B-347","B-357","B-3471","B-34715","B-3571","B-35715"),
       IF($G166=24,
          "B-386",
          IF($G166=12,
             CHOOSE(MATCH(RAND(),{0,0.32,0.49,0.66,0.74,0.82,0.9,1}),"B-386","B-347","B-357","B-3471","B-34715","B-3571","B-35715"),
             "")
)))</f>
        <v>B-386</v>
      </c>
      <c r="I166" s="8" t="str">
        <f t="shared" ca="1" si="13"/>
        <v/>
      </c>
      <c r="J166">
        <f t="shared" ca="1" si="10"/>
        <v>60</v>
      </c>
      <c r="K166">
        <f t="shared" ca="1" si="11"/>
        <v>42.1875</v>
      </c>
      <c r="L166" s="14">
        <f t="shared" ca="1" si="12"/>
        <v>4.5</v>
      </c>
      <c r="M166" s="14" t="str">
        <f t="shared" ca="1" si="14"/>
        <v/>
      </c>
    </row>
    <row r="167" spans="2:13" hidden="1">
      <c r="B167" s="14" t="s">
        <v>157</v>
      </c>
      <c r="C167" s="14">
        <v>1</v>
      </c>
      <c r="D167" s="14">
        <v>1</v>
      </c>
      <c r="E167" s="14">
        <v>1</v>
      </c>
      <c r="F167" s="14">
        <v>0</v>
      </c>
      <c r="G167" s="14"/>
      <c r="H167" s="8" t="str">
        <f ca="1">IF(RAND()&lt;0.25,
    "",
    IF($E167=0,
       CHOOSE(MATCH(RAND(),{0,0.2,0.4,0.6,0.7,0.8,0.85,0.9,0.95,1}),"B-354","B-386","B-4354","B-347","B-357","B-3471","B-34715","B-3571","B-35715"),
       IF($G167=24,
          "B-386",
          IF($G167=12,
             CHOOSE(MATCH(RAND(),{0,0.32,0.49,0.66,0.74,0.82,0.9,1}),"B-386","B-347","B-357","B-3471","B-34715","B-3571","B-35715"),
             "")
)))</f>
        <v/>
      </c>
      <c r="I167" s="8" t="str">
        <f t="shared" ca="1" si="13"/>
        <v/>
      </c>
      <c r="J167">
        <f t="shared" ca="1" si="10"/>
        <v>60</v>
      </c>
      <c r="K167">
        <f t="shared" ca="1" si="11"/>
        <v>76.6875</v>
      </c>
      <c r="L167" s="14">
        <f t="shared" ca="1" si="12"/>
        <v>3.875</v>
      </c>
      <c r="M167" s="14">
        <f t="shared" ca="1" si="14"/>
        <v>1.0625</v>
      </c>
    </row>
    <row r="168" spans="2:13" hidden="1">
      <c r="B168" s="14" t="s">
        <v>157</v>
      </c>
      <c r="C168" s="14">
        <v>1</v>
      </c>
      <c r="D168" s="14">
        <v>1</v>
      </c>
      <c r="E168" s="14">
        <v>1</v>
      </c>
      <c r="F168" s="14">
        <v>1</v>
      </c>
      <c r="G168" s="14"/>
      <c r="H168" s="8" t="str">
        <f ca="1">IF(RAND()&lt;0.25,
    "",
    IF($E168=0,
       CHOOSE(MATCH(RAND(),{0,0.2,0.4,0.6,0.7,0.8,0.85,0.9,0.95,1}),"B-354","B-386","B-4354","B-347","B-357","B-3471","B-34715","B-3571","B-35715"),
       IF($G168=24,
          "B-386",
          IF($G168=12,
             CHOOSE(MATCH(RAND(),{0,0.32,0.49,0.66,0.74,0.82,0.9,1}),"B-386","B-347","B-357","B-3471","B-34715","B-3571","B-35715"),
             "")
)))</f>
        <v/>
      </c>
      <c r="I168" s="8" t="str">
        <f t="shared" ca="1" si="13"/>
        <v/>
      </c>
      <c r="J168">
        <f t="shared" ca="1" si="10"/>
        <v>60</v>
      </c>
      <c r="K168">
        <f t="shared" ca="1" si="11"/>
        <v>8</v>
      </c>
      <c r="L168" s="14">
        <f t="shared" ca="1" si="12"/>
        <v>4.5</v>
      </c>
      <c r="M168" s="14">
        <f t="shared" ca="1" si="14"/>
        <v>1</v>
      </c>
    </row>
    <row r="169" spans="2:13">
      <c r="B169" s="14" t="s">
        <v>21</v>
      </c>
      <c r="C169" s="14">
        <v>0</v>
      </c>
      <c r="D169" s="14"/>
      <c r="E169" s="14">
        <v>0</v>
      </c>
      <c r="F169" s="14"/>
      <c r="G169" s="14"/>
      <c r="H169" s="8" t="str">
        <f ca="1">IF(RAND()&lt;0.25,
    "",
    IF($E169=0,
       CHOOSE(MATCH(RAND(),{0,0.2,0.4,0.6,0.7,0.8,0.85,0.9,0.95,1}),"B-354","B-386","B-4354","B-347","B-357","B-3471","B-34715","B-3571","B-35715"),
       IF($G169=24,
          "B-386",
          IF($G169=12,
             CHOOSE(MATCH(RAND(),{0,0.32,0.49,0.66,0.74,0.82,0.9,1}),"B-386","B-347","B-357","B-3471","B-34715","B-3571","B-35715"),
             "")
)))</f>
        <v/>
      </c>
      <c r="I169" s="8" t="str">
        <f t="shared" ca="1" si="13"/>
        <v/>
      </c>
      <c r="J169">
        <f t="shared" ca="1" si="10"/>
        <v>96</v>
      </c>
      <c r="K169">
        <f t="shared" ca="1" si="11"/>
        <v>46.75</v>
      </c>
      <c r="L169" s="14">
        <f t="shared" ca="1" si="12"/>
        <v>1</v>
      </c>
      <c r="M169" s="14">
        <f t="shared" ca="1" si="14"/>
        <v>5.6875</v>
      </c>
    </row>
    <row r="170" spans="2:13">
      <c r="B170" s="14" t="s">
        <v>21</v>
      </c>
      <c r="C170" s="14">
        <v>0</v>
      </c>
      <c r="D170" s="14"/>
      <c r="E170" s="14">
        <v>1</v>
      </c>
      <c r="F170" s="14">
        <v>0</v>
      </c>
      <c r="G170" s="14">
        <v>12</v>
      </c>
      <c r="H170" s="8" t="str">
        <f ca="1">IF(RAND()&lt;0.25,
    "",
    IF($E170=0,
       CHOOSE(MATCH(RAND(),{0,0.2,0.4,0.6,0.7,0.8,0.85,0.9,0.95,1}),"B-354","B-386","B-4354","B-347","B-357","B-3471","B-34715","B-3571","B-35715"),
       IF($G170=24,
          "B-386",
          IF($G170=12,
             CHOOSE(MATCH(RAND(),{0,0.32,0.49,0.66,0.74,0.82,0.9,1}),"B-386","B-347","B-357","B-3471","B-34715","B-3571","B-35715"),
             "")
)))</f>
        <v/>
      </c>
      <c r="I170" s="8" t="str">
        <f t="shared" ca="1" si="13"/>
        <v/>
      </c>
      <c r="J170">
        <f t="shared" ca="1" si="10"/>
        <v>61.75</v>
      </c>
      <c r="K170">
        <f t="shared" ca="1" si="11"/>
        <v>5.375</v>
      </c>
      <c r="L170" s="14">
        <f t="shared" ca="1" si="12"/>
        <v>12</v>
      </c>
      <c r="M170" s="14">
        <f t="shared" ca="1" si="14"/>
        <v>6.5625</v>
      </c>
    </row>
    <row r="171" spans="2:13">
      <c r="B171" s="14" t="s">
        <v>21</v>
      </c>
      <c r="C171" s="14">
        <v>0</v>
      </c>
      <c r="D171" s="14"/>
      <c r="E171" s="14">
        <v>1</v>
      </c>
      <c r="F171" s="14">
        <v>0</v>
      </c>
      <c r="G171" s="14">
        <v>24</v>
      </c>
      <c r="H171" s="8" t="str">
        <f ca="1">IF(RAND()&lt;0.25,
    "",
    IF($E171=0,
       CHOOSE(MATCH(RAND(),{0,0.2,0.4,0.6,0.7,0.8,0.85,0.9,0.95,1}),"B-354","B-386","B-4354","B-347","B-357","B-3471","B-34715","B-3571","B-35715"),
       IF($G171=24,
          "B-386",
          IF($G171=12,
             CHOOSE(MATCH(RAND(),{0,0.32,0.49,0.66,0.74,0.82,0.9,1}),"B-386","B-347","B-357","B-3471","B-34715","B-3571","B-35715"),
             "")
)))</f>
        <v>B-386</v>
      </c>
      <c r="I171" s="8" t="str">
        <f t="shared" ca="1" si="13"/>
        <v/>
      </c>
      <c r="J171">
        <f t="shared" ca="1" si="10"/>
        <v>40</v>
      </c>
      <c r="K171">
        <f t="shared" ca="1" si="11"/>
        <v>71.3125</v>
      </c>
      <c r="L171" s="14">
        <f t="shared" ca="1" si="12"/>
        <v>9</v>
      </c>
      <c r="M171" s="14">
        <f t="shared" ca="1" si="14"/>
        <v>7.0625</v>
      </c>
    </row>
    <row r="172" spans="2:13" hidden="1">
      <c r="B172" s="14" t="s">
        <v>21</v>
      </c>
      <c r="C172" s="14">
        <v>0</v>
      </c>
      <c r="D172" s="14"/>
      <c r="E172" s="14">
        <v>1</v>
      </c>
      <c r="F172" s="14">
        <v>0</v>
      </c>
      <c r="G172" s="14"/>
      <c r="H172" s="8" t="str">
        <f ca="1">IF(RAND()&lt;0.25,
    "",
    IF($E172=0,
       CHOOSE(MATCH(RAND(),{0,0.2,0.4,0.6,0.7,0.8,0.85,0.9,0.95,1}),"B-354","B-386","B-4354","B-347","B-357","B-3471","B-34715","B-3571","B-35715"),
       IF($G172=24,
          "B-386",
          IF($G172=12,
             CHOOSE(MATCH(RAND(),{0,0.32,0.49,0.66,0.74,0.82,0.9,1}),"B-386","B-347","B-357","B-3471","B-34715","B-3571","B-35715"),
             "")
)))</f>
        <v/>
      </c>
      <c r="I172" s="8" t="str">
        <f t="shared" ca="1" si="13"/>
        <v/>
      </c>
      <c r="J172">
        <f t="shared" ca="1" si="10"/>
        <v>87.5</v>
      </c>
      <c r="K172">
        <f t="shared" ca="1" si="11"/>
        <v>16.8125</v>
      </c>
      <c r="L172" s="14">
        <f t="shared" ca="1" si="12"/>
        <v>3.875</v>
      </c>
      <c r="M172" s="14" t="str">
        <f t="shared" ca="1" si="14"/>
        <v/>
      </c>
    </row>
    <row r="173" spans="2:13" hidden="1">
      <c r="B173" s="14" t="s">
        <v>21</v>
      </c>
      <c r="C173" s="14">
        <v>0</v>
      </c>
      <c r="D173" s="14"/>
      <c r="E173" s="14">
        <v>1</v>
      </c>
      <c r="F173" s="14">
        <v>1</v>
      </c>
      <c r="G173" s="14"/>
      <c r="H173" s="8" t="str">
        <f ca="1">IF(RAND()&lt;0.25,
    "",
    IF($E173=0,
       CHOOSE(MATCH(RAND(),{0,0.2,0.4,0.6,0.7,0.8,0.85,0.9,0.95,1}),"B-354","B-386","B-4354","B-347","B-357","B-3471","B-34715","B-3571","B-35715"),
       IF($G173=24,
          "B-386",
          IF($G173=12,
             CHOOSE(MATCH(RAND(),{0,0.32,0.49,0.66,0.74,0.82,0.9,1}),"B-386","B-347","B-357","B-3471","B-34715","B-3571","B-35715"),
             "")
)))</f>
        <v/>
      </c>
      <c r="I173" s="8" t="str">
        <f t="shared" ca="1" si="13"/>
        <v/>
      </c>
      <c r="J173">
        <f t="shared" ca="1" si="10"/>
        <v>96</v>
      </c>
      <c r="K173">
        <f t="shared" ca="1" si="11"/>
        <v>46.5</v>
      </c>
      <c r="L173" s="14">
        <f t="shared" ca="1" si="12"/>
        <v>1</v>
      </c>
      <c r="M173" s="14">
        <f t="shared" ca="1" si="14"/>
        <v>5.9375</v>
      </c>
    </row>
    <row r="174" spans="2:13" hidden="1">
      <c r="B174" s="14" t="s">
        <v>21</v>
      </c>
      <c r="C174" s="14">
        <v>1</v>
      </c>
      <c r="D174" s="14">
        <v>0</v>
      </c>
      <c r="E174" s="14">
        <v>0</v>
      </c>
      <c r="F174" s="14"/>
      <c r="G174" s="14"/>
      <c r="H174" s="8" t="str">
        <f ca="1">IF(RAND()&lt;0.25,
    "",
    IF($E174=0,
       CHOOSE(MATCH(RAND(),{0,0.2,0.4,0.6,0.7,0.8,0.85,0.9,0.95,1}),"B-354","B-386","B-4354","B-347","B-357","B-3471","B-34715","B-3571","B-35715"),
       IF($G174=24,
          "B-386",
          IF($G174=12,
             CHOOSE(MATCH(RAND(),{0,0.32,0.49,0.66,0.74,0.82,0.9,1}),"B-386","B-347","B-357","B-3471","B-34715","B-3571","B-35715"),
             "")
)))</f>
        <v>B-354</v>
      </c>
      <c r="I174" s="8" t="str">
        <f t="shared" ca="1" si="13"/>
        <v/>
      </c>
      <c r="J174">
        <f t="shared" ca="1" si="10"/>
        <v>96.5</v>
      </c>
      <c r="K174">
        <f t="shared" ca="1" si="11"/>
        <v>53.9375</v>
      </c>
      <c r="L174" s="14">
        <f t="shared" ca="1" si="12"/>
        <v>1</v>
      </c>
      <c r="M174" s="14">
        <f t="shared" ca="1" si="14"/>
        <v>6.125</v>
      </c>
    </row>
    <row r="175" spans="2:13">
      <c r="B175" s="14" t="s">
        <v>21</v>
      </c>
      <c r="C175" s="14">
        <v>1</v>
      </c>
      <c r="D175" s="14">
        <v>0</v>
      </c>
      <c r="E175" s="14">
        <v>1</v>
      </c>
      <c r="F175" s="14">
        <v>0</v>
      </c>
      <c r="G175" s="14">
        <v>12</v>
      </c>
      <c r="H175" s="8" t="str">
        <f ca="1">IF(RAND()&lt;0.25,
    "",
    IF($E175=0,
       CHOOSE(MATCH(RAND(),{0,0.2,0.4,0.6,0.7,0.8,0.85,0.9,0.95,1}),"B-354","B-386","B-4354","B-347","B-357","B-3471","B-34715","B-3571","B-35715"),
       IF($G175=24,
          "B-386",
          IF($G175=12,
             CHOOSE(MATCH(RAND(),{0,0.32,0.49,0.66,0.74,0.82,0.9,1}),"B-386","B-347","B-357","B-3471","B-34715","B-3571","B-35715"),
             "")
)))</f>
        <v>B-347</v>
      </c>
      <c r="I175" s="8" t="str">
        <f t="shared" ca="1" si="13"/>
        <v/>
      </c>
      <c r="J175">
        <f t="shared" ca="1" si="10"/>
        <v>59.5625</v>
      </c>
      <c r="K175">
        <f t="shared" ca="1" si="11"/>
        <v>58.0625</v>
      </c>
      <c r="L175" s="14">
        <f t="shared" ca="1" si="12"/>
        <v>4.125</v>
      </c>
      <c r="M175" s="14">
        <f t="shared" ca="1" si="14"/>
        <v>4.875</v>
      </c>
    </row>
    <row r="176" spans="2:13" hidden="1">
      <c r="B176" s="14" t="s">
        <v>21</v>
      </c>
      <c r="C176" s="14">
        <v>1</v>
      </c>
      <c r="D176" s="14">
        <v>0</v>
      </c>
      <c r="E176" s="14">
        <v>1</v>
      </c>
      <c r="F176" s="14">
        <v>0</v>
      </c>
      <c r="G176" s="14">
        <v>24</v>
      </c>
      <c r="H176" s="8" t="str">
        <f ca="1">IF(RAND()&lt;0.25,
    "",
    IF($E176=0,
       CHOOSE(MATCH(RAND(),{0,0.2,0.4,0.6,0.7,0.8,0.85,0.9,0.95,1}),"B-354","B-386","B-4354","B-347","B-357","B-3471","B-34715","B-3571","B-35715"),
       IF($G176=24,
          "B-386",
          IF($G176=12,
             CHOOSE(MATCH(RAND(),{0,0.32,0.49,0.66,0.74,0.82,0.9,1}),"B-386","B-347","B-357","B-3471","B-34715","B-3571","B-35715"),
             "")
)))</f>
        <v>B-386</v>
      </c>
      <c r="I176" s="8" t="str">
        <f t="shared" ca="1" si="13"/>
        <v/>
      </c>
      <c r="J176">
        <f t="shared" ca="1" si="10"/>
        <v>45.1875</v>
      </c>
      <c r="K176">
        <f t="shared" ca="1" si="11"/>
        <v>69.25</v>
      </c>
      <c r="L176" s="14">
        <f t="shared" ca="1" si="12"/>
        <v>12</v>
      </c>
      <c r="M176" s="14">
        <f t="shared" ca="1" si="14"/>
        <v>1</v>
      </c>
    </row>
    <row r="177" spans="2:13" hidden="1">
      <c r="B177" s="14" t="s">
        <v>21</v>
      </c>
      <c r="C177" s="14">
        <v>1</v>
      </c>
      <c r="D177" s="14">
        <v>0</v>
      </c>
      <c r="E177" s="14">
        <v>1</v>
      </c>
      <c r="F177" s="14">
        <v>0</v>
      </c>
      <c r="G177" s="14"/>
      <c r="H177" s="8" t="str">
        <f ca="1">IF(RAND()&lt;0.25,
    "",
    IF($E177=0,
       CHOOSE(MATCH(RAND(),{0,0.2,0.4,0.6,0.7,0.8,0.85,0.9,0.95,1}),"B-354","B-386","B-4354","B-347","B-357","B-3471","B-34715","B-3571","B-35715"),
       IF($G177=24,
          "B-386",
          IF($G177=12,
             CHOOSE(MATCH(RAND(),{0,0.32,0.49,0.66,0.74,0.82,0.9,1}),"B-386","B-347","B-357","B-3471","B-34715","B-3571","B-35715"),
             "")
)))</f>
        <v/>
      </c>
      <c r="I177" s="8" t="str">
        <f t="shared" ca="1" si="13"/>
        <v/>
      </c>
      <c r="J177">
        <f t="shared" ref="J177:J240" ca="1" si="15">IF(B177="BOTTOM",
   60,
   IF(B177="TOP",
      RANDBETWEEN(3*16,50*16)/16,
      IF(B177="WHOLE",
         IF(RAND()&lt;0.75,
            RANDBETWEEN(36*16,110*16)/16,
            96
         ),
         ""
      )
   )
)</f>
        <v>96</v>
      </c>
      <c r="K177">
        <f t="shared" ref="K177:K240" ca="1" si="16">_xlfn.LET(
_xlpm.minVal, IF($H177&lt;&gt;"",40,5),
RANDBETWEEN(_xlpm.minVal*16,80*16)/16
)</f>
        <v>69.0625</v>
      </c>
      <c r="L177" s="14">
        <f t="shared" ca="1" si="12"/>
        <v>1</v>
      </c>
      <c r="M177" s="14">
        <f t="shared" ca="1" si="14"/>
        <v>1</v>
      </c>
    </row>
    <row r="178" spans="2:13" hidden="1">
      <c r="B178" s="14" t="s">
        <v>21</v>
      </c>
      <c r="C178" s="14">
        <v>1</v>
      </c>
      <c r="D178" s="14">
        <v>0</v>
      </c>
      <c r="E178" s="14">
        <v>1</v>
      </c>
      <c r="F178" s="14">
        <v>1</v>
      </c>
      <c r="G178" s="14"/>
      <c r="H178" s="8" t="str">
        <f ca="1">IF(RAND()&lt;0.25,
    "",
    IF($E178=0,
       CHOOSE(MATCH(RAND(),{0,0.2,0.4,0.6,0.7,0.8,0.85,0.9,0.95,1}),"B-354","B-386","B-4354","B-347","B-357","B-3471","B-34715","B-3571","B-35715"),
       IF($G178=24,
          "B-386",
          IF($G178=12,
             CHOOSE(MATCH(RAND(),{0,0.32,0.49,0.66,0.74,0.82,0.9,1}),"B-386","B-347","B-357","B-3471","B-34715","B-3571","B-35715"),
             "")
)))</f>
        <v/>
      </c>
      <c r="I178" s="8" t="str">
        <f t="shared" ca="1" si="13"/>
        <v/>
      </c>
      <c r="J178">
        <f t="shared" ca="1" si="15"/>
        <v>96</v>
      </c>
      <c r="K178">
        <f t="shared" ca="1" si="16"/>
        <v>55.125</v>
      </c>
      <c r="L178" s="14">
        <f t="shared" ca="1" si="12"/>
        <v>5.5</v>
      </c>
      <c r="M178" s="14">
        <f t="shared" ca="1" si="14"/>
        <v>4.625</v>
      </c>
    </row>
    <row r="179" spans="2:13">
      <c r="B179" s="14" t="s">
        <v>21</v>
      </c>
      <c r="C179" s="14">
        <v>1</v>
      </c>
      <c r="D179" s="14">
        <v>1</v>
      </c>
      <c r="E179" s="14">
        <v>0</v>
      </c>
      <c r="F179" s="14"/>
      <c r="G179" s="14"/>
      <c r="H179" s="8" t="str">
        <f ca="1">IF(RAND()&lt;0.25,
    "",
    IF($E179=0,
       CHOOSE(MATCH(RAND(),{0,0.2,0.4,0.6,0.7,0.8,0.85,0.9,0.95,1}),"B-354","B-386","B-4354","B-347","B-357","B-3471","B-34715","B-3571","B-35715"),
       IF($G179=24,
          "B-386",
          IF($G179=12,
             CHOOSE(MATCH(RAND(),{0,0.32,0.49,0.66,0.74,0.82,0.9,1}),"B-386","B-347","B-357","B-3471","B-34715","B-3571","B-35715"),
             "")
)))</f>
        <v>B-4354</v>
      </c>
      <c r="I179" s="8" t="str">
        <f t="shared" ca="1" si="13"/>
        <v>B-386</v>
      </c>
      <c r="J179">
        <f t="shared" ca="1" si="15"/>
        <v>96</v>
      </c>
      <c r="K179">
        <f t="shared" ca="1" si="16"/>
        <v>53.3125</v>
      </c>
      <c r="L179" s="14">
        <f t="shared" ca="1" si="12"/>
        <v>1</v>
      </c>
      <c r="M179" s="14">
        <f t="shared" ca="1" si="14"/>
        <v>5.4375</v>
      </c>
    </row>
    <row r="180" spans="2:13" hidden="1">
      <c r="B180" s="14" t="s">
        <v>21</v>
      </c>
      <c r="C180" s="14">
        <v>1</v>
      </c>
      <c r="D180" s="14">
        <v>1</v>
      </c>
      <c r="E180" s="14">
        <v>1</v>
      </c>
      <c r="F180" s="14">
        <v>0</v>
      </c>
      <c r="G180" s="14">
        <v>12</v>
      </c>
      <c r="H180" s="8" t="str">
        <f ca="1">IF(RAND()&lt;0.25,
    "",
    IF($E180=0,
       CHOOSE(MATCH(RAND(),{0,0.2,0.4,0.6,0.7,0.8,0.85,0.9,0.95,1}),"B-354","B-386","B-4354","B-347","B-357","B-3471","B-34715","B-3571","B-35715"),
       IF($G180=24,
          "B-386",
          IF($G180=12,
             CHOOSE(MATCH(RAND(),{0,0.32,0.49,0.66,0.74,0.82,0.9,1}),"B-386","B-347","B-357","B-3471","B-34715","B-3571","B-35715"),
             "")
)))</f>
        <v/>
      </c>
      <c r="I180" s="8" t="str">
        <f t="shared" ca="1" si="13"/>
        <v/>
      </c>
      <c r="J180">
        <f t="shared" ca="1" si="15"/>
        <v>36.375</v>
      </c>
      <c r="K180">
        <f t="shared" ca="1" si="16"/>
        <v>41.375</v>
      </c>
      <c r="L180" s="14">
        <f t="shared" ca="1" si="12"/>
        <v>12</v>
      </c>
      <c r="M180" s="14">
        <f t="shared" ca="1" si="14"/>
        <v>6.8125</v>
      </c>
    </row>
    <row r="181" spans="2:13" hidden="1">
      <c r="B181" s="14" t="s">
        <v>21</v>
      </c>
      <c r="C181" s="14">
        <v>1</v>
      </c>
      <c r="D181" s="14">
        <v>1</v>
      </c>
      <c r="E181" s="14">
        <v>1</v>
      </c>
      <c r="F181" s="14">
        <v>0</v>
      </c>
      <c r="G181" s="14">
        <v>24</v>
      </c>
      <c r="H181" s="8" t="str">
        <f ca="1">IF(RAND()&lt;0.25,
    "",
    IF($E181=0,
       CHOOSE(MATCH(RAND(),{0,0.2,0.4,0.6,0.7,0.8,0.85,0.9,0.95,1}),"B-354","B-386","B-4354","B-347","B-357","B-3471","B-34715","B-3571","B-35715"),
       IF($G181=24,
          "B-386",
          IF($G181=12,
             CHOOSE(MATCH(RAND(),{0,0.32,0.49,0.66,0.74,0.82,0.9,1}),"B-386","B-347","B-357","B-3471","B-34715","B-3571","B-35715"),
             "")
)))</f>
        <v>B-386</v>
      </c>
      <c r="I181" s="8" t="str">
        <f t="shared" ca="1" si="13"/>
        <v/>
      </c>
      <c r="J181">
        <f t="shared" ca="1" si="15"/>
        <v>44.625</v>
      </c>
      <c r="K181">
        <f t="shared" ca="1" si="16"/>
        <v>60.5</v>
      </c>
      <c r="L181" s="14">
        <f t="shared" ca="1" si="12"/>
        <v>2.375</v>
      </c>
      <c r="M181" s="14" t="str">
        <f t="shared" ca="1" si="14"/>
        <v/>
      </c>
    </row>
    <row r="182" spans="2:13" hidden="1">
      <c r="B182" s="14" t="s">
        <v>21</v>
      </c>
      <c r="C182" s="14">
        <v>1</v>
      </c>
      <c r="D182" s="14">
        <v>1</v>
      </c>
      <c r="E182" s="14">
        <v>1</v>
      </c>
      <c r="F182" s="14">
        <v>0</v>
      </c>
      <c r="G182" s="14"/>
      <c r="H182" s="8" t="str">
        <f ca="1">IF(RAND()&lt;0.25,
    "",
    IF($E182=0,
       CHOOSE(MATCH(RAND(),{0,0.2,0.4,0.6,0.7,0.8,0.85,0.9,0.95,1}),"B-354","B-386","B-4354","B-347","B-357","B-3471","B-34715","B-3571","B-35715"),
       IF($G182=24,
          "B-386",
          IF($G182=12,
             CHOOSE(MATCH(RAND(),{0,0.32,0.49,0.66,0.74,0.82,0.9,1}),"B-386","B-347","B-357","B-3471","B-34715","B-3571","B-35715"),
             "")
)))</f>
        <v/>
      </c>
      <c r="I182" s="8" t="str">
        <f t="shared" ca="1" si="13"/>
        <v/>
      </c>
      <c r="J182">
        <f t="shared" ca="1" si="15"/>
        <v>95.625</v>
      </c>
      <c r="K182">
        <f t="shared" ca="1" si="16"/>
        <v>48.25</v>
      </c>
      <c r="L182" s="14">
        <f t="shared" ca="1" si="12"/>
        <v>9</v>
      </c>
      <c r="M182" s="14">
        <f t="shared" ca="1" si="14"/>
        <v>1</v>
      </c>
    </row>
    <row r="183" spans="2:13" ht="15" hidden="1" thickBot="1">
      <c r="B183" s="50" t="s">
        <v>21</v>
      </c>
      <c r="C183" s="50">
        <v>1</v>
      </c>
      <c r="D183" s="50">
        <v>1</v>
      </c>
      <c r="E183" s="50">
        <v>1</v>
      </c>
      <c r="F183" s="50">
        <v>1</v>
      </c>
      <c r="G183" s="50"/>
      <c r="H183" s="51" t="str">
        <f ca="1">IF(RAND()&lt;0.25,
    "",
    IF($E183=0,
       CHOOSE(MATCH(RAND(),{0,0.2,0.4,0.6,0.7,0.8,0.85,0.9,0.95,1}),"B-354","B-386","B-4354","B-347","B-357","B-3471","B-34715","B-3571","B-35715"),
       IF($G183=24,
          "B-386",
          IF($G183=12,
             CHOOSE(MATCH(RAND(),{0,0.32,0.49,0.66,0.74,0.82,0.9,1}),"B-386","B-347","B-357","B-3471","B-34715","B-3571","B-35715"),
             "")
)))</f>
        <v/>
      </c>
      <c r="I183" s="51" t="str">
        <f t="shared" ca="1" si="13"/>
        <v/>
      </c>
      <c r="J183" s="49">
        <f t="shared" ca="1" si="15"/>
        <v>106.0625</v>
      </c>
      <c r="K183" s="49">
        <f t="shared" ca="1" si="16"/>
        <v>45.3125</v>
      </c>
      <c r="L183" s="50">
        <f t="shared" ca="1" si="12"/>
        <v>8.5625</v>
      </c>
      <c r="M183" s="14">
        <f t="shared" ca="1" si="14"/>
        <v>4.75</v>
      </c>
    </row>
    <row r="184" spans="2:13" hidden="1">
      <c r="B184" s="14" t="s">
        <v>156</v>
      </c>
      <c r="C184" s="19">
        <v>0</v>
      </c>
      <c r="D184" s="19"/>
      <c r="E184" s="19">
        <v>0</v>
      </c>
      <c r="F184" s="19"/>
      <c r="G184" s="14"/>
      <c r="H184" s="8" t="str">
        <f ca="1">IF(RAND()&lt;0.25,
    "",
    IF($E184=0,
       CHOOSE(MATCH(RAND(),{0,0.2,0.4,0.6,0.7,0.8,0.85,0.9,0.95,1}),"B-354","B-386","B-4354","B-347","B-357","B-3471","B-34715","B-3571","B-35715"),
       IF($G184=24,
          "B-386",
          IF($G184=12,
             CHOOSE(MATCH(RAND(),{0,0.32,0.49,0.66,0.74,0.82,0.9,1}),"B-386","B-347","B-357","B-3471","B-34715","B-3571","B-35715"),
             "")
)))</f>
        <v>B-3571</v>
      </c>
      <c r="I184" s="8" t="str">
        <f t="shared" ca="1" si="13"/>
        <v/>
      </c>
      <c r="J184">
        <f t="shared" ca="1" si="15"/>
        <v>27.5625</v>
      </c>
      <c r="K184">
        <f t="shared" ca="1" si="16"/>
        <v>44.25</v>
      </c>
      <c r="L184" s="14">
        <f t="shared" ca="1" si="12"/>
        <v>1.375</v>
      </c>
      <c r="M184" s="14">
        <f t="shared" ca="1" si="14"/>
        <v>1</v>
      </c>
    </row>
    <row r="185" spans="2:13">
      <c r="B185" s="14" t="s">
        <v>156</v>
      </c>
      <c r="C185" s="14">
        <v>0</v>
      </c>
      <c r="D185" s="14"/>
      <c r="E185" s="14">
        <v>1</v>
      </c>
      <c r="F185" s="14">
        <v>0</v>
      </c>
      <c r="G185" s="14">
        <v>12</v>
      </c>
      <c r="H185" s="8" t="str">
        <f ca="1">IF(RAND()&lt;0.25,
    "",
    IF($E185=0,
       CHOOSE(MATCH(RAND(),{0,0.2,0.4,0.6,0.7,0.8,0.85,0.9,0.95,1}),"B-354","B-386","B-4354","B-347","B-357","B-3471","B-34715","B-3571","B-35715"),
       IF($G185=24,
          "B-386",
          IF($G185=12,
             CHOOSE(MATCH(RAND(),{0,0.32,0.49,0.66,0.74,0.82,0.9,1}),"B-386","B-347","B-357","B-3471","B-34715","B-3571","B-35715"),
             "")
)))</f>
        <v>B-347</v>
      </c>
      <c r="I185" s="8" t="str">
        <f t="shared" ca="1" si="13"/>
        <v/>
      </c>
      <c r="J185">
        <f t="shared" ca="1" si="15"/>
        <v>12.125</v>
      </c>
      <c r="K185">
        <f t="shared" ca="1" si="16"/>
        <v>61.1875</v>
      </c>
      <c r="L185" s="14">
        <f t="shared" ca="1" si="12"/>
        <v>12</v>
      </c>
      <c r="M185" s="14">
        <f t="shared" ca="1" si="14"/>
        <v>4.5</v>
      </c>
    </row>
    <row r="186" spans="2:13">
      <c r="B186" s="14" t="s">
        <v>156</v>
      </c>
      <c r="C186" s="14">
        <v>0</v>
      </c>
      <c r="D186" s="14"/>
      <c r="E186" s="14">
        <v>1</v>
      </c>
      <c r="F186" s="14">
        <v>0</v>
      </c>
      <c r="G186" s="14">
        <v>24</v>
      </c>
      <c r="H186" s="8" t="str">
        <f ca="1">IF(RAND()&lt;0.25,
    "",
    IF($E186=0,
       CHOOSE(MATCH(RAND(),{0,0.2,0.4,0.6,0.7,0.8,0.85,0.9,0.95,1}),"B-354","B-386","B-4354","B-347","B-357","B-3471","B-34715","B-3571","B-35715"),
       IF($G186=24,
          "B-386",
          IF($G186=12,
             CHOOSE(MATCH(RAND(),{0,0.32,0.49,0.66,0.74,0.82,0.9,1}),"B-386","B-347","B-357","B-3471","B-34715","B-3571","B-35715"),
             "")
)))</f>
        <v/>
      </c>
      <c r="I186" s="8" t="str">
        <f t="shared" ca="1" si="13"/>
        <v/>
      </c>
      <c r="J186">
        <f t="shared" ca="1" si="15"/>
        <v>42.875</v>
      </c>
      <c r="K186">
        <f t="shared" ca="1" si="16"/>
        <v>78.3125</v>
      </c>
      <c r="L186" s="14">
        <f t="shared" ca="1" si="12"/>
        <v>12</v>
      </c>
      <c r="M186" s="14">
        <f t="shared" ca="1" si="14"/>
        <v>1</v>
      </c>
    </row>
    <row r="187" spans="2:13" hidden="1">
      <c r="B187" s="14" t="s">
        <v>156</v>
      </c>
      <c r="C187" s="14">
        <v>0</v>
      </c>
      <c r="D187" s="14"/>
      <c r="E187" s="14">
        <v>1</v>
      </c>
      <c r="F187" s="14">
        <v>0</v>
      </c>
      <c r="G187" s="14"/>
      <c r="H187" s="8" t="str">
        <f ca="1">IF(RAND()&lt;0.25,
    "",
    IF($E187=0,
       CHOOSE(MATCH(RAND(),{0,0.2,0.4,0.6,0.7,0.8,0.85,0.9,0.95,1}),"B-354","B-386","B-4354","B-347","B-357","B-3471","B-34715","B-3571","B-35715"),
       IF($G187=24,
          "B-386",
          IF($G187=12,
             CHOOSE(MATCH(RAND(),{0,0.32,0.49,0.66,0.74,0.82,0.9,1}),"B-386","B-347","B-357","B-3471","B-34715","B-3571","B-35715"),
             "")
)))</f>
        <v/>
      </c>
      <c r="I187" s="8" t="str">
        <f t="shared" ca="1" si="13"/>
        <v/>
      </c>
      <c r="J187">
        <f t="shared" ca="1" si="15"/>
        <v>23.4375</v>
      </c>
      <c r="K187">
        <f t="shared" ca="1" si="16"/>
        <v>64.125</v>
      </c>
      <c r="L187" s="14">
        <f t="shared" ca="1" si="12"/>
        <v>4.375</v>
      </c>
      <c r="M187" s="14">
        <f t="shared" ca="1" si="14"/>
        <v>1</v>
      </c>
    </row>
    <row r="188" spans="2:13" hidden="1">
      <c r="B188" s="14" t="s">
        <v>156</v>
      </c>
      <c r="C188" s="14">
        <v>0</v>
      </c>
      <c r="D188" s="14"/>
      <c r="E188" s="14">
        <v>1</v>
      </c>
      <c r="F188" s="14">
        <v>1</v>
      </c>
      <c r="G188" s="14"/>
      <c r="H188" s="8" t="str">
        <f ca="1">IF(RAND()&lt;0.25,
    "",
    IF($E188=0,
       CHOOSE(MATCH(RAND(),{0,0.2,0.4,0.6,0.7,0.8,0.85,0.9,0.95,1}),"B-354","B-386","B-4354","B-347","B-357","B-3471","B-34715","B-3571","B-35715"),
       IF($G188=24,
          "B-386",
          IF($G188=12,
             CHOOSE(MATCH(RAND(),{0,0.32,0.49,0.66,0.74,0.82,0.9,1}),"B-386","B-347","B-357","B-3471","B-34715","B-3571","B-35715"),
             "")
)))</f>
        <v/>
      </c>
      <c r="I188" s="8" t="str">
        <f t="shared" ca="1" si="13"/>
        <v/>
      </c>
      <c r="J188">
        <f t="shared" ca="1" si="15"/>
        <v>43.5</v>
      </c>
      <c r="K188">
        <f t="shared" ca="1" si="16"/>
        <v>38.875</v>
      </c>
      <c r="L188" s="14">
        <f t="shared" ca="1" si="12"/>
        <v>9</v>
      </c>
      <c r="M188" s="14">
        <f t="shared" ca="1" si="14"/>
        <v>5.1875</v>
      </c>
    </row>
    <row r="189" spans="2:13">
      <c r="B189" s="14" t="s">
        <v>156</v>
      </c>
      <c r="C189" s="14">
        <v>1</v>
      </c>
      <c r="D189" s="14">
        <v>0</v>
      </c>
      <c r="E189" s="14">
        <v>0</v>
      </c>
      <c r="F189" s="14"/>
      <c r="G189" s="14"/>
      <c r="H189" s="8" t="str">
        <f ca="1">IF(RAND()&lt;0.25,
    "",
    IF($E189=0,
       CHOOSE(MATCH(RAND(),{0,0.2,0.4,0.6,0.7,0.8,0.85,0.9,0.95,1}),"B-354","B-386","B-4354","B-347","B-357","B-3471","B-34715","B-3571","B-35715"),
       IF($G189=24,
          "B-386",
          IF($G189=12,
             CHOOSE(MATCH(RAND(),{0,0.32,0.49,0.66,0.74,0.82,0.9,1}),"B-386","B-347","B-357","B-3471","B-34715","B-3571","B-35715"),
             "")
)))</f>
        <v>B-347</v>
      </c>
      <c r="I189" s="8" t="str">
        <f t="shared" ca="1" si="13"/>
        <v/>
      </c>
      <c r="J189">
        <f t="shared" ca="1" si="15"/>
        <v>12.25</v>
      </c>
      <c r="K189">
        <f t="shared" ca="1" si="16"/>
        <v>46.875</v>
      </c>
      <c r="L189" s="14">
        <f t="shared" ca="1" si="12"/>
        <v>12</v>
      </c>
      <c r="M189" s="14">
        <f t="shared" ca="1" si="14"/>
        <v>1</v>
      </c>
    </row>
    <row r="190" spans="2:13">
      <c r="B190" s="14" t="s">
        <v>156</v>
      </c>
      <c r="C190" s="14">
        <v>1</v>
      </c>
      <c r="D190" s="14">
        <v>0</v>
      </c>
      <c r="E190" s="14">
        <v>1</v>
      </c>
      <c r="F190" s="14">
        <v>0</v>
      </c>
      <c r="G190" s="14">
        <v>12</v>
      </c>
      <c r="H190" s="8" t="str">
        <f ca="1">IF(RAND()&lt;0.25,
    "",
    IF($E190=0,
       CHOOSE(MATCH(RAND(),{0,0.2,0.4,0.6,0.7,0.8,0.85,0.9,0.95,1}),"B-354","B-386","B-4354","B-347","B-357","B-3471","B-34715","B-3571","B-35715"),
       IF($G190=24,
          "B-386",
          IF($G190=12,
             CHOOSE(MATCH(RAND(),{0,0.32,0.49,0.66,0.74,0.82,0.9,1}),"B-386","B-347","B-357","B-3471","B-34715","B-3571","B-35715"),
             "")
)))</f>
        <v/>
      </c>
      <c r="I190" s="8" t="str">
        <f t="shared" ca="1" si="13"/>
        <v/>
      </c>
      <c r="J190">
        <f t="shared" ca="1" si="15"/>
        <v>27.8125</v>
      </c>
      <c r="K190">
        <f t="shared" ca="1" si="16"/>
        <v>40.125</v>
      </c>
      <c r="L190" s="14">
        <f t="shared" ca="1" si="12"/>
        <v>12</v>
      </c>
      <c r="M190" s="14">
        <f t="shared" ca="1" si="14"/>
        <v>1.4375</v>
      </c>
    </row>
    <row r="191" spans="2:13" hidden="1">
      <c r="B191" s="14" t="s">
        <v>156</v>
      </c>
      <c r="C191" s="14">
        <v>1</v>
      </c>
      <c r="D191" s="14">
        <v>0</v>
      </c>
      <c r="E191" s="14">
        <v>1</v>
      </c>
      <c r="F191" s="14">
        <v>0</v>
      </c>
      <c r="G191" s="14">
        <v>24</v>
      </c>
      <c r="H191" s="8" t="str">
        <f ca="1">IF(RAND()&lt;0.25,
    "",
    IF($E191=0,
       CHOOSE(MATCH(RAND(),{0,0.2,0.4,0.6,0.7,0.8,0.85,0.9,0.95,1}),"B-354","B-386","B-4354","B-347","B-357","B-3471","B-34715","B-3571","B-35715"),
       IF($G191=24,
          "B-386",
          IF($G191=12,
             CHOOSE(MATCH(RAND(),{0,0.32,0.49,0.66,0.74,0.82,0.9,1}),"B-386","B-347","B-357","B-3471","B-34715","B-3571","B-35715"),
             "")
)))</f>
        <v>B-386</v>
      </c>
      <c r="I191" s="8" t="str">
        <f t="shared" ca="1" si="13"/>
        <v/>
      </c>
      <c r="J191">
        <f t="shared" ca="1" si="15"/>
        <v>43.375</v>
      </c>
      <c r="K191">
        <f t="shared" ca="1" si="16"/>
        <v>42.8125</v>
      </c>
      <c r="L191" s="14">
        <f t="shared" ca="1" si="12"/>
        <v>1</v>
      </c>
      <c r="M191" s="14">
        <f t="shared" ca="1" si="14"/>
        <v>8.375</v>
      </c>
    </row>
    <row r="192" spans="2:13" hidden="1">
      <c r="B192" s="14" t="s">
        <v>156</v>
      </c>
      <c r="C192" s="14">
        <v>1</v>
      </c>
      <c r="D192" s="14">
        <v>0</v>
      </c>
      <c r="E192" s="14">
        <v>1</v>
      </c>
      <c r="F192" s="14">
        <v>0</v>
      </c>
      <c r="G192" s="14"/>
      <c r="H192" s="8" t="str">
        <f ca="1">IF(RAND()&lt;0.25,
    "",
    IF($E192=0,
       CHOOSE(MATCH(RAND(),{0,0.2,0.4,0.6,0.7,0.8,0.85,0.9,0.95,1}),"B-354","B-386","B-4354","B-347","B-357","B-3471","B-34715","B-3571","B-35715"),
       IF($G192=24,
          "B-386",
          IF($G192=12,
             CHOOSE(MATCH(RAND(),{0,0.32,0.49,0.66,0.74,0.82,0.9,1}),"B-386","B-347","B-357","B-3471","B-34715","B-3571","B-35715"),
             "")
)))</f>
        <v/>
      </c>
      <c r="I192" s="8" t="str">
        <f t="shared" ca="1" si="13"/>
        <v/>
      </c>
      <c r="J192">
        <f t="shared" ca="1" si="15"/>
        <v>32.25</v>
      </c>
      <c r="K192">
        <f t="shared" ca="1" si="16"/>
        <v>79.8125</v>
      </c>
      <c r="L192" s="14">
        <f t="shared" ca="1" si="12"/>
        <v>1</v>
      </c>
      <c r="M192" s="14">
        <f t="shared" ca="1" si="14"/>
        <v>3.5</v>
      </c>
    </row>
    <row r="193" spans="2:13" hidden="1">
      <c r="B193" s="14" t="s">
        <v>156</v>
      </c>
      <c r="C193" s="14">
        <v>1</v>
      </c>
      <c r="D193" s="14">
        <v>0</v>
      </c>
      <c r="E193" s="14">
        <v>1</v>
      </c>
      <c r="F193" s="14">
        <v>1</v>
      </c>
      <c r="G193" s="14"/>
      <c r="H193" s="8" t="str">
        <f ca="1">IF(RAND()&lt;0.25,
    "",
    IF($E193=0,
       CHOOSE(MATCH(RAND(),{0,0.2,0.4,0.6,0.7,0.8,0.85,0.9,0.95,1}),"B-354","B-386","B-4354","B-347","B-357","B-3471","B-34715","B-3571","B-35715"),
       IF($G193=24,
          "B-386",
          IF($G193=12,
             CHOOSE(MATCH(RAND(),{0,0.32,0.49,0.66,0.74,0.82,0.9,1}),"B-386","B-347","B-357","B-3471","B-34715","B-3571","B-35715"),
             "")
)))</f>
        <v/>
      </c>
      <c r="I193" s="8" t="str">
        <f t="shared" ca="1" si="13"/>
        <v/>
      </c>
      <c r="J193">
        <f t="shared" ca="1" si="15"/>
        <v>25.8125</v>
      </c>
      <c r="K193">
        <f t="shared" ca="1" si="16"/>
        <v>6.75</v>
      </c>
      <c r="L193" s="14">
        <f t="shared" ca="1" si="12"/>
        <v>8.5625</v>
      </c>
      <c r="M193" s="14">
        <f t="shared" ca="1" si="14"/>
        <v>5.625</v>
      </c>
    </row>
    <row r="194" spans="2:13">
      <c r="B194" s="14" t="s">
        <v>156</v>
      </c>
      <c r="C194" s="14">
        <v>1</v>
      </c>
      <c r="D194" s="14">
        <v>1</v>
      </c>
      <c r="E194" s="14">
        <v>0</v>
      </c>
      <c r="F194" s="14"/>
      <c r="G194" s="14"/>
      <c r="H194" s="8" t="str">
        <f ca="1">IF(RAND()&lt;0.25,
    "",
    IF($E194=0,
       CHOOSE(MATCH(RAND(),{0,0.2,0.4,0.6,0.7,0.8,0.85,0.9,0.95,1}),"B-354","B-386","B-4354","B-347","B-357","B-3471","B-34715","B-3571","B-35715"),
       IF($G194=24,
          "B-386",
          IF($G194=12,
             CHOOSE(MATCH(RAND(),{0,0.32,0.49,0.66,0.74,0.82,0.9,1}),"B-386","B-347","B-357","B-3471","B-34715","B-3571","B-35715"),
             "")
)))</f>
        <v>B-386</v>
      </c>
      <c r="I194" s="8" t="str">
        <f t="shared" ca="1" si="13"/>
        <v/>
      </c>
      <c r="J194">
        <f t="shared" ca="1" si="15"/>
        <v>48.9375</v>
      </c>
      <c r="K194">
        <f t="shared" ca="1" si="16"/>
        <v>76.75</v>
      </c>
      <c r="L194" s="14">
        <f t="shared" ca="1" si="12"/>
        <v>9</v>
      </c>
      <c r="M194" s="14">
        <f t="shared" ca="1" si="14"/>
        <v>1</v>
      </c>
    </row>
    <row r="195" spans="2:13">
      <c r="B195" s="14" t="s">
        <v>156</v>
      </c>
      <c r="C195" s="14">
        <v>1</v>
      </c>
      <c r="D195" s="14">
        <v>1</v>
      </c>
      <c r="E195" s="14">
        <v>1</v>
      </c>
      <c r="F195" s="14">
        <v>0</v>
      </c>
      <c r="G195" s="14">
        <v>12</v>
      </c>
      <c r="H195" s="8" t="str">
        <f ca="1">IF(RAND()&lt;0.25,
    "",
    IF($E195=0,
       CHOOSE(MATCH(RAND(),{0,0.2,0.4,0.6,0.7,0.8,0.85,0.9,0.95,1}),"B-354","B-386","B-4354","B-347","B-357","B-3471","B-34715","B-3571","B-35715"),
       IF($G195=24,
          "B-386",
          IF($G195=12,
             CHOOSE(MATCH(RAND(),{0,0.32,0.49,0.66,0.74,0.82,0.9,1}),"B-386","B-347","B-357","B-3471","B-34715","B-3571","B-35715"),
             "")
)))</f>
        <v/>
      </c>
      <c r="I195" s="8" t="str">
        <f t="shared" ca="1" si="13"/>
        <v/>
      </c>
      <c r="J195">
        <f t="shared" ca="1" si="15"/>
        <v>24.5625</v>
      </c>
      <c r="K195">
        <f t="shared" ca="1" si="16"/>
        <v>37.8125</v>
      </c>
      <c r="L195" s="14">
        <f t="shared" ca="1" si="12"/>
        <v>10.125</v>
      </c>
      <c r="M195" s="14">
        <f t="shared" ca="1" si="14"/>
        <v>1.1875</v>
      </c>
    </row>
    <row r="196" spans="2:13">
      <c r="B196" s="14" t="s">
        <v>156</v>
      </c>
      <c r="C196" s="14">
        <v>1</v>
      </c>
      <c r="D196" s="14">
        <v>1</v>
      </c>
      <c r="E196" s="14">
        <v>1</v>
      </c>
      <c r="F196" s="14">
        <v>0</v>
      </c>
      <c r="G196" s="14">
        <v>24</v>
      </c>
      <c r="H196" s="8" t="str">
        <f ca="1">IF(RAND()&lt;0.25,
    "",
    IF($E196=0,
       CHOOSE(MATCH(RAND(),{0,0.2,0.4,0.6,0.7,0.8,0.85,0.9,0.95,1}),"B-354","B-386","B-4354","B-347","B-357","B-3471","B-34715","B-3571","B-35715"),
       IF($G196=24,
          "B-386",
          IF($G196=12,
             CHOOSE(MATCH(RAND(),{0,0.32,0.49,0.66,0.74,0.82,0.9,1}),"B-386","B-347","B-357","B-3471","B-34715","B-3571","B-35715"),
             "")
)))</f>
        <v>B-386</v>
      </c>
      <c r="I196" s="8" t="str">
        <f t="shared" ca="1" si="13"/>
        <v/>
      </c>
      <c r="J196">
        <f t="shared" ca="1" si="15"/>
        <v>29.6875</v>
      </c>
      <c r="K196">
        <f t="shared" ca="1" si="16"/>
        <v>65.5625</v>
      </c>
      <c r="L196" s="14">
        <f t="shared" ref="L196:L259" ca="1" si="17" xml:space="preserve">    _xlfn.LET(
      _xlpm.k, RANDBETWEEN(1,6),
      _xlpm.step, 1/16,
      IF(
        _xlpm.k=1, 1,
        IF(
          _xlpm.k=2, 4.5,
          IF(
            _xlpm.k=3, 9,
            IF(
              _xlpm.k=4, 12,
              IF(
                _xlpm.k=5,
                  1 + _xlpm.step*RANDBETWEEN(1, (4.5-1)/_xlpm.step - 1),
                  4.5 + _xlpm.step*RANDBETWEEN(1, (12-4.5)/_xlpm.step - 1)
              )
            )
          )
        )
      )
    )</f>
        <v>12</v>
      </c>
      <c r="M196" s="14">
        <f t="shared" ca="1" si="14"/>
        <v>1</v>
      </c>
    </row>
    <row r="197" spans="2:13" hidden="1">
      <c r="B197" s="14" t="s">
        <v>156</v>
      </c>
      <c r="C197" s="14">
        <v>1</v>
      </c>
      <c r="D197" s="14">
        <v>1</v>
      </c>
      <c r="E197" s="14">
        <v>1</v>
      </c>
      <c r="F197" s="14">
        <v>0</v>
      </c>
      <c r="G197" s="14"/>
      <c r="H197" s="8" t="str">
        <f ca="1">IF(RAND()&lt;0.25,
    "",
    IF($E197=0,
       CHOOSE(MATCH(RAND(),{0,0.2,0.4,0.6,0.7,0.8,0.85,0.9,0.95,1}),"B-354","B-386","B-4354","B-347","B-357","B-3471","B-34715","B-3571","B-35715"),
       IF($G197=24,
          "B-386",
          IF($G197=12,
             CHOOSE(MATCH(RAND(),{0,0.32,0.49,0.66,0.74,0.82,0.9,1}),"B-386","B-347","B-357","B-3471","B-34715","B-3571","B-35715"),
             "")
)))</f>
        <v/>
      </c>
      <c r="I197" s="8" t="str">
        <f t="shared" ref="I197:I260" ca="1" si="18">IF($H197="",
    "",
    IF(AND($E197=0,OR($H197="B-354",$H197="B-386",$H197="B-4354")),
       IF(RAND()&lt;0.5,
          "",
          IF($H197="B-354",
             "B-386",
             IF($H197="B-4354",
                "B-386",
                IF($H197="B-386",
                   IF(RAND()&lt;0.5,
                      "B-354",
                      "B-4354"),
                   "")
                 ))),
       ""))</f>
        <v/>
      </c>
      <c r="J197">
        <f t="shared" ca="1" si="15"/>
        <v>28.5625</v>
      </c>
      <c r="K197">
        <f t="shared" ca="1" si="16"/>
        <v>67.125</v>
      </c>
      <c r="L197" s="14">
        <f t="shared" ca="1" si="17"/>
        <v>10.625</v>
      </c>
      <c r="M197" s="14" t="str">
        <f t="shared" ref="M197:M260" ca="1" si="19">_xlfn.LET(
  _xlpm.r, RAND(),
  IF(
     _xlpm.r &lt; 0.25,
     1,
     IF(
        _xlpm.r &lt; 0.5,
        1 + RANDBETWEEN(0,16*4)/16,
        IF(
            _xlpm.r &lt; 0.75,
            4.5 + RANDBETWEEN(0,16*4)/16,
            ""
           )
        )
     )
)</f>
        <v/>
      </c>
    </row>
    <row r="198" spans="2:13" hidden="1">
      <c r="B198" s="14" t="s">
        <v>156</v>
      </c>
      <c r="C198" s="14">
        <v>1</v>
      </c>
      <c r="D198" s="14">
        <v>1</v>
      </c>
      <c r="E198" s="14">
        <v>1</v>
      </c>
      <c r="F198" s="14">
        <v>1</v>
      </c>
      <c r="G198" s="14"/>
      <c r="H198" s="8" t="str">
        <f ca="1">IF(RAND()&lt;0.25,
    "",
    IF($E198=0,
       CHOOSE(MATCH(RAND(),{0,0.2,0.4,0.6,0.7,0.8,0.85,0.9,0.95,1}),"B-354","B-386","B-4354","B-347","B-357","B-3471","B-34715","B-3571","B-35715"),
       IF($G198=24,
          "B-386",
          IF($G198=12,
             CHOOSE(MATCH(RAND(),{0,0.32,0.49,0.66,0.74,0.82,0.9,1}),"B-386","B-347","B-357","B-3471","B-34715","B-3571","B-35715"),
             "")
)))</f>
        <v/>
      </c>
      <c r="I198" s="8" t="str">
        <f t="shared" ca="1" si="18"/>
        <v/>
      </c>
      <c r="J198">
        <f t="shared" ca="1" si="15"/>
        <v>32.5625</v>
      </c>
      <c r="K198">
        <f t="shared" ca="1" si="16"/>
        <v>52.25</v>
      </c>
      <c r="L198" s="14">
        <f t="shared" ca="1" si="17"/>
        <v>4.5</v>
      </c>
      <c r="M198" s="14">
        <f t="shared" ca="1" si="19"/>
        <v>1</v>
      </c>
    </row>
    <row r="199" spans="2:13" hidden="1">
      <c r="B199" s="14" t="s">
        <v>157</v>
      </c>
      <c r="C199" s="14">
        <v>0</v>
      </c>
      <c r="D199" s="14"/>
      <c r="E199" s="14">
        <v>0</v>
      </c>
      <c r="F199" s="14"/>
      <c r="G199" s="14"/>
      <c r="H199" s="8" t="str">
        <f ca="1">IF(RAND()&lt;0.25,
    "",
    IF($E199=0,
       CHOOSE(MATCH(RAND(),{0,0.2,0.4,0.6,0.7,0.8,0.85,0.9,0.95,1}),"B-354","B-386","B-4354","B-347","B-357","B-3471","B-34715","B-3571","B-35715"),
       IF($G199=24,
          "B-386",
          IF($G199=12,
             CHOOSE(MATCH(RAND(),{0,0.32,0.49,0.66,0.74,0.82,0.9,1}),"B-386","B-347","B-357","B-3471","B-34715","B-3571","B-35715"),
             "")
)))</f>
        <v>B-3571</v>
      </c>
      <c r="I199" s="8" t="str">
        <f t="shared" ca="1" si="18"/>
        <v/>
      </c>
      <c r="J199">
        <f t="shared" ca="1" si="15"/>
        <v>60</v>
      </c>
      <c r="K199">
        <f t="shared" ca="1" si="16"/>
        <v>70.75</v>
      </c>
      <c r="L199" s="14">
        <f t="shared" ca="1" si="17"/>
        <v>5.625</v>
      </c>
      <c r="M199" s="14">
        <f t="shared" ca="1" si="19"/>
        <v>1</v>
      </c>
    </row>
    <row r="200" spans="2:13">
      <c r="B200" s="14" t="s">
        <v>157</v>
      </c>
      <c r="C200" s="14">
        <v>0</v>
      </c>
      <c r="D200" s="14"/>
      <c r="E200" s="14">
        <v>1</v>
      </c>
      <c r="F200" s="14">
        <v>0</v>
      </c>
      <c r="G200" s="14">
        <v>12</v>
      </c>
      <c r="H200" s="8" t="str">
        <f ca="1">IF(RAND()&lt;0.25,
    "",
    IF($E200=0,
       CHOOSE(MATCH(RAND(),{0,0.2,0.4,0.6,0.7,0.8,0.85,0.9,0.95,1}),"B-354","B-386","B-4354","B-347","B-357","B-3471","B-34715","B-3571","B-35715"),
       IF($G200=24,
          "B-386",
          IF($G200=12,
             CHOOSE(MATCH(RAND(),{0,0.32,0.49,0.66,0.74,0.82,0.9,1}),"B-386","B-347","B-357","B-3471","B-34715","B-3571","B-35715"),
             "")
)))</f>
        <v>B-357</v>
      </c>
      <c r="I200" s="8" t="str">
        <f t="shared" ca="1" si="18"/>
        <v/>
      </c>
      <c r="J200">
        <f t="shared" ca="1" si="15"/>
        <v>60</v>
      </c>
      <c r="K200">
        <f t="shared" ca="1" si="16"/>
        <v>54.1875</v>
      </c>
      <c r="L200" s="14">
        <f t="shared" ca="1" si="17"/>
        <v>7.25</v>
      </c>
      <c r="M200" s="14">
        <f t="shared" ca="1" si="19"/>
        <v>1.75</v>
      </c>
    </row>
    <row r="201" spans="2:13">
      <c r="B201" s="14" t="s">
        <v>157</v>
      </c>
      <c r="C201" s="14">
        <v>0</v>
      </c>
      <c r="D201" s="14"/>
      <c r="E201" s="14">
        <v>1</v>
      </c>
      <c r="F201" s="14">
        <v>0</v>
      </c>
      <c r="G201" s="14">
        <v>24</v>
      </c>
      <c r="H201" s="8" t="str">
        <f ca="1">IF(RAND()&lt;0.25,
    "",
    IF($E201=0,
       CHOOSE(MATCH(RAND(),{0,0.2,0.4,0.6,0.7,0.8,0.85,0.9,0.95,1}),"B-354","B-386","B-4354","B-347","B-357","B-3471","B-34715","B-3571","B-35715"),
       IF($G201=24,
          "B-386",
          IF($G201=12,
             CHOOSE(MATCH(RAND(),{0,0.32,0.49,0.66,0.74,0.82,0.9,1}),"B-386","B-347","B-357","B-3471","B-34715","B-3571","B-35715"),
             "")
)))</f>
        <v/>
      </c>
      <c r="I201" s="8" t="str">
        <f t="shared" ca="1" si="18"/>
        <v/>
      </c>
      <c r="J201">
        <f t="shared" ca="1" si="15"/>
        <v>60</v>
      </c>
      <c r="K201">
        <f t="shared" ca="1" si="16"/>
        <v>77.1875</v>
      </c>
      <c r="L201" s="14">
        <f t="shared" ca="1" si="17"/>
        <v>3.9375</v>
      </c>
      <c r="M201" s="14">
        <f t="shared" ca="1" si="19"/>
        <v>7.75</v>
      </c>
    </row>
    <row r="202" spans="2:13" hidden="1">
      <c r="B202" s="14" t="s">
        <v>157</v>
      </c>
      <c r="C202" s="14">
        <v>0</v>
      </c>
      <c r="D202" s="14"/>
      <c r="E202" s="14">
        <v>1</v>
      </c>
      <c r="F202" s="14">
        <v>0</v>
      </c>
      <c r="G202" s="14"/>
      <c r="H202" s="8" t="str">
        <f ca="1">IF(RAND()&lt;0.25,
    "",
    IF($E202=0,
       CHOOSE(MATCH(RAND(),{0,0.2,0.4,0.6,0.7,0.8,0.85,0.9,0.95,1}),"B-354","B-386","B-4354","B-347","B-357","B-3471","B-34715","B-3571","B-35715"),
       IF($G202=24,
          "B-386",
          IF($G202=12,
             CHOOSE(MATCH(RAND(),{0,0.32,0.49,0.66,0.74,0.82,0.9,1}),"B-386","B-347","B-357","B-3471","B-34715","B-3571","B-35715"),
             "")
)))</f>
        <v/>
      </c>
      <c r="I202" s="8" t="str">
        <f t="shared" ca="1" si="18"/>
        <v/>
      </c>
      <c r="J202">
        <f t="shared" ca="1" si="15"/>
        <v>60</v>
      </c>
      <c r="K202">
        <f t="shared" ca="1" si="16"/>
        <v>66.5625</v>
      </c>
      <c r="L202" s="14">
        <f t="shared" ca="1" si="17"/>
        <v>1</v>
      </c>
      <c r="M202" s="14">
        <f t="shared" ca="1" si="19"/>
        <v>2.25</v>
      </c>
    </row>
    <row r="203" spans="2:13" hidden="1">
      <c r="B203" s="14" t="s">
        <v>157</v>
      </c>
      <c r="C203" s="14">
        <v>0</v>
      </c>
      <c r="D203" s="14"/>
      <c r="E203" s="14">
        <v>1</v>
      </c>
      <c r="F203" s="14">
        <v>1</v>
      </c>
      <c r="G203" s="14"/>
      <c r="H203" s="8" t="str">
        <f ca="1">IF(RAND()&lt;0.25,
    "",
    IF($E203=0,
       CHOOSE(MATCH(RAND(),{0,0.2,0.4,0.6,0.7,0.8,0.85,0.9,0.95,1}),"B-354","B-386","B-4354","B-347","B-357","B-3471","B-34715","B-3571","B-35715"),
       IF($G203=24,
          "B-386",
          IF($G203=12,
             CHOOSE(MATCH(RAND(),{0,0.32,0.49,0.66,0.74,0.82,0.9,1}),"B-386","B-347","B-357","B-3471","B-34715","B-3571","B-35715"),
             "")
)))</f>
        <v/>
      </c>
      <c r="I203" s="8" t="str">
        <f t="shared" ca="1" si="18"/>
        <v/>
      </c>
      <c r="J203">
        <f t="shared" ca="1" si="15"/>
        <v>60</v>
      </c>
      <c r="K203">
        <f t="shared" ca="1" si="16"/>
        <v>49.8125</v>
      </c>
      <c r="L203" s="14">
        <f t="shared" ca="1" si="17"/>
        <v>6.125</v>
      </c>
      <c r="M203" s="14">
        <f t="shared" ca="1" si="19"/>
        <v>4.5625</v>
      </c>
    </row>
    <row r="204" spans="2:13">
      <c r="B204" s="14" t="s">
        <v>157</v>
      </c>
      <c r="C204" s="14">
        <v>1</v>
      </c>
      <c r="D204" s="14">
        <v>0</v>
      </c>
      <c r="E204" s="14">
        <v>0</v>
      </c>
      <c r="F204" s="14"/>
      <c r="G204" s="14"/>
      <c r="H204" s="8" t="str">
        <f ca="1">IF(RAND()&lt;0.25,
    "",
    IF($E204=0,
       CHOOSE(MATCH(RAND(),{0,0.2,0.4,0.6,0.7,0.8,0.85,0.9,0.95,1}),"B-354","B-386","B-4354","B-347","B-357","B-3471","B-34715","B-3571","B-35715"),
       IF($G204=24,
          "B-386",
          IF($G204=12,
             CHOOSE(MATCH(RAND(),{0,0.32,0.49,0.66,0.74,0.82,0.9,1}),"B-386","B-347","B-357","B-3471","B-34715","B-3571","B-35715"),
             "")
)))</f>
        <v>B-354</v>
      </c>
      <c r="I204" s="8" t="str">
        <f t="shared" ca="1" si="18"/>
        <v/>
      </c>
      <c r="J204">
        <f t="shared" ca="1" si="15"/>
        <v>60</v>
      </c>
      <c r="K204">
        <f t="shared" ca="1" si="16"/>
        <v>47.9375</v>
      </c>
      <c r="L204" s="14">
        <f t="shared" ca="1" si="17"/>
        <v>12</v>
      </c>
      <c r="M204" s="14" t="str">
        <f t="shared" ca="1" si="19"/>
        <v/>
      </c>
    </row>
    <row r="205" spans="2:13" hidden="1">
      <c r="B205" s="14" t="s">
        <v>157</v>
      </c>
      <c r="C205" s="14">
        <v>1</v>
      </c>
      <c r="D205" s="14">
        <v>0</v>
      </c>
      <c r="E205" s="14">
        <v>1</v>
      </c>
      <c r="F205" s="14">
        <v>0</v>
      </c>
      <c r="G205" s="14">
        <v>12</v>
      </c>
      <c r="H205" s="8" t="str">
        <f ca="1">IF(RAND()&lt;0.25,
    "",
    IF($E205=0,
       CHOOSE(MATCH(RAND(),{0,0.2,0.4,0.6,0.7,0.8,0.85,0.9,0.95,1}),"B-354","B-386","B-4354","B-347","B-357","B-3471","B-34715","B-3571","B-35715"),
       IF($G205=24,
          "B-386",
          IF($G205=12,
             CHOOSE(MATCH(RAND(),{0,0.32,0.49,0.66,0.74,0.82,0.9,1}),"B-386","B-347","B-357","B-3471","B-34715","B-3571","B-35715"),
             "")
)))</f>
        <v/>
      </c>
      <c r="I205" s="8" t="str">
        <f t="shared" ca="1" si="18"/>
        <v/>
      </c>
      <c r="J205">
        <f t="shared" ca="1" si="15"/>
        <v>60</v>
      </c>
      <c r="K205">
        <f t="shared" ca="1" si="16"/>
        <v>66.1875</v>
      </c>
      <c r="L205" s="14">
        <f t="shared" ca="1" si="17"/>
        <v>3.25</v>
      </c>
      <c r="M205" s="14">
        <f t="shared" ca="1" si="19"/>
        <v>7.6875</v>
      </c>
    </row>
    <row r="206" spans="2:13" hidden="1">
      <c r="B206" s="14" t="s">
        <v>157</v>
      </c>
      <c r="C206" s="14">
        <v>1</v>
      </c>
      <c r="D206" s="14">
        <v>0</v>
      </c>
      <c r="E206" s="14">
        <v>1</v>
      </c>
      <c r="F206" s="14">
        <v>0</v>
      </c>
      <c r="G206" s="14">
        <v>24</v>
      </c>
      <c r="H206" s="8" t="str">
        <f ca="1">IF(RAND()&lt;0.25,
    "",
    IF($E206=0,
       CHOOSE(MATCH(RAND(),{0,0.2,0.4,0.6,0.7,0.8,0.85,0.9,0.95,1}),"B-354","B-386","B-4354","B-347","B-357","B-3471","B-34715","B-3571","B-35715"),
       IF($G206=24,
          "B-386",
          IF($G206=12,
             CHOOSE(MATCH(RAND(),{0,0.32,0.49,0.66,0.74,0.82,0.9,1}),"B-386","B-347","B-357","B-3471","B-34715","B-3571","B-35715"),
             "")
)))</f>
        <v>B-386</v>
      </c>
      <c r="I206" s="8" t="str">
        <f t="shared" ca="1" si="18"/>
        <v/>
      </c>
      <c r="J206">
        <f t="shared" ca="1" si="15"/>
        <v>60</v>
      </c>
      <c r="K206">
        <f t="shared" ca="1" si="16"/>
        <v>66.4375</v>
      </c>
      <c r="L206" s="14">
        <f t="shared" ca="1" si="17"/>
        <v>12</v>
      </c>
      <c r="M206" s="14" t="str">
        <f t="shared" ca="1" si="19"/>
        <v/>
      </c>
    </row>
    <row r="207" spans="2:13" hidden="1">
      <c r="B207" s="14" t="s">
        <v>157</v>
      </c>
      <c r="C207" s="14">
        <v>1</v>
      </c>
      <c r="D207" s="14">
        <v>0</v>
      </c>
      <c r="E207" s="14">
        <v>1</v>
      </c>
      <c r="F207" s="14">
        <v>0</v>
      </c>
      <c r="G207" s="14"/>
      <c r="H207" s="8" t="str">
        <f ca="1">IF(RAND()&lt;0.25,
    "",
    IF($E207=0,
       CHOOSE(MATCH(RAND(),{0,0.2,0.4,0.6,0.7,0.8,0.85,0.9,0.95,1}),"B-354","B-386","B-4354","B-347","B-357","B-3471","B-34715","B-3571","B-35715"),
       IF($G207=24,
          "B-386",
          IF($G207=12,
             CHOOSE(MATCH(RAND(),{0,0.32,0.49,0.66,0.74,0.82,0.9,1}),"B-386","B-347","B-357","B-3471","B-34715","B-3571","B-35715"),
             "")
)))</f>
        <v/>
      </c>
      <c r="I207" s="8" t="str">
        <f t="shared" ca="1" si="18"/>
        <v/>
      </c>
      <c r="J207">
        <f t="shared" ca="1" si="15"/>
        <v>60</v>
      </c>
      <c r="K207">
        <f t="shared" ca="1" si="16"/>
        <v>79.5</v>
      </c>
      <c r="L207" s="14">
        <f t="shared" ca="1" si="17"/>
        <v>12</v>
      </c>
      <c r="M207" s="14">
        <f t="shared" ca="1" si="19"/>
        <v>1</v>
      </c>
    </row>
    <row r="208" spans="2:13" hidden="1">
      <c r="B208" s="14" t="s">
        <v>157</v>
      </c>
      <c r="C208" s="14">
        <v>1</v>
      </c>
      <c r="D208" s="14">
        <v>0</v>
      </c>
      <c r="E208" s="14">
        <v>1</v>
      </c>
      <c r="F208" s="14">
        <v>1</v>
      </c>
      <c r="G208" s="14"/>
      <c r="H208" s="8" t="str">
        <f ca="1">IF(RAND()&lt;0.25,
    "",
    IF($E208=0,
       CHOOSE(MATCH(RAND(),{0,0.2,0.4,0.6,0.7,0.8,0.85,0.9,0.95,1}),"B-354","B-386","B-4354","B-347","B-357","B-3471","B-34715","B-3571","B-35715"),
       IF($G208=24,
          "B-386",
          IF($G208=12,
             CHOOSE(MATCH(RAND(),{0,0.32,0.49,0.66,0.74,0.82,0.9,1}),"B-386","B-347","B-357","B-3471","B-34715","B-3571","B-35715"),
             "")
)))</f>
        <v/>
      </c>
      <c r="I208" s="8" t="str">
        <f t="shared" ca="1" si="18"/>
        <v/>
      </c>
      <c r="J208">
        <f t="shared" ca="1" si="15"/>
        <v>60</v>
      </c>
      <c r="K208">
        <f t="shared" ca="1" si="16"/>
        <v>5.9375</v>
      </c>
      <c r="L208" s="14">
        <f t="shared" ca="1" si="17"/>
        <v>12</v>
      </c>
      <c r="M208" s="14">
        <f t="shared" ca="1" si="19"/>
        <v>1.625</v>
      </c>
    </row>
    <row r="209" spans="2:13" hidden="1">
      <c r="B209" s="14" t="s">
        <v>157</v>
      </c>
      <c r="C209" s="14">
        <v>1</v>
      </c>
      <c r="D209" s="14">
        <v>1</v>
      </c>
      <c r="E209" s="14">
        <v>0</v>
      </c>
      <c r="F209" s="14"/>
      <c r="G209" s="14"/>
      <c r="H209" s="8" t="str">
        <f ca="1">IF(RAND()&lt;0.25,
    "",
    IF($E209=0,
       CHOOSE(MATCH(RAND(),{0,0.2,0.4,0.6,0.7,0.8,0.85,0.9,0.95,1}),"B-354","B-386","B-4354","B-347","B-357","B-3471","B-34715","B-3571","B-35715"),
       IF($G209=24,
          "B-386",
          IF($G209=12,
             CHOOSE(MATCH(RAND(),{0,0.32,0.49,0.66,0.74,0.82,0.9,1}),"B-386","B-347","B-357","B-3471","B-34715","B-3571","B-35715"),
             "")
)))</f>
        <v>B-386</v>
      </c>
      <c r="I209" s="8" t="str">
        <f t="shared" ca="1" si="18"/>
        <v>B-354</v>
      </c>
      <c r="J209">
        <f t="shared" ca="1" si="15"/>
        <v>60</v>
      </c>
      <c r="K209">
        <f t="shared" ca="1" si="16"/>
        <v>55.0625</v>
      </c>
      <c r="L209" s="14">
        <f t="shared" ca="1" si="17"/>
        <v>12</v>
      </c>
      <c r="M209" s="14">
        <f t="shared" ca="1" si="19"/>
        <v>1</v>
      </c>
    </row>
    <row r="210" spans="2:13">
      <c r="B210" s="14" t="s">
        <v>157</v>
      </c>
      <c r="C210" s="14">
        <v>1</v>
      </c>
      <c r="D210" s="14">
        <v>1</v>
      </c>
      <c r="E210" s="14">
        <v>1</v>
      </c>
      <c r="F210" s="14">
        <v>0</v>
      </c>
      <c r="G210" s="14">
        <v>12</v>
      </c>
      <c r="H210" s="8" t="str">
        <f ca="1">IF(RAND()&lt;0.25,
    "",
    IF($E210=0,
       CHOOSE(MATCH(RAND(),{0,0.2,0.4,0.6,0.7,0.8,0.85,0.9,0.95,1}),"B-354","B-386","B-4354","B-347","B-357","B-3471","B-34715","B-3571","B-35715"),
       IF($G210=24,
          "B-386",
          IF($G210=12,
             CHOOSE(MATCH(RAND(),{0,0.32,0.49,0.66,0.74,0.82,0.9,1}),"B-386","B-347","B-357","B-3471","B-34715","B-3571","B-35715"),
             "")
)))</f>
        <v>B-357</v>
      </c>
      <c r="I210" s="8" t="str">
        <f t="shared" ca="1" si="18"/>
        <v/>
      </c>
      <c r="J210">
        <f t="shared" ca="1" si="15"/>
        <v>60</v>
      </c>
      <c r="K210">
        <f t="shared" ca="1" si="16"/>
        <v>64.5625</v>
      </c>
      <c r="L210" s="14">
        <f t="shared" ca="1" si="17"/>
        <v>4.5</v>
      </c>
      <c r="M210" s="14">
        <f t="shared" ca="1" si="19"/>
        <v>1</v>
      </c>
    </row>
    <row r="211" spans="2:13">
      <c r="B211" s="14" t="s">
        <v>157</v>
      </c>
      <c r="C211" s="14">
        <v>1</v>
      </c>
      <c r="D211" s="14">
        <v>1</v>
      </c>
      <c r="E211" s="14">
        <v>1</v>
      </c>
      <c r="F211" s="14">
        <v>0</v>
      </c>
      <c r="G211" s="14">
        <v>24</v>
      </c>
      <c r="H211" s="8" t="str">
        <f ca="1">IF(RAND()&lt;0.25,
    "",
    IF($E211=0,
       CHOOSE(MATCH(RAND(),{0,0.2,0.4,0.6,0.7,0.8,0.85,0.9,0.95,1}),"B-354","B-386","B-4354","B-347","B-357","B-3471","B-34715","B-3571","B-35715"),
       IF($G211=24,
          "B-386",
          IF($G211=12,
             CHOOSE(MATCH(RAND(),{0,0.32,0.49,0.66,0.74,0.82,0.9,1}),"B-386","B-347","B-357","B-3471","B-34715","B-3571","B-35715"),
             "")
)))</f>
        <v/>
      </c>
      <c r="I211" s="8" t="str">
        <f t="shared" ca="1" si="18"/>
        <v/>
      </c>
      <c r="J211">
        <f t="shared" ca="1" si="15"/>
        <v>60</v>
      </c>
      <c r="K211">
        <f t="shared" ca="1" si="16"/>
        <v>24.3125</v>
      </c>
      <c r="L211" s="14">
        <f t="shared" ca="1" si="17"/>
        <v>2.6875</v>
      </c>
      <c r="M211" s="14">
        <f t="shared" ca="1" si="19"/>
        <v>2.1875</v>
      </c>
    </row>
    <row r="212" spans="2:13" hidden="1">
      <c r="B212" s="14" t="s">
        <v>157</v>
      </c>
      <c r="C212" s="14">
        <v>1</v>
      </c>
      <c r="D212" s="14">
        <v>1</v>
      </c>
      <c r="E212" s="14">
        <v>1</v>
      </c>
      <c r="F212" s="14">
        <v>0</v>
      </c>
      <c r="G212" s="14"/>
      <c r="H212" s="8" t="str">
        <f ca="1">IF(RAND()&lt;0.25,
    "",
    IF($E212=0,
       CHOOSE(MATCH(RAND(),{0,0.2,0.4,0.6,0.7,0.8,0.85,0.9,0.95,1}),"B-354","B-386","B-4354","B-347","B-357","B-3471","B-34715","B-3571","B-35715"),
       IF($G212=24,
          "B-386",
          IF($G212=12,
             CHOOSE(MATCH(RAND(),{0,0.32,0.49,0.66,0.74,0.82,0.9,1}),"B-386","B-347","B-357","B-3471","B-34715","B-3571","B-35715"),
             "")
)))</f>
        <v/>
      </c>
      <c r="I212" s="8" t="str">
        <f t="shared" ca="1" si="18"/>
        <v/>
      </c>
      <c r="J212">
        <f t="shared" ca="1" si="15"/>
        <v>60</v>
      </c>
      <c r="K212">
        <f t="shared" ca="1" si="16"/>
        <v>44.875</v>
      </c>
      <c r="L212" s="14">
        <f t="shared" ca="1" si="17"/>
        <v>2.1875</v>
      </c>
      <c r="M212" s="14">
        <f t="shared" ca="1" si="19"/>
        <v>3.875</v>
      </c>
    </row>
    <row r="213" spans="2:13" hidden="1">
      <c r="B213" s="14" t="s">
        <v>157</v>
      </c>
      <c r="C213" s="14">
        <v>1</v>
      </c>
      <c r="D213" s="14">
        <v>1</v>
      </c>
      <c r="E213" s="14">
        <v>1</v>
      </c>
      <c r="F213" s="14">
        <v>1</v>
      </c>
      <c r="G213" s="14"/>
      <c r="H213" s="8" t="str">
        <f ca="1">IF(RAND()&lt;0.25,
    "",
    IF($E213=0,
       CHOOSE(MATCH(RAND(),{0,0.2,0.4,0.6,0.7,0.8,0.85,0.9,0.95,1}),"B-354","B-386","B-4354","B-347","B-357","B-3471","B-34715","B-3571","B-35715"),
       IF($G213=24,
          "B-386",
          IF($G213=12,
             CHOOSE(MATCH(RAND(),{0,0.32,0.49,0.66,0.74,0.82,0.9,1}),"B-386","B-347","B-357","B-3471","B-34715","B-3571","B-35715"),
             "")
)))</f>
        <v/>
      </c>
      <c r="I213" s="8" t="str">
        <f t="shared" ca="1" si="18"/>
        <v/>
      </c>
      <c r="J213">
        <f t="shared" ca="1" si="15"/>
        <v>60</v>
      </c>
      <c r="K213">
        <f t="shared" ca="1" si="16"/>
        <v>12.875</v>
      </c>
      <c r="L213" s="14">
        <f t="shared" ca="1" si="17"/>
        <v>7.4375</v>
      </c>
      <c r="M213" s="14">
        <f t="shared" ca="1" si="19"/>
        <v>3.875</v>
      </c>
    </row>
    <row r="214" spans="2:13">
      <c r="B214" s="14" t="s">
        <v>21</v>
      </c>
      <c r="C214" s="14">
        <v>0</v>
      </c>
      <c r="D214" s="14"/>
      <c r="E214" s="14">
        <v>0</v>
      </c>
      <c r="F214" s="14"/>
      <c r="G214" s="14"/>
      <c r="H214" s="8" t="str">
        <f ca="1">IF(RAND()&lt;0.25,
    "",
    IF($E214=0,
       CHOOSE(MATCH(RAND(),{0,0.2,0.4,0.6,0.7,0.8,0.85,0.9,0.95,1}),"B-354","B-386","B-4354","B-347","B-357","B-3471","B-34715","B-3571","B-35715"),
       IF($G214=24,
          "B-386",
          IF($G214=12,
             CHOOSE(MATCH(RAND(),{0,0.32,0.49,0.66,0.74,0.82,0.9,1}),"B-386","B-347","B-357","B-3471","B-34715","B-3571","B-35715"),
             "")
)))</f>
        <v>B-357</v>
      </c>
      <c r="I214" s="8" t="str">
        <f t="shared" ca="1" si="18"/>
        <v/>
      </c>
      <c r="J214">
        <f t="shared" ca="1" si="15"/>
        <v>85.75</v>
      </c>
      <c r="K214">
        <f t="shared" ca="1" si="16"/>
        <v>74.4375</v>
      </c>
      <c r="L214" s="14">
        <f t="shared" ca="1" si="17"/>
        <v>4.5</v>
      </c>
      <c r="M214" s="14">
        <f t="shared" ca="1" si="19"/>
        <v>1</v>
      </c>
    </row>
    <row r="215" spans="2:13" hidden="1">
      <c r="B215" s="14" t="s">
        <v>21</v>
      </c>
      <c r="C215" s="14">
        <v>0</v>
      </c>
      <c r="D215" s="14"/>
      <c r="E215" s="14">
        <v>1</v>
      </c>
      <c r="F215" s="14">
        <v>0</v>
      </c>
      <c r="G215" s="14">
        <v>12</v>
      </c>
      <c r="H215" s="8" t="str">
        <f ca="1">IF(RAND()&lt;0.25,
    "",
    IF($E215=0,
       CHOOSE(MATCH(RAND(),{0,0.2,0.4,0.6,0.7,0.8,0.85,0.9,0.95,1}),"B-354","B-386","B-4354","B-347","B-357","B-3471","B-34715","B-3571","B-35715"),
       IF($G215=24,
          "B-386",
          IF($G215=12,
             CHOOSE(MATCH(RAND(),{0,0.32,0.49,0.66,0.74,0.82,0.9,1}),"B-386","B-347","B-357","B-3471","B-34715","B-3571","B-35715"),
             "")
)))</f>
        <v>B-3471</v>
      </c>
      <c r="I215" s="8" t="str">
        <f t="shared" ca="1" si="18"/>
        <v/>
      </c>
      <c r="J215">
        <f t="shared" ca="1" si="15"/>
        <v>82.375</v>
      </c>
      <c r="K215">
        <f t="shared" ca="1" si="16"/>
        <v>65.9375</v>
      </c>
      <c r="L215" s="14">
        <f t="shared" ca="1" si="17"/>
        <v>4.5</v>
      </c>
      <c r="M215" s="14">
        <f t="shared" ca="1" si="19"/>
        <v>8.375</v>
      </c>
    </row>
    <row r="216" spans="2:13">
      <c r="B216" s="14" t="s">
        <v>21</v>
      </c>
      <c r="C216" s="14">
        <v>0</v>
      </c>
      <c r="D216" s="14"/>
      <c r="E216" s="14">
        <v>1</v>
      </c>
      <c r="F216" s="14">
        <v>0</v>
      </c>
      <c r="G216" s="14">
        <v>24</v>
      </c>
      <c r="H216" s="8" t="str">
        <f ca="1">IF(RAND()&lt;0.25,
    "",
    IF($E216=0,
       CHOOSE(MATCH(RAND(),{0,0.2,0.4,0.6,0.7,0.8,0.85,0.9,0.95,1}),"B-354","B-386","B-4354","B-347","B-357","B-3471","B-34715","B-3571","B-35715"),
       IF($G216=24,
          "B-386",
          IF($G216=12,
             CHOOSE(MATCH(RAND(),{0,0.32,0.49,0.66,0.74,0.82,0.9,1}),"B-386","B-347","B-357","B-3471","B-34715","B-3571","B-35715"),
             "")
)))</f>
        <v>B-386</v>
      </c>
      <c r="I216" s="8" t="str">
        <f t="shared" ca="1" si="18"/>
        <v/>
      </c>
      <c r="J216">
        <f t="shared" ca="1" si="15"/>
        <v>96.8125</v>
      </c>
      <c r="K216">
        <f t="shared" ca="1" si="16"/>
        <v>47.3125</v>
      </c>
      <c r="L216" s="14">
        <f t="shared" ca="1" si="17"/>
        <v>4.3125</v>
      </c>
      <c r="M216" s="14" t="str">
        <f t="shared" ca="1" si="19"/>
        <v/>
      </c>
    </row>
    <row r="217" spans="2:13" hidden="1">
      <c r="B217" s="14" t="s">
        <v>21</v>
      </c>
      <c r="C217" s="14">
        <v>0</v>
      </c>
      <c r="D217" s="14"/>
      <c r="E217" s="14">
        <v>1</v>
      </c>
      <c r="F217" s="14">
        <v>0</v>
      </c>
      <c r="G217" s="14"/>
      <c r="H217" s="8" t="str">
        <f ca="1">IF(RAND()&lt;0.25,
    "",
    IF($E217=0,
       CHOOSE(MATCH(RAND(),{0,0.2,0.4,0.6,0.7,0.8,0.85,0.9,0.95,1}),"B-354","B-386","B-4354","B-347","B-357","B-3471","B-34715","B-3571","B-35715"),
       IF($G217=24,
          "B-386",
          IF($G217=12,
             CHOOSE(MATCH(RAND(),{0,0.32,0.49,0.66,0.74,0.82,0.9,1}),"B-386","B-347","B-357","B-3471","B-34715","B-3571","B-35715"),
             "")
)))</f>
        <v/>
      </c>
      <c r="I217" s="8" t="str">
        <f t="shared" ca="1" si="18"/>
        <v/>
      </c>
      <c r="J217">
        <f t="shared" ca="1" si="15"/>
        <v>90.25</v>
      </c>
      <c r="K217">
        <f t="shared" ca="1" si="16"/>
        <v>65.3125</v>
      </c>
      <c r="L217" s="14">
        <f t="shared" ca="1" si="17"/>
        <v>4.5</v>
      </c>
      <c r="M217" s="14">
        <f t="shared" ca="1" si="19"/>
        <v>8.1875</v>
      </c>
    </row>
    <row r="218" spans="2:13" hidden="1">
      <c r="B218" s="14" t="s">
        <v>21</v>
      </c>
      <c r="C218" s="14">
        <v>0</v>
      </c>
      <c r="D218" s="14"/>
      <c r="E218" s="14">
        <v>1</v>
      </c>
      <c r="F218" s="14">
        <v>1</v>
      </c>
      <c r="G218" s="14"/>
      <c r="H218" s="8" t="str">
        <f ca="1">IF(RAND()&lt;0.25,
    "",
    IF($E218=0,
       CHOOSE(MATCH(RAND(),{0,0.2,0.4,0.6,0.7,0.8,0.85,0.9,0.95,1}),"B-354","B-386","B-4354","B-347","B-357","B-3471","B-34715","B-3571","B-35715"),
       IF($G218=24,
          "B-386",
          IF($G218=12,
             CHOOSE(MATCH(RAND(),{0,0.32,0.49,0.66,0.74,0.82,0.9,1}),"B-386","B-347","B-357","B-3471","B-34715","B-3571","B-35715"),
             "")
)))</f>
        <v/>
      </c>
      <c r="I218" s="8" t="str">
        <f t="shared" ca="1" si="18"/>
        <v/>
      </c>
      <c r="J218">
        <f t="shared" ca="1" si="15"/>
        <v>49.75</v>
      </c>
      <c r="K218">
        <f t="shared" ca="1" si="16"/>
        <v>11.5</v>
      </c>
      <c r="L218" s="14">
        <f t="shared" ca="1" si="17"/>
        <v>12</v>
      </c>
      <c r="M218" s="14">
        <f t="shared" ca="1" si="19"/>
        <v>1</v>
      </c>
    </row>
    <row r="219" spans="2:13">
      <c r="B219" s="14" t="s">
        <v>21</v>
      </c>
      <c r="C219" s="14">
        <v>1</v>
      </c>
      <c r="D219" s="14">
        <v>0</v>
      </c>
      <c r="E219" s="14">
        <v>0</v>
      </c>
      <c r="F219" s="14"/>
      <c r="G219" s="14"/>
      <c r="H219" s="8" t="str">
        <f ca="1">IF(RAND()&lt;0.25,
    "",
    IF($E219=0,
       CHOOSE(MATCH(RAND(),{0,0.2,0.4,0.6,0.7,0.8,0.85,0.9,0.95,1}),"B-354","B-386","B-4354","B-347","B-357","B-3471","B-34715","B-3571","B-35715"),
       IF($G219=24,
          "B-386",
          IF($G219=12,
             CHOOSE(MATCH(RAND(),{0,0.32,0.49,0.66,0.74,0.82,0.9,1}),"B-386","B-347","B-357","B-3471","B-34715","B-3571","B-35715"),
             "")
)))</f>
        <v>B-354</v>
      </c>
      <c r="I219" s="8" t="str">
        <f t="shared" ca="1" si="18"/>
        <v>B-386</v>
      </c>
      <c r="J219">
        <f t="shared" ca="1" si="15"/>
        <v>46.0625</v>
      </c>
      <c r="K219">
        <f t="shared" ca="1" si="16"/>
        <v>48.4375</v>
      </c>
      <c r="L219" s="14">
        <f t="shared" ca="1" si="17"/>
        <v>6.375</v>
      </c>
      <c r="M219" s="14">
        <f t="shared" ca="1" si="19"/>
        <v>4.8125</v>
      </c>
    </row>
    <row r="220" spans="2:13">
      <c r="B220" s="14" t="s">
        <v>21</v>
      </c>
      <c r="C220" s="14">
        <v>1</v>
      </c>
      <c r="D220" s="14">
        <v>0</v>
      </c>
      <c r="E220" s="14">
        <v>1</v>
      </c>
      <c r="F220" s="14">
        <v>0</v>
      </c>
      <c r="G220" s="14">
        <v>12</v>
      </c>
      <c r="H220" s="8" t="str">
        <f ca="1">IF(RAND()&lt;0.25,
    "",
    IF($E220=0,
       CHOOSE(MATCH(RAND(),{0,0.2,0.4,0.6,0.7,0.8,0.85,0.9,0.95,1}),"B-354","B-386","B-4354","B-347","B-357","B-3471","B-34715","B-3571","B-35715"),
       IF($G220=24,
          "B-386",
          IF($G220=12,
             CHOOSE(MATCH(RAND(),{0,0.32,0.49,0.66,0.74,0.82,0.9,1}),"B-386","B-347","B-357","B-3471","B-34715","B-3571","B-35715"),
             "")
)))</f>
        <v>B-357</v>
      </c>
      <c r="I220" s="8" t="str">
        <f t="shared" ca="1" si="18"/>
        <v/>
      </c>
      <c r="J220">
        <f t="shared" ca="1" si="15"/>
        <v>43.875</v>
      </c>
      <c r="K220">
        <f t="shared" ca="1" si="16"/>
        <v>56.75</v>
      </c>
      <c r="L220" s="14">
        <f t="shared" ca="1" si="17"/>
        <v>7.25</v>
      </c>
      <c r="M220" s="14">
        <f t="shared" ca="1" si="19"/>
        <v>6.3125</v>
      </c>
    </row>
    <row r="221" spans="2:13" hidden="1">
      <c r="B221" s="14" t="s">
        <v>21</v>
      </c>
      <c r="C221" s="14">
        <v>1</v>
      </c>
      <c r="D221" s="14">
        <v>0</v>
      </c>
      <c r="E221" s="14">
        <v>1</v>
      </c>
      <c r="F221" s="14">
        <v>0</v>
      </c>
      <c r="G221" s="14">
        <v>24</v>
      </c>
      <c r="H221" s="8" t="str">
        <f ca="1">IF(RAND()&lt;0.25,
    "",
    IF($E221=0,
       CHOOSE(MATCH(RAND(),{0,0.2,0.4,0.6,0.7,0.8,0.85,0.9,0.95,1}),"B-354","B-386","B-4354","B-347","B-357","B-3471","B-34715","B-3571","B-35715"),
       IF($G221=24,
          "B-386",
          IF($G221=12,
             CHOOSE(MATCH(RAND(),{0,0.32,0.49,0.66,0.74,0.82,0.9,1}),"B-386","B-347","B-357","B-3471","B-34715","B-3571","B-35715"),
             "")
)))</f>
        <v/>
      </c>
      <c r="I221" s="8" t="str">
        <f t="shared" ca="1" si="18"/>
        <v/>
      </c>
      <c r="J221">
        <f t="shared" ca="1" si="15"/>
        <v>56.875</v>
      </c>
      <c r="K221">
        <f t="shared" ca="1" si="16"/>
        <v>50.125</v>
      </c>
      <c r="L221" s="14">
        <f t="shared" ca="1" si="17"/>
        <v>1.875</v>
      </c>
      <c r="M221" s="14" t="str">
        <f t="shared" ca="1" si="19"/>
        <v/>
      </c>
    </row>
    <row r="222" spans="2:13" hidden="1">
      <c r="B222" s="14" t="s">
        <v>21</v>
      </c>
      <c r="C222" s="14">
        <v>1</v>
      </c>
      <c r="D222" s="14">
        <v>0</v>
      </c>
      <c r="E222" s="14">
        <v>1</v>
      </c>
      <c r="F222" s="14">
        <v>0</v>
      </c>
      <c r="G222" s="14"/>
      <c r="H222" s="8" t="str">
        <f ca="1">IF(RAND()&lt;0.25,
    "",
    IF($E222=0,
       CHOOSE(MATCH(RAND(),{0,0.2,0.4,0.6,0.7,0.8,0.85,0.9,0.95,1}),"B-354","B-386","B-4354","B-347","B-357","B-3471","B-34715","B-3571","B-35715"),
       IF($G222=24,
          "B-386",
          IF($G222=12,
             CHOOSE(MATCH(RAND(),{0,0.32,0.49,0.66,0.74,0.82,0.9,1}),"B-386","B-347","B-357","B-3471","B-34715","B-3571","B-35715"),
             "")
)))</f>
        <v/>
      </c>
      <c r="I222" s="8" t="str">
        <f t="shared" ca="1" si="18"/>
        <v/>
      </c>
      <c r="J222">
        <f t="shared" ca="1" si="15"/>
        <v>62.25</v>
      </c>
      <c r="K222">
        <f t="shared" ca="1" si="16"/>
        <v>47.0625</v>
      </c>
      <c r="L222" s="14">
        <f t="shared" ca="1" si="17"/>
        <v>1</v>
      </c>
      <c r="M222" s="14" t="str">
        <f t="shared" ca="1" si="19"/>
        <v/>
      </c>
    </row>
    <row r="223" spans="2:13" hidden="1">
      <c r="B223" s="14" t="s">
        <v>21</v>
      </c>
      <c r="C223" s="14">
        <v>1</v>
      </c>
      <c r="D223" s="14">
        <v>0</v>
      </c>
      <c r="E223" s="14">
        <v>1</v>
      </c>
      <c r="F223" s="14">
        <v>1</v>
      </c>
      <c r="G223" s="14"/>
      <c r="H223" s="8" t="str">
        <f ca="1">IF(RAND()&lt;0.25,
    "",
    IF($E223=0,
       CHOOSE(MATCH(RAND(),{0,0.2,0.4,0.6,0.7,0.8,0.85,0.9,0.95,1}),"B-354","B-386","B-4354","B-347","B-357","B-3471","B-34715","B-3571","B-35715"),
       IF($G223=24,
          "B-386",
          IF($G223=12,
             CHOOSE(MATCH(RAND(),{0,0.32,0.49,0.66,0.74,0.82,0.9,1}),"B-386","B-347","B-357","B-3471","B-34715","B-3571","B-35715"),
             "")
)))</f>
        <v/>
      </c>
      <c r="I223" s="8" t="str">
        <f t="shared" ca="1" si="18"/>
        <v/>
      </c>
      <c r="J223">
        <f t="shared" ca="1" si="15"/>
        <v>92.125</v>
      </c>
      <c r="K223">
        <f t="shared" ca="1" si="16"/>
        <v>55.625</v>
      </c>
      <c r="L223" s="14">
        <f t="shared" ca="1" si="17"/>
        <v>4.5</v>
      </c>
      <c r="M223" s="14" t="str">
        <f t="shared" ca="1" si="19"/>
        <v/>
      </c>
    </row>
    <row r="224" spans="2:13">
      <c r="B224" s="14" t="s">
        <v>21</v>
      </c>
      <c r="C224" s="14">
        <v>1</v>
      </c>
      <c r="D224" s="14">
        <v>1</v>
      </c>
      <c r="E224" s="14">
        <v>0</v>
      </c>
      <c r="F224" s="14"/>
      <c r="G224" s="14"/>
      <c r="H224" s="8" t="str">
        <f ca="1">IF(RAND()&lt;0.25,
    "",
    IF($E224=0,
       CHOOSE(MATCH(RAND(),{0,0.2,0.4,0.6,0.7,0.8,0.85,0.9,0.95,1}),"B-354","B-386","B-4354","B-347","B-357","B-3471","B-34715","B-3571","B-35715"),
       IF($G224=24,
          "B-386",
          IF($G224=12,
             CHOOSE(MATCH(RAND(),{0,0.32,0.49,0.66,0.74,0.82,0.9,1}),"B-386","B-347","B-357","B-3471","B-34715","B-3571","B-35715"),
             "")
)))</f>
        <v>B-354</v>
      </c>
      <c r="I224" s="8" t="str">
        <f t="shared" ca="1" si="18"/>
        <v/>
      </c>
      <c r="J224">
        <f t="shared" ca="1" si="15"/>
        <v>80</v>
      </c>
      <c r="K224">
        <f t="shared" ca="1" si="16"/>
        <v>64.5</v>
      </c>
      <c r="L224" s="14">
        <f t="shared" ca="1" si="17"/>
        <v>9</v>
      </c>
      <c r="M224" s="14">
        <f t="shared" ca="1" si="19"/>
        <v>3.875</v>
      </c>
    </row>
    <row r="225" spans="2:13" hidden="1">
      <c r="B225" s="14" t="s">
        <v>21</v>
      </c>
      <c r="C225" s="14">
        <v>1</v>
      </c>
      <c r="D225" s="14">
        <v>1</v>
      </c>
      <c r="E225" s="14">
        <v>1</v>
      </c>
      <c r="F225" s="14">
        <v>0</v>
      </c>
      <c r="G225" s="14">
        <v>12</v>
      </c>
      <c r="H225" s="8" t="str">
        <f ca="1">IF(RAND()&lt;0.25,
    "",
    IF($E225=0,
       CHOOSE(MATCH(RAND(),{0,0.2,0.4,0.6,0.7,0.8,0.85,0.9,0.95,1}),"B-354","B-386","B-4354","B-347","B-357","B-3471","B-34715","B-3571","B-35715"),
       IF($G225=24,
          "B-386",
          IF($G225=12,
             CHOOSE(MATCH(RAND(),{0,0.32,0.49,0.66,0.74,0.82,0.9,1}),"B-386","B-347","B-357","B-3471","B-34715","B-3571","B-35715"),
             "")
)))</f>
        <v>B-3571</v>
      </c>
      <c r="I225" s="8" t="str">
        <f t="shared" ca="1" si="18"/>
        <v/>
      </c>
      <c r="J225">
        <f t="shared" ca="1" si="15"/>
        <v>95.9375</v>
      </c>
      <c r="K225">
        <f t="shared" ca="1" si="16"/>
        <v>55.4375</v>
      </c>
      <c r="L225" s="14">
        <f t="shared" ca="1" si="17"/>
        <v>12</v>
      </c>
      <c r="M225" s="14">
        <f t="shared" ca="1" si="19"/>
        <v>5.4375</v>
      </c>
    </row>
    <row r="226" spans="2:13">
      <c r="B226" s="14" t="s">
        <v>21</v>
      </c>
      <c r="C226" s="14">
        <v>1</v>
      </c>
      <c r="D226" s="14">
        <v>1</v>
      </c>
      <c r="E226" s="14">
        <v>1</v>
      </c>
      <c r="F226" s="14">
        <v>0</v>
      </c>
      <c r="G226" s="14">
        <v>24</v>
      </c>
      <c r="H226" s="8" t="str">
        <f ca="1">IF(RAND()&lt;0.25,
    "",
    IF($E226=0,
       CHOOSE(MATCH(RAND(),{0,0.2,0.4,0.6,0.7,0.8,0.85,0.9,0.95,1}),"B-354","B-386","B-4354","B-347","B-357","B-3471","B-34715","B-3571","B-35715"),
       IF($G226=24,
          "B-386",
          IF($G226=12,
             CHOOSE(MATCH(RAND(),{0,0.32,0.49,0.66,0.74,0.82,0.9,1}),"B-386","B-347","B-357","B-3471","B-34715","B-3571","B-35715"),
             "")
)))</f>
        <v/>
      </c>
      <c r="I226" s="8" t="str">
        <f t="shared" ca="1" si="18"/>
        <v/>
      </c>
      <c r="J226">
        <f t="shared" ca="1" si="15"/>
        <v>70.8125</v>
      </c>
      <c r="K226">
        <f t="shared" ca="1" si="16"/>
        <v>65.125</v>
      </c>
      <c r="L226" s="14">
        <f t="shared" ca="1" si="17"/>
        <v>9</v>
      </c>
      <c r="M226" s="14">
        <f t="shared" ca="1" si="19"/>
        <v>1</v>
      </c>
    </row>
    <row r="227" spans="2:13" hidden="1">
      <c r="B227" s="14" t="s">
        <v>21</v>
      </c>
      <c r="C227" s="14">
        <v>1</v>
      </c>
      <c r="D227" s="14">
        <v>1</v>
      </c>
      <c r="E227" s="14">
        <v>1</v>
      </c>
      <c r="F227" s="14">
        <v>0</v>
      </c>
      <c r="G227" s="14"/>
      <c r="H227" s="8" t="str">
        <f ca="1">IF(RAND()&lt;0.25,
    "",
    IF($E227=0,
       CHOOSE(MATCH(RAND(),{0,0.2,0.4,0.6,0.7,0.8,0.85,0.9,0.95,1}),"B-354","B-386","B-4354","B-347","B-357","B-3471","B-34715","B-3571","B-35715"),
       IF($G227=24,
          "B-386",
          IF($G227=12,
             CHOOSE(MATCH(RAND(),{0,0.32,0.49,0.66,0.74,0.82,0.9,1}),"B-386","B-347","B-357","B-3471","B-34715","B-3571","B-35715"),
             "")
)))</f>
        <v/>
      </c>
      <c r="I227" s="8" t="str">
        <f t="shared" ca="1" si="18"/>
        <v/>
      </c>
      <c r="J227">
        <f t="shared" ca="1" si="15"/>
        <v>61.75</v>
      </c>
      <c r="K227">
        <f t="shared" ca="1" si="16"/>
        <v>12.125</v>
      </c>
      <c r="L227" s="14">
        <f t="shared" ca="1" si="17"/>
        <v>4.5</v>
      </c>
      <c r="M227" s="14">
        <f t="shared" ca="1" si="19"/>
        <v>6.8125</v>
      </c>
    </row>
    <row r="228" spans="2:13" ht="15" hidden="1" thickBot="1">
      <c r="B228" s="50" t="s">
        <v>21</v>
      </c>
      <c r="C228" s="50">
        <v>1</v>
      </c>
      <c r="D228" s="50">
        <v>1</v>
      </c>
      <c r="E228" s="50">
        <v>1</v>
      </c>
      <c r="F228" s="50">
        <v>1</v>
      </c>
      <c r="G228" s="50"/>
      <c r="H228" s="51" t="str">
        <f ca="1">IF(RAND()&lt;0.25,
    "",
    IF($E228=0,
       CHOOSE(MATCH(RAND(),{0,0.2,0.4,0.6,0.7,0.8,0.85,0.9,0.95,1}),"B-354","B-386","B-4354","B-347","B-357","B-3471","B-34715","B-3571","B-35715"),
       IF($G228=24,
          "B-386",
          IF($G228=12,
             CHOOSE(MATCH(RAND(),{0,0.32,0.49,0.66,0.74,0.82,0.9,1}),"B-386","B-347","B-357","B-3471","B-34715","B-3571","B-35715"),
             "")
)))</f>
        <v/>
      </c>
      <c r="I228" s="51" t="str">
        <f t="shared" ca="1" si="18"/>
        <v/>
      </c>
      <c r="J228" s="49">
        <f t="shared" ca="1" si="15"/>
        <v>60.8125</v>
      </c>
      <c r="K228" s="49">
        <f t="shared" ca="1" si="16"/>
        <v>68.0625</v>
      </c>
      <c r="L228" s="50">
        <f t="shared" ca="1" si="17"/>
        <v>12</v>
      </c>
      <c r="M228" s="14">
        <f t="shared" ca="1" si="19"/>
        <v>5.9375</v>
      </c>
    </row>
    <row r="229" spans="2:13">
      <c r="B229" s="14" t="s">
        <v>156</v>
      </c>
      <c r="C229" s="19">
        <v>0</v>
      </c>
      <c r="D229" s="19"/>
      <c r="E229" s="19">
        <v>0</v>
      </c>
      <c r="F229" s="19"/>
      <c r="G229" s="14"/>
      <c r="H229" s="8" t="str">
        <f ca="1">IF(RAND()&lt;0.25,
    "",
    IF($E229=0,
       CHOOSE(MATCH(RAND(),{0,0.2,0.4,0.6,0.7,0.8,0.85,0.9,0.95,1}),"B-354","B-386","B-4354","B-347","B-357","B-3471","B-34715","B-3571","B-35715"),
       IF($G229=24,
          "B-386",
          IF($G229=12,
             CHOOSE(MATCH(RAND(),{0,0.32,0.49,0.66,0.74,0.82,0.9,1}),"B-386","B-347","B-357","B-3471","B-34715","B-3571","B-35715"),
             "")
)))</f>
        <v>B-4354</v>
      </c>
      <c r="I229" s="8" t="str">
        <f t="shared" ca="1" si="18"/>
        <v/>
      </c>
      <c r="J229">
        <f t="shared" ca="1" si="15"/>
        <v>15.125</v>
      </c>
      <c r="K229">
        <f t="shared" ca="1" si="16"/>
        <v>73.1875</v>
      </c>
      <c r="L229" s="14">
        <f t="shared" ca="1" si="17"/>
        <v>4.875</v>
      </c>
      <c r="M229" s="14">
        <f t="shared" ca="1" si="19"/>
        <v>1</v>
      </c>
    </row>
    <row r="230" spans="2:13" hidden="1">
      <c r="B230" s="14" t="s">
        <v>156</v>
      </c>
      <c r="C230" s="14">
        <v>0</v>
      </c>
      <c r="D230" s="14"/>
      <c r="E230" s="14">
        <v>1</v>
      </c>
      <c r="F230" s="14">
        <v>0</v>
      </c>
      <c r="G230" s="14">
        <v>12</v>
      </c>
      <c r="H230" s="8" t="str">
        <f ca="1">IF(RAND()&lt;0.25,
    "",
    IF($E230=0,
       CHOOSE(MATCH(RAND(),{0,0.2,0.4,0.6,0.7,0.8,0.85,0.9,0.95,1}),"B-354","B-386","B-4354","B-347","B-357","B-3471","B-34715","B-3571","B-35715"),
       IF($G230=24,
          "B-386",
          IF($G230=12,
             CHOOSE(MATCH(RAND(),{0,0.32,0.49,0.66,0.74,0.82,0.9,1}),"B-386","B-347","B-357","B-3471","B-34715","B-3571","B-35715"),
             "")
)))</f>
        <v>B-386</v>
      </c>
      <c r="I230" s="8" t="str">
        <f t="shared" ca="1" si="18"/>
        <v/>
      </c>
      <c r="J230">
        <f t="shared" ca="1" si="15"/>
        <v>38.625</v>
      </c>
      <c r="K230">
        <f t="shared" ca="1" si="16"/>
        <v>68.1875</v>
      </c>
      <c r="L230" s="14">
        <f t="shared" ca="1" si="17"/>
        <v>4.5</v>
      </c>
      <c r="M230" s="14">
        <f t="shared" ca="1" si="19"/>
        <v>1.9375</v>
      </c>
    </row>
    <row r="231" spans="2:13">
      <c r="B231" s="14" t="s">
        <v>156</v>
      </c>
      <c r="C231" s="14">
        <v>0</v>
      </c>
      <c r="D231" s="14"/>
      <c r="E231" s="14">
        <v>1</v>
      </c>
      <c r="F231" s="14">
        <v>0</v>
      </c>
      <c r="G231" s="14">
        <v>24</v>
      </c>
      <c r="H231" s="8" t="str">
        <f ca="1">IF(RAND()&lt;0.25,
    "",
    IF($E231=0,
       CHOOSE(MATCH(RAND(),{0,0.2,0.4,0.6,0.7,0.8,0.85,0.9,0.95,1}),"B-354","B-386","B-4354","B-347","B-357","B-3471","B-34715","B-3571","B-35715"),
       IF($G231=24,
          "B-386",
          IF($G231=12,
             CHOOSE(MATCH(RAND(),{0,0.32,0.49,0.66,0.74,0.82,0.9,1}),"B-386","B-347","B-357","B-3471","B-34715","B-3571","B-35715"),
             "")
)))</f>
        <v>B-386</v>
      </c>
      <c r="I231" s="8" t="str">
        <f t="shared" ca="1" si="18"/>
        <v/>
      </c>
      <c r="J231">
        <f t="shared" ca="1" si="15"/>
        <v>5.875</v>
      </c>
      <c r="K231">
        <f t="shared" ca="1" si="16"/>
        <v>48.9375</v>
      </c>
      <c r="L231" s="14">
        <f t="shared" ca="1" si="17"/>
        <v>11.25</v>
      </c>
      <c r="M231" s="14">
        <f t="shared" ca="1" si="19"/>
        <v>1.0625</v>
      </c>
    </row>
    <row r="232" spans="2:13" hidden="1">
      <c r="B232" s="14" t="s">
        <v>156</v>
      </c>
      <c r="C232" s="14">
        <v>0</v>
      </c>
      <c r="D232" s="14"/>
      <c r="E232" s="14">
        <v>1</v>
      </c>
      <c r="F232" s="14">
        <v>0</v>
      </c>
      <c r="G232" s="14"/>
      <c r="H232" s="8" t="str">
        <f ca="1">IF(RAND()&lt;0.25,
    "",
    IF($E232=0,
       CHOOSE(MATCH(RAND(),{0,0.2,0.4,0.6,0.7,0.8,0.85,0.9,0.95,1}),"B-354","B-386","B-4354","B-347","B-357","B-3471","B-34715","B-3571","B-35715"),
       IF($G232=24,
          "B-386",
          IF($G232=12,
             CHOOSE(MATCH(RAND(),{0,0.32,0.49,0.66,0.74,0.82,0.9,1}),"B-386","B-347","B-357","B-3471","B-34715","B-3571","B-35715"),
             "")
)))</f>
        <v/>
      </c>
      <c r="I232" s="8" t="str">
        <f t="shared" ca="1" si="18"/>
        <v/>
      </c>
      <c r="J232">
        <f t="shared" ca="1" si="15"/>
        <v>45.8125</v>
      </c>
      <c r="K232">
        <f t="shared" ca="1" si="16"/>
        <v>16.25</v>
      </c>
      <c r="L232" s="14">
        <f t="shared" ca="1" si="17"/>
        <v>6.8125</v>
      </c>
      <c r="M232" s="14">
        <f t="shared" ca="1" si="19"/>
        <v>1.25</v>
      </c>
    </row>
    <row r="233" spans="2:13" hidden="1">
      <c r="B233" s="14" t="s">
        <v>156</v>
      </c>
      <c r="C233" s="14">
        <v>0</v>
      </c>
      <c r="D233" s="14"/>
      <c r="E233" s="14">
        <v>1</v>
      </c>
      <c r="F233" s="14">
        <v>1</v>
      </c>
      <c r="G233" s="14"/>
      <c r="H233" s="8" t="str">
        <f ca="1">IF(RAND()&lt;0.25,
    "",
    IF($E233=0,
       CHOOSE(MATCH(RAND(),{0,0.2,0.4,0.6,0.7,0.8,0.85,0.9,0.95,1}),"B-354","B-386","B-4354","B-347","B-357","B-3471","B-34715","B-3571","B-35715"),
       IF($G233=24,
          "B-386",
          IF($G233=12,
             CHOOSE(MATCH(RAND(),{0,0.32,0.49,0.66,0.74,0.82,0.9,1}),"B-386","B-347","B-357","B-3471","B-34715","B-3571","B-35715"),
             "")
)))</f>
        <v/>
      </c>
      <c r="I233" s="8" t="str">
        <f t="shared" ca="1" si="18"/>
        <v/>
      </c>
      <c r="J233">
        <f t="shared" ca="1" si="15"/>
        <v>17.5</v>
      </c>
      <c r="K233">
        <f t="shared" ca="1" si="16"/>
        <v>77.625</v>
      </c>
      <c r="L233" s="14">
        <f t="shared" ca="1" si="17"/>
        <v>2.125</v>
      </c>
      <c r="M233" s="14">
        <f t="shared" ca="1" si="19"/>
        <v>3.3125</v>
      </c>
    </row>
    <row r="234" spans="2:13">
      <c r="B234" s="14" t="s">
        <v>156</v>
      </c>
      <c r="C234" s="14">
        <v>1</v>
      </c>
      <c r="D234" s="14">
        <v>0</v>
      </c>
      <c r="E234" s="14">
        <v>0</v>
      </c>
      <c r="F234" s="14"/>
      <c r="G234" s="14"/>
      <c r="H234" s="8" t="str">
        <f ca="1">IF(RAND()&lt;0.25,
    "",
    IF($E234=0,
       CHOOSE(MATCH(RAND(),{0,0.2,0.4,0.6,0.7,0.8,0.85,0.9,0.95,1}),"B-354","B-386","B-4354","B-347","B-357","B-3471","B-34715","B-3571","B-35715"),
       IF($G234=24,
          "B-386",
          IF($G234=12,
             CHOOSE(MATCH(RAND(),{0,0.32,0.49,0.66,0.74,0.82,0.9,1}),"B-386","B-347","B-357","B-3471","B-34715","B-3571","B-35715"),
             "")
)))</f>
        <v/>
      </c>
      <c r="I234" s="8" t="str">
        <f t="shared" ca="1" si="18"/>
        <v/>
      </c>
      <c r="J234">
        <f t="shared" ca="1" si="15"/>
        <v>4.875</v>
      </c>
      <c r="K234">
        <f t="shared" ca="1" si="16"/>
        <v>20.6875</v>
      </c>
      <c r="L234" s="14">
        <f t="shared" ca="1" si="17"/>
        <v>9</v>
      </c>
      <c r="M234" s="14">
        <f t="shared" ca="1" si="19"/>
        <v>7.0625</v>
      </c>
    </row>
    <row r="235" spans="2:13">
      <c r="B235" s="14" t="s">
        <v>156</v>
      </c>
      <c r="C235" s="14">
        <v>1</v>
      </c>
      <c r="D235" s="14">
        <v>0</v>
      </c>
      <c r="E235" s="14">
        <v>1</v>
      </c>
      <c r="F235" s="14">
        <v>0</v>
      </c>
      <c r="G235" s="14">
        <v>12</v>
      </c>
      <c r="H235" s="8" t="str">
        <f ca="1">IF(RAND()&lt;0.25,
    "",
    IF($E235=0,
       CHOOSE(MATCH(RAND(),{0,0.2,0.4,0.6,0.7,0.8,0.85,0.9,0.95,1}),"B-354","B-386","B-4354","B-347","B-357","B-3471","B-34715","B-3571","B-35715"),
       IF($G235=24,
          "B-386",
          IF($G235=12,
             CHOOSE(MATCH(RAND(),{0,0.32,0.49,0.66,0.74,0.82,0.9,1}),"B-386","B-347","B-357","B-3471","B-34715","B-3571","B-35715"),
             "")
)))</f>
        <v>B-3471</v>
      </c>
      <c r="I235" s="8" t="str">
        <f t="shared" ca="1" si="18"/>
        <v/>
      </c>
      <c r="J235">
        <f t="shared" ca="1" si="15"/>
        <v>38</v>
      </c>
      <c r="K235">
        <f t="shared" ca="1" si="16"/>
        <v>65.125</v>
      </c>
      <c r="L235" s="14">
        <f t="shared" ca="1" si="17"/>
        <v>12</v>
      </c>
      <c r="M235" s="14">
        <f t="shared" ca="1" si="19"/>
        <v>6.625</v>
      </c>
    </row>
    <row r="236" spans="2:13">
      <c r="B236" s="14" t="s">
        <v>156</v>
      </c>
      <c r="C236" s="14">
        <v>1</v>
      </c>
      <c r="D236" s="14">
        <v>0</v>
      </c>
      <c r="E236" s="14">
        <v>1</v>
      </c>
      <c r="F236" s="14">
        <v>0</v>
      </c>
      <c r="G236" s="14">
        <v>24</v>
      </c>
      <c r="H236" s="8" t="str">
        <f ca="1">IF(RAND()&lt;0.25,
    "",
    IF($E236=0,
       CHOOSE(MATCH(RAND(),{0,0.2,0.4,0.6,0.7,0.8,0.85,0.9,0.95,1}),"B-354","B-386","B-4354","B-347","B-357","B-3471","B-34715","B-3571","B-35715"),
       IF($G236=24,
          "B-386",
          IF($G236=12,
             CHOOSE(MATCH(RAND(),{0,0.32,0.49,0.66,0.74,0.82,0.9,1}),"B-386","B-347","B-357","B-3471","B-34715","B-3571","B-35715"),
             "")
)))</f>
        <v>B-386</v>
      </c>
      <c r="I236" s="8" t="str">
        <f t="shared" ca="1" si="18"/>
        <v/>
      </c>
      <c r="J236">
        <f t="shared" ca="1" si="15"/>
        <v>11.8125</v>
      </c>
      <c r="K236">
        <f t="shared" ca="1" si="16"/>
        <v>60.6875</v>
      </c>
      <c r="L236" s="14">
        <f t="shared" ca="1" si="17"/>
        <v>5.75</v>
      </c>
      <c r="M236" s="14" t="str">
        <f t="shared" ca="1" si="19"/>
        <v/>
      </c>
    </row>
    <row r="237" spans="2:13" hidden="1">
      <c r="B237" s="14" t="s">
        <v>156</v>
      </c>
      <c r="C237" s="14">
        <v>1</v>
      </c>
      <c r="D237" s="14">
        <v>0</v>
      </c>
      <c r="E237" s="14">
        <v>1</v>
      </c>
      <c r="F237" s="14">
        <v>0</v>
      </c>
      <c r="G237" s="14"/>
      <c r="H237" s="8" t="str">
        <f ca="1">IF(RAND()&lt;0.25,
    "",
    IF($E237=0,
       CHOOSE(MATCH(RAND(),{0,0.2,0.4,0.6,0.7,0.8,0.85,0.9,0.95,1}),"B-354","B-386","B-4354","B-347","B-357","B-3471","B-34715","B-3571","B-35715"),
       IF($G237=24,
          "B-386",
          IF($G237=12,
             CHOOSE(MATCH(RAND(),{0,0.32,0.49,0.66,0.74,0.82,0.9,1}),"B-386","B-347","B-357","B-3471","B-34715","B-3571","B-35715"),
             "")
)))</f>
        <v/>
      </c>
      <c r="I237" s="8" t="str">
        <f t="shared" ca="1" si="18"/>
        <v/>
      </c>
      <c r="J237">
        <f t="shared" ca="1" si="15"/>
        <v>36.375</v>
      </c>
      <c r="K237">
        <f t="shared" ca="1" si="16"/>
        <v>11.75</v>
      </c>
      <c r="L237" s="14">
        <f t="shared" ca="1" si="17"/>
        <v>12</v>
      </c>
      <c r="M237" s="14">
        <f t="shared" ca="1" si="19"/>
        <v>5</v>
      </c>
    </row>
    <row r="238" spans="2:13" hidden="1">
      <c r="B238" s="14" t="s">
        <v>156</v>
      </c>
      <c r="C238" s="14">
        <v>1</v>
      </c>
      <c r="D238" s="14">
        <v>0</v>
      </c>
      <c r="E238" s="14">
        <v>1</v>
      </c>
      <c r="F238" s="14">
        <v>1</v>
      </c>
      <c r="G238" s="14"/>
      <c r="H238" s="8" t="str">
        <f ca="1">IF(RAND()&lt;0.25,
    "",
    IF($E238=0,
       CHOOSE(MATCH(RAND(),{0,0.2,0.4,0.6,0.7,0.8,0.85,0.9,0.95,1}),"B-354","B-386","B-4354","B-347","B-357","B-3471","B-34715","B-3571","B-35715"),
       IF($G238=24,
          "B-386",
          IF($G238=12,
             CHOOSE(MATCH(RAND(),{0,0.32,0.49,0.66,0.74,0.82,0.9,1}),"B-386","B-347","B-357","B-3471","B-34715","B-3571","B-35715"),
             "")
)))</f>
        <v/>
      </c>
      <c r="I238" s="8" t="str">
        <f t="shared" ca="1" si="18"/>
        <v/>
      </c>
      <c r="J238">
        <f t="shared" ca="1" si="15"/>
        <v>46.75</v>
      </c>
      <c r="K238">
        <f t="shared" ca="1" si="16"/>
        <v>15.375</v>
      </c>
      <c r="L238" s="14">
        <f t="shared" ca="1" si="17"/>
        <v>3.625</v>
      </c>
      <c r="M238" s="14">
        <f t="shared" ca="1" si="19"/>
        <v>7.5</v>
      </c>
    </row>
    <row r="239" spans="2:13">
      <c r="B239" s="14" t="s">
        <v>156</v>
      </c>
      <c r="C239" s="14">
        <v>1</v>
      </c>
      <c r="D239" s="14">
        <v>1</v>
      </c>
      <c r="E239" s="14">
        <v>0</v>
      </c>
      <c r="F239" s="14"/>
      <c r="G239" s="14"/>
      <c r="H239" s="8" t="str">
        <f ca="1">IF(RAND()&lt;0.25,
    "",
    IF($E239=0,
       CHOOSE(MATCH(RAND(),{0,0.2,0.4,0.6,0.7,0.8,0.85,0.9,0.95,1}),"B-354","B-386","B-4354","B-347","B-357","B-3471","B-34715","B-3571","B-35715"),
       IF($G239=24,
          "B-386",
          IF($G239=12,
             CHOOSE(MATCH(RAND(),{0,0.32,0.49,0.66,0.74,0.82,0.9,1}),"B-386","B-347","B-357","B-3471","B-34715","B-3571","B-35715"),
             "")
)))</f>
        <v>B-386</v>
      </c>
      <c r="I239" s="8" t="str">
        <f t="shared" ca="1" si="18"/>
        <v/>
      </c>
      <c r="J239">
        <f t="shared" ca="1" si="15"/>
        <v>30.0625</v>
      </c>
      <c r="K239">
        <f t="shared" ca="1" si="16"/>
        <v>58.5</v>
      </c>
      <c r="L239" s="14">
        <f t="shared" ca="1" si="17"/>
        <v>9</v>
      </c>
      <c r="M239" s="14">
        <f t="shared" ca="1" si="19"/>
        <v>1</v>
      </c>
    </row>
    <row r="240" spans="2:13">
      <c r="B240" s="14" t="s">
        <v>156</v>
      </c>
      <c r="C240" s="14">
        <v>1</v>
      </c>
      <c r="D240" s="14">
        <v>1</v>
      </c>
      <c r="E240" s="14">
        <v>1</v>
      </c>
      <c r="F240" s="14">
        <v>0</v>
      </c>
      <c r="G240" s="14">
        <v>12</v>
      </c>
      <c r="H240" s="8" t="str">
        <f ca="1">IF(RAND()&lt;0.25,
    "",
    IF($E240=0,
       CHOOSE(MATCH(RAND(),{0,0.2,0.4,0.6,0.7,0.8,0.85,0.9,0.95,1}),"B-354","B-386","B-4354","B-347","B-357","B-3471","B-34715","B-3571","B-35715"),
       IF($G240=24,
          "B-386",
          IF($G240=12,
             CHOOSE(MATCH(RAND(),{0,0.32,0.49,0.66,0.74,0.82,0.9,1}),"B-386","B-347","B-357","B-3471","B-34715","B-3571","B-35715"),
             "")
)))</f>
        <v>B-34715</v>
      </c>
      <c r="I240" s="8" t="str">
        <f t="shared" ca="1" si="18"/>
        <v/>
      </c>
      <c r="J240">
        <f t="shared" ca="1" si="15"/>
        <v>40</v>
      </c>
      <c r="K240">
        <f t="shared" ca="1" si="16"/>
        <v>47.8125</v>
      </c>
      <c r="L240" s="14">
        <f t="shared" ca="1" si="17"/>
        <v>1</v>
      </c>
      <c r="M240" s="14">
        <f t="shared" ca="1" si="19"/>
        <v>7.25</v>
      </c>
    </row>
    <row r="241" spans="2:13">
      <c r="B241" s="14" t="s">
        <v>156</v>
      </c>
      <c r="C241" s="14">
        <v>1</v>
      </c>
      <c r="D241" s="14">
        <v>1</v>
      </c>
      <c r="E241" s="14">
        <v>1</v>
      </c>
      <c r="F241" s="14">
        <v>0</v>
      </c>
      <c r="G241" s="14">
        <v>24</v>
      </c>
      <c r="H241" s="8" t="str">
        <f ca="1">IF(RAND()&lt;0.25,
    "",
    IF($E241=0,
       CHOOSE(MATCH(RAND(),{0,0.2,0.4,0.6,0.7,0.8,0.85,0.9,0.95,1}),"B-354","B-386","B-4354","B-347","B-357","B-3471","B-34715","B-3571","B-35715"),
       IF($G241=24,
          "B-386",
          IF($G241=12,
             CHOOSE(MATCH(RAND(),{0,0.32,0.49,0.66,0.74,0.82,0.9,1}),"B-386","B-347","B-357","B-3471","B-34715","B-3571","B-35715"),
             "")
)))</f>
        <v>B-386</v>
      </c>
      <c r="I241" s="8" t="str">
        <f t="shared" ca="1" si="18"/>
        <v/>
      </c>
      <c r="J241">
        <f t="shared" ref="J241:J304" ca="1" si="20">IF(B241="BOTTOM",
   60,
   IF(B241="TOP",
      RANDBETWEEN(3*16,50*16)/16,
      IF(B241="WHOLE",
         IF(RAND()&lt;0.75,
            RANDBETWEEN(36*16,110*16)/16,
            96
         ),
         ""
      )
   )
)</f>
        <v>31.25</v>
      </c>
      <c r="K241">
        <f t="shared" ref="K241:K304" ca="1" si="21">_xlfn.LET(
_xlpm.minVal, IF($H241&lt;&gt;"",40,5),
RANDBETWEEN(_xlpm.minVal*16,80*16)/16
)</f>
        <v>63.875</v>
      </c>
      <c r="L241" s="14">
        <f t="shared" ca="1" si="17"/>
        <v>10.75</v>
      </c>
      <c r="M241" s="14">
        <f t="shared" ca="1" si="19"/>
        <v>1</v>
      </c>
    </row>
    <row r="242" spans="2:13" hidden="1">
      <c r="B242" s="14" t="s">
        <v>156</v>
      </c>
      <c r="C242" s="14">
        <v>1</v>
      </c>
      <c r="D242" s="14">
        <v>1</v>
      </c>
      <c r="E242" s="14">
        <v>1</v>
      </c>
      <c r="F242" s="14">
        <v>0</v>
      </c>
      <c r="G242" s="14"/>
      <c r="H242" s="8" t="str">
        <f ca="1">IF(RAND()&lt;0.25,
    "",
    IF($E242=0,
       CHOOSE(MATCH(RAND(),{0,0.2,0.4,0.6,0.7,0.8,0.85,0.9,0.95,1}),"B-354","B-386","B-4354","B-347","B-357","B-3471","B-34715","B-3571","B-35715"),
       IF($G242=24,
          "B-386",
          IF($G242=12,
             CHOOSE(MATCH(RAND(),{0,0.32,0.49,0.66,0.74,0.82,0.9,1}),"B-386","B-347","B-357","B-3471","B-34715","B-3571","B-35715"),
             "")
)))</f>
        <v/>
      </c>
      <c r="I242" s="8" t="str">
        <f t="shared" ca="1" si="18"/>
        <v/>
      </c>
      <c r="J242">
        <f t="shared" ca="1" si="20"/>
        <v>26</v>
      </c>
      <c r="K242">
        <f t="shared" ca="1" si="21"/>
        <v>78.5625</v>
      </c>
      <c r="L242" s="14">
        <f t="shared" ca="1" si="17"/>
        <v>9</v>
      </c>
      <c r="M242" s="14">
        <f t="shared" ca="1" si="19"/>
        <v>1</v>
      </c>
    </row>
    <row r="243" spans="2:13" hidden="1">
      <c r="B243" s="14" t="s">
        <v>156</v>
      </c>
      <c r="C243" s="14">
        <v>1</v>
      </c>
      <c r="D243" s="14">
        <v>1</v>
      </c>
      <c r="E243" s="14">
        <v>1</v>
      </c>
      <c r="F243" s="14">
        <v>1</v>
      </c>
      <c r="G243" s="14"/>
      <c r="H243" s="8" t="str">
        <f ca="1">IF(RAND()&lt;0.25,
    "",
    IF($E243=0,
       CHOOSE(MATCH(RAND(),{0,0.2,0.4,0.6,0.7,0.8,0.85,0.9,0.95,1}),"B-354","B-386","B-4354","B-347","B-357","B-3471","B-34715","B-3571","B-35715"),
       IF($G243=24,
          "B-386",
          IF($G243=12,
             CHOOSE(MATCH(RAND(),{0,0.32,0.49,0.66,0.74,0.82,0.9,1}),"B-386","B-347","B-357","B-3471","B-34715","B-3571","B-35715"),
             "")
)))</f>
        <v/>
      </c>
      <c r="I243" s="8" t="str">
        <f t="shared" ca="1" si="18"/>
        <v/>
      </c>
      <c r="J243">
        <f t="shared" ca="1" si="20"/>
        <v>42.0625</v>
      </c>
      <c r="K243">
        <f t="shared" ca="1" si="21"/>
        <v>47.8125</v>
      </c>
      <c r="L243" s="14">
        <f t="shared" ca="1" si="17"/>
        <v>8.9375</v>
      </c>
      <c r="M243" s="14">
        <f t="shared" ca="1" si="19"/>
        <v>1</v>
      </c>
    </row>
    <row r="244" spans="2:13" hidden="1">
      <c r="B244" s="14" t="s">
        <v>157</v>
      </c>
      <c r="C244" s="14">
        <v>0</v>
      </c>
      <c r="D244" s="14"/>
      <c r="E244" s="14">
        <v>0</v>
      </c>
      <c r="F244" s="14"/>
      <c r="G244" s="14"/>
      <c r="H244" s="8" t="str">
        <f ca="1">IF(RAND()&lt;0.25,
    "",
    IF($E244=0,
       CHOOSE(MATCH(RAND(),{0,0.2,0.4,0.6,0.7,0.8,0.85,0.9,0.95,1}),"B-354","B-386","B-4354","B-347","B-357","B-3471","B-34715","B-3571","B-35715"),
       IF($G244=24,
          "B-386",
          IF($G244=12,
             CHOOSE(MATCH(RAND(),{0,0.32,0.49,0.66,0.74,0.82,0.9,1}),"B-386","B-347","B-357","B-3471","B-34715","B-3571","B-35715"),
             "")
)))</f>
        <v>B-354</v>
      </c>
      <c r="I244" s="8" t="str">
        <f t="shared" ca="1" si="18"/>
        <v>B-386</v>
      </c>
      <c r="J244">
        <f t="shared" ca="1" si="20"/>
        <v>60</v>
      </c>
      <c r="K244">
        <f t="shared" ca="1" si="21"/>
        <v>67.375</v>
      </c>
      <c r="L244" s="14">
        <f t="shared" ca="1" si="17"/>
        <v>4.5</v>
      </c>
      <c r="M244" s="14">
        <f t="shared" ca="1" si="19"/>
        <v>6.5</v>
      </c>
    </row>
    <row r="245" spans="2:13">
      <c r="B245" s="14" t="s">
        <v>157</v>
      </c>
      <c r="C245" s="14">
        <v>0</v>
      </c>
      <c r="D245" s="14"/>
      <c r="E245" s="14">
        <v>1</v>
      </c>
      <c r="F245" s="14">
        <v>0</v>
      </c>
      <c r="G245" s="14">
        <v>12</v>
      </c>
      <c r="H245" s="8" t="str">
        <f ca="1">IF(RAND()&lt;0.25,
    "",
    IF($E245=0,
       CHOOSE(MATCH(RAND(),{0,0.2,0.4,0.6,0.7,0.8,0.85,0.9,0.95,1}),"B-354","B-386","B-4354","B-347","B-357","B-3471","B-34715","B-3571","B-35715"),
       IF($G245=24,
          "B-386",
          IF($G245=12,
             CHOOSE(MATCH(RAND(),{0,0.32,0.49,0.66,0.74,0.82,0.9,1}),"B-386","B-347","B-357","B-3471","B-34715","B-3571","B-35715"),
             "")
)))</f>
        <v>B-3471</v>
      </c>
      <c r="I245" s="8" t="str">
        <f t="shared" ca="1" si="18"/>
        <v/>
      </c>
      <c r="J245">
        <f t="shared" ca="1" si="20"/>
        <v>60</v>
      </c>
      <c r="K245">
        <f t="shared" ca="1" si="21"/>
        <v>44.1875</v>
      </c>
      <c r="L245" s="14">
        <f t="shared" ca="1" si="17"/>
        <v>12</v>
      </c>
      <c r="M245" s="14">
        <f t="shared" ca="1" si="19"/>
        <v>4.4375</v>
      </c>
    </row>
    <row r="246" spans="2:13">
      <c r="B246" s="14" t="s">
        <v>157</v>
      </c>
      <c r="C246" s="14">
        <v>0</v>
      </c>
      <c r="D246" s="14"/>
      <c r="E246" s="14">
        <v>1</v>
      </c>
      <c r="F246" s="14">
        <v>0</v>
      </c>
      <c r="G246" s="14">
        <v>24</v>
      </c>
      <c r="H246" s="8" t="str">
        <f ca="1">IF(RAND()&lt;0.25,
    "",
    IF($E246=0,
       CHOOSE(MATCH(RAND(),{0,0.2,0.4,0.6,0.7,0.8,0.85,0.9,0.95,1}),"B-354","B-386","B-4354","B-347","B-357","B-3471","B-34715","B-3571","B-35715"),
       IF($G246=24,
          "B-386",
          IF($G246=12,
             CHOOSE(MATCH(RAND(),{0,0.32,0.49,0.66,0.74,0.82,0.9,1}),"B-386","B-347","B-357","B-3471","B-34715","B-3571","B-35715"),
             "")
)))</f>
        <v>B-386</v>
      </c>
      <c r="I246" s="8" t="str">
        <f t="shared" ca="1" si="18"/>
        <v/>
      </c>
      <c r="J246">
        <f t="shared" ca="1" si="20"/>
        <v>60</v>
      </c>
      <c r="K246">
        <f t="shared" ca="1" si="21"/>
        <v>44.5</v>
      </c>
      <c r="L246" s="14">
        <f t="shared" ca="1" si="17"/>
        <v>5.25</v>
      </c>
      <c r="M246" s="14">
        <f t="shared" ca="1" si="19"/>
        <v>1</v>
      </c>
    </row>
    <row r="247" spans="2:13" hidden="1">
      <c r="B247" s="14" t="s">
        <v>157</v>
      </c>
      <c r="C247" s="14">
        <v>0</v>
      </c>
      <c r="D247" s="14"/>
      <c r="E247" s="14">
        <v>1</v>
      </c>
      <c r="F247" s="14">
        <v>0</v>
      </c>
      <c r="G247" s="14"/>
      <c r="H247" s="8" t="str">
        <f ca="1">IF(RAND()&lt;0.25,
    "",
    IF($E247=0,
       CHOOSE(MATCH(RAND(),{0,0.2,0.4,0.6,0.7,0.8,0.85,0.9,0.95,1}),"B-354","B-386","B-4354","B-347","B-357","B-3471","B-34715","B-3571","B-35715"),
       IF($G247=24,
          "B-386",
          IF($G247=12,
             CHOOSE(MATCH(RAND(),{0,0.32,0.49,0.66,0.74,0.82,0.9,1}),"B-386","B-347","B-357","B-3471","B-34715","B-3571","B-35715"),
             "")
)))</f>
        <v/>
      </c>
      <c r="I247" s="8" t="str">
        <f t="shared" ca="1" si="18"/>
        <v/>
      </c>
      <c r="J247">
        <f t="shared" ca="1" si="20"/>
        <v>60</v>
      </c>
      <c r="K247">
        <f t="shared" ca="1" si="21"/>
        <v>54.5</v>
      </c>
      <c r="L247" s="14">
        <f t="shared" ca="1" si="17"/>
        <v>4.4375</v>
      </c>
      <c r="M247" s="14" t="str">
        <f t="shared" ca="1" si="19"/>
        <v/>
      </c>
    </row>
    <row r="248" spans="2:13" hidden="1">
      <c r="B248" s="14" t="s">
        <v>157</v>
      </c>
      <c r="C248" s="14">
        <v>0</v>
      </c>
      <c r="D248" s="14"/>
      <c r="E248" s="14">
        <v>1</v>
      </c>
      <c r="F248" s="14">
        <v>1</v>
      </c>
      <c r="G248" s="14"/>
      <c r="H248" s="8" t="str">
        <f ca="1">IF(RAND()&lt;0.25,
    "",
    IF($E248=0,
       CHOOSE(MATCH(RAND(),{0,0.2,0.4,0.6,0.7,0.8,0.85,0.9,0.95,1}),"B-354","B-386","B-4354","B-347","B-357","B-3471","B-34715","B-3571","B-35715"),
       IF($G248=24,
          "B-386",
          IF($G248=12,
             CHOOSE(MATCH(RAND(),{0,0.32,0.49,0.66,0.74,0.82,0.9,1}),"B-386","B-347","B-357","B-3471","B-34715","B-3571","B-35715"),
             "")
)))</f>
        <v/>
      </c>
      <c r="I248" s="8" t="str">
        <f t="shared" ca="1" si="18"/>
        <v/>
      </c>
      <c r="J248">
        <f t="shared" ca="1" si="20"/>
        <v>60</v>
      </c>
      <c r="K248">
        <f t="shared" ca="1" si="21"/>
        <v>59.5</v>
      </c>
      <c r="L248" s="14">
        <f t="shared" ca="1" si="17"/>
        <v>12</v>
      </c>
      <c r="M248" s="14">
        <f t="shared" ca="1" si="19"/>
        <v>7.5</v>
      </c>
    </row>
    <row r="249" spans="2:13">
      <c r="B249" s="14" t="s">
        <v>157</v>
      </c>
      <c r="C249" s="14">
        <v>1</v>
      </c>
      <c r="D249" s="14">
        <v>0</v>
      </c>
      <c r="E249" s="14">
        <v>0</v>
      </c>
      <c r="F249" s="14"/>
      <c r="G249" s="14"/>
      <c r="H249" s="8" t="str">
        <f ca="1">IF(RAND()&lt;0.25,
    "",
    IF($E249=0,
       CHOOSE(MATCH(RAND(),{0,0.2,0.4,0.6,0.7,0.8,0.85,0.9,0.95,1}),"B-354","B-386","B-4354","B-347","B-357","B-3471","B-34715","B-3571","B-35715"),
       IF($G249=24,
          "B-386",
          IF($G249=12,
             CHOOSE(MATCH(RAND(),{0,0.32,0.49,0.66,0.74,0.82,0.9,1}),"B-386","B-347","B-357","B-3471","B-34715","B-3571","B-35715"),
             "")
)))</f>
        <v>B-354</v>
      </c>
      <c r="I249" s="8" t="str">
        <f t="shared" ca="1" si="18"/>
        <v>B-386</v>
      </c>
      <c r="J249">
        <f t="shared" ca="1" si="20"/>
        <v>60</v>
      </c>
      <c r="K249">
        <f t="shared" ca="1" si="21"/>
        <v>70.625</v>
      </c>
      <c r="L249" s="14">
        <f t="shared" ca="1" si="17"/>
        <v>4.5</v>
      </c>
      <c r="M249" s="14" t="str">
        <f t="shared" ca="1" si="19"/>
        <v/>
      </c>
    </row>
    <row r="250" spans="2:13">
      <c r="B250" s="14" t="s">
        <v>157</v>
      </c>
      <c r="C250" s="14">
        <v>1</v>
      </c>
      <c r="D250" s="14">
        <v>0</v>
      </c>
      <c r="E250" s="14">
        <v>1</v>
      </c>
      <c r="F250" s="14">
        <v>0</v>
      </c>
      <c r="G250" s="14">
        <v>12</v>
      </c>
      <c r="H250" s="8" t="str">
        <f ca="1">IF(RAND()&lt;0.25,
    "",
    IF($E250=0,
       CHOOSE(MATCH(RAND(),{0,0.2,0.4,0.6,0.7,0.8,0.85,0.9,0.95,1}),"B-354","B-386","B-4354","B-347","B-357","B-3471","B-34715","B-3571","B-35715"),
       IF($G250=24,
          "B-386",
          IF($G250=12,
             CHOOSE(MATCH(RAND(),{0,0.32,0.49,0.66,0.74,0.82,0.9,1}),"B-386","B-347","B-357","B-3471","B-34715","B-3571","B-35715"),
             "")
)))</f>
        <v>B-357</v>
      </c>
      <c r="I250" s="8" t="str">
        <f t="shared" ca="1" si="18"/>
        <v/>
      </c>
      <c r="J250">
        <f t="shared" ca="1" si="20"/>
        <v>60</v>
      </c>
      <c r="K250">
        <f t="shared" ca="1" si="21"/>
        <v>47.3125</v>
      </c>
      <c r="L250" s="14">
        <f t="shared" ca="1" si="17"/>
        <v>12</v>
      </c>
      <c r="M250" s="14" t="str">
        <f t="shared" ca="1" si="19"/>
        <v/>
      </c>
    </row>
    <row r="251" spans="2:13">
      <c r="B251" s="14" t="s">
        <v>157</v>
      </c>
      <c r="C251" s="14">
        <v>1</v>
      </c>
      <c r="D251" s="14">
        <v>0</v>
      </c>
      <c r="E251" s="14">
        <v>1</v>
      </c>
      <c r="F251" s="14">
        <v>0</v>
      </c>
      <c r="G251" s="14">
        <v>24</v>
      </c>
      <c r="H251" s="8" t="str">
        <f ca="1">IF(RAND()&lt;0.25,
    "",
    IF($E251=0,
       CHOOSE(MATCH(RAND(),{0,0.2,0.4,0.6,0.7,0.8,0.85,0.9,0.95,1}),"B-354","B-386","B-4354","B-347","B-357","B-3471","B-34715","B-3571","B-35715"),
       IF($G251=24,
          "B-386",
          IF($G251=12,
             CHOOSE(MATCH(RAND(),{0,0.32,0.49,0.66,0.74,0.82,0.9,1}),"B-386","B-347","B-357","B-3471","B-34715","B-3571","B-35715"),
             "")
)))</f>
        <v/>
      </c>
      <c r="I251" s="8" t="str">
        <f t="shared" ca="1" si="18"/>
        <v/>
      </c>
      <c r="J251">
        <f t="shared" ca="1" si="20"/>
        <v>60</v>
      </c>
      <c r="K251">
        <f t="shared" ca="1" si="21"/>
        <v>31.125</v>
      </c>
      <c r="L251" s="14">
        <f t="shared" ca="1" si="17"/>
        <v>1</v>
      </c>
      <c r="M251" s="14">
        <f t="shared" ca="1" si="19"/>
        <v>3.125</v>
      </c>
    </row>
    <row r="252" spans="2:13" hidden="1">
      <c r="B252" s="14" t="s">
        <v>157</v>
      </c>
      <c r="C252" s="14">
        <v>1</v>
      </c>
      <c r="D252" s="14">
        <v>0</v>
      </c>
      <c r="E252" s="14">
        <v>1</v>
      </c>
      <c r="F252" s="14">
        <v>0</v>
      </c>
      <c r="G252" s="14"/>
      <c r="H252" s="8" t="str">
        <f ca="1">IF(RAND()&lt;0.25,
    "",
    IF($E252=0,
       CHOOSE(MATCH(RAND(),{0,0.2,0.4,0.6,0.7,0.8,0.85,0.9,0.95,1}),"B-354","B-386","B-4354","B-347","B-357","B-3471","B-34715","B-3571","B-35715"),
       IF($G252=24,
          "B-386",
          IF($G252=12,
             CHOOSE(MATCH(RAND(),{0,0.32,0.49,0.66,0.74,0.82,0.9,1}),"B-386","B-347","B-357","B-3471","B-34715","B-3571","B-35715"),
             "")
)))</f>
        <v/>
      </c>
      <c r="I252" s="8" t="str">
        <f t="shared" ca="1" si="18"/>
        <v/>
      </c>
      <c r="J252">
        <f t="shared" ca="1" si="20"/>
        <v>60</v>
      </c>
      <c r="K252">
        <f t="shared" ca="1" si="21"/>
        <v>15.9375</v>
      </c>
      <c r="L252" s="14">
        <f t="shared" ca="1" si="17"/>
        <v>9</v>
      </c>
      <c r="M252" s="14">
        <f t="shared" ca="1" si="19"/>
        <v>2.875</v>
      </c>
    </row>
    <row r="253" spans="2:13" hidden="1">
      <c r="B253" s="14" t="s">
        <v>157</v>
      </c>
      <c r="C253" s="14">
        <v>1</v>
      </c>
      <c r="D253" s="14">
        <v>0</v>
      </c>
      <c r="E253" s="14">
        <v>1</v>
      </c>
      <c r="F253" s="14">
        <v>1</v>
      </c>
      <c r="G253" s="14"/>
      <c r="H253" s="8" t="str">
        <f ca="1">IF(RAND()&lt;0.25,
    "",
    IF($E253=0,
       CHOOSE(MATCH(RAND(),{0,0.2,0.4,0.6,0.7,0.8,0.85,0.9,0.95,1}),"B-354","B-386","B-4354","B-347","B-357","B-3471","B-34715","B-3571","B-35715"),
       IF($G253=24,
          "B-386",
          IF($G253=12,
             CHOOSE(MATCH(RAND(),{0,0.32,0.49,0.66,0.74,0.82,0.9,1}),"B-386","B-347","B-357","B-3471","B-34715","B-3571","B-35715"),
             "")
)))</f>
        <v/>
      </c>
      <c r="I253" s="8" t="str">
        <f t="shared" ca="1" si="18"/>
        <v/>
      </c>
      <c r="J253">
        <f t="shared" ca="1" si="20"/>
        <v>60</v>
      </c>
      <c r="K253">
        <f t="shared" ca="1" si="21"/>
        <v>76.1875</v>
      </c>
      <c r="L253" s="14">
        <f t="shared" ca="1" si="17"/>
        <v>8.375</v>
      </c>
      <c r="M253" s="14">
        <f t="shared" ca="1" si="19"/>
        <v>5.8125</v>
      </c>
    </row>
    <row r="254" spans="2:13">
      <c r="B254" s="14" t="s">
        <v>157</v>
      </c>
      <c r="C254" s="14">
        <v>1</v>
      </c>
      <c r="D254" s="14">
        <v>1</v>
      </c>
      <c r="E254" s="14">
        <v>0</v>
      </c>
      <c r="F254" s="14"/>
      <c r="G254" s="14"/>
      <c r="H254" s="8" t="str">
        <f ca="1">IF(RAND()&lt;0.25,
    "",
    IF($E254=0,
       CHOOSE(MATCH(RAND(),{0,0.2,0.4,0.6,0.7,0.8,0.85,0.9,0.95,1}),"B-354","B-386","B-4354","B-347","B-357","B-3471","B-34715","B-3571","B-35715"),
       IF($G254=24,
          "B-386",
          IF($G254=12,
             CHOOSE(MATCH(RAND(),{0,0.32,0.49,0.66,0.74,0.82,0.9,1}),"B-386","B-347","B-357","B-3471","B-34715","B-3571","B-35715"),
             "")
)))</f>
        <v>B-357</v>
      </c>
      <c r="I254" s="8" t="str">
        <f t="shared" ca="1" si="18"/>
        <v/>
      </c>
      <c r="J254">
        <f t="shared" ca="1" si="20"/>
        <v>60</v>
      </c>
      <c r="K254">
        <f t="shared" ca="1" si="21"/>
        <v>53</v>
      </c>
      <c r="L254" s="14">
        <f t="shared" ca="1" si="17"/>
        <v>12</v>
      </c>
      <c r="M254" s="14">
        <f t="shared" ca="1" si="19"/>
        <v>1</v>
      </c>
    </row>
    <row r="255" spans="2:13" hidden="1">
      <c r="B255" s="14" t="s">
        <v>157</v>
      </c>
      <c r="C255" s="14">
        <v>1</v>
      </c>
      <c r="D255" s="14">
        <v>1</v>
      </c>
      <c r="E255" s="14">
        <v>1</v>
      </c>
      <c r="F255" s="14">
        <v>0</v>
      </c>
      <c r="G255" s="14">
        <v>12</v>
      </c>
      <c r="H255" s="8" t="str">
        <f ca="1">IF(RAND()&lt;0.25,
    "",
    IF($E255=0,
       CHOOSE(MATCH(RAND(),{0,0.2,0.4,0.6,0.7,0.8,0.85,0.9,0.95,1}),"B-354","B-386","B-4354","B-347","B-357","B-3471","B-34715","B-3571","B-35715"),
       IF($G255=24,
          "B-386",
          IF($G255=12,
             CHOOSE(MATCH(RAND(),{0,0.32,0.49,0.66,0.74,0.82,0.9,1}),"B-386","B-347","B-357","B-3471","B-34715","B-3571","B-35715"),
             "")
)))</f>
        <v>B-34715</v>
      </c>
      <c r="I255" s="8" t="str">
        <f t="shared" ca="1" si="18"/>
        <v/>
      </c>
      <c r="J255">
        <f t="shared" ca="1" si="20"/>
        <v>60</v>
      </c>
      <c r="K255">
        <f t="shared" ca="1" si="21"/>
        <v>73.5</v>
      </c>
      <c r="L255" s="14">
        <f t="shared" ca="1" si="17"/>
        <v>1.6875</v>
      </c>
      <c r="M255" s="14">
        <f t="shared" ca="1" si="19"/>
        <v>2.75</v>
      </c>
    </row>
    <row r="256" spans="2:13">
      <c r="B256" s="14" t="s">
        <v>157</v>
      </c>
      <c r="C256" s="14">
        <v>1</v>
      </c>
      <c r="D256" s="14">
        <v>1</v>
      </c>
      <c r="E256" s="14">
        <v>1</v>
      </c>
      <c r="F256" s="14">
        <v>0</v>
      </c>
      <c r="G256" s="14">
        <v>24</v>
      </c>
      <c r="H256" s="8" t="str">
        <f ca="1">IF(RAND()&lt;0.25,
    "",
    IF($E256=0,
       CHOOSE(MATCH(RAND(),{0,0.2,0.4,0.6,0.7,0.8,0.85,0.9,0.95,1}),"B-354","B-386","B-4354","B-347","B-357","B-3471","B-34715","B-3571","B-35715"),
       IF($G256=24,
          "B-386",
          IF($G256=12,
             CHOOSE(MATCH(RAND(),{0,0.32,0.49,0.66,0.74,0.82,0.9,1}),"B-386","B-347","B-357","B-3471","B-34715","B-3571","B-35715"),
             "")
)))</f>
        <v/>
      </c>
      <c r="I256" s="8" t="str">
        <f t="shared" ca="1" si="18"/>
        <v/>
      </c>
      <c r="J256">
        <f t="shared" ca="1" si="20"/>
        <v>60</v>
      </c>
      <c r="K256">
        <f t="shared" ca="1" si="21"/>
        <v>19</v>
      </c>
      <c r="L256" s="14">
        <f t="shared" ca="1" si="17"/>
        <v>9.8125</v>
      </c>
      <c r="M256" s="14">
        <f t="shared" ca="1" si="19"/>
        <v>1</v>
      </c>
    </row>
    <row r="257" spans="2:13" hidden="1">
      <c r="B257" s="14" t="s">
        <v>157</v>
      </c>
      <c r="C257" s="14">
        <v>1</v>
      </c>
      <c r="D257" s="14">
        <v>1</v>
      </c>
      <c r="E257" s="14">
        <v>1</v>
      </c>
      <c r="F257" s="14">
        <v>0</v>
      </c>
      <c r="G257" s="14"/>
      <c r="H257" s="8" t="str">
        <f ca="1">IF(RAND()&lt;0.25,
    "",
    IF($E257=0,
       CHOOSE(MATCH(RAND(),{0,0.2,0.4,0.6,0.7,0.8,0.85,0.9,0.95,1}),"B-354","B-386","B-4354","B-347","B-357","B-3471","B-34715","B-3571","B-35715"),
       IF($G257=24,
          "B-386",
          IF($G257=12,
             CHOOSE(MATCH(RAND(),{0,0.32,0.49,0.66,0.74,0.82,0.9,1}),"B-386","B-347","B-357","B-3471","B-34715","B-3571","B-35715"),
             "")
)))</f>
        <v/>
      </c>
      <c r="I257" s="8" t="str">
        <f t="shared" ca="1" si="18"/>
        <v/>
      </c>
      <c r="J257">
        <f t="shared" ca="1" si="20"/>
        <v>60</v>
      </c>
      <c r="K257">
        <f t="shared" ca="1" si="21"/>
        <v>48.625</v>
      </c>
      <c r="L257" s="14">
        <f t="shared" ca="1" si="17"/>
        <v>1</v>
      </c>
      <c r="M257" s="14">
        <f t="shared" ca="1" si="19"/>
        <v>1</v>
      </c>
    </row>
    <row r="258" spans="2:13" hidden="1">
      <c r="B258" s="14" t="s">
        <v>157</v>
      </c>
      <c r="C258" s="14">
        <v>1</v>
      </c>
      <c r="D258" s="14">
        <v>1</v>
      </c>
      <c r="E258" s="14">
        <v>1</v>
      </c>
      <c r="F258" s="14">
        <v>1</v>
      </c>
      <c r="G258" s="14"/>
      <c r="H258" s="8" t="str">
        <f ca="1">IF(RAND()&lt;0.25,
    "",
    IF($E258=0,
       CHOOSE(MATCH(RAND(),{0,0.2,0.4,0.6,0.7,0.8,0.85,0.9,0.95,1}),"B-354","B-386","B-4354","B-347","B-357","B-3471","B-34715","B-3571","B-35715"),
       IF($G258=24,
          "B-386",
          IF($G258=12,
             CHOOSE(MATCH(RAND(),{0,0.32,0.49,0.66,0.74,0.82,0.9,1}),"B-386","B-347","B-357","B-3471","B-34715","B-3571","B-35715"),
             "")
)))</f>
        <v/>
      </c>
      <c r="I258" s="8" t="str">
        <f t="shared" ca="1" si="18"/>
        <v/>
      </c>
      <c r="J258">
        <f t="shared" ca="1" si="20"/>
        <v>60</v>
      </c>
      <c r="K258">
        <f t="shared" ca="1" si="21"/>
        <v>37.375</v>
      </c>
      <c r="L258" s="14">
        <f t="shared" ca="1" si="17"/>
        <v>9</v>
      </c>
      <c r="M258" s="14">
        <f t="shared" ca="1" si="19"/>
        <v>3.5625</v>
      </c>
    </row>
    <row r="259" spans="2:13">
      <c r="B259" s="14" t="s">
        <v>21</v>
      </c>
      <c r="C259" s="14">
        <v>0</v>
      </c>
      <c r="D259" s="14"/>
      <c r="E259" s="14">
        <v>0</v>
      </c>
      <c r="F259" s="14"/>
      <c r="G259" s="14"/>
      <c r="H259" s="8" t="str">
        <f ca="1">IF(RAND()&lt;0.25,
    "",
    IF($E259=0,
       CHOOSE(MATCH(RAND(),{0,0.2,0.4,0.6,0.7,0.8,0.85,0.9,0.95,1}),"B-354","B-386","B-4354","B-347","B-357","B-3471","B-34715","B-3571","B-35715"),
       IF($G259=24,
          "B-386",
          IF($G259=12,
             CHOOSE(MATCH(RAND(),{0,0.32,0.49,0.66,0.74,0.82,0.9,1}),"B-386","B-347","B-357","B-3471","B-34715","B-3571","B-35715"),
             "")
)))</f>
        <v>B-354</v>
      </c>
      <c r="I259" s="8" t="str">
        <f t="shared" ca="1" si="18"/>
        <v>B-386</v>
      </c>
      <c r="J259">
        <f t="shared" ca="1" si="20"/>
        <v>73.4375</v>
      </c>
      <c r="K259">
        <f t="shared" ca="1" si="21"/>
        <v>70.375</v>
      </c>
      <c r="L259" s="14">
        <f t="shared" ca="1" si="17"/>
        <v>9</v>
      </c>
      <c r="M259" s="14">
        <f t="shared" ca="1" si="19"/>
        <v>5.125</v>
      </c>
    </row>
    <row r="260" spans="2:13">
      <c r="B260" s="14" t="s">
        <v>21</v>
      </c>
      <c r="C260" s="14">
        <v>0</v>
      </c>
      <c r="D260" s="14"/>
      <c r="E260" s="14">
        <v>1</v>
      </c>
      <c r="F260" s="14">
        <v>0</v>
      </c>
      <c r="G260" s="14">
        <v>12</v>
      </c>
      <c r="H260" s="8" t="str">
        <f ca="1">IF(RAND()&lt;0.25,
    "",
    IF($E260=0,
       CHOOSE(MATCH(RAND(),{0,0.2,0.4,0.6,0.7,0.8,0.85,0.9,0.95,1}),"B-354","B-386","B-4354","B-347","B-357","B-3471","B-34715","B-3571","B-35715"),
       IF($G260=24,
          "B-386",
          IF($G260=12,
             CHOOSE(MATCH(RAND(),{0,0.32,0.49,0.66,0.74,0.82,0.9,1}),"B-386","B-347","B-357","B-3471","B-34715","B-3571","B-35715"),
             "")
)))</f>
        <v>B-3471</v>
      </c>
      <c r="I260" s="8" t="str">
        <f t="shared" ca="1" si="18"/>
        <v/>
      </c>
      <c r="J260">
        <f t="shared" ca="1" si="20"/>
        <v>55.25</v>
      </c>
      <c r="K260">
        <f t="shared" ca="1" si="21"/>
        <v>62</v>
      </c>
      <c r="L260" s="14">
        <f t="shared" ref="L260:L323" ca="1" si="22" xml:space="preserve">    _xlfn.LET(
      _xlpm.k, RANDBETWEEN(1,6),
      _xlpm.step, 1/16,
      IF(
        _xlpm.k=1, 1,
        IF(
          _xlpm.k=2, 4.5,
          IF(
            _xlpm.k=3, 9,
            IF(
              _xlpm.k=4, 12,
              IF(
                _xlpm.k=5,
                  1 + _xlpm.step*RANDBETWEEN(1, (4.5-1)/_xlpm.step - 1),
                  4.5 + _xlpm.step*RANDBETWEEN(1, (12-4.5)/_xlpm.step - 1)
              )
            )
          )
        )
      )
    )</f>
        <v>9</v>
      </c>
      <c r="M260" s="14" t="str">
        <f t="shared" ca="1" si="19"/>
        <v/>
      </c>
    </row>
    <row r="261" spans="2:13" hidden="1">
      <c r="B261" s="14" t="s">
        <v>21</v>
      </c>
      <c r="C261" s="14">
        <v>0</v>
      </c>
      <c r="D261" s="14"/>
      <c r="E261" s="14">
        <v>1</v>
      </c>
      <c r="F261" s="14">
        <v>0</v>
      </c>
      <c r="G261" s="14">
        <v>24</v>
      </c>
      <c r="H261" s="8" t="str">
        <f ca="1">IF(RAND()&lt;0.25,
    "",
    IF($E261=0,
       CHOOSE(MATCH(RAND(),{0,0.2,0.4,0.6,0.7,0.8,0.85,0.9,0.95,1}),"B-354","B-386","B-4354","B-347","B-357","B-3471","B-34715","B-3571","B-35715"),
       IF($G261=24,
          "B-386",
          IF($G261=12,
             CHOOSE(MATCH(RAND(),{0,0.32,0.49,0.66,0.74,0.82,0.9,1}),"B-386","B-347","B-357","B-3471","B-34715","B-3571","B-35715"),
             "")
)))</f>
        <v>B-386</v>
      </c>
      <c r="I261" s="8" t="str">
        <f t="shared" ref="I261:I324" ca="1" si="23">IF($H261="",
    "",
    IF(AND($E261=0,OR($H261="B-354",$H261="B-386",$H261="B-4354")),
       IF(RAND()&lt;0.5,
          "",
          IF($H261="B-354",
             "B-386",
             IF($H261="B-4354",
                "B-386",
                IF($H261="B-386",
                   IF(RAND()&lt;0.5,
                      "B-354",
                      "B-4354"),
                   "")
                 ))),
       ""))</f>
        <v/>
      </c>
      <c r="J261">
        <f t="shared" ca="1" si="20"/>
        <v>50.25</v>
      </c>
      <c r="K261">
        <f t="shared" ca="1" si="21"/>
        <v>64.3125</v>
      </c>
      <c r="L261" s="14">
        <f t="shared" ca="1" si="22"/>
        <v>9.625</v>
      </c>
      <c r="M261" s="14" t="str">
        <f t="shared" ref="M261:M324" ca="1" si="24">_xlfn.LET(
  _xlpm.r, RAND(),
  IF(
     _xlpm.r &lt; 0.25,
     1,
     IF(
        _xlpm.r &lt; 0.5,
        1 + RANDBETWEEN(0,16*4)/16,
        IF(
            _xlpm.r &lt; 0.75,
            4.5 + RANDBETWEEN(0,16*4)/16,
            ""
           )
        )
     )
)</f>
        <v/>
      </c>
    </row>
    <row r="262" spans="2:13" hidden="1">
      <c r="B262" s="14" t="s">
        <v>21</v>
      </c>
      <c r="C262" s="14">
        <v>0</v>
      </c>
      <c r="D262" s="14"/>
      <c r="E262" s="14">
        <v>1</v>
      </c>
      <c r="F262" s="14">
        <v>0</v>
      </c>
      <c r="G262" s="14"/>
      <c r="H262" s="8" t="str">
        <f ca="1">IF(RAND()&lt;0.25,
    "",
    IF($E262=0,
       CHOOSE(MATCH(RAND(),{0,0.2,0.4,0.6,0.7,0.8,0.85,0.9,0.95,1}),"B-354","B-386","B-4354","B-347","B-357","B-3471","B-34715","B-3571","B-35715"),
       IF($G262=24,
          "B-386",
          IF($G262=12,
             CHOOSE(MATCH(RAND(),{0,0.32,0.49,0.66,0.74,0.82,0.9,1}),"B-386","B-347","B-357","B-3471","B-34715","B-3571","B-35715"),
             "")
)))</f>
        <v/>
      </c>
      <c r="I262" s="8" t="str">
        <f t="shared" ca="1" si="23"/>
        <v/>
      </c>
      <c r="J262">
        <f t="shared" ca="1" si="20"/>
        <v>66</v>
      </c>
      <c r="K262">
        <f t="shared" ca="1" si="21"/>
        <v>44.5625</v>
      </c>
      <c r="L262" s="14">
        <f t="shared" ca="1" si="22"/>
        <v>3.1875</v>
      </c>
      <c r="M262" s="14">
        <f t="shared" ca="1" si="24"/>
        <v>3.9375</v>
      </c>
    </row>
    <row r="263" spans="2:13" hidden="1">
      <c r="B263" s="14" t="s">
        <v>21</v>
      </c>
      <c r="C263" s="14">
        <v>0</v>
      </c>
      <c r="D263" s="14"/>
      <c r="E263" s="14">
        <v>1</v>
      </c>
      <c r="F263" s="14">
        <v>1</v>
      </c>
      <c r="G263" s="14"/>
      <c r="H263" s="8" t="str">
        <f ca="1">IF(RAND()&lt;0.25,
    "",
    IF($E263=0,
       CHOOSE(MATCH(RAND(),{0,0.2,0.4,0.6,0.7,0.8,0.85,0.9,0.95,1}),"B-354","B-386","B-4354","B-347","B-357","B-3471","B-34715","B-3571","B-35715"),
       IF($G263=24,
          "B-386",
          IF($G263=12,
             CHOOSE(MATCH(RAND(),{0,0.32,0.49,0.66,0.74,0.82,0.9,1}),"B-386","B-347","B-357","B-3471","B-34715","B-3571","B-35715"),
             "")
)))</f>
        <v/>
      </c>
      <c r="I263" s="8" t="str">
        <f t="shared" ca="1" si="23"/>
        <v/>
      </c>
      <c r="J263">
        <f t="shared" ca="1" si="20"/>
        <v>57.1875</v>
      </c>
      <c r="K263">
        <f t="shared" ca="1" si="21"/>
        <v>45</v>
      </c>
      <c r="L263" s="14">
        <f t="shared" ca="1" si="22"/>
        <v>4.5</v>
      </c>
      <c r="M263" s="14" t="str">
        <f t="shared" ca="1" si="24"/>
        <v/>
      </c>
    </row>
    <row r="264" spans="2:13">
      <c r="B264" s="14" t="s">
        <v>21</v>
      </c>
      <c r="C264" s="14">
        <v>1</v>
      </c>
      <c r="D264" s="14">
        <v>0</v>
      </c>
      <c r="E264" s="14">
        <v>0</v>
      </c>
      <c r="F264" s="14"/>
      <c r="G264" s="14"/>
      <c r="H264" s="8" t="str">
        <f ca="1">IF(RAND()&lt;0.25,
    "",
    IF($E264=0,
       CHOOSE(MATCH(RAND(),{0,0.2,0.4,0.6,0.7,0.8,0.85,0.9,0.95,1}),"B-354","B-386","B-4354","B-347","B-357","B-3471","B-34715","B-3571","B-35715"),
       IF($G264=24,
          "B-386",
          IF($G264=12,
             CHOOSE(MATCH(RAND(),{0,0.32,0.49,0.66,0.74,0.82,0.9,1}),"B-386","B-347","B-357","B-3471","B-34715","B-3571","B-35715"),
             "")
)))</f>
        <v/>
      </c>
      <c r="I264" s="8" t="str">
        <f t="shared" ca="1" si="23"/>
        <v/>
      </c>
      <c r="J264">
        <f t="shared" ca="1" si="20"/>
        <v>71.375</v>
      </c>
      <c r="K264">
        <f t="shared" ca="1" si="21"/>
        <v>79.625</v>
      </c>
      <c r="L264" s="14">
        <f t="shared" ca="1" si="22"/>
        <v>1</v>
      </c>
      <c r="M264" s="14">
        <f t="shared" ca="1" si="24"/>
        <v>2.875</v>
      </c>
    </row>
    <row r="265" spans="2:13">
      <c r="B265" s="14" t="s">
        <v>21</v>
      </c>
      <c r="C265" s="14">
        <v>1</v>
      </c>
      <c r="D265" s="14">
        <v>0</v>
      </c>
      <c r="E265" s="14">
        <v>1</v>
      </c>
      <c r="F265" s="14">
        <v>0</v>
      </c>
      <c r="G265" s="14">
        <v>12</v>
      </c>
      <c r="H265" s="8" t="str">
        <f ca="1">IF(RAND()&lt;0.25,
    "",
    IF($E265=0,
       CHOOSE(MATCH(RAND(),{0,0.2,0.4,0.6,0.7,0.8,0.85,0.9,0.95,1}),"B-354","B-386","B-4354","B-347","B-357","B-3471","B-34715","B-3571","B-35715"),
       IF($G265=24,
          "B-386",
          IF($G265=12,
             CHOOSE(MATCH(RAND(),{0,0.32,0.49,0.66,0.74,0.82,0.9,1}),"B-386","B-347","B-357","B-3471","B-34715","B-3571","B-35715"),
             "")
)))</f>
        <v/>
      </c>
      <c r="I265" s="8" t="str">
        <f t="shared" ca="1" si="23"/>
        <v/>
      </c>
      <c r="J265">
        <f t="shared" ca="1" si="20"/>
        <v>49.25</v>
      </c>
      <c r="K265">
        <f t="shared" ca="1" si="21"/>
        <v>24.5625</v>
      </c>
      <c r="L265" s="14">
        <f t="shared" ca="1" si="22"/>
        <v>9</v>
      </c>
      <c r="M265" s="14">
        <f t="shared" ca="1" si="24"/>
        <v>7.1875</v>
      </c>
    </row>
    <row r="266" spans="2:13">
      <c r="B266" s="14" t="s">
        <v>21</v>
      </c>
      <c r="C266" s="14">
        <v>1</v>
      </c>
      <c r="D266" s="14">
        <v>0</v>
      </c>
      <c r="E266" s="14">
        <v>1</v>
      </c>
      <c r="F266" s="14">
        <v>0</v>
      </c>
      <c r="G266" s="14">
        <v>24</v>
      </c>
      <c r="H266" s="8" t="str">
        <f ca="1">IF(RAND()&lt;0.25,
    "",
    IF($E266=0,
       CHOOSE(MATCH(RAND(),{0,0.2,0.4,0.6,0.7,0.8,0.85,0.9,0.95,1}),"B-354","B-386","B-4354","B-347","B-357","B-3471","B-34715","B-3571","B-35715"),
       IF($G266=24,
          "B-386",
          IF($G266=12,
             CHOOSE(MATCH(RAND(),{0,0.32,0.49,0.66,0.74,0.82,0.9,1}),"B-386","B-347","B-357","B-3471","B-34715","B-3571","B-35715"),
             "")
)))</f>
        <v/>
      </c>
      <c r="I266" s="8" t="str">
        <f t="shared" ca="1" si="23"/>
        <v/>
      </c>
      <c r="J266">
        <f t="shared" ca="1" si="20"/>
        <v>90.875</v>
      </c>
      <c r="K266">
        <f t="shared" ca="1" si="21"/>
        <v>70.5625</v>
      </c>
      <c r="L266" s="14">
        <f t="shared" ca="1" si="22"/>
        <v>1</v>
      </c>
      <c r="M266" s="14" t="str">
        <f t="shared" ca="1" si="24"/>
        <v/>
      </c>
    </row>
    <row r="267" spans="2:13" hidden="1">
      <c r="B267" s="14" t="s">
        <v>21</v>
      </c>
      <c r="C267" s="14">
        <v>1</v>
      </c>
      <c r="D267" s="14">
        <v>0</v>
      </c>
      <c r="E267" s="14">
        <v>1</v>
      </c>
      <c r="F267" s="14">
        <v>0</v>
      </c>
      <c r="G267" s="14"/>
      <c r="H267" s="8" t="str">
        <f ca="1">IF(RAND()&lt;0.25,
    "",
    IF($E267=0,
       CHOOSE(MATCH(RAND(),{0,0.2,0.4,0.6,0.7,0.8,0.85,0.9,0.95,1}),"B-354","B-386","B-4354","B-347","B-357","B-3471","B-34715","B-3571","B-35715"),
       IF($G267=24,
          "B-386",
          IF($G267=12,
             CHOOSE(MATCH(RAND(),{0,0.32,0.49,0.66,0.74,0.82,0.9,1}),"B-386","B-347","B-357","B-3471","B-34715","B-3571","B-35715"),
             "")
)))</f>
        <v/>
      </c>
      <c r="I267" s="8" t="str">
        <f t="shared" ca="1" si="23"/>
        <v/>
      </c>
      <c r="J267">
        <f t="shared" ca="1" si="20"/>
        <v>95.75</v>
      </c>
      <c r="K267">
        <f t="shared" ca="1" si="21"/>
        <v>58.0625</v>
      </c>
      <c r="L267" s="14">
        <f t="shared" ca="1" si="22"/>
        <v>8.0625</v>
      </c>
      <c r="M267" s="14">
        <f t="shared" ca="1" si="24"/>
        <v>1</v>
      </c>
    </row>
    <row r="268" spans="2:13" hidden="1">
      <c r="B268" s="14" t="s">
        <v>21</v>
      </c>
      <c r="C268" s="14">
        <v>1</v>
      </c>
      <c r="D268" s="14">
        <v>0</v>
      </c>
      <c r="E268" s="14">
        <v>1</v>
      </c>
      <c r="F268" s="14">
        <v>1</v>
      </c>
      <c r="G268" s="14"/>
      <c r="H268" s="8" t="str">
        <f ca="1">IF(RAND()&lt;0.25,
    "",
    IF($E268=0,
       CHOOSE(MATCH(RAND(),{0,0.2,0.4,0.6,0.7,0.8,0.85,0.9,0.95,1}),"B-354","B-386","B-4354","B-347","B-357","B-3471","B-34715","B-3571","B-35715"),
       IF($G268=24,
          "B-386",
          IF($G268=12,
             CHOOSE(MATCH(RAND(),{0,0.32,0.49,0.66,0.74,0.82,0.9,1}),"B-386","B-347","B-357","B-3471","B-34715","B-3571","B-35715"),
             "")
)))</f>
        <v/>
      </c>
      <c r="I268" s="8" t="str">
        <f t="shared" ca="1" si="23"/>
        <v/>
      </c>
      <c r="J268">
        <f t="shared" ca="1" si="20"/>
        <v>92.5</v>
      </c>
      <c r="K268">
        <f t="shared" ca="1" si="21"/>
        <v>42.5625</v>
      </c>
      <c r="L268" s="14">
        <f t="shared" ca="1" si="22"/>
        <v>1</v>
      </c>
      <c r="M268" s="14">
        <f t="shared" ca="1" si="24"/>
        <v>3.1875</v>
      </c>
    </row>
    <row r="269" spans="2:13">
      <c r="B269" s="14" t="s">
        <v>21</v>
      </c>
      <c r="C269" s="14">
        <v>1</v>
      </c>
      <c r="D269" s="14">
        <v>1</v>
      </c>
      <c r="E269" s="14">
        <v>0</v>
      </c>
      <c r="F269" s="14"/>
      <c r="G269" s="14"/>
      <c r="H269" s="8" t="str">
        <f ca="1">IF(RAND()&lt;0.25,
    "",
    IF($E269=0,
       CHOOSE(MATCH(RAND(),{0,0.2,0.4,0.6,0.7,0.8,0.85,0.9,0.95,1}),"B-354","B-386","B-4354","B-347","B-357","B-3471","B-34715","B-3571","B-35715"),
       IF($G269=24,
          "B-386",
          IF($G269=12,
             CHOOSE(MATCH(RAND(),{0,0.32,0.49,0.66,0.74,0.82,0.9,1}),"B-386","B-347","B-357","B-3471","B-34715","B-3571","B-35715"),
             "")
)))</f>
        <v>B-3571</v>
      </c>
      <c r="I269" s="8" t="str">
        <f t="shared" ca="1" si="23"/>
        <v/>
      </c>
      <c r="J269">
        <f t="shared" ca="1" si="20"/>
        <v>95.875</v>
      </c>
      <c r="K269">
        <f t="shared" ca="1" si="21"/>
        <v>69.6875</v>
      </c>
      <c r="L269" s="14">
        <f t="shared" ca="1" si="22"/>
        <v>9</v>
      </c>
      <c r="M269" s="14">
        <f t="shared" ca="1" si="24"/>
        <v>2.75</v>
      </c>
    </row>
    <row r="270" spans="2:13">
      <c r="B270" s="14" t="s">
        <v>21</v>
      </c>
      <c r="C270" s="14">
        <v>1</v>
      </c>
      <c r="D270" s="14">
        <v>1</v>
      </c>
      <c r="E270" s="14">
        <v>1</v>
      </c>
      <c r="F270" s="14">
        <v>0</v>
      </c>
      <c r="G270" s="14">
        <v>12</v>
      </c>
      <c r="H270" s="8" t="str">
        <f ca="1">IF(RAND()&lt;0.25,
    "",
    IF($E270=0,
       CHOOSE(MATCH(RAND(),{0,0.2,0.4,0.6,0.7,0.8,0.85,0.9,0.95,1}),"B-354","B-386","B-4354","B-347","B-357","B-3471","B-34715","B-3571","B-35715"),
       IF($G270=24,
          "B-386",
          IF($G270=12,
             CHOOSE(MATCH(RAND(),{0,0.32,0.49,0.66,0.74,0.82,0.9,1}),"B-386","B-347","B-357","B-3471","B-34715","B-3571","B-35715"),
             "")
)))</f>
        <v>B-3571</v>
      </c>
      <c r="I270" s="8" t="str">
        <f t="shared" ca="1" si="23"/>
        <v/>
      </c>
      <c r="J270">
        <f t="shared" ca="1" si="20"/>
        <v>96</v>
      </c>
      <c r="K270">
        <f t="shared" ca="1" si="21"/>
        <v>65.5</v>
      </c>
      <c r="L270" s="14">
        <f t="shared" ca="1" si="22"/>
        <v>4.5</v>
      </c>
      <c r="M270" s="14">
        <f t="shared" ca="1" si="24"/>
        <v>2.5</v>
      </c>
    </row>
    <row r="271" spans="2:13" hidden="1">
      <c r="B271" s="14" t="s">
        <v>21</v>
      </c>
      <c r="C271" s="14">
        <v>1</v>
      </c>
      <c r="D271" s="14">
        <v>1</v>
      </c>
      <c r="E271" s="14">
        <v>1</v>
      </c>
      <c r="F271" s="14">
        <v>0</v>
      </c>
      <c r="G271" s="14">
        <v>24</v>
      </c>
      <c r="H271" s="8" t="str">
        <f ca="1">IF(RAND()&lt;0.25,
    "",
    IF($E271=0,
       CHOOSE(MATCH(RAND(),{0,0.2,0.4,0.6,0.7,0.8,0.85,0.9,0.95,1}),"B-354","B-386","B-4354","B-347","B-357","B-3471","B-34715","B-3571","B-35715"),
       IF($G271=24,
          "B-386",
          IF($G271=12,
             CHOOSE(MATCH(RAND(),{0,0.32,0.49,0.66,0.74,0.82,0.9,1}),"B-386","B-347","B-357","B-3471","B-34715","B-3571","B-35715"),
             "")
)))</f>
        <v>B-386</v>
      </c>
      <c r="I271" s="8" t="str">
        <f t="shared" ca="1" si="23"/>
        <v/>
      </c>
      <c r="J271">
        <f t="shared" ca="1" si="20"/>
        <v>75.9375</v>
      </c>
      <c r="K271">
        <f t="shared" ca="1" si="21"/>
        <v>53.6875</v>
      </c>
      <c r="L271" s="14">
        <f t="shared" ca="1" si="22"/>
        <v>9</v>
      </c>
      <c r="M271" s="14">
        <f t="shared" ca="1" si="24"/>
        <v>4.6875</v>
      </c>
    </row>
    <row r="272" spans="2:13" hidden="1">
      <c r="B272" s="14" t="s">
        <v>21</v>
      </c>
      <c r="C272" s="14">
        <v>1</v>
      </c>
      <c r="D272" s="14">
        <v>1</v>
      </c>
      <c r="E272" s="14">
        <v>1</v>
      </c>
      <c r="F272" s="14">
        <v>0</v>
      </c>
      <c r="G272" s="14"/>
      <c r="H272" s="8" t="str">
        <f ca="1">IF(RAND()&lt;0.25,
    "",
    IF($E272=0,
       CHOOSE(MATCH(RAND(),{0,0.2,0.4,0.6,0.7,0.8,0.85,0.9,0.95,1}),"B-354","B-386","B-4354","B-347","B-357","B-3471","B-34715","B-3571","B-35715"),
       IF($G272=24,
          "B-386",
          IF($G272=12,
             CHOOSE(MATCH(RAND(),{0,0.32,0.49,0.66,0.74,0.82,0.9,1}),"B-386","B-347","B-357","B-3471","B-34715","B-3571","B-35715"),
             "")
)))</f>
        <v/>
      </c>
      <c r="I272" s="8" t="str">
        <f t="shared" ca="1" si="23"/>
        <v/>
      </c>
      <c r="J272">
        <f t="shared" ca="1" si="20"/>
        <v>108.0625</v>
      </c>
      <c r="K272">
        <f t="shared" ca="1" si="21"/>
        <v>28.125</v>
      </c>
      <c r="L272" s="14">
        <f t="shared" ca="1" si="22"/>
        <v>7</v>
      </c>
      <c r="M272" s="14">
        <f t="shared" ca="1" si="24"/>
        <v>4.75</v>
      </c>
    </row>
    <row r="273" spans="2:13" ht="15" hidden="1" thickBot="1">
      <c r="B273" s="50" t="s">
        <v>21</v>
      </c>
      <c r="C273" s="50">
        <v>1</v>
      </c>
      <c r="D273" s="50">
        <v>1</v>
      </c>
      <c r="E273" s="50">
        <v>1</v>
      </c>
      <c r="F273" s="50">
        <v>1</v>
      </c>
      <c r="G273" s="50"/>
      <c r="H273" s="51" t="str">
        <f ca="1">IF(RAND()&lt;0.25,
    "",
    IF($E273=0,
       CHOOSE(MATCH(RAND(),{0,0.2,0.4,0.6,0.7,0.8,0.85,0.9,0.95,1}),"B-354","B-386","B-4354","B-347","B-357","B-3471","B-34715","B-3571","B-35715"),
       IF($G273=24,
          "B-386",
          IF($G273=12,
             CHOOSE(MATCH(RAND(),{0,0.32,0.49,0.66,0.74,0.82,0.9,1}),"B-386","B-347","B-357","B-3471","B-34715","B-3571","B-35715"),
             "")
)))</f>
        <v/>
      </c>
      <c r="I273" s="51" t="str">
        <f t="shared" ca="1" si="23"/>
        <v/>
      </c>
      <c r="J273" s="49">
        <f t="shared" ca="1" si="20"/>
        <v>96</v>
      </c>
      <c r="K273" s="49">
        <f t="shared" ca="1" si="21"/>
        <v>74.75</v>
      </c>
      <c r="L273" s="50">
        <f t="shared" ca="1" si="22"/>
        <v>3.375</v>
      </c>
      <c r="M273" s="14">
        <f t="shared" ca="1" si="24"/>
        <v>6.75</v>
      </c>
    </row>
    <row r="274" spans="2:13">
      <c r="B274" s="14" t="s">
        <v>156</v>
      </c>
      <c r="C274" s="19">
        <v>0</v>
      </c>
      <c r="D274" s="19"/>
      <c r="E274" s="19">
        <v>0</v>
      </c>
      <c r="F274" s="19"/>
      <c r="G274" s="14"/>
      <c r="H274" s="8" t="str">
        <f ca="1">IF(RAND()&lt;0.25,
    "",
    IF($E274=0,
       CHOOSE(MATCH(RAND(),{0,0.2,0.4,0.6,0.7,0.8,0.85,0.9,0.95,1}),"B-354","B-386","B-4354","B-347","B-357","B-3471","B-34715","B-3571","B-35715"),
       IF($G274=24,
          "B-386",
          IF($G274=12,
             CHOOSE(MATCH(RAND(),{0,0.32,0.49,0.66,0.74,0.82,0.9,1}),"B-386","B-347","B-357","B-3471","B-34715","B-3571","B-35715"),
             "")
)))</f>
        <v>B-347</v>
      </c>
      <c r="I274" s="8" t="str">
        <f t="shared" ca="1" si="23"/>
        <v/>
      </c>
      <c r="J274">
        <f t="shared" ca="1" si="20"/>
        <v>33.25</v>
      </c>
      <c r="K274">
        <f t="shared" ca="1" si="21"/>
        <v>59.25</v>
      </c>
      <c r="L274" s="14">
        <f t="shared" ca="1" si="22"/>
        <v>2.875</v>
      </c>
      <c r="M274" s="14">
        <f t="shared" ca="1" si="24"/>
        <v>4.875</v>
      </c>
    </row>
    <row r="275" spans="2:13">
      <c r="B275" s="14" t="s">
        <v>156</v>
      </c>
      <c r="C275" s="14">
        <v>0</v>
      </c>
      <c r="D275" s="14"/>
      <c r="E275" s="14">
        <v>1</v>
      </c>
      <c r="F275" s="14">
        <v>0</v>
      </c>
      <c r="G275" s="14">
        <v>12</v>
      </c>
      <c r="H275" s="8" t="str">
        <f ca="1">IF(RAND()&lt;0.25,
    "",
    IF($E275=0,
       CHOOSE(MATCH(RAND(),{0,0.2,0.4,0.6,0.7,0.8,0.85,0.9,0.95,1}),"B-354","B-386","B-4354","B-347","B-357","B-3471","B-34715","B-3571","B-35715"),
       IF($G275=24,
          "B-386",
          IF($G275=12,
             CHOOSE(MATCH(RAND(),{0,0.32,0.49,0.66,0.74,0.82,0.9,1}),"B-386","B-347","B-357","B-3471","B-34715","B-3571","B-35715"),
             "")
)))</f>
        <v>B-35715</v>
      </c>
      <c r="I275" s="8" t="str">
        <f t="shared" ca="1" si="23"/>
        <v/>
      </c>
      <c r="J275">
        <f t="shared" ca="1" si="20"/>
        <v>28.125</v>
      </c>
      <c r="K275">
        <f t="shared" ca="1" si="21"/>
        <v>43.875</v>
      </c>
      <c r="L275" s="14">
        <f t="shared" ca="1" si="22"/>
        <v>4.5</v>
      </c>
      <c r="M275" s="14">
        <f t="shared" ca="1" si="24"/>
        <v>5.6875</v>
      </c>
    </row>
    <row r="276" spans="2:13">
      <c r="B276" s="14" t="s">
        <v>156</v>
      </c>
      <c r="C276" s="14">
        <v>0</v>
      </c>
      <c r="D276" s="14"/>
      <c r="E276" s="14">
        <v>1</v>
      </c>
      <c r="F276" s="14">
        <v>0</v>
      </c>
      <c r="G276" s="14">
        <v>24</v>
      </c>
      <c r="H276" s="8" t="str">
        <f ca="1">IF(RAND()&lt;0.25,
    "",
    IF($E276=0,
       CHOOSE(MATCH(RAND(),{0,0.2,0.4,0.6,0.7,0.8,0.85,0.9,0.95,1}),"B-354","B-386","B-4354","B-347","B-357","B-3471","B-34715","B-3571","B-35715"),
       IF($G276=24,
          "B-386",
          IF($G276=12,
             CHOOSE(MATCH(RAND(),{0,0.32,0.49,0.66,0.74,0.82,0.9,1}),"B-386","B-347","B-357","B-3471","B-34715","B-3571","B-35715"),
             "")
)))</f>
        <v/>
      </c>
      <c r="I276" s="8" t="str">
        <f t="shared" ca="1" si="23"/>
        <v/>
      </c>
      <c r="J276">
        <f t="shared" ca="1" si="20"/>
        <v>13.125</v>
      </c>
      <c r="K276">
        <f t="shared" ca="1" si="21"/>
        <v>32.125</v>
      </c>
      <c r="L276" s="14">
        <f t="shared" ca="1" si="22"/>
        <v>8.25</v>
      </c>
      <c r="M276" s="14">
        <f t="shared" ca="1" si="24"/>
        <v>4.1875</v>
      </c>
    </row>
    <row r="277" spans="2:13" hidden="1">
      <c r="B277" s="14" t="s">
        <v>156</v>
      </c>
      <c r="C277" s="14">
        <v>0</v>
      </c>
      <c r="D277" s="14"/>
      <c r="E277" s="14">
        <v>1</v>
      </c>
      <c r="F277" s="14">
        <v>0</v>
      </c>
      <c r="G277" s="14"/>
      <c r="H277" s="8" t="str">
        <f ca="1">IF(RAND()&lt;0.25,
    "",
    IF($E277=0,
       CHOOSE(MATCH(RAND(),{0,0.2,0.4,0.6,0.7,0.8,0.85,0.9,0.95,1}),"B-354","B-386","B-4354","B-347","B-357","B-3471","B-34715","B-3571","B-35715"),
       IF($G277=24,
          "B-386",
          IF($G277=12,
             CHOOSE(MATCH(RAND(),{0,0.32,0.49,0.66,0.74,0.82,0.9,1}),"B-386","B-347","B-357","B-3471","B-34715","B-3571","B-35715"),
             "")
)))</f>
        <v/>
      </c>
      <c r="I277" s="8" t="str">
        <f t="shared" ca="1" si="23"/>
        <v/>
      </c>
      <c r="J277">
        <f t="shared" ca="1" si="20"/>
        <v>31.0625</v>
      </c>
      <c r="K277">
        <f t="shared" ca="1" si="21"/>
        <v>20.8125</v>
      </c>
      <c r="L277" s="14">
        <f t="shared" ca="1" si="22"/>
        <v>9</v>
      </c>
      <c r="M277" s="14">
        <f t="shared" ca="1" si="24"/>
        <v>6.3125</v>
      </c>
    </row>
    <row r="278" spans="2:13" hidden="1">
      <c r="B278" s="14" t="s">
        <v>156</v>
      </c>
      <c r="C278" s="14">
        <v>0</v>
      </c>
      <c r="D278" s="14"/>
      <c r="E278" s="14">
        <v>1</v>
      </c>
      <c r="F278" s="14">
        <v>1</v>
      </c>
      <c r="G278" s="14"/>
      <c r="H278" s="8" t="str">
        <f ca="1">IF(RAND()&lt;0.25,
    "",
    IF($E278=0,
       CHOOSE(MATCH(RAND(),{0,0.2,0.4,0.6,0.7,0.8,0.85,0.9,0.95,1}),"B-354","B-386","B-4354","B-347","B-357","B-3471","B-34715","B-3571","B-35715"),
       IF($G278=24,
          "B-386",
          IF($G278=12,
             CHOOSE(MATCH(RAND(),{0,0.32,0.49,0.66,0.74,0.82,0.9,1}),"B-386","B-347","B-357","B-3471","B-34715","B-3571","B-35715"),
             "")
)))</f>
        <v/>
      </c>
      <c r="I278" s="8" t="str">
        <f t="shared" ca="1" si="23"/>
        <v/>
      </c>
      <c r="J278">
        <f t="shared" ca="1" si="20"/>
        <v>11</v>
      </c>
      <c r="K278">
        <f t="shared" ca="1" si="21"/>
        <v>32</v>
      </c>
      <c r="L278" s="14">
        <f t="shared" ca="1" si="22"/>
        <v>5.0625</v>
      </c>
      <c r="M278" s="14">
        <f t="shared" ca="1" si="24"/>
        <v>4.5</v>
      </c>
    </row>
    <row r="279" spans="2:13">
      <c r="B279" s="14" t="s">
        <v>156</v>
      </c>
      <c r="C279" s="14">
        <v>1</v>
      </c>
      <c r="D279" s="14">
        <v>0</v>
      </c>
      <c r="E279" s="14">
        <v>0</v>
      </c>
      <c r="F279" s="14"/>
      <c r="G279" s="14"/>
      <c r="H279" s="8" t="str">
        <f ca="1">IF(RAND()&lt;0.25,
    "",
    IF($E279=0,
       CHOOSE(MATCH(RAND(),{0,0.2,0.4,0.6,0.7,0.8,0.85,0.9,0.95,1}),"B-354","B-386","B-4354","B-347","B-357","B-3471","B-34715","B-3571","B-35715"),
       IF($G279=24,
          "B-386",
          IF($G279=12,
             CHOOSE(MATCH(RAND(),{0,0.32,0.49,0.66,0.74,0.82,0.9,1}),"B-386","B-347","B-357","B-3471","B-34715","B-3571","B-35715"),
             "")
)))</f>
        <v>B-4354</v>
      </c>
      <c r="I279" s="8" t="str">
        <f t="shared" ca="1" si="23"/>
        <v>B-386</v>
      </c>
      <c r="J279">
        <f t="shared" ca="1" si="20"/>
        <v>10.3125</v>
      </c>
      <c r="K279">
        <f t="shared" ca="1" si="21"/>
        <v>72.4375</v>
      </c>
      <c r="L279" s="14">
        <f t="shared" ca="1" si="22"/>
        <v>4.5</v>
      </c>
      <c r="M279" s="14">
        <f t="shared" ca="1" si="24"/>
        <v>1</v>
      </c>
    </row>
    <row r="280" spans="2:13">
      <c r="B280" s="14" t="s">
        <v>156</v>
      </c>
      <c r="C280" s="14">
        <v>1</v>
      </c>
      <c r="D280" s="14">
        <v>0</v>
      </c>
      <c r="E280" s="14">
        <v>1</v>
      </c>
      <c r="F280" s="14">
        <v>0</v>
      </c>
      <c r="G280" s="14">
        <v>12</v>
      </c>
      <c r="H280" s="8" t="str">
        <f ca="1">IF(RAND()&lt;0.25,
    "",
    IF($E280=0,
       CHOOSE(MATCH(RAND(),{0,0.2,0.4,0.6,0.7,0.8,0.85,0.9,0.95,1}),"B-354","B-386","B-4354","B-347","B-357","B-3471","B-34715","B-3571","B-35715"),
       IF($G280=24,
          "B-386",
          IF($G280=12,
             CHOOSE(MATCH(RAND(),{0,0.32,0.49,0.66,0.74,0.82,0.9,1}),"B-386","B-347","B-357","B-3471","B-34715","B-3571","B-35715"),
             "")
)))</f>
        <v>B-35715</v>
      </c>
      <c r="I280" s="8" t="str">
        <f t="shared" ca="1" si="23"/>
        <v/>
      </c>
      <c r="J280">
        <f t="shared" ca="1" si="20"/>
        <v>16.375</v>
      </c>
      <c r="K280">
        <f t="shared" ca="1" si="21"/>
        <v>65.375</v>
      </c>
      <c r="L280" s="14">
        <f t="shared" ca="1" si="22"/>
        <v>4.5</v>
      </c>
      <c r="M280" s="14">
        <f t="shared" ca="1" si="24"/>
        <v>2.3125</v>
      </c>
    </row>
    <row r="281" spans="2:13">
      <c r="B281" s="14" t="s">
        <v>156</v>
      </c>
      <c r="C281" s="14">
        <v>1</v>
      </c>
      <c r="D281" s="14">
        <v>0</v>
      </c>
      <c r="E281" s="14">
        <v>1</v>
      </c>
      <c r="F281" s="14">
        <v>0</v>
      </c>
      <c r="G281" s="14">
        <v>24</v>
      </c>
      <c r="H281" s="8" t="str">
        <f ca="1">IF(RAND()&lt;0.25,
    "",
    IF($E281=0,
       CHOOSE(MATCH(RAND(),{0,0.2,0.4,0.6,0.7,0.8,0.85,0.9,0.95,1}),"B-354","B-386","B-4354","B-347","B-357","B-3471","B-34715","B-3571","B-35715"),
       IF($G281=24,
          "B-386",
          IF($G281=12,
             CHOOSE(MATCH(RAND(),{0,0.32,0.49,0.66,0.74,0.82,0.9,1}),"B-386","B-347","B-357","B-3471","B-34715","B-3571","B-35715"),
             "")
)))</f>
        <v>B-386</v>
      </c>
      <c r="I281" s="8" t="str">
        <f t="shared" ca="1" si="23"/>
        <v/>
      </c>
      <c r="J281">
        <f t="shared" ca="1" si="20"/>
        <v>14.8125</v>
      </c>
      <c r="K281">
        <f t="shared" ca="1" si="21"/>
        <v>72.3125</v>
      </c>
      <c r="L281" s="14">
        <f t="shared" ca="1" si="22"/>
        <v>11.4375</v>
      </c>
      <c r="M281" s="14">
        <f t="shared" ca="1" si="24"/>
        <v>1.4375</v>
      </c>
    </row>
    <row r="282" spans="2:13" hidden="1">
      <c r="B282" s="14" t="s">
        <v>156</v>
      </c>
      <c r="C282" s="14">
        <v>1</v>
      </c>
      <c r="D282" s="14">
        <v>0</v>
      </c>
      <c r="E282" s="14">
        <v>1</v>
      </c>
      <c r="F282" s="14">
        <v>0</v>
      </c>
      <c r="G282" s="14"/>
      <c r="H282" s="8" t="str">
        <f ca="1">IF(RAND()&lt;0.25,
    "",
    IF($E282=0,
       CHOOSE(MATCH(RAND(),{0,0.2,0.4,0.6,0.7,0.8,0.85,0.9,0.95,1}),"B-354","B-386","B-4354","B-347","B-357","B-3471","B-34715","B-3571","B-35715"),
       IF($G282=24,
          "B-386",
          IF($G282=12,
             CHOOSE(MATCH(RAND(),{0,0.32,0.49,0.66,0.74,0.82,0.9,1}),"B-386","B-347","B-357","B-3471","B-34715","B-3571","B-35715"),
             "")
)))</f>
        <v/>
      </c>
      <c r="I282" s="8" t="str">
        <f t="shared" ca="1" si="23"/>
        <v/>
      </c>
      <c r="J282">
        <f t="shared" ca="1" si="20"/>
        <v>27.625</v>
      </c>
      <c r="K282">
        <f t="shared" ca="1" si="21"/>
        <v>37.9375</v>
      </c>
      <c r="L282" s="14">
        <f t="shared" ca="1" si="22"/>
        <v>11.375</v>
      </c>
      <c r="M282" s="14">
        <f t="shared" ca="1" si="24"/>
        <v>1</v>
      </c>
    </row>
    <row r="283" spans="2:13" hidden="1">
      <c r="B283" s="14" t="s">
        <v>156</v>
      </c>
      <c r="C283" s="14">
        <v>1</v>
      </c>
      <c r="D283" s="14">
        <v>0</v>
      </c>
      <c r="E283" s="14">
        <v>1</v>
      </c>
      <c r="F283" s="14">
        <v>1</v>
      </c>
      <c r="G283" s="14"/>
      <c r="H283" s="8" t="str">
        <f ca="1">IF(RAND()&lt;0.25,
    "",
    IF($E283=0,
       CHOOSE(MATCH(RAND(),{0,0.2,0.4,0.6,0.7,0.8,0.85,0.9,0.95,1}),"B-354","B-386","B-4354","B-347","B-357","B-3471","B-34715","B-3571","B-35715"),
       IF($G283=24,
          "B-386",
          IF($G283=12,
             CHOOSE(MATCH(RAND(),{0,0.32,0.49,0.66,0.74,0.82,0.9,1}),"B-386","B-347","B-357","B-3471","B-34715","B-3571","B-35715"),
             "")
)))</f>
        <v/>
      </c>
      <c r="I283" s="8" t="str">
        <f t="shared" ca="1" si="23"/>
        <v/>
      </c>
      <c r="J283">
        <f t="shared" ca="1" si="20"/>
        <v>34</v>
      </c>
      <c r="K283">
        <f t="shared" ca="1" si="21"/>
        <v>39.25</v>
      </c>
      <c r="L283" s="14">
        <f t="shared" ca="1" si="22"/>
        <v>9</v>
      </c>
      <c r="M283" s="14">
        <f t="shared" ca="1" si="24"/>
        <v>4.5625</v>
      </c>
    </row>
    <row r="284" spans="2:13">
      <c r="B284" s="14" t="s">
        <v>156</v>
      </c>
      <c r="C284" s="14">
        <v>1</v>
      </c>
      <c r="D284" s="14">
        <v>1</v>
      </c>
      <c r="E284" s="14">
        <v>0</v>
      </c>
      <c r="F284" s="14"/>
      <c r="G284" s="14"/>
      <c r="H284" s="8" t="str">
        <f ca="1">IF(RAND()&lt;0.25,
    "",
    IF($E284=0,
       CHOOSE(MATCH(RAND(),{0,0.2,0.4,0.6,0.7,0.8,0.85,0.9,0.95,1}),"B-354","B-386","B-4354","B-347","B-357","B-3471","B-34715","B-3571","B-35715"),
       IF($G284=24,
          "B-386",
          IF($G284=12,
             CHOOSE(MATCH(RAND(),{0,0.32,0.49,0.66,0.74,0.82,0.9,1}),"B-386","B-347","B-357","B-3471","B-34715","B-3571","B-35715"),
             "")
)))</f>
        <v>B-3471</v>
      </c>
      <c r="I284" s="8" t="str">
        <f t="shared" ca="1" si="23"/>
        <v/>
      </c>
      <c r="J284">
        <f t="shared" ca="1" si="20"/>
        <v>10.5</v>
      </c>
      <c r="K284">
        <f t="shared" ca="1" si="21"/>
        <v>59.375</v>
      </c>
      <c r="L284" s="14">
        <f t="shared" ca="1" si="22"/>
        <v>1</v>
      </c>
      <c r="M284" s="14">
        <f t="shared" ca="1" si="24"/>
        <v>3.0625</v>
      </c>
    </row>
    <row r="285" spans="2:13" hidden="1">
      <c r="B285" s="14" t="s">
        <v>156</v>
      </c>
      <c r="C285" s="14">
        <v>1</v>
      </c>
      <c r="D285" s="14">
        <v>1</v>
      </c>
      <c r="E285" s="14">
        <v>1</v>
      </c>
      <c r="F285" s="14">
        <v>0</v>
      </c>
      <c r="G285" s="14">
        <v>12</v>
      </c>
      <c r="H285" s="8" t="str">
        <f ca="1">IF(RAND()&lt;0.25,
    "",
    IF($E285=0,
       CHOOSE(MATCH(RAND(),{0,0.2,0.4,0.6,0.7,0.8,0.85,0.9,0.95,1}),"B-354","B-386","B-4354","B-347","B-357","B-3471","B-34715","B-3571","B-35715"),
       IF($G285=24,
          "B-386",
          IF($G285=12,
             CHOOSE(MATCH(RAND(),{0,0.32,0.49,0.66,0.74,0.82,0.9,1}),"B-386","B-347","B-357","B-3471","B-34715","B-3571","B-35715"),
             "")
)))</f>
        <v>B-386</v>
      </c>
      <c r="I285" s="8" t="str">
        <f t="shared" ca="1" si="23"/>
        <v/>
      </c>
      <c r="J285">
        <f t="shared" ca="1" si="20"/>
        <v>27.0625</v>
      </c>
      <c r="K285">
        <f t="shared" ca="1" si="21"/>
        <v>78.5</v>
      </c>
      <c r="L285" s="14">
        <f t="shared" ca="1" si="22"/>
        <v>12</v>
      </c>
      <c r="M285" s="14" t="str">
        <f t="shared" ca="1" si="24"/>
        <v/>
      </c>
    </row>
    <row r="286" spans="2:13" hidden="1">
      <c r="B286" s="14" t="s">
        <v>156</v>
      </c>
      <c r="C286" s="14">
        <v>1</v>
      </c>
      <c r="D286" s="14">
        <v>1</v>
      </c>
      <c r="E286" s="14">
        <v>1</v>
      </c>
      <c r="F286" s="14">
        <v>0</v>
      </c>
      <c r="G286" s="14">
        <v>24</v>
      </c>
      <c r="H286" s="8" t="str">
        <f ca="1">IF(RAND()&lt;0.25,
    "",
    IF($E286=0,
       CHOOSE(MATCH(RAND(),{0,0.2,0.4,0.6,0.7,0.8,0.85,0.9,0.95,1}),"B-354","B-386","B-4354","B-347","B-357","B-3471","B-34715","B-3571","B-35715"),
       IF($G286=24,
          "B-386",
          IF($G286=12,
             CHOOSE(MATCH(RAND(),{0,0.32,0.49,0.66,0.74,0.82,0.9,1}),"B-386","B-347","B-357","B-3471","B-34715","B-3571","B-35715"),
             "")
)))</f>
        <v>B-386</v>
      </c>
      <c r="I286" s="8" t="str">
        <f t="shared" ca="1" si="23"/>
        <v/>
      </c>
      <c r="J286">
        <f t="shared" ca="1" si="20"/>
        <v>45</v>
      </c>
      <c r="K286">
        <f t="shared" ca="1" si="21"/>
        <v>53.0625</v>
      </c>
      <c r="L286" s="14">
        <f t="shared" ca="1" si="22"/>
        <v>3.1875</v>
      </c>
      <c r="M286" s="14">
        <f t="shared" ca="1" si="24"/>
        <v>1</v>
      </c>
    </row>
    <row r="287" spans="2:13" hidden="1">
      <c r="B287" s="14" t="s">
        <v>156</v>
      </c>
      <c r="C287" s="14">
        <v>1</v>
      </c>
      <c r="D287" s="14">
        <v>1</v>
      </c>
      <c r="E287" s="14">
        <v>1</v>
      </c>
      <c r="F287" s="14">
        <v>0</v>
      </c>
      <c r="G287" s="14"/>
      <c r="H287" s="8" t="str">
        <f ca="1">IF(RAND()&lt;0.25,
    "",
    IF($E287=0,
       CHOOSE(MATCH(RAND(),{0,0.2,0.4,0.6,0.7,0.8,0.85,0.9,0.95,1}),"B-354","B-386","B-4354","B-347","B-357","B-3471","B-34715","B-3571","B-35715"),
       IF($G287=24,
          "B-386",
          IF($G287=12,
             CHOOSE(MATCH(RAND(),{0,0.32,0.49,0.66,0.74,0.82,0.9,1}),"B-386","B-347","B-357","B-3471","B-34715","B-3571","B-35715"),
             "")
)))</f>
        <v/>
      </c>
      <c r="I287" s="8" t="str">
        <f t="shared" ca="1" si="23"/>
        <v/>
      </c>
      <c r="J287">
        <f t="shared" ca="1" si="20"/>
        <v>10.375</v>
      </c>
      <c r="K287">
        <f t="shared" ca="1" si="21"/>
        <v>73.625</v>
      </c>
      <c r="L287" s="14">
        <f t="shared" ca="1" si="22"/>
        <v>12</v>
      </c>
      <c r="M287" s="14">
        <f t="shared" ca="1" si="24"/>
        <v>5.3125</v>
      </c>
    </row>
    <row r="288" spans="2:13" hidden="1">
      <c r="B288" s="14" t="s">
        <v>156</v>
      </c>
      <c r="C288" s="14">
        <v>1</v>
      </c>
      <c r="D288" s="14">
        <v>1</v>
      </c>
      <c r="E288" s="14">
        <v>1</v>
      </c>
      <c r="F288" s="14">
        <v>1</v>
      </c>
      <c r="G288" s="14"/>
      <c r="H288" s="8" t="str">
        <f ca="1">IF(RAND()&lt;0.25,
    "",
    IF($E288=0,
       CHOOSE(MATCH(RAND(),{0,0.2,0.4,0.6,0.7,0.8,0.85,0.9,0.95,1}),"B-354","B-386","B-4354","B-347","B-357","B-3471","B-34715","B-3571","B-35715"),
       IF($G288=24,
          "B-386",
          IF($G288=12,
             CHOOSE(MATCH(RAND(),{0,0.32,0.49,0.66,0.74,0.82,0.9,1}),"B-386","B-347","B-357","B-3471","B-34715","B-3571","B-35715"),
             "")
)))</f>
        <v/>
      </c>
      <c r="I288" s="8" t="str">
        <f t="shared" ca="1" si="23"/>
        <v/>
      </c>
      <c r="J288">
        <f t="shared" ca="1" si="20"/>
        <v>8.5625</v>
      </c>
      <c r="K288">
        <f t="shared" ca="1" si="21"/>
        <v>68.1875</v>
      </c>
      <c r="L288" s="14">
        <f t="shared" ca="1" si="22"/>
        <v>3.625</v>
      </c>
      <c r="M288" s="14">
        <f t="shared" ca="1" si="24"/>
        <v>2.375</v>
      </c>
    </row>
    <row r="289" spans="2:13">
      <c r="B289" s="14" t="s">
        <v>157</v>
      </c>
      <c r="C289" s="14">
        <v>0</v>
      </c>
      <c r="D289" s="14"/>
      <c r="E289" s="14">
        <v>0</v>
      </c>
      <c r="F289" s="14"/>
      <c r="G289" s="14"/>
      <c r="H289" s="8" t="str">
        <f ca="1">IF(RAND()&lt;0.25,
    "",
    IF($E289=0,
       CHOOSE(MATCH(RAND(),{0,0.2,0.4,0.6,0.7,0.8,0.85,0.9,0.95,1}),"B-354","B-386","B-4354","B-347","B-357","B-3471","B-34715","B-3571","B-35715"),
       IF($G289=24,
          "B-386",
          IF($G289=12,
             CHOOSE(MATCH(RAND(),{0,0.32,0.49,0.66,0.74,0.82,0.9,1}),"B-386","B-347","B-357","B-3471","B-34715","B-3571","B-35715"),
             "")
)))</f>
        <v/>
      </c>
      <c r="I289" s="8" t="str">
        <f t="shared" ca="1" si="23"/>
        <v/>
      </c>
      <c r="J289">
        <f t="shared" ca="1" si="20"/>
        <v>60</v>
      </c>
      <c r="K289">
        <f t="shared" ca="1" si="21"/>
        <v>19.4375</v>
      </c>
      <c r="L289" s="14">
        <f t="shared" ca="1" si="22"/>
        <v>12</v>
      </c>
      <c r="M289" s="14" t="str">
        <f t="shared" ca="1" si="24"/>
        <v/>
      </c>
    </row>
    <row r="290" spans="2:13">
      <c r="B290" s="14" t="s">
        <v>157</v>
      </c>
      <c r="C290" s="14">
        <v>0</v>
      </c>
      <c r="D290" s="14"/>
      <c r="E290" s="14">
        <v>1</v>
      </c>
      <c r="F290" s="14">
        <v>0</v>
      </c>
      <c r="G290" s="14">
        <v>12</v>
      </c>
      <c r="H290" s="8" t="str">
        <f ca="1">IF(RAND()&lt;0.25,
    "",
    IF($E290=0,
       CHOOSE(MATCH(RAND(),{0,0.2,0.4,0.6,0.7,0.8,0.85,0.9,0.95,1}),"B-354","B-386","B-4354","B-347","B-357","B-3471","B-34715","B-3571","B-35715"),
       IF($G290=24,
          "B-386",
          IF($G290=12,
             CHOOSE(MATCH(RAND(),{0,0.32,0.49,0.66,0.74,0.82,0.9,1}),"B-386","B-347","B-357","B-3471","B-34715","B-3571","B-35715"),
             "")
)))</f>
        <v>B-386</v>
      </c>
      <c r="I290" s="8" t="str">
        <f t="shared" ca="1" si="23"/>
        <v/>
      </c>
      <c r="J290">
        <f t="shared" ca="1" si="20"/>
        <v>60</v>
      </c>
      <c r="K290">
        <f t="shared" ca="1" si="21"/>
        <v>79.8125</v>
      </c>
      <c r="L290" s="14">
        <f t="shared" ca="1" si="22"/>
        <v>4.5</v>
      </c>
      <c r="M290" s="14">
        <f t="shared" ca="1" si="24"/>
        <v>8.375</v>
      </c>
    </row>
    <row r="291" spans="2:13">
      <c r="B291" s="14" t="s">
        <v>157</v>
      </c>
      <c r="C291" s="14">
        <v>0</v>
      </c>
      <c r="D291" s="14"/>
      <c r="E291" s="14">
        <v>1</v>
      </c>
      <c r="F291" s="14">
        <v>0</v>
      </c>
      <c r="G291" s="14">
        <v>24</v>
      </c>
      <c r="H291" s="8" t="str">
        <f ca="1">IF(RAND()&lt;0.25,
    "",
    IF($E291=0,
       CHOOSE(MATCH(RAND(),{0,0.2,0.4,0.6,0.7,0.8,0.85,0.9,0.95,1}),"B-354","B-386","B-4354","B-347","B-357","B-3471","B-34715","B-3571","B-35715"),
       IF($G291=24,
          "B-386",
          IF($G291=12,
             CHOOSE(MATCH(RAND(),{0,0.32,0.49,0.66,0.74,0.82,0.9,1}),"B-386","B-347","B-357","B-3471","B-34715","B-3571","B-35715"),
             "")
)))</f>
        <v>B-386</v>
      </c>
      <c r="I291" s="8" t="str">
        <f t="shared" ca="1" si="23"/>
        <v/>
      </c>
      <c r="J291">
        <f t="shared" ca="1" si="20"/>
        <v>60</v>
      </c>
      <c r="K291">
        <f t="shared" ca="1" si="21"/>
        <v>68.875</v>
      </c>
      <c r="L291" s="14">
        <f t="shared" ca="1" si="22"/>
        <v>9</v>
      </c>
      <c r="M291" s="14">
        <f t="shared" ca="1" si="24"/>
        <v>5</v>
      </c>
    </row>
    <row r="292" spans="2:13" hidden="1">
      <c r="B292" s="14" t="s">
        <v>157</v>
      </c>
      <c r="C292" s="14">
        <v>0</v>
      </c>
      <c r="D292" s="14"/>
      <c r="E292" s="14">
        <v>1</v>
      </c>
      <c r="F292" s="14">
        <v>0</v>
      </c>
      <c r="G292" s="14"/>
      <c r="H292" s="8" t="str">
        <f ca="1">IF(RAND()&lt;0.25,
    "",
    IF($E292=0,
       CHOOSE(MATCH(RAND(),{0,0.2,0.4,0.6,0.7,0.8,0.85,0.9,0.95,1}),"B-354","B-386","B-4354","B-347","B-357","B-3471","B-34715","B-3571","B-35715"),
       IF($G292=24,
          "B-386",
          IF($G292=12,
             CHOOSE(MATCH(RAND(),{0,0.32,0.49,0.66,0.74,0.82,0.9,1}),"B-386","B-347","B-357","B-3471","B-34715","B-3571","B-35715"),
             "")
)))</f>
        <v/>
      </c>
      <c r="I292" s="8" t="str">
        <f t="shared" ca="1" si="23"/>
        <v/>
      </c>
      <c r="J292">
        <f t="shared" ca="1" si="20"/>
        <v>60</v>
      </c>
      <c r="K292">
        <f t="shared" ca="1" si="21"/>
        <v>32.625</v>
      </c>
      <c r="L292" s="14">
        <f t="shared" ca="1" si="22"/>
        <v>2.125</v>
      </c>
      <c r="M292" s="14">
        <f t="shared" ca="1" si="24"/>
        <v>1</v>
      </c>
    </row>
    <row r="293" spans="2:13" hidden="1">
      <c r="B293" s="14" t="s">
        <v>157</v>
      </c>
      <c r="C293" s="14">
        <v>0</v>
      </c>
      <c r="D293" s="14"/>
      <c r="E293" s="14">
        <v>1</v>
      </c>
      <c r="F293" s="14">
        <v>1</v>
      </c>
      <c r="G293" s="14"/>
      <c r="H293" s="8" t="str">
        <f ca="1">IF(RAND()&lt;0.25,
    "",
    IF($E293=0,
       CHOOSE(MATCH(RAND(),{0,0.2,0.4,0.6,0.7,0.8,0.85,0.9,0.95,1}),"B-354","B-386","B-4354","B-347","B-357","B-3471","B-34715","B-3571","B-35715"),
       IF($G293=24,
          "B-386",
          IF($G293=12,
             CHOOSE(MATCH(RAND(),{0,0.32,0.49,0.66,0.74,0.82,0.9,1}),"B-386","B-347","B-357","B-3471","B-34715","B-3571","B-35715"),
             "")
)))</f>
        <v/>
      </c>
      <c r="I293" s="8" t="str">
        <f t="shared" ca="1" si="23"/>
        <v/>
      </c>
      <c r="J293">
        <f t="shared" ca="1" si="20"/>
        <v>60</v>
      </c>
      <c r="K293">
        <f t="shared" ca="1" si="21"/>
        <v>16.875</v>
      </c>
      <c r="L293" s="14">
        <f t="shared" ca="1" si="22"/>
        <v>1.4375</v>
      </c>
      <c r="M293" s="14">
        <f t="shared" ca="1" si="24"/>
        <v>1</v>
      </c>
    </row>
    <row r="294" spans="2:13" hidden="1">
      <c r="B294" s="14" t="s">
        <v>157</v>
      </c>
      <c r="C294" s="14">
        <v>1</v>
      </c>
      <c r="D294" s="14">
        <v>0</v>
      </c>
      <c r="E294" s="14">
        <v>0</v>
      </c>
      <c r="F294" s="14"/>
      <c r="G294" s="14"/>
      <c r="H294" s="8" t="str">
        <f ca="1">IF(RAND()&lt;0.25,
    "",
    IF($E294=0,
       CHOOSE(MATCH(RAND(),{0,0.2,0.4,0.6,0.7,0.8,0.85,0.9,0.95,1}),"B-354","B-386","B-4354","B-347","B-357","B-3471","B-34715","B-3571","B-35715"),
       IF($G294=24,
          "B-386",
          IF($G294=12,
             CHOOSE(MATCH(RAND(),{0,0.32,0.49,0.66,0.74,0.82,0.9,1}),"B-386","B-347","B-357","B-3471","B-34715","B-3571","B-35715"),
             "")
)))</f>
        <v>B-347</v>
      </c>
      <c r="I294" s="8" t="str">
        <f t="shared" ca="1" si="23"/>
        <v/>
      </c>
      <c r="J294">
        <f t="shared" ca="1" si="20"/>
        <v>60</v>
      </c>
      <c r="K294">
        <f t="shared" ca="1" si="21"/>
        <v>53.8125</v>
      </c>
      <c r="L294" s="14">
        <f t="shared" ca="1" si="22"/>
        <v>12</v>
      </c>
      <c r="M294" s="14" t="str">
        <f t="shared" ca="1" si="24"/>
        <v/>
      </c>
    </row>
    <row r="295" spans="2:13">
      <c r="B295" s="14" t="s">
        <v>157</v>
      </c>
      <c r="C295" s="14">
        <v>1</v>
      </c>
      <c r="D295" s="14">
        <v>0</v>
      </c>
      <c r="E295" s="14">
        <v>1</v>
      </c>
      <c r="F295" s="14">
        <v>0</v>
      </c>
      <c r="G295" s="14">
        <v>12</v>
      </c>
      <c r="H295" s="8" t="str">
        <f ca="1">IF(RAND()&lt;0.25,
    "",
    IF($E295=0,
       CHOOSE(MATCH(RAND(),{0,0.2,0.4,0.6,0.7,0.8,0.85,0.9,0.95,1}),"B-354","B-386","B-4354","B-347","B-357","B-3471","B-34715","B-3571","B-35715"),
       IF($G295=24,
          "B-386",
          IF($G295=12,
             CHOOSE(MATCH(RAND(),{0,0.32,0.49,0.66,0.74,0.82,0.9,1}),"B-386","B-347","B-357","B-3471","B-34715","B-3571","B-35715"),
             "")
)))</f>
        <v>B-357</v>
      </c>
      <c r="I295" s="8" t="str">
        <f t="shared" ca="1" si="23"/>
        <v/>
      </c>
      <c r="J295">
        <f t="shared" ca="1" si="20"/>
        <v>60</v>
      </c>
      <c r="K295">
        <f t="shared" ca="1" si="21"/>
        <v>49.8125</v>
      </c>
      <c r="L295" s="14">
        <f t="shared" ca="1" si="22"/>
        <v>4.5</v>
      </c>
      <c r="M295" s="14">
        <f t="shared" ca="1" si="24"/>
        <v>2.5625</v>
      </c>
    </row>
    <row r="296" spans="2:13">
      <c r="B296" s="14" t="s">
        <v>157</v>
      </c>
      <c r="C296" s="14">
        <v>1</v>
      </c>
      <c r="D296" s="14">
        <v>0</v>
      </c>
      <c r="E296" s="14">
        <v>1</v>
      </c>
      <c r="F296" s="14">
        <v>0</v>
      </c>
      <c r="G296" s="14">
        <v>24</v>
      </c>
      <c r="H296" s="8" t="str">
        <f ca="1">IF(RAND()&lt;0.25,
    "",
    IF($E296=0,
       CHOOSE(MATCH(RAND(),{0,0.2,0.4,0.6,0.7,0.8,0.85,0.9,0.95,1}),"B-354","B-386","B-4354","B-347","B-357","B-3471","B-34715","B-3571","B-35715"),
       IF($G296=24,
          "B-386",
          IF($G296=12,
             CHOOSE(MATCH(RAND(),{0,0.32,0.49,0.66,0.74,0.82,0.9,1}),"B-386","B-347","B-357","B-3471","B-34715","B-3571","B-35715"),
             "")
)))</f>
        <v>B-386</v>
      </c>
      <c r="I296" s="8" t="str">
        <f t="shared" ca="1" si="23"/>
        <v/>
      </c>
      <c r="J296">
        <f t="shared" ca="1" si="20"/>
        <v>60</v>
      </c>
      <c r="K296">
        <f t="shared" ca="1" si="21"/>
        <v>70.1875</v>
      </c>
      <c r="L296" s="14">
        <f t="shared" ca="1" si="22"/>
        <v>2.625</v>
      </c>
      <c r="M296" s="14">
        <f t="shared" ca="1" si="24"/>
        <v>4.0625</v>
      </c>
    </row>
    <row r="297" spans="2:13" hidden="1">
      <c r="B297" s="14" t="s">
        <v>157</v>
      </c>
      <c r="C297" s="14">
        <v>1</v>
      </c>
      <c r="D297" s="14">
        <v>0</v>
      </c>
      <c r="E297" s="14">
        <v>1</v>
      </c>
      <c r="F297" s="14">
        <v>0</v>
      </c>
      <c r="G297" s="14"/>
      <c r="H297" s="8" t="str">
        <f ca="1">IF(RAND()&lt;0.25,
    "",
    IF($E297=0,
       CHOOSE(MATCH(RAND(),{0,0.2,0.4,0.6,0.7,0.8,0.85,0.9,0.95,1}),"B-354","B-386","B-4354","B-347","B-357","B-3471","B-34715","B-3571","B-35715"),
       IF($G297=24,
          "B-386",
          IF($G297=12,
             CHOOSE(MATCH(RAND(),{0,0.32,0.49,0.66,0.74,0.82,0.9,1}),"B-386","B-347","B-357","B-3471","B-34715","B-3571","B-35715"),
             "")
)))</f>
        <v/>
      </c>
      <c r="I297" s="8" t="str">
        <f t="shared" ca="1" si="23"/>
        <v/>
      </c>
      <c r="J297">
        <f t="shared" ca="1" si="20"/>
        <v>60</v>
      </c>
      <c r="K297">
        <f t="shared" ca="1" si="21"/>
        <v>13.5625</v>
      </c>
      <c r="L297" s="14">
        <f t="shared" ca="1" si="22"/>
        <v>1</v>
      </c>
      <c r="M297" s="14" t="str">
        <f t="shared" ca="1" si="24"/>
        <v/>
      </c>
    </row>
    <row r="298" spans="2:13" hidden="1">
      <c r="B298" s="14" t="s">
        <v>157</v>
      </c>
      <c r="C298" s="14">
        <v>1</v>
      </c>
      <c r="D298" s="14">
        <v>0</v>
      </c>
      <c r="E298" s="14">
        <v>1</v>
      </c>
      <c r="F298" s="14">
        <v>1</v>
      </c>
      <c r="G298" s="14"/>
      <c r="H298" s="8" t="str">
        <f ca="1">IF(RAND()&lt;0.25,
    "",
    IF($E298=0,
       CHOOSE(MATCH(RAND(),{0,0.2,0.4,0.6,0.7,0.8,0.85,0.9,0.95,1}),"B-354","B-386","B-4354","B-347","B-357","B-3471","B-34715","B-3571","B-35715"),
       IF($G298=24,
          "B-386",
          IF($G298=12,
             CHOOSE(MATCH(RAND(),{0,0.32,0.49,0.66,0.74,0.82,0.9,1}),"B-386","B-347","B-357","B-3471","B-34715","B-3571","B-35715"),
             "")
)))</f>
        <v/>
      </c>
      <c r="I298" s="8" t="str">
        <f t="shared" ca="1" si="23"/>
        <v/>
      </c>
      <c r="J298">
        <f t="shared" ca="1" si="20"/>
        <v>60</v>
      </c>
      <c r="K298">
        <f t="shared" ca="1" si="21"/>
        <v>18.75</v>
      </c>
      <c r="L298" s="14">
        <f t="shared" ca="1" si="22"/>
        <v>10.75</v>
      </c>
      <c r="M298" s="14">
        <f t="shared" ca="1" si="24"/>
        <v>3.75</v>
      </c>
    </row>
    <row r="299" spans="2:13">
      <c r="B299" s="14" t="s">
        <v>157</v>
      </c>
      <c r="C299" s="14">
        <v>1</v>
      </c>
      <c r="D299" s="14">
        <v>1</v>
      </c>
      <c r="E299" s="14">
        <v>0</v>
      </c>
      <c r="F299" s="14"/>
      <c r="G299" s="14"/>
      <c r="H299" s="8" t="str">
        <f ca="1">IF(RAND()&lt;0.25,
    "",
    IF($E299=0,
       CHOOSE(MATCH(RAND(),{0,0.2,0.4,0.6,0.7,0.8,0.85,0.9,0.95,1}),"B-354","B-386","B-4354","B-347","B-357","B-3471","B-34715","B-3571","B-35715"),
       IF($G299=24,
          "B-386",
          IF($G299=12,
             CHOOSE(MATCH(RAND(),{0,0.32,0.49,0.66,0.74,0.82,0.9,1}),"B-386","B-347","B-357","B-3471","B-34715","B-3571","B-35715"),
             "")
)))</f>
        <v>B-4354</v>
      </c>
      <c r="I299" s="8" t="str">
        <f t="shared" ca="1" si="23"/>
        <v/>
      </c>
      <c r="J299">
        <f t="shared" ca="1" si="20"/>
        <v>60</v>
      </c>
      <c r="K299">
        <f t="shared" ca="1" si="21"/>
        <v>50.5625</v>
      </c>
      <c r="L299" s="14">
        <f t="shared" ca="1" si="22"/>
        <v>1</v>
      </c>
      <c r="M299" s="14">
        <f t="shared" ca="1" si="24"/>
        <v>1</v>
      </c>
    </row>
    <row r="300" spans="2:13">
      <c r="B300" s="14" t="s">
        <v>157</v>
      </c>
      <c r="C300" s="14">
        <v>1</v>
      </c>
      <c r="D300" s="14">
        <v>1</v>
      </c>
      <c r="E300" s="14">
        <v>1</v>
      </c>
      <c r="F300" s="14">
        <v>0</v>
      </c>
      <c r="G300" s="14">
        <v>12</v>
      </c>
      <c r="H300" s="8" t="str">
        <f ca="1">IF(RAND()&lt;0.25,
    "",
    IF($E300=0,
       CHOOSE(MATCH(RAND(),{0,0.2,0.4,0.6,0.7,0.8,0.85,0.9,0.95,1}),"B-354","B-386","B-4354","B-347","B-357","B-3471","B-34715","B-3571","B-35715"),
       IF($G300=24,
          "B-386",
          IF($G300=12,
             CHOOSE(MATCH(RAND(),{0,0.32,0.49,0.66,0.74,0.82,0.9,1}),"B-386","B-347","B-357","B-3471","B-34715","B-3571","B-35715"),
             "")
)))</f>
        <v>B-3571</v>
      </c>
      <c r="I300" s="8" t="str">
        <f t="shared" ca="1" si="23"/>
        <v/>
      </c>
      <c r="J300">
        <f t="shared" ca="1" si="20"/>
        <v>60</v>
      </c>
      <c r="K300">
        <f t="shared" ca="1" si="21"/>
        <v>61.625</v>
      </c>
      <c r="L300" s="14">
        <f t="shared" ca="1" si="22"/>
        <v>4.5</v>
      </c>
      <c r="M300" s="14">
        <f t="shared" ca="1" si="24"/>
        <v>6.3125</v>
      </c>
    </row>
    <row r="301" spans="2:13">
      <c r="B301" s="14" t="s">
        <v>157</v>
      </c>
      <c r="C301" s="14">
        <v>1</v>
      </c>
      <c r="D301" s="14">
        <v>1</v>
      </c>
      <c r="E301" s="14">
        <v>1</v>
      </c>
      <c r="F301" s="14">
        <v>0</v>
      </c>
      <c r="G301" s="14">
        <v>24</v>
      </c>
      <c r="H301" s="8" t="str">
        <f ca="1">IF(RAND()&lt;0.25,
    "",
    IF($E301=0,
       CHOOSE(MATCH(RAND(),{0,0.2,0.4,0.6,0.7,0.8,0.85,0.9,0.95,1}),"B-354","B-386","B-4354","B-347","B-357","B-3471","B-34715","B-3571","B-35715"),
       IF($G301=24,
          "B-386",
          IF($G301=12,
             CHOOSE(MATCH(RAND(),{0,0.32,0.49,0.66,0.74,0.82,0.9,1}),"B-386","B-347","B-357","B-3471","B-34715","B-3571","B-35715"),
             "")
)))</f>
        <v>B-386</v>
      </c>
      <c r="I301" s="8" t="str">
        <f t="shared" ca="1" si="23"/>
        <v/>
      </c>
      <c r="J301">
        <f t="shared" ca="1" si="20"/>
        <v>60</v>
      </c>
      <c r="K301">
        <f t="shared" ca="1" si="21"/>
        <v>55.6875</v>
      </c>
      <c r="L301" s="14">
        <f t="shared" ca="1" si="22"/>
        <v>4.5</v>
      </c>
      <c r="M301" s="14">
        <f t="shared" ca="1" si="24"/>
        <v>2.375</v>
      </c>
    </row>
    <row r="302" spans="2:13" hidden="1">
      <c r="B302" s="14" t="s">
        <v>157</v>
      </c>
      <c r="C302" s="14">
        <v>1</v>
      </c>
      <c r="D302" s="14">
        <v>1</v>
      </c>
      <c r="E302" s="14">
        <v>1</v>
      </c>
      <c r="F302" s="14">
        <v>0</v>
      </c>
      <c r="G302" s="14"/>
      <c r="H302" s="8" t="str">
        <f ca="1">IF(RAND()&lt;0.25,
    "",
    IF($E302=0,
       CHOOSE(MATCH(RAND(),{0,0.2,0.4,0.6,0.7,0.8,0.85,0.9,0.95,1}),"B-354","B-386","B-4354","B-347","B-357","B-3471","B-34715","B-3571","B-35715"),
       IF($G302=24,
          "B-386",
          IF($G302=12,
             CHOOSE(MATCH(RAND(),{0,0.32,0.49,0.66,0.74,0.82,0.9,1}),"B-386","B-347","B-357","B-3471","B-34715","B-3571","B-35715"),
             "")
)))</f>
        <v/>
      </c>
      <c r="I302" s="8" t="str">
        <f t="shared" ca="1" si="23"/>
        <v/>
      </c>
      <c r="J302">
        <f t="shared" ca="1" si="20"/>
        <v>60</v>
      </c>
      <c r="K302">
        <f t="shared" ca="1" si="21"/>
        <v>18.875</v>
      </c>
      <c r="L302" s="14">
        <f t="shared" ca="1" si="22"/>
        <v>9</v>
      </c>
      <c r="M302" s="14">
        <f t="shared" ca="1" si="24"/>
        <v>1.0625</v>
      </c>
    </row>
    <row r="303" spans="2:13" hidden="1">
      <c r="B303" s="14" t="s">
        <v>157</v>
      </c>
      <c r="C303" s="14">
        <v>1</v>
      </c>
      <c r="D303" s="14">
        <v>1</v>
      </c>
      <c r="E303" s="14">
        <v>1</v>
      </c>
      <c r="F303" s="14">
        <v>1</v>
      </c>
      <c r="G303" s="14"/>
      <c r="H303" s="8" t="str">
        <f ca="1">IF(RAND()&lt;0.25,
    "",
    IF($E303=0,
       CHOOSE(MATCH(RAND(),{0,0.2,0.4,0.6,0.7,0.8,0.85,0.9,0.95,1}),"B-354","B-386","B-4354","B-347","B-357","B-3471","B-34715","B-3571","B-35715"),
       IF($G303=24,
          "B-386",
          IF($G303=12,
             CHOOSE(MATCH(RAND(),{0,0.32,0.49,0.66,0.74,0.82,0.9,1}),"B-386","B-347","B-357","B-3471","B-34715","B-3571","B-35715"),
             "")
)))</f>
        <v/>
      </c>
      <c r="I303" s="8" t="str">
        <f t="shared" ca="1" si="23"/>
        <v/>
      </c>
      <c r="J303">
        <f t="shared" ca="1" si="20"/>
        <v>60</v>
      </c>
      <c r="K303">
        <f t="shared" ca="1" si="21"/>
        <v>40.5625</v>
      </c>
      <c r="L303" s="14">
        <f t="shared" ca="1" si="22"/>
        <v>12</v>
      </c>
      <c r="M303" s="14">
        <f t="shared" ca="1" si="24"/>
        <v>6.25</v>
      </c>
    </row>
    <row r="304" spans="2:13">
      <c r="B304" s="14" t="s">
        <v>21</v>
      </c>
      <c r="C304" s="14">
        <v>0</v>
      </c>
      <c r="D304" s="14"/>
      <c r="E304" s="14">
        <v>0</v>
      </c>
      <c r="F304" s="14"/>
      <c r="G304" s="14"/>
      <c r="H304" s="8" t="str">
        <f ca="1">IF(RAND()&lt;0.25,
    "",
    IF($E304=0,
       CHOOSE(MATCH(RAND(),{0,0.2,0.4,0.6,0.7,0.8,0.85,0.9,0.95,1}),"B-354","B-386","B-4354","B-347","B-357","B-3471","B-34715","B-3571","B-35715"),
       IF($G304=24,
          "B-386",
          IF($G304=12,
             CHOOSE(MATCH(RAND(),{0,0.32,0.49,0.66,0.74,0.82,0.9,1}),"B-386","B-347","B-357","B-3471","B-34715","B-3571","B-35715"),
             "")
)))</f>
        <v>B-4354</v>
      </c>
      <c r="I304" s="8" t="str">
        <f t="shared" ca="1" si="23"/>
        <v>B-386</v>
      </c>
      <c r="J304">
        <f t="shared" ca="1" si="20"/>
        <v>99.5625</v>
      </c>
      <c r="K304">
        <f t="shared" ca="1" si="21"/>
        <v>56.125</v>
      </c>
      <c r="L304" s="14">
        <f t="shared" ca="1" si="22"/>
        <v>1.25</v>
      </c>
      <c r="M304" s="14">
        <f t="shared" ca="1" si="24"/>
        <v>1</v>
      </c>
    </row>
    <row r="305" spans="2:13" hidden="1">
      <c r="B305" s="14" t="s">
        <v>21</v>
      </c>
      <c r="C305" s="14">
        <v>0</v>
      </c>
      <c r="D305" s="14"/>
      <c r="E305" s="14">
        <v>1</v>
      </c>
      <c r="F305" s="14">
        <v>0</v>
      </c>
      <c r="G305" s="14">
        <v>12</v>
      </c>
      <c r="H305" s="8" t="str">
        <f ca="1">IF(RAND()&lt;0.25,
    "",
    IF($E305=0,
       CHOOSE(MATCH(RAND(),{0,0.2,0.4,0.6,0.7,0.8,0.85,0.9,0.95,1}),"B-354","B-386","B-4354","B-347","B-357","B-3471","B-34715","B-3571","B-35715"),
       IF($G305=24,
          "B-386",
          IF($G305=12,
             CHOOSE(MATCH(RAND(),{0,0.32,0.49,0.66,0.74,0.82,0.9,1}),"B-386","B-347","B-357","B-3471","B-34715","B-3571","B-35715"),
             "")
)))</f>
        <v/>
      </c>
      <c r="I305" s="8" t="str">
        <f t="shared" ca="1" si="23"/>
        <v/>
      </c>
      <c r="J305">
        <f t="shared" ref="J305:J368" ca="1" si="25">IF(B305="BOTTOM",
   60,
   IF(B305="TOP",
      RANDBETWEEN(3*16,50*16)/16,
      IF(B305="WHOLE",
         IF(RAND()&lt;0.75,
            RANDBETWEEN(36*16,110*16)/16,
            96
         ),
         ""
      )
   )
)</f>
        <v>104.25</v>
      </c>
      <c r="K305">
        <f t="shared" ref="K305:K368" ca="1" si="26">_xlfn.LET(
_xlpm.minVal, IF($H305&lt;&gt;"",40,5),
RANDBETWEEN(_xlpm.minVal*16,80*16)/16
)</f>
        <v>76.1875</v>
      </c>
      <c r="L305" s="14">
        <f t="shared" ca="1" si="22"/>
        <v>4.5</v>
      </c>
      <c r="M305" s="14">
        <f t="shared" ca="1" si="24"/>
        <v>1</v>
      </c>
    </row>
    <row r="306" spans="2:13">
      <c r="B306" s="14" t="s">
        <v>21</v>
      </c>
      <c r="C306" s="14">
        <v>0</v>
      </c>
      <c r="D306" s="14"/>
      <c r="E306" s="14">
        <v>1</v>
      </c>
      <c r="F306" s="14">
        <v>0</v>
      </c>
      <c r="G306" s="14">
        <v>24</v>
      </c>
      <c r="H306" s="8" t="str">
        <f ca="1">IF(RAND()&lt;0.25,
    "",
    IF($E306=0,
       CHOOSE(MATCH(RAND(),{0,0.2,0.4,0.6,0.7,0.8,0.85,0.9,0.95,1}),"B-354","B-386","B-4354","B-347","B-357","B-3471","B-34715","B-3571","B-35715"),
       IF($G306=24,
          "B-386",
          IF($G306=12,
             CHOOSE(MATCH(RAND(),{0,0.32,0.49,0.66,0.74,0.82,0.9,1}),"B-386","B-347","B-357","B-3471","B-34715","B-3571","B-35715"),
             "")
)))</f>
        <v>B-386</v>
      </c>
      <c r="I306" s="8" t="str">
        <f t="shared" ca="1" si="23"/>
        <v/>
      </c>
      <c r="J306">
        <f t="shared" ca="1" si="25"/>
        <v>96</v>
      </c>
      <c r="K306">
        <f t="shared" ca="1" si="26"/>
        <v>41.9375</v>
      </c>
      <c r="L306" s="14">
        <f t="shared" ca="1" si="22"/>
        <v>5.5</v>
      </c>
      <c r="M306" s="14" t="str">
        <f t="shared" ca="1" si="24"/>
        <v/>
      </c>
    </row>
    <row r="307" spans="2:13" hidden="1">
      <c r="B307" s="14" t="s">
        <v>21</v>
      </c>
      <c r="C307" s="14">
        <v>0</v>
      </c>
      <c r="D307" s="14"/>
      <c r="E307" s="14">
        <v>1</v>
      </c>
      <c r="F307" s="14">
        <v>0</v>
      </c>
      <c r="G307" s="14"/>
      <c r="H307" s="8" t="str">
        <f ca="1">IF(RAND()&lt;0.25,
    "",
    IF($E307=0,
       CHOOSE(MATCH(RAND(),{0,0.2,0.4,0.6,0.7,0.8,0.85,0.9,0.95,1}),"B-354","B-386","B-4354","B-347","B-357","B-3471","B-34715","B-3571","B-35715"),
       IF($G307=24,
          "B-386",
          IF($G307=12,
             CHOOSE(MATCH(RAND(),{0,0.32,0.49,0.66,0.74,0.82,0.9,1}),"B-386","B-347","B-357","B-3471","B-34715","B-3571","B-35715"),
             "")
)))</f>
        <v/>
      </c>
      <c r="I307" s="8" t="str">
        <f t="shared" ca="1" si="23"/>
        <v/>
      </c>
      <c r="J307">
        <f t="shared" ca="1" si="25"/>
        <v>105.625</v>
      </c>
      <c r="K307">
        <f t="shared" ca="1" si="26"/>
        <v>37.25</v>
      </c>
      <c r="L307" s="14">
        <f t="shared" ca="1" si="22"/>
        <v>12</v>
      </c>
      <c r="M307" s="14">
        <f t="shared" ca="1" si="24"/>
        <v>1</v>
      </c>
    </row>
    <row r="308" spans="2:13" hidden="1">
      <c r="B308" s="14" t="s">
        <v>21</v>
      </c>
      <c r="C308" s="14">
        <v>0</v>
      </c>
      <c r="D308" s="14"/>
      <c r="E308" s="14">
        <v>1</v>
      </c>
      <c r="F308" s="14">
        <v>1</v>
      </c>
      <c r="G308" s="14"/>
      <c r="H308" s="8" t="str">
        <f ca="1">IF(RAND()&lt;0.25,
    "",
    IF($E308=0,
       CHOOSE(MATCH(RAND(),{0,0.2,0.4,0.6,0.7,0.8,0.85,0.9,0.95,1}),"B-354","B-386","B-4354","B-347","B-357","B-3471","B-34715","B-3571","B-35715"),
       IF($G308=24,
          "B-386",
          IF($G308=12,
             CHOOSE(MATCH(RAND(),{0,0.32,0.49,0.66,0.74,0.82,0.9,1}),"B-386","B-347","B-357","B-3471","B-34715","B-3571","B-35715"),
             "")
)))</f>
        <v/>
      </c>
      <c r="I308" s="8" t="str">
        <f t="shared" ca="1" si="23"/>
        <v/>
      </c>
      <c r="J308">
        <f t="shared" ca="1" si="25"/>
        <v>108.0625</v>
      </c>
      <c r="K308">
        <f t="shared" ca="1" si="26"/>
        <v>24.4375</v>
      </c>
      <c r="L308" s="14">
        <f t="shared" ca="1" si="22"/>
        <v>12</v>
      </c>
      <c r="M308" s="14">
        <f t="shared" ca="1" si="24"/>
        <v>1</v>
      </c>
    </row>
    <row r="309" spans="2:13">
      <c r="B309" s="14" t="s">
        <v>21</v>
      </c>
      <c r="C309" s="14">
        <v>1</v>
      </c>
      <c r="D309" s="14">
        <v>0</v>
      </c>
      <c r="E309" s="14">
        <v>0</v>
      </c>
      <c r="F309" s="14"/>
      <c r="G309" s="14"/>
      <c r="H309" s="8" t="str">
        <f ca="1">IF(RAND()&lt;0.25,
    "",
    IF($E309=0,
       CHOOSE(MATCH(RAND(),{0,0.2,0.4,0.6,0.7,0.8,0.85,0.9,0.95,1}),"B-354","B-386","B-4354","B-347","B-357","B-3471","B-34715","B-3571","B-35715"),
       IF($G309=24,
          "B-386",
          IF($G309=12,
             CHOOSE(MATCH(RAND(),{0,0.32,0.49,0.66,0.74,0.82,0.9,1}),"B-386","B-347","B-357","B-3471","B-34715","B-3571","B-35715"),
             "")
)))</f>
        <v>B-354</v>
      </c>
      <c r="I309" s="8" t="str">
        <f t="shared" ca="1" si="23"/>
        <v/>
      </c>
      <c r="J309">
        <f t="shared" ca="1" si="25"/>
        <v>102.0625</v>
      </c>
      <c r="K309">
        <f t="shared" ca="1" si="26"/>
        <v>69</v>
      </c>
      <c r="L309" s="14">
        <f t="shared" ca="1" si="22"/>
        <v>5.125</v>
      </c>
      <c r="M309" s="14">
        <f t="shared" ca="1" si="24"/>
        <v>1.125</v>
      </c>
    </row>
    <row r="310" spans="2:13">
      <c r="B310" s="14" t="s">
        <v>21</v>
      </c>
      <c r="C310" s="14">
        <v>1</v>
      </c>
      <c r="D310" s="14">
        <v>0</v>
      </c>
      <c r="E310" s="14">
        <v>1</v>
      </c>
      <c r="F310" s="14">
        <v>0</v>
      </c>
      <c r="G310" s="14">
        <v>12</v>
      </c>
      <c r="H310" s="8" t="str">
        <f ca="1">IF(RAND()&lt;0.25,
    "",
    IF($E310=0,
       CHOOSE(MATCH(RAND(),{0,0.2,0.4,0.6,0.7,0.8,0.85,0.9,0.95,1}),"B-354","B-386","B-4354","B-347","B-357","B-3471","B-34715","B-3571","B-35715"),
       IF($G310=24,
          "B-386",
          IF($G310=12,
             CHOOSE(MATCH(RAND(),{0,0.32,0.49,0.66,0.74,0.82,0.9,1}),"B-386","B-347","B-357","B-3471","B-34715","B-3571","B-35715"),
             "")
)))</f>
        <v/>
      </c>
      <c r="I310" s="8" t="str">
        <f t="shared" ca="1" si="23"/>
        <v/>
      </c>
      <c r="J310">
        <f t="shared" ca="1" si="25"/>
        <v>96.25</v>
      </c>
      <c r="K310">
        <f t="shared" ca="1" si="26"/>
        <v>40.375</v>
      </c>
      <c r="L310" s="14">
        <f t="shared" ca="1" si="22"/>
        <v>12</v>
      </c>
      <c r="M310" s="14">
        <f t="shared" ca="1" si="24"/>
        <v>2.6875</v>
      </c>
    </row>
    <row r="311" spans="2:13">
      <c r="B311" s="14" t="s">
        <v>21</v>
      </c>
      <c r="C311" s="14">
        <v>1</v>
      </c>
      <c r="D311" s="14">
        <v>0</v>
      </c>
      <c r="E311" s="14">
        <v>1</v>
      </c>
      <c r="F311" s="14">
        <v>0</v>
      </c>
      <c r="G311" s="14">
        <v>24</v>
      </c>
      <c r="H311" s="8" t="str">
        <f ca="1">IF(RAND()&lt;0.25,
    "",
    IF($E311=0,
       CHOOSE(MATCH(RAND(),{0,0.2,0.4,0.6,0.7,0.8,0.85,0.9,0.95,1}),"B-354","B-386","B-4354","B-347","B-357","B-3471","B-34715","B-3571","B-35715"),
       IF($G311=24,
          "B-386",
          IF($G311=12,
             CHOOSE(MATCH(RAND(),{0,0.32,0.49,0.66,0.74,0.82,0.9,1}),"B-386","B-347","B-357","B-3471","B-34715","B-3571","B-35715"),
             "")
)))</f>
        <v>B-386</v>
      </c>
      <c r="I311" s="8" t="str">
        <f t="shared" ca="1" si="23"/>
        <v/>
      </c>
      <c r="J311">
        <f t="shared" ca="1" si="25"/>
        <v>90.0625</v>
      </c>
      <c r="K311">
        <f t="shared" ca="1" si="26"/>
        <v>41.1875</v>
      </c>
      <c r="L311" s="14">
        <f t="shared" ca="1" si="22"/>
        <v>12</v>
      </c>
      <c r="M311" s="14">
        <f t="shared" ca="1" si="24"/>
        <v>1</v>
      </c>
    </row>
    <row r="312" spans="2:13" hidden="1">
      <c r="B312" s="14" t="s">
        <v>21</v>
      </c>
      <c r="C312" s="14">
        <v>1</v>
      </c>
      <c r="D312" s="14">
        <v>0</v>
      </c>
      <c r="E312" s="14">
        <v>1</v>
      </c>
      <c r="F312" s="14">
        <v>0</v>
      </c>
      <c r="G312" s="14"/>
      <c r="H312" s="8" t="str">
        <f ca="1">IF(RAND()&lt;0.25,
    "",
    IF($E312=0,
       CHOOSE(MATCH(RAND(),{0,0.2,0.4,0.6,0.7,0.8,0.85,0.9,0.95,1}),"B-354","B-386","B-4354","B-347","B-357","B-3471","B-34715","B-3571","B-35715"),
       IF($G312=24,
          "B-386",
          IF($G312=12,
             CHOOSE(MATCH(RAND(),{0,0.32,0.49,0.66,0.74,0.82,0.9,1}),"B-386","B-347","B-357","B-3471","B-34715","B-3571","B-35715"),
             "")
)))</f>
        <v/>
      </c>
      <c r="I312" s="8" t="str">
        <f t="shared" ca="1" si="23"/>
        <v/>
      </c>
      <c r="J312">
        <f t="shared" ca="1" si="25"/>
        <v>60.3125</v>
      </c>
      <c r="K312">
        <f t="shared" ca="1" si="26"/>
        <v>16.8125</v>
      </c>
      <c r="L312" s="14">
        <f t="shared" ca="1" si="22"/>
        <v>9</v>
      </c>
      <c r="M312" s="14">
        <f t="shared" ca="1" si="24"/>
        <v>7.0625</v>
      </c>
    </row>
    <row r="313" spans="2:13" hidden="1">
      <c r="B313" s="14" t="s">
        <v>21</v>
      </c>
      <c r="C313" s="14">
        <v>1</v>
      </c>
      <c r="D313" s="14">
        <v>0</v>
      </c>
      <c r="E313" s="14">
        <v>1</v>
      </c>
      <c r="F313" s="14">
        <v>1</v>
      </c>
      <c r="G313" s="14"/>
      <c r="H313" s="8" t="str">
        <f ca="1">IF(RAND()&lt;0.25,
    "",
    IF($E313=0,
       CHOOSE(MATCH(RAND(),{0,0.2,0.4,0.6,0.7,0.8,0.85,0.9,0.95,1}),"B-354","B-386","B-4354","B-347","B-357","B-3471","B-34715","B-3571","B-35715"),
       IF($G313=24,
          "B-386",
          IF($G313=12,
             CHOOSE(MATCH(RAND(),{0,0.32,0.49,0.66,0.74,0.82,0.9,1}),"B-386","B-347","B-357","B-3471","B-34715","B-3571","B-35715"),
             "")
)))</f>
        <v/>
      </c>
      <c r="I313" s="8" t="str">
        <f t="shared" ca="1" si="23"/>
        <v/>
      </c>
      <c r="J313">
        <f t="shared" ca="1" si="25"/>
        <v>73.5625</v>
      </c>
      <c r="K313">
        <f t="shared" ca="1" si="26"/>
        <v>76.75</v>
      </c>
      <c r="L313" s="14">
        <f t="shared" ca="1" si="22"/>
        <v>12</v>
      </c>
      <c r="M313" s="14">
        <f t="shared" ca="1" si="24"/>
        <v>4.75</v>
      </c>
    </row>
    <row r="314" spans="2:13">
      <c r="B314" s="14" t="s">
        <v>21</v>
      </c>
      <c r="C314" s="14">
        <v>1</v>
      </c>
      <c r="D314" s="14">
        <v>1</v>
      </c>
      <c r="E314" s="14">
        <v>0</v>
      </c>
      <c r="F314" s="14"/>
      <c r="G314" s="14"/>
      <c r="H314" s="8" t="str">
        <f ca="1">IF(RAND()&lt;0.25,
    "",
    IF($E314=0,
       CHOOSE(MATCH(RAND(),{0,0.2,0.4,0.6,0.7,0.8,0.85,0.9,0.95,1}),"B-354","B-386","B-4354","B-347","B-357","B-3471","B-34715","B-3571","B-35715"),
       IF($G314=24,
          "B-386",
          IF($G314=12,
             CHOOSE(MATCH(RAND(),{0,0.32,0.49,0.66,0.74,0.82,0.9,1}),"B-386","B-347","B-357","B-3471","B-34715","B-3571","B-35715"),
             "")
)))</f>
        <v>B-386</v>
      </c>
      <c r="I314" s="8" t="str">
        <f t="shared" ca="1" si="23"/>
        <v/>
      </c>
      <c r="J314">
        <f t="shared" ca="1" si="25"/>
        <v>55.5</v>
      </c>
      <c r="K314">
        <f t="shared" ca="1" si="26"/>
        <v>73.5</v>
      </c>
      <c r="L314" s="14">
        <f t="shared" ca="1" si="22"/>
        <v>2.0625</v>
      </c>
      <c r="M314" s="14">
        <f t="shared" ca="1" si="24"/>
        <v>8.375</v>
      </c>
    </row>
    <row r="315" spans="2:13">
      <c r="B315" s="14" t="s">
        <v>21</v>
      </c>
      <c r="C315" s="14">
        <v>1</v>
      </c>
      <c r="D315" s="14">
        <v>1</v>
      </c>
      <c r="E315" s="14">
        <v>1</v>
      </c>
      <c r="F315" s="14">
        <v>0</v>
      </c>
      <c r="G315" s="14">
        <v>12</v>
      </c>
      <c r="H315" s="8" t="str">
        <f ca="1">IF(RAND()&lt;0.25,
    "",
    IF($E315=0,
       CHOOSE(MATCH(RAND(),{0,0.2,0.4,0.6,0.7,0.8,0.85,0.9,0.95,1}),"B-354","B-386","B-4354","B-347","B-357","B-3471","B-34715","B-3571","B-35715"),
       IF($G315=24,
          "B-386",
          IF($G315=12,
             CHOOSE(MATCH(RAND(),{0,0.32,0.49,0.66,0.74,0.82,0.9,1}),"B-386","B-347","B-357","B-3471","B-34715","B-3571","B-35715"),
             "")
)))</f>
        <v/>
      </c>
      <c r="I315" s="8" t="str">
        <f t="shared" ca="1" si="23"/>
        <v/>
      </c>
      <c r="J315">
        <f t="shared" ca="1" si="25"/>
        <v>92.25</v>
      </c>
      <c r="K315">
        <f t="shared" ca="1" si="26"/>
        <v>37.125</v>
      </c>
      <c r="L315" s="14">
        <f t="shared" ca="1" si="22"/>
        <v>1.9375</v>
      </c>
      <c r="M315" s="14">
        <f t="shared" ca="1" si="24"/>
        <v>1</v>
      </c>
    </row>
    <row r="316" spans="2:13">
      <c r="B316" s="14" t="s">
        <v>21</v>
      </c>
      <c r="C316" s="14">
        <v>1</v>
      </c>
      <c r="D316" s="14">
        <v>1</v>
      </c>
      <c r="E316" s="14">
        <v>1</v>
      </c>
      <c r="F316" s="14">
        <v>0</v>
      </c>
      <c r="G316" s="14">
        <v>24</v>
      </c>
      <c r="H316" s="8" t="str">
        <f ca="1">IF(RAND()&lt;0.25,
    "",
    IF($E316=0,
       CHOOSE(MATCH(RAND(),{0,0.2,0.4,0.6,0.7,0.8,0.85,0.9,0.95,1}),"B-354","B-386","B-4354","B-347","B-357","B-3471","B-34715","B-3571","B-35715"),
       IF($G316=24,
          "B-386",
          IF($G316=12,
             CHOOSE(MATCH(RAND(),{0,0.32,0.49,0.66,0.74,0.82,0.9,1}),"B-386","B-347","B-357","B-3471","B-34715","B-3571","B-35715"),
             "")
)))</f>
        <v>B-386</v>
      </c>
      <c r="I316" s="8" t="str">
        <f t="shared" ca="1" si="23"/>
        <v/>
      </c>
      <c r="J316">
        <f t="shared" ca="1" si="25"/>
        <v>85.8125</v>
      </c>
      <c r="K316">
        <f t="shared" ca="1" si="26"/>
        <v>57.875</v>
      </c>
      <c r="L316" s="14">
        <f t="shared" ca="1" si="22"/>
        <v>9</v>
      </c>
      <c r="M316" s="14">
        <f t="shared" ca="1" si="24"/>
        <v>2.4375</v>
      </c>
    </row>
    <row r="317" spans="2:13" hidden="1">
      <c r="B317" s="14" t="s">
        <v>21</v>
      </c>
      <c r="C317" s="14">
        <v>1</v>
      </c>
      <c r="D317" s="14">
        <v>1</v>
      </c>
      <c r="E317" s="14">
        <v>1</v>
      </c>
      <c r="F317" s="14">
        <v>0</v>
      </c>
      <c r="G317" s="14"/>
      <c r="H317" s="8" t="str">
        <f ca="1">IF(RAND()&lt;0.25,
    "",
    IF($E317=0,
       CHOOSE(MATCH(RAND(),{0,0.2,0.4,0.6,0.7,0.8,0.85,0.9,0.95,1}),"B-354","B-386","B-4354","B-347","B-357","B-3471","B-34715","B-3571","B-35715"),
       IF($G317=24,
          "B-386",
          IF($G317=12,
             CHOOSE(MATCH(RAND(),{0,0.32,0.49,0.66,0.74,0.82,0.9,1}),"B-386","B-347","B-357","B-3471","B-34715","B-3571","B-35715"),
             "")
)))</f>
        <v/>
      </c>
      <c r="I317" s="8" t="str">
        <f t="shared" ca="1" si="23"/>
        <v/>
      </c>
      <c r="J317">
        <f t="shared" ca="1" si="25"/>
        <v>36.4375</v>
      </c>
      <c r="K317">
        <f t="shared" ca="1" si="26"/>
        <v>8.125</v>
      </c>
      <c r="L317" s="14">
        <f t="shared" ca="1" si="22"/>
        <v>12</v>
      </c>
      <c r="M317" s="14">
        <f t="shared" ca="1" si="24"/>
        <v>7.8125</v>
      </c>
    </row>
    <row r="318" spans="2:13" ht="15" hidden="1" thickBot="1">
      <c r="B318" s="50" t="s">
        <v>21</v>
      </c>
      <c r="C318" s="50">
        <v>1</v>
      </c>
      <c r="D318" s="50">
        <v>1</v>
      </c>
      <c r="E318" s="50">
        <v>1</v>
      </c>
      <c r="F318" s="50">
        <v>1</v>
      </c>
      <c r="G318" s="50"/>
      <c r="H318" s="51" t="str">
        <f ca="1">IF(RAND()&lt;0.25,
    "",
    IF($E318=0,
       CHOOSE(MATCH(RAND(),{0,0.2,0.4,0.6,0.7,0.8,0.85,0.9,0.95,1}),"B-354","B-386","B-4354","B-347","B-357","B-3471","B-34715","B-3571","B-35715"),
       IF($G318=24,
          "B-386",
          IF($G318=12,
             CHOOSE(MATCH(RAND(),{0,0.32,0.49,0.66,0.74,0.82,0.9,1}),"B-386","B-347","B-357","B-3471","B-34715","B-3571","B-35715"),
             "")
)))</f>
        <v/>
      </c>
      <c r="I318" s="51" t="str">
        <f t="shared" ca="1" si="23"/>
        <v/>
      </c>
      <c r="J318" s="49">
        <f t="shared" ca="1" si="25"/>
        <v>99.25</v>
      </c>
      <c r="K318" s="49">
        <f t="shared" ca="1" si="26"/>
        <v>42.75</v>
      </c>
      <c r="L318" s="50">
        <f t="shared" ca="1" si="22"/>
        <v>2.5</v>
      </c>
      <c r="M318" s="14" t="str">
        <f t="shared" ca="1" si="24"/>
        <v/>
      </c>
    </row>
    <row r="319" spans="2:13" hidden="1">
      <c r="B319" s="14" t="s">
        <v>156</v>
      </c>
      <c r="C319" s="19">
        <v>0</v>
      </c>
      <c r="D319" s="19"/>
      <c r="E319" s="19">
        <v>0</v>
      </c>
      <c r="F319" s="19"/>
      <c r="G319" s="14"/>
      <c r="H319" s="8" t="str">
        <f ca="1">IF(RAND()&lt;0.25,
    "",
    IF($E319=0,
       CHOOSE(MATCH(RAND(),{0,0.2,0.4,0.6,0.7,0.8,0.85,0.9,0.95,1}),"B-354","B-386","B-4354","B-347","B-357","B-3471","B-34715","B-3571","B-35715"),
       IF($G319=24,
          "B-386",
          IF($G319=12,
             CHOOSE(MATCH(RAND(),{0,0.32,0.49,0.66,0.74,0.82,0.9,1}),"B-386","B-347","B-357","B-3471","B-34715","B-3571","B-35715"),
             "")
)))</f>
        <v>B-35715</v>
      </c>
      <c r="I319" s="8" t="str">
        <f t="shared" ca="1" si="23"/>
        <v/>
      </c>
      <c r="J319">
        <f t="shared" ca="1" si="25"/>
        <v>5.625</v>
      </c>
      <c r="K319">
        <f t="shared" ca="1" si="26"/>
        <v>68.1875</v>
      </c>
      <c r="L319" s="14">
        <f t="shared" ca="1" si="22"/>
        <v>5.0625</v>
      </c>
      <c r="M319" s="14">
        <f t="shared" ca="1" si="24"/>
        <v>8.125</v>
      </c>
    </row>
    <row r="320" spans="2:13">
      <c r="B320" s="14" t="s">
        <v>156</v>
      </c>
      <c r="C320" s="14">
        <v>0</v>
      </c>
      <c r="D320" s="14"/>
      <c r="E320" s="14">
        <v>1</v>
      </c>
      <c r="F320" s="14">
        <v>0</v>
      </c>
      <c r="G320" s="14">
        <v>12</v>
      </c>
      <c r="H320" s="8" t="str">
        <f ca="1">IF(RAND()&lt;0.25,
    "",
    IF($E320=0,
       CHOOSE(MATCH(RAND(),{0,0.2,0.4,0.6,0.7,0.8,0.85,0.9,0.95,1}),"B-354","B-386","B-4354","B-347","B-357","B-3471","B-34715","B-3571","B-35715"),
       IF($G320=24,
          "B-386",
          IF($G320=12,
             CHOOSE(MATCH(RAND(),{0,0.32,0.49,0.66,0.74,0.82,0.9,1}),"B-386","B-347","B-357","B-3471","B-34715","B-3571","B-35715"),
             "")
)))</f>
        <v>B-34715</v>
      </c>
      <c r="I320" s="8" t="str">
        <f t="shared" ca="1" si="23"/>
        <v/>
      </c>
      <c r="J320">
        <f t="shared" ca="1" si="25"/>
        <v>27.125</v>
      </c>
      <c r="K320">
        <f t="shared" ca="1" si="26"/>
        <v>42.3125</v>
      </c>
      <c r="L320" s="14">
        <f t="shared" ca="1" si="22"/>
        <v>1</v>
      </c>
      <c r="M320" s="14">
        <f t="shared" ca="1" si="24"/>
        <v>1.3125</v>
      </c>
    </row>
    <row r="321" spans="2:13">
      <c r="B321" s="14" t="s">
        <v>156</v>
      </c>
      <c r="C321" s="14">
        <v>0</v>
      </c>
      <c r="D321" s="14"/>
      <c r="E321" s="14">
        <v>1</v>
      </c>
      <c r="F321" s="14">
        <v>0</v>
      </c>
      <c r="G321" s="14">
        <v>24</v>
      </c>
      <c r="H321" s="8" t="str">
        <f ca="1">IF(RAND()&lt;0.25,
    "",
    IF($E321=0,
       CHOOSE(MATCH(RAND(),{0,0.2,0.4,0.6,0.7,0.8,0.85,0.9,0.95,1}),"B-354","B-386","B-4354","B-347","B-357","B-3471","B-34715","B-3571","B-35715"),
       IF($G321=24,
          "B-386",
          IF($G321=12,
             CHOOSE(MATCH(RAND(),{0,0.32,0.49,0.66,0.74,0.82,0.9,1}),"B-386","B-347","B-357","B-3471","B-34715","B-3571","B-35715"),
             "")
)))</f>
        <v>B-386</v>
      </c>
      <c r="I321" s="8" t="str">
        <f t="shared" ca="1" si="23"/>
        <v/>
      </c>
      <c r="J321">
        <f t="shared" ca="1" si="25"/>
        <v>38.5625</v>
      </c>
      <c r="K321">
        <f t="shared" ca="1" si="26"/>
        <v>46.25</v>
      </c>
      <c r="L321" s="14">
        <f t="shared" ca="1" si="22"/>
        <v>4.5</v>
      </c>
      <c r="M321" s="14">
        <f t="shared" ca="1" si="24"/>
        <v>6.3125</v>
      </c>
    </row>
    <row r="322" spans="2:13" hidden="1">
      <c r="B322" s="14" t="s">
        <v>156</v>
      </c>
      <c r="C322" s="14">
        <v>0</v>
      </c>
      <c r="D322" s="14"/>
      <c r="E322" s="14">
        <v>1</v>
      </c>
      <c r="F322" s="14">
        <v>0</v>
      </c>
      <c r="G322" s="14"/>
      <c r="H322" s="8" t="str">
        <f ca="1">IF(RAND()&lt;0.25,
    "",
    IF($E322=0,
       CHOOSE(MATCH(RAND(),{0,0.2,0.4,0.6,0.7,0.8,0.85,0.9,0.95,1}),"B-354","B-386","B-4354","B-347","B-357","B-3471","B-34715","B-3571","B-35715"),
       IF($G322=24,
          "B-386",
          IF($G322=12,
             CHOOSE(MATCH(RAND(),{0,0.32,0.49,0.66,0.74,0.82,0.9,1}),"B-386","B-347","B-357","B-3471","B-34715","B-3571","B-35715"),
             "")
)))</f>
        <v/>
      </c>
      <c r="I322" s="8" t="str">
        <f t="shared" ca="1" si="23"/>
        <v/>
      </c>
      <c r="J322">
        <f t="shared" ca="1" si="25"/>
        <v>26.6875</v>
      </c>
      <c r="K322">
        <f t="shared" ca="1" si="26"/>
        <v>57.3125</v>
      </c>
      <c r="L322" s="14">
        <f t="shared" ca="1" si="22"/>
        <v>1</v>
      </c>
      <c r="M322" s="14">
        <f t="shared" ca="1" si="24"/>
        <v>1.375</v>
      </c>
    </row>
    <row r="323" spans="2:13" hidden="1">
      <c r="B323" s="14" t="s">
        <v>156</v>
      </c>
      <c r="C323" s="14">
        <v>0</v>
      </c>
      <c r="D323" s="14"/>
      <c r="E323" s="14">
        <v>1</v>
      </c>
      <c r="F323" s="14">
        <v>1</v>
      </c>
      <c r="G323" s="14"/>
      <c r="H323" s="8" t="str">
        <f ca="1">IF(RAND()&lt;0.25,
    "",
    IF($E323=0,
       CHOOSE(MATCH(RAND(),{0,0.2,0.4,0.6,0.7,0.8,0.85,0.9,0.95,1}),"B-354","B-386","B-4354","B-347","B-357","B-3471","B-34715","B-3571","B-35715"),
       IF($G323=24,
          "B-386",
          IF($G323=12,
             CHOOSE(MATCH(RAND(),{0,0.32,0.49,0.66,0.74,0.82,0.9,1}),"B-386","B-347","B-357","B-3471","B-34715","B-3571","B-35715"),
             "")
)))</f>
        <v/>
      </c>
      <c r="I323" s="8" t="str">
        <f t="shared" ca="1" si="23"/>
        <v/>
      </c>
      <c r="J323">
        <f t="shared" ca="1" si="25"/>
        <v>6.125</v>
      </c>
      <c r="K323">
        <f t="shared" ca="1" si="26"/>
        <v>32.8125</v>
      </c>
      <c r="L323" s="14">
        <f t="shared" ca="1" si="22"/>
        <v>2.875</v>
      </c>
      <c r="M323" s="14">
        <f t="shared" ca="1" si="24"/>
        <v>1</v>
      </c>
    </row>
    <row r="324" spans="2:13">
      <c r="B324" s="14" t="s">
        <v>156</v>
      </c>
      <c r="C324" s="14">
        <v>1</v>
      </c>
      <c r="D324" s="14">
        <v>0</v>
      </c>
      <c r="E324" s="14">
        <v>0</v>
      </c>
      <c r="F324" s="14"/>
      <c r="G324" s="14"/>
      <c r="H324" s="8" t="str">
        <f ca="1">IF(RAND()&lt;0.25,
    "",
    IF($E324=0,
       CHOOSE(MATCH(RAND(),{0,0.2,0.4,0.6,0.7,0.8,0.85,0.9,0.95,1}),"B-354","B-386","B-4354","B-347","B-357","B-3471","B-34715","B-3571","B-35715"),
       IF($G324=24,
          "B-386",
          IF($G324=12,
             CHOOSE(MATCH(RAND(),{0,0.32,0.49,0.66,0.74,0.82,0.9,1}),"B-386","B-347","B-357","B-3471","B-34715","B-3571","B-35715"),
             "")
)))</f>
        <v>B-354</v>
      </c>
      <c r="I324" s="8" t="str">
        <f t="shared" ca="1" si="23"/>
        <v>B-386</v>
      </c>
      <c r="J324">
        <f t="shared" ca="1" si="25"/>
        <v>48.375</v>
      </c>
      <c r="K324">
        <f t="shared" ca="1" si="26"/>
        <v>50.625</v>
      </c>
      <c r="L324" s="14">
        <f t="shared" ref="L324:L387" ca="1" si="27" xml:space="preserve">    _xlfn.LET(
      _xlpm.k, RANDBETWEEN(1,6),
      _xlpm.step, 1/16,
      IF(
        _xlpm.k=1, 1,
        IF(
          _xlpm.k=2, 4.5,
          IF(
            _xlpm.k=3, 9,
            IF(
              _xlpm.k=4, 12,
              IF(
                _xlpm.k=5,
                  1 + _xlpm.step*RANDBETWEEN(1, (4.5-1)/_xlpm.step - 1),
                  4.5 + _xlpm.step*RANDBETWEEN(1, (12-4.5)/_xlpm.step - 1)
              )
            )
          )
        )
      )
    )</f>
        <v>12</v>
      </c>
      <c r="M324" s="14">
        <f t="shared" ca="1" si="24"/>
        <v>1</v>
      </c>
    </row>
    <row r="325" spans="2:13" hidden="1">
      <c r="B325" s="14" t="s">
        <v>156</v>
      </c>
      <c r="C325" s="14">
        <v>1</v>
      </c>
      <c r="D325" s="14">
        <v>0</v>
      </c>
      <c r="E325" s="14">
        <v>1</v>
      </c>
      <c r="F325" s="14">
        <v>0</v>
      </c>
      <c r="G325" s="14">
        <v>12</v>
      </c>
      <c r="H325" s="8" t="str">
        <f ca="1">IF(RAND()&lt;0.25,
    "",
    IF($E325=0,
       CHOOSE(MATCH(RAND(),{0,0.2,0.4,0.6,0.7,0.8,0.85,0.9,0.95,1}),"B-354","B-386","B-4354","B-347","B-357","B-3471","B-34715","B-3571","B-35715"),
       IF($G325=24,
          "B-386",
          IF($G325=12,
             CHOOSE(MATCH(RAND(),{0,0.32,0.49,0.66,0.74,0.82,0.9,1}),"B-386","B-347","B-357","B-3471","B-34715","B-3571","B-35715"),
             "")
)))</f>
        <v>B-3471</v>
      </c>
      <c r="I325" s="8" t="str">
        <f t="shared" ref="I325:I388" ca="1" si="28">IF($H325="",
    "",
    IF(AND($E325=0,OR($H325="B-354",$H325="B-386",$H325="B-4354")),
       IF(RAND()&lt;0.5,
          "",
          IF($H325="B-354",
             "B-386",
             IF($H325="B-4354",
                "B-386",
                IF($H325="B-386",
                   IF(RAND()&lt;0.5,
                      "B-354",
                      "B-4354"),
                   "")
                 ))),
       ""))</f>
        <v/>
      </c>
      <c r="J325">
        <f t="shared" ca="1" si="25"/>
        <v>8.3125</v>
      </c>
      <c r="K325">
        <f t="shared" ca="1" si="26"/>
        <v>71.4375</v>
      </c>
      <c r="L325" s="14">
        <f t="shared" ca="1" si="27"/>
        <v>1</v>
      </c>
      <c r="M325" s="14">
        <f t="shared" ref="M325:M388" ca="1" si="29">_xlfn.LET(
  _xlpm.r, RAND(),
  IF(
     _xlpm.r &lt; 0.25,
     1,
     IF(
        _xlpm.r &lt; 0.5,
        1 + RANDBETWEEN(0,16*4)/16,
        IF(
            _xlpm.r &lt; 0.75,
            4.5 + RANDBETWEEN(0,16*4)/16,
            ""
           )
        )
     )
)</f>
        <v>1.5625</v>
      </c>
    </row>
    <row r="326" spans="2:13" hidden="1">
      <c r="B326" s="14" t="s">
        <v>156</v>
      </c>
      <c r="C326" s="14">
        <v>1</v>
      </c>
      <c r="D326" s="14">
        <v>0</v>
      </c>
      <c r="E326" s="14">
        <v>1</v>
      </c>
      <c r="F326" s="14">
        <v>0</v>
      </c>
      <c r="G326" s="14">
        <v>24</v>
      </c>
      <c r="H326" s="8" t="str">
        <f ca="1">IF(RAND()&lt;0.25,
    "",
    IF($E326=0,
       CHOOSE(MATCH(RAND(),{0,0.2,0.4,0.6,0.7,0.8,0.85,0.9,0.95,1}),"B-354","B-386","B-4354","B-347","B-357","B-3471","B-34715","B-3571","B-35715"),
       IF($G326=24,
          "B-386",
          IF($G326=12,
             CHOOSE(MATCH(RAND(),{0,0.32,0.49,0.66,0.74,0.82,0.9,1}),"B-386","B-347","B-357","B-3471","B-34715","B-3571","B-35715"),
             "")
)))</f>
        <v>B-386</v>
      </c>
      <c r="I326" s="8" t="str">
        <f t="shared" ca="1" si="28"/>
        <v/>
      </c>
      <c r="J326">
        <f t="shared" ca="1" si="25"/>
        <v>4.9375</v>
      </c>
      <c r="K326">
        <f t="shared" ca="1" si="26"/>
        <v>49.625</v>
      </c>
      <c r="L326" s="14">
        <f t="shared" ca="1" si="27"/>
        <v>3.9375</v>
      </c>
      <c r="M326" s="14" t="str">
        <f t="shared" ca="1" si="29"/>
        <v/>
      </c>
    </row>
    <row r="327" spans="2:13" hidden="1">
      <c r="B327" s="14" t="s">
        <v>156</v>
      </c>
      <c r="C327" s="14">
        <v>1</v>
      </c>
      <c r="D327" s="14">
        <v>0</v>
      </c>
      <c r="E327" s="14">
        <v>1</v>
      </c>
      <c r="F327" s="14">
        <v>0</v>
      </c>
      <c r="G327" s="14"/>
      <c r="H327" s="8" t="str">
        <f ca="1">IF(RAND()&lt;0.25,
    "",
    IF($E327=0,
       CHOOSE(MATCH(RAND(),{0,0.2,0.4,0.6,0.7,0.8,0.85,0.9,0.95,1}),"B-354","B-386","B-4354","B-347","B-357","B-3471","B-34715","B-3571","B-35715"),
       IF($G327=24,
          "B-386",
          IF($G327=12,
             CHOOSE(MATCH(RAND(),{0,0.32,0.49,0.66,0.74,0.82,0.9,1}),"B-386","B-347","B-357","B-3471","B-34715","B-3571","B-35715"),
             "")
)))</f>
        <v/>
      </c>
      <c r="I327" s="8" t="str">
        <f t="shared" ca="1" si="28"/>
        <v/>
      </c>
      <c r="J327">
        <f t="shared" ca="1" si="25"/>
        <v>4.0625</v>
      </c>
      <c r="K327">
        <f t="shared" ca="1" si="26"/>
        <v>60</v>
      </c>
      <c r="L327" s="14">
        <f t="shared" ca="1" si="27"/>
        <v>9</v>
      </c>
      <c r="M327" s="14" t="str">
        <f t="shared" ca="1" si="29"/>
        <v/>
      </c>
    </row>
    <row r="328" spans="2:13" hidden="1">
      <c r="B328" s="14" t="s">
        <v>156</v>
      </c>
      <c r="C328" s="14">
        <v>1</v>
      </c>
      <c r="D328" s="14">
        <v>0</v>
      </c>
      <c r="E328" s="14">
        <v>1</v>
      </c>
      <c r="F328" s="14">
        <v>1</v>
      </c>
      <c r="G328" s="14"/>
      <c r="H328" s="8" t="str">
        <f ca="1">IF(RAND()&lt;0.25,
    "",
    IF($E328=0,
       CHOOSE(MATCH(RAND(),{0,0.2,0.4,0.6,0.7,0.8,0.85,0.9,0.95,1}),"B-354","B-386","B-4354","B-347","B-357","B-3471","B-34715","B-3571","B-35715"),
       IF($G328=24,
          "B-386",
          IF($G328=12,
             CHOOSE(MATCH(RAND(),{0,0.32,0.49,0.66,0.74,0.82,0.9,1}),"B-386","B-347","B-357","B-3471","B-34715","B-3571","B-35715"),
             "")
)))</f>
        <v/>
      </c>
      <c r="I328" s="8" t="str">
        <f t="shared" ca="1" si="28"/>
        <v/>
      </c>
      <c r="J328">
        <f t="shared" ca="1" si="25"/>
        <v>46.3125</v>
      </c>
      <c r="K328">
        <f t="shared" ca="1" si="26"/>
        <v>76</v>
      </c>
      <c r="L328" s="14">
        <f t="shared" ca="1" si="27"/>
        <v>7</v>
      </c>
      <c r="M328" s="14">
        <f t="shared" ca="1" si="29"/>
        <v>2.625</v>
      </c>
    </row>
    <row r="329" spans="2:13">
      <c r="B329" s="14" t="s">
        <v>156</v>
      </c>
      <c r="C329" s="14">
        <v>1</v>
      </c>
      <c r="D329" s="14">
        <v>1</v>
      </c>
      <c r="E329" s="14">
        <v>0</v>
      </c>
      <c r="F329" s="14"/>
      <c r="G329" s="14"/>
      <c r="H329" s="8" t="str">
        <f ca="1">IF(RAND()&lt;0.25,
    "",
    IF($E329=0,
       CHOOSE(MATCH(RAND(),{0,0.2,0.4,0.6,0.7,0.8,0.85,0.9,0.95,1}),"B-354","B-386","B-4354","B-347","B-357","B-3471","B-34715","B-3571","B-35715"),
       IF($G329=24,
          "B-386",
          IF($G329=12,
             CHOOSE(MATCH(RAND(),{0,0.32,0.49,0.66,0.74,0.82,0.9,1}),"B-386","B-347","B-357","B-3471","B-34715","B-3571","B-35715"),
             "")
)))</f>
        <v>B-386</v>
      </c>
      <c r="I329" s="8" t="str">
        <f t="shared" ca="1" si="28"/>
        <v/>
      </c>
      <c r="J329">
        <f t="shared" ca="1" si="25"/>
        <v>3.375</v>
      </c>
      <c r="K329">
        <f t="shared" ca="1" si="26"/>
        <v>41.625</v>
      </c>
      <c r="L329" s="14">
        <f t="shared" ca="1" si="27"/>
        <v>9</v>
      </c>
      <c r="M329" s="14">
        <f t="shared" ca="1" si="29"/>
        <v>2.0625</v>
      </c>
    </row>
    <row r="330" spans="2:13" hidden="1">
      <c r="B330" s="14" t="s">
        <v>156</v>
      </c>
      <c r="C330" s="14">
        <v>1</v>
      </c>
      <c r="D330" s="14">
        <v>1</v>
      </c>
      <c r="E330" s="14">
        <v>1</v>
      </c>
      <c r="F330" s="14">
        <v>0</v>
      </c>
      <c r="G330" s="14">
        <v>12</v>
      </c>
      <c r="H330" s="8" t="str">
        <f ca="1">IF(RAND()&lt;0.25,
    "",
    IF($E330=0,
       CHOOSE(MATCH(RAND(),{0,0.2,0.4,0.6,0.7,0.8,0.85,0.9,0.95,1}),"B-354","B-386","B-4354","B-347","B-357","B-3471","B-34715","B-3571","B-35715"),
       IF($G330=24,
          "B-386",
          IF($G330=12,
             CHOOSE(MATCH(RAND(),{0,0.32,0.49,0.66,0.74,0.82,0.9,1}),"B-386","B-347","B-357","B-3471","B-34715","B-3571","B-35715"),
             "")
)))</f>
        <v>B-386</v>
      </c>
      <c r="I330" s="8" t="str">
        <f t="shared" ca="1" si="28"/>
        <v/>
      </c>
      <c r="J330">
        <f t="shared" ca="1" si="25"/>
        <v>45.875</v>
      </c>
      <c r="K330">
        <f t="shared" ca="1" si="26"/>
        <v>68.6875</v>
      </c>
      <c r="L330" s="14">
        <f t="shared" ca="1" si="27"/>
        <v>1.375</v>
      </c>
      <c r="M330" s="14" t="str">
        <f t="shared" ca="1" si="29"/>
        <v/>
      </c>
    </row>
    <row r="331" spans="2:13">
      <c r="B331" s="14" t="s">
        <v>156</v>
      </c>
      <c r="C331" s="14">
        <v>1</v>
      </c>
      <c r="D331" s="14">
        <v>1</v>
      </c>
      <c r="E331" s="14">
        <v>1</v>
      </c>
      <c r="F331" s="14">
        <v>0</v>
      </c>
      <c r="G331" s="14">
        <v>24</v>
      </c>
      <c r="H331" s="8" t="str">
        <f ca="1">IF(RAND()&lt;0.25,
    "",
    IF($E331=0,
       CHOOSE(MATCH(RAND(),{0,0.2,0.4,0.6,0.7,0.8,0.85,0.9,0.95,1}),"B-354","B-386","B-4354","B-347","B-357","B-3471","B-34715","B-3571","B-35715"),
       IF($G331=24,
          "B-386",
          IF($G331=12,
             CHOOSE(MATCH(RAND(),{0,0.32,0.49,0.66,0.74,0.82,0.9,1}),"B-386","B-347","B-357","B-3471","B-34715","B-3571","B-35715"),
             "")
)))</f>
        <v>B-386</v>
      </c>
      <c r="I331" s="8" t="str">
        <f t="shared" ca="1" si="28"/>
        <v/>
      </c>
      <c r="J331">
        <f t="shared" ca="1" si="25"/>
        <v>10.125</v>
      </c>
      <c r="K331">
        <f t="shared" ca="1" si="26"/>
        <v>46.5</v>
      </c>
      <c r="L331" s="14">
        <f t="shared" ca="1" si="27"/>
        <v>4.25</v>
      </c>
      <c r="M331" s="14">
        <f t="shared" ca="1" si="29"/>
        <v>1.5625</v>
      </c>
    </row>
    <row r="332" spans="2:13" hidden="1">
      <c r="B332" s="14" t="s">
        <v>156</v>
      </c>
      <c r="C332" s="14">
        <v>1</v>
      </c>
      <c r="D332" s="14">
        <v>1</v>
      </c>
      <c r="E332" s="14">
        <v>1</v>
      </c>
      <c r="F332" s="14">
        <v>0</v>
      </c>
      <c r="G332" s="14"/>
      <c r="H332" s="8" t="str">
        <f ca="1">IF(RAND()&lt;0.25,
    "",
    IF($E332=0,
       CHOOSE(MATCH(RAND(),{0,0.2,0.4,0.6,0.7,0.8,0.85,0.9,0.95,1}),"B-354","B-386","B-4354","B-347","B-357","B-3471","B-34715","B-3571","B-35715"),
       IF($G332=24,
          "B-386",
          IF($G332=12,
             CHOOSE(MATCH(RAND(),{0,0.32,0.49,0.66,0.74,0.82,0.9,1}),"B-386","B-347","B-357","B-3471","B-34715","B-3571","B-35715"),
             "")
)))</f>
        <v/>
      </c>
      <c r="I332" s="8" t="str">
        <f t="shared" ca="1" si="28"/>
        <v/>
      </c>
      <c r="J332">
        <f t="shared" ca="1" si="25"/>
        <v>4.5625</v>
      </c>
      <c r="K332">
        <f t="shared" ca="1" si="26"/>
        <v>46.375</v>
      </c>
      <c r="L332" s="14">
        <f t="shared" ca="1" si="27"/>
        <v>9</v>
      </c>
      <c r="M332" s="14">
        <f t="shared" ca="1" si="29"/>
        <v>1</v>
      </c>
    </row>
    <row r="333" spans="2:13" hidden="1">
      <c r="B333" s="14" t="s">
        <v>156</v>
      </c>
      <c r="C333" s="14">
        <v>1</v>
      </c>
      <c r="D333" s="14">
        <v>1</v>
      </c>
      <c r="E333" s="14">
        <v>1</v>
      </c>
      <c r="F333" s="14">
        <v>1</v>
      </c>
      <c r="G333" s="14"/>
      <c r="H333" s="8" t="str">
        <f ca="1">IF(RAND()&lt;0.25,
    "",
    IF($E333=0,
       CHOOSE(MATCH(RAND(),{0,0.2,0.4,0.6,0.7,0.8,0.85,0.9,0.95,1}),"B-354","B-386","B-4354","B-347","B-357","B-3471","B-34715","B-3571","B-35715"),
       IF($G333=24,
          "B-386",
          IF($G333=12,
             CHOOSE(MATCH(RAND(),{0,0.32,0.49,0.66,0.74,0.82,0.9,1}),"B-386","B-347","B-357","B-3471","B-34715","B-3571","B-35715"),
             "")
)))</f>
        <v/>
      </c>
      <c r="I333" s="8" t="str">
        <f t="shared" ca="1" si="28"/>
        <v/>
      </c>
      <c r="J333">
        <f t="shared" ca="1" si="25"/>
        <v>35.0625</v>
      </c>
      <c r="K333">
        <f t="shared" ca="1" si="26"/>
        <v>41.1875</v>
      </c>
      <c r="L333" s="14">
        <f t="shared" ca="1" si="27"/>
        <v>4.5</v>
      </c>
      <c r="M333" s="14">
        <f t="shared" ca="1" si="29"/>
        <v>6.5</v>
      </c>
    </row>
    <row r="334" spans="2:13">
      <c r="B334" s="14" t="s">
        <v>157</v>
      </c>
      <c r="C334" s="14">
        <v>0</v>
      </c>
      <c r="D334" s="14"/>
      <c r="E334" s="14">
        <v>0</v>
      </c>
      <c r="F334" s="14"/>
      <c r="G334" s="14"/>
      <c r="H334" s="8" t="str">
        <f ca="1">IF(RAND()&lt;0.25,
    "",
    IF($E334=0,
       CHOOSE(MATCH(RAND(),{0,0.2,0.4,0.6,0.7,0.8,0.85,0.9,0.95,1}),"B-354","B-386","B-4354","B-347","B-357","B-3471","B-34715","B-3571","B-35715"),
       IF($G334=24,
          "B-386",
          IF($G334=12,
             CHOOSE(MATCH(RAND(),{0,0.32,0.49,0.66,0.74,0.82,0.9,1}),"B-386","B-347","B-357","B-3471","B-34715","B-3571","B-35715"),
             "")
)))</f>
        <v>B-347</v>
      </c>
      <c r="I334" s="8" t="str">
        <f t="shared" ca="1" si="28"/>
        <v/>
      </c>
      <c r="J334">
        <f t="shared" ca="1" si="25"/>
        <v>60</v>
      </c>
      <c r="K334">
        <f t="shared" ca="1" si="26"/>
        <v>56.8125</v>
      </c>
      <c r="L334" s="14">
        <f t="shared" ca="1" si="27"/>
        <v>4.75</v>
      </c>
      <c r="M334" s="14">
        <f t="shared" ca="1" si="29"/>
        <v>1.6875</v>
      </c>
    </row>
    <row r="335" spans="2:13">
      <c r="B335" s="14" t="s">
        <v>157</v>
      </c>
      <c r="C335" s="14">
        <v>0</v>
      </c>
      <c r="D335" s="14"/>
      <c r="E335" s="14">
        <v>1</v>
      </c>
      <c r="F335" s="14">
        <v>0</v>
      </c>
      <c r="G335" s="14">
        <v>12</v>
      </c>
      <c r="H335" s="8" t="str">
        <f ca="1">IF(RAND()&lt;0.25,
    "",
    IF($E335=0,
       CHOOSE(MATCH(RAND(),{0,0.2,0.4,0.6,0.7,0.8,0.85,0.9,0.95,1}),"B-354","B-386","B-4354","B-347","B-357","B-3471","B-34715","B-3571","B-35715"),
       IF($G335=24,
          "B-386",
          IF($G335=12,
             CHOOSE(MATCH(RAND(),{0,0.32,0.49,0.66,0.74,0.82,0.9,1}),"B-386","B-347","B-357","B-3471","B-34715","B-3571","B-35715"),
             "")
)))</f>
        <v/>
      </c>
      <c r="I335" s="8" t="str">
        <f t="shared" ca="1" si="28"/>
        <v/>
      </c>
      <c r="J335">
        <f t="shared" ca="1" si="25"/>
        <v>60</v>
      </c>
      <c r="K335">
        <f t="shared" ca="1" si="26"/>
        <v>55.1875</v>
      </c>
      <c r="L335" s="14">
        <f t="shared" ca="1" si="27"/>
        <v>1</v>
      </c>
      <c r="M335" s="14">
        <f t="shared" ca="1" si="29"/>
        <v>8.125</v>
      </c>
    </row>
    <row r="336" spans="2:13">
      <c r="B336" s="14" t="s">
        <v>157</v>
      </c>
      <c r="C336" s="14">
        <v>0</v>
      </c>
      <c r="D336" s="14"/>
      <c r="E336" s="14">
        <v>1</v>
      </c>
      <c r="F336" s="14">
        <v>0</v>
      </c>
      <c r="G336" s="14">
        <v>24</v>
      </c>
      <c r="H336" s="8" t="str">
        <f ca="1">IF(RAND()&lt;0.25,
    "",
    IF($E336=0,
       CHOOSE(MATCH(RAND(),{0,0.2,0.4,0.6,0.7,0.8,0.85,0.9,0.95,1}),"B-354","B-386","B-4354","B-347","B-357","B-3471","B-34715","B-3571","B-35715"),
       IF($G336=24,
          "B-386",
          IF($G336=12,
             CHOOSE(MATCH(RAND(),{0,0.32,0.49,0.66,0.74,0.82,0.9,1}),"B-386","B-347","B-357","B-3471","B-34715","B-3571","B-35715"),
             "")
)))</f>
        <v>B-386</v>
      </c>
      <c r="I336" s="8" t="str">
        <f t="shared" ca="1" si="28"/>
        <v/>
      </c>
      <c r="J336">
        <f t="shared" ca="1" si="25"/>
        <v>60</v>
      </c>
      <c r="K336">
        <f t="shared" ca="1" si="26"/>
        <v>79</v>
      </c>
      <c r="L336" s="14">
        <f t="shared" ca="1" si="27"/>
        <v>2.875</v>
      </c>
      <c r="M336" s="14" t="str">
        <f t="shared" ca="1" si="29"/>
        <v/>
      </c>
    </row>
    <row r="337" spans="2:13" hidden="1">
      <c r="B337" s="14" t="s">
        <v>157</v>
      </c>
      <c r="C337" s="14">
        <v>0</v>
      </c>
      <c r="D337" s="14"/>
      <c r="E337" s="14">
        <v>1</v>
      </c>
      <c r="F337" s="14">
        <v>0</v>
      </c>
      <c r="G337" s="14"/>
      <c r="H337" s="8" t="str">
        <f ca="1">IF(RAND()&lt;0.25,
    "",
    IF($E337=0,
       CHOOSE(MATCH(RAND(),{0,0.2,0.4,0.6,0.7,0.8,0.85,0.9,0.95,1}),"B-354","B-386","B-4354","B-347","B-357","B-3471","B-34715","B-3571","B-35715"),
       IF($G337=24,
          "B-386",
          IF($G337=12,
             CHOOSE(MATCH(RAND(),{0,0.32,0.49,0.66,0.74,0.82,0.9,1}),"B-386","B-347","B-357","B-3471","B-34715","B-3571","B-35715"),
             "")
)))</f>
        <v/>
      </c>
      <c r="I337" s="8" t="str">
        <f t="shared" ca="1" si="28"/>
        <v/>
      </c>
      <c r="J337">
        <f t="shared" ca="1" si="25"/>
        <v>60</v>
      </c>
      <c r="K337">
        <f t="shared" ca="1" si="26"/>
        <v>47.6875</v>
      </c>
      <c r="L337" s="14">
        <f t="shared" ca="1" si="27"/>
        <v>12</v>
      </c>
      <c r="M337" s="14">
        <f t="shared" ca="1" si="29"/>
        <v>5.25</v>
      </c>
    </row>
    <row r="338" spans="2:13" hidden="1">
      <c r="B338" s="14" t="s">
        <v>157</v>
      </c>
      <c r="C338" s="14">
        <v>0</v>
      </c>
      <c r="D338" s="14"/>
      <c r="E338" s="14">
        <v>1</v>
      </c>
      <c r="F338" s="14">
        <v>1</v>
      </c>
      <c r="G338" s="14"/>
      <c r="H338" s="8" t="str">
        <f ca="1">IF(RAND()&lt;0.25,
    "",
    IF($E338=0,
       CHOOSE(MATCH(RAND(),{0,0.2,0.4,0.6,0.7,0.8,0.85,0.9,0.95,1}),"B-354","B-386","B-4354","B-347","B-357","B-3471","B-34715","B-3571","B-35715"),
       IF($G338=24,
          "B-386",
          IF($G338=12,
             CHOOSE(MATCH(RAND(),{0,0.32,0.49,0.66,0.74,0.82,0.9,1}),"B-386","B-347","B-357","B-3471","B-34715","B-3571","B-35715"),
             "")
)))</f>
        <v/>
      </c>
      <c r="I338" s="8" t="str">
        <f t="shared" ca="1" si="28"/>
        <v/>
      </c>
      <c r="J338">
        <f t="shared" ca="1" si="25"/>
        <v>60</v>
      </c>
      <c r="K338">
        <f t="shared" ca="1" si="26"/>
        <v>44.6875</v>
      </c>
      <c r="L338" s="14">
        <f t="shared" ca="1" si="27"/>
        <v>4.5</v>
      </c>
      <c r="M338" s="14">
        <f t="shared" ca="1" si="29"/>
        <v>1.5</v>
      </c>
    </row>
    <row r="339" spans="2:13">
      <c r="B339" s="14" t="s">
        <v>157</v>
      </c>
      <c r="C339" s="14">
        <v>1</v>
      </c>
      <c r="D339" s="14">
        <v>0</v>
      </c>
      <c r="E339" s="14">
        <v>0</v>
      </c>
      <c r="F339" s="14"/>
      <c r="G339" s="14"/>
      <c r="H339" s="8" t="str">
        <f ca="1">IF(RAND()&lt;0.25,
    "",
    IF($E339=0,
       CHOOSE(MATCH(RAND(),{0,0.2,0.4,0.6,0.7,0.8,0.85,0.9,0.95,1}),"B-354","B-386","B-4354","B-347","B-357","B-3471","B-34715","B-3571","B-35715"),
       IF($G339=24,
          "B-386",
          IF($G339=12,
             CHOOSE(MATCH(RAND(),{0,0.32,0.49,0.66,0.74,0.82,0.9,1}),"B-386","B-347","B-357","B-3471","B-34715","B-3571","B-35715"),
             "")
)))</f>
        <v>B-35715</v>
      </c>
      <c r="I339" s="8" t="str">
        <f t="shared" ca="1" si="28"/>
        <v/>
      </c>
      <c r="J339">
        <f t="shared" ca="1" si="25"/>
        <v>60</v>
      </c>
      <c r="K339">
        <f t="shared" ca="1" si="26"/>
        <v>41.5625</v>
      </c>
      <c r="L339" s="14">
        <f t="shared" ca="1" si="27"/>
        <v>5</v>
      </c>
      <c r="M339" s="14">
        <f t="shared" ca="1" si="29"/>
        <v>2.8125</v>
      </c>
    </row>
    <row r="340" spans="2:13">
      <c r="B340" s="14" t="s">
        <v>157</v>
      </c>
      <c r="C340" s="14">
        <v>1</v>
      </c>
      <c r="D340" s="14">
        <v>0</v>
      </c>
      <c r="E340" s="14">
        <v>1</v>
      </c>
      <c r="F340" s="14">
        <v>0</v>
      </c>
      <c r="G340" s="14">
        <v>12</v>
      </c>
      <c r="H340" s="8" t="str">
        <f ca="1">IF(RAND()&lt;0.25,
    "",
    IF($E340=0,
       CHOOSE(MATCH(RAND(),{0,0.2,0.4,0.6,0.7,0.8,0.85,0.9,0.95,1}),"B-354","B-386","B-4354","B-347","B-357","B-3471","B-34715","B-3571","B-35715"),
       IF($G340=24,
          "B-386",
          IF($G340=12,
             CHOOSE(MATCH(RAND(),{0,0.32,0.49,0.66,0.74,0.82,0.9,1}),"B-386","B-347","B-357","B-3471","B-34715","B-3571","B-35715"),
             "")
)))</f>
        <v>B-3571</v>
      </c>
      <c r="I340" s="8" t="str">
        <f t="shared" ca="1" si="28"/>
        <v/>
      </c>
      <c r="J340">
        <f t="shared" ca="1" si="25"/>
        <v>60</v>
      </c>
      <c r="K340">
        <f t="shared" ca="1" si="26"/>
        <v>58.5</v>
      </c>
      <c r="L340" s="14">
        <f t="shared" ca="1" si="27"/>
        <v>2</v>
      </c>
      <c r="M340" s="14">
        <f t="shared" ca="1" si="29"/>
        <v>1</v>
      </c>
    </row>
    <row r="341" spans="2:13">
      <c r="B341" s="14" t="s">
        <v>157</v>
      </c>
      <c r="C341" s="14">
        <v>1</v>
      </c>
      <c r="D341" s="14">
        <v>0</v>
      </c>
      <c r="E341" s="14">
        <v>1</v>
      </c>
      <c r="F341" s="14">
        <v>0</v>
      </c>
      <c r="G341" s="14">
        <v>24</v>
      </c>
      <c r="H341" s="8" t="str">
        <f ca="1">IF(RAND()&lt;0.25,
    "",
    IF($E341=0,
       CHOOSE(MATCH(RAND(),{0,0.2,0.4,0.6,0.7,0.8,0.85,0.9,0.95,1}),"B-354","B-386","B-4354","B-347","B-357","B-3471","B-34715","B-3571","B-35715"),
       IF($G341=24,
          "B-386",
          IF($G341=12,
             CHOOSE(MATCH(RAND(),{0,0.32,0.49,0.66,0.74,0.82,0.9,1}),"B-386","B-347","B-357","B-3471","B-34715","B-3571","B-35715"),
             "")
)))</f>
        <v>B-386</v>
      </c>
      <c r="I341" s="8" t="str">
        <f t="shared" ca="1" si="28"/>
        <v/>
      </c>
      <c r="J341">
        <f t="shared" ca="1" si="25"/>
        <v>60</v>
      </c>
      <c r="K341">
        <f t="shared" ca="1" si="26"/>
        <v>65</v>
      </c>
      <c r="L341" s="14">
        <f t="shared" ca="1" si="27"/>
        <v>1.8125</v>
      </c>
      <c r="M341" s="14">
        <f t="shared" ca="1" si="29"/>
        <v>8.1875</v>
      </c>
    </row>
    <row r="342" spans="2:13" hidden="1">
      <c r="B342" s="14" t="s">
        <v>157</v>
      </c>
      <c r="C342" s="14">
        <v>1</v>
      </c>
      <c r="D342" s="14">
        <v>0</v>
      </c>
      <c r="E342" s="14">
        <v>1</v>
      </c>
      <c r="F342" s="14">
        <v>0</v>
      </c>
      <c r="G342" s="14"/>
      <c r="H342" s="8" t="str">
        <f ca="1">IF(RAND()&lt;0.25,
    "",
    IF($E342=0,
       CHOOSE(MATCH(RAND(),{0,0.2,0.4,0.6,0.7,0.8,0.85,0.9,0.95,1}),"B-354","B-386","B-4354","B-347","B-357","B-3471","B-34715","B-3571","B-35715"),
       IF($G342=24,
          "B-386",
          IF($G342=12,
             CHOOSE(MATCH(RAND(),{0,0.32,0.49,0.66,0.74,0.82,0.9,1}),"B-386","B-347","B-357","B-3471","B-34715","B-3571","B-35715"),
             "")
)))</f>
        <v/>
      </c>
      <c r="I342" s="8" t="str">
        <f t="shared" ca="1" si="28"/>
        <v/>
      </c>
      <c r="J342">
        <f t="shared" ca="1" si="25"/>
        <v>60</v>
      </c>
      <c r="K342">
        <f t="shared" ca="1" si="26"/>
        <v>28.1875</v>
      </c>
      <c r="L342" s="14">
        <f t="shared" ca="1" si="27"/>
        <v>12</v>
      </c>
      <c r="M342" s="14">
        <f t="shared" ca="1" si="29"/>
        <v>7.375</v>
      </c>
    </row>
    <row r="343" spans="2:13" hidden="1">
      <c r="B343" s="14" t="s">
        <v>157</v>
      </c>
      <c r="C343" s="14">
        <v>1</v>
      </c>
      <c r="D343" s="14">
        <v>0</v>
      </c>
      <c r="E343" s="14">
        <v>1</v>
      </c>
      <c r="F343" s="14">
        <v>1</v>
      </c>
      <c r="G343" s="14"/>
      <c r="H343" s="8" t="str">
        <f ca="1">IF(RAND()&lt;0.25,
    "",
    IF($E343=0,
       CHOOSE(MATCH(RAND(),{0,0.2,0.4,0.6,0.7,0.8,0.85,0.9,0.95,1}),"B-354","B-386","B-4354","B-347","B-357","B-3471","B-34715","B-3571","B-35715"),
       IF($G343=24,
          "B-386",
          IF($G343=12,
             CHOOSE(MATCH(RAND(),{0,0.32,0.49,0.66,0.74,0.82,0.9,1}),"B-386","B-347","B-357","B-3471","B-34715","B-3571","B-35715"),
             "")
)))</f>
        <v/>
      </c>
      <c r="I343" s="8" t="str">
        <f t="shared" ca="1" si="28"/>
        <v/>
      </c>
      <c r="J343">
        <f t="shared" ca="1" si="25"/>
        <v>60</v>
      </c>
      <c r="K343">
        <f t="shared" ca="1" si="26"/>
        <v>51.25</v>
      </c>
      <c r="L343" s="14">
        <f t="shared" ca="1" si="27"/>
        <v>1</v>
      </c>
      <c r="M343" s="14">
        <f t="shared" ca="1" si="29"/>
        <v>5.0625</v>
      </c>
    </row>
    <row r="344" spans="2:13">
      <c r="B344" s="14" t="s">
        <v>157</v>
      </c>
      <c r="C344" s="14">
        <v>1</v>
      </c>
      <c r="D344" s="14">
        <v>1</v>
      </c>
      <c r="E344" s="14">
        <v>0</v>
      </c>
      <c r="F344" s="14"/>
      <c r="G344" s="14"/>
      <c r="H344" s="8" t="str">
        <f ca="1">IF(RAND()&lt;0.25,
    "",
    IF($E344=0,
       CHOOSE(MATCH(RAND(),{0,0.2,0.4,0.6,0.7,0.8,0.85,0.9,0.95,1}),"B-354","B-386","B-4354","B-347","B-357","B-3471","B-34715","B-3571","B-35715"),
       IF($G344=24,
          "B-386",
          IF($G344=12,
             CHOOSE(MATCH(RAND(),{0,0.32,0.49,0.66,0.74,0.82,0.9,1}),"B-386","B-347","B-357","B-3471","B-34715","B-3571","B-35715"),
             "")
)))</f>
        <v/>
      </c>
      <c r="I344" s="8" t="str">
        <f t="shared" ca="1" si="28"/>
        <v/>
      </c>
      <c r="J344">
        <f t="shared" ca="1" si="25"/>
        <v>60</v>
      </c>
      <c r="K344">
        <f t="shared" ca="1" si="26"/>
        <v>32.875</v>
      </c>
      <c r="L344" s="14">
        <f t="shared" ca="1" si="27"/>
        <v>4.5</v>
      </c>
      <c r="M344" s="14">
        <f t="shared" ca="1" si="29"/>
        <v>1</v>
      </c>
    </row>
    <row r="345" spans="2:13">
      <c r="B345" s="14" t="s">
        <v>157</v>
      </c>
      <c r="C345" s="14">
        <v>1</v>
      </c>
      <c r="D345" s="14">
        <v>1</v>
      </c>
      <c r="E345" s="14">
        <v>1</v>
      </c>
      <c r="F345" s="14">
        <v>0</v>
      </c>
      <c r="G345" s="14">
        <v>12</v>
      </c>
      <c r="H345" s="8" t="str">
        <f ca="1">IF(RAND()&lt;0.25,
    "",
    IF($E345=0,
       CHOOSE(MATCH(RAND(),{0,0.2,0.4,0.6,0.7,0.8,0.85,0.9,0.95,1}),"B-354","B-386","B-4354","B-347","B-357","B-3471","B-34715","B-3571","B-35715"),
       IF($G345=24,
          "B-386",
          IF($G345=12,
             CHOOSE(MATCH(RAND(),{0,0.32,0.49,0.66,0.74,0.82,0.9,1}),"B-386","B-347","B-357","B-3471","B-34715","B-3571","B-35715"),
             "")
)))</f>
        <v>B-3571</v>
      </c>
      <c r="I345" s="8" t="str">
        <f t="shared" ca="1" si="28"/>
        <v/>
      </c>
      <c r="J345">
        <f t="shared" ca="1" si="25"/>
        <v>60</v>
      </c>
      <c r="K345">
        <f t="shared" ca="1" si="26"/>
        <v>40.75</v>
      </c>
      <c r="L345" s="14">
        <f t="shared" ca="1" si="27"/>
        <v>1</v>
      </c>
      <c r="M345" s="14">
        <f t="shared" ca="1" si="29"/>
        <v>1</v>
      </c>
    </row>
    <row r="346" spans="2:13" hidden="1">
      <c r="B346" s="14" t="s">
        <v>157</v>
      </c>
      <c r="C346" s="14">
        <v>1</v>
      </c>
      <c r="D346" s="14">
        <v>1</v>
      </c>
      <c r="E346" s="14">
        <v>1</v>
      </c>
      <c r="F346" s="14">
        <v>0</v>
      </c>
      <c r="G346" s="14">
        <v>24</v>
      </c>
      <c r="H346" s="8" t="str">
        <f ca="1">IF(RAND()&lt;0.25,
    "",
    IF($E346=0,
       CHOOSE(MATCH(RAND(),{0,0.2,0.4,0.6,0.7,0.8,0.85,0.9,0.95,1}),"B-354","B-386","B-4354","B-347","B-357","B-3471","B-34715","B-3571","B-35715"),
       IF($G346=24,
          "B-386",
          IF($G346=12,
             CHOOSE(MATCH(RAND(),{0,0.32,0.49,0.66,0.74,0.82,0.9,1}),"B-386","B-347","B-357","B-3471","B-34715","B-3571","B-35715"),
             "")
)))</f>
        <v/>
      </c>
      <c r="I346" s="8" t="str">
        <f t="shared" ca="1" si="28"/>
        <v/>
      </c>
      <c r="J346">
        <f t="shared" ca="1" si="25"/>
        <v>60</v>
      </c>
      <c r="K346">
        <f t="shared" ca="1" si="26"/>
        <v>68.75</v>
      </c>
      <c r="L346" s="14">
        <f t="shared" ca="1" si="27"/>
        <v>11.5625</v>
      </c>
      <c r="M346" s="14">
        <f t="shared" ca="1" si="29"/>
        <v>1</v>
      </c>
    </row>
    <row r="347" spans="2:13" hidden="1">
      <c r="B347" s="14" t="s">
        <v>157</v>
      </c>
      <c r="C347" s="14">
        <v>1</v>
      </c>
      <c r="D347" s="14">
        <v>1</v>
      </c>
      <c r="E347" s="14">
        <v>1</v>
      </c>
      <c r="F347" s="14">
        <v>0</v>
      </c>
      <c r="G347" s="14"/>
      <c r="H347" s="8" t="str">
        <f ca="1">IF(RAND()&lt;0.25,
    "",
    IF($E347=0,
       CHOOSE(MATCH(RAND(),{0,0.2,0.4,0.6,0.7,0.8,0.85,0.9,0.95,1}),"B-354","B-386","B-4354","B-347","B-357","B-3471","B-34715","B-3571","B-35715"),
       IF($G347=24,
          "B-386",
          IF($G347=12,
             CHOOSE(MATCH(RAND(),{0,0.32,0.49,0.66,0.74,0.82,0.9,1}),"B-386","B-347","B-357","B-3471","B-34715","B-3571","B-35715"),
             "")
)))</f>
        <v/>
      </c>
      <c r="I347" s="8" t="str">
        <f t="shared" ca="1" si="28"/>
        <v/>
      </c>
      <c r="J347">
        <f t="shared" ca="1" si="25"/>
        <v>60</v>
      </c>
      <c r="K347">
        <f t="shared" ca="1" si="26"/>
        <v>19.75</v>
      </c>
      <c r="L347" s="14">
        <f t="shared" ca="1" si="27"/>
        <v>11.9375</v>
      </c>
      <c r="M347" s="14" t="str">
        <f t="shared" ca="1" si="29"/>
        <v/>
      </c>
    </row>
    <row r="348" spans="2:13" hidden="1">
      <c r="B348" s="14" t="s">
        <v>157</v>
      </c>
      <c r="C348" s="14">
        <v>1</v>
      </c>
      <c r="D348" s="14">
        <v>1</v>
      </c>
      <c r="E348" s="14">
        <v>1</v>
      </c>
      <c r="F348" s="14">
        <v>1</v>
      </c>
      <c r="G348" s="14"/>
      <c r="H348" s="8" t="str">
        <f ca="1">IF(RAND()&lt;0.25,
    "",
    IF($E348=0,
       CHOOSE(MATCH(RAND(),{0,0.2,0.4,0.6,0.7,0.8,0.85,0.9,0.95,1}),"B-354","B-386","B-4354","B-347","B-357","B-3471","B-34715","B-3571","B-35715"),
       IF($G348=24,
          "B-386",
          IF($G348=12,
             CHOOSE(MATCH(RAND(),{0,0.32,0.49,0.66,0.74,0.82,0.9,1}),"B-386","B-347","B-357","B-3471","B-34715","B-3571","B-35715"),
             "")
)))</f>
        <v/>
      </c>
      <c r="I348" s="8" t="str">
        <f t="shared" ca="1" si="28"/>
        <v/>
      </c>
      <c r="J348">
        <f t="shared" ca="1" si="25"/>
        <v>60</v>
      </c>
      <c r="K348">
        <f t="shared" ca="1" si="26"/>
        <v>18.375</v>
      </c>
      <c r="L348" s="14">
        <f t="shared" ca="1" si="27"/>
        <v>1</v>
      </c>
      <c r="M348" s="14" t="str">
        <f t="shared" ca="1" si="29"/>
        <v/>
      </c>
    </row>
    <row r="349" spans="2:13">
      <c r="B349" s="14" t="s">
        <v>21</v>
      </c>
      <c r="C349" s="14">
        <v>0</v>
      </c>
      <c r="D349" s="14"/>
      <c r="E349" s="14">
        <v>0</v>
      </c>
      <c r="F349" s="14"/>
      <c r="G349" s="14"/>
      <c r="H349" s="8" t="str">
        <f ca="1">IF(RAND()&lt;0.25,
    "",
    IF($E349=0,
       CHOOSE(MATCH(RAND(),{0,0.2,0.4,0.6,0.7,0.8,0.85,0.9,0.95,1}),"B-354","B-386","B-4354","B-347","B-357","B-3471","B-34715","B-3571","B-35715"),
       IF($G349=24,
          "B-386",
          IF($G349=12,
             CHOOSE(MATCH(RAND(),{0,0.32,0.49,0.66,0.74,0.82,0.9,1}),"B-386","B-347","B-357","B-3471","B-34715","B-3571","B-35715"),
             "")
)))</f>
        <v/>
      </c>
      <c r="I349" s="8" t="str">
        <f t="shared" ca="1" si="28"/>
        <v/>
      </c>
      <c r="J349">
        <f t="shared" ca="1" si="25"/>
        <v>75.3125</v>
      </c>
      <c r="K349">
        <f t="shared" ca="1" si="26"/>
        <v>24.6875</v>
      </c>
      <c r="L349" s="14">
        <f t="shared" ca="1" si="27"/>
        <v>4.375</v>
      </c>
      <c r="M349" s="14">
        <f t="shared" ca="1" si="29"/>
        <v>4.125</v>
      </c>
    </row>
    <row r="350" spans="2:13">
      <c r="B350" s="14" t="s">
        <v>21</v>
      </c>
      <c r="C350" s="14">
        <v>0</v>
      </c>
      <c r="D350" s="14"/>
      <c r="E350" s="14">
        <v>1</v>
      </c>
      <c r="F350" s="14">
        <v>0</v>
      </c>
      <c r="G350" s="14">
        <v>12</v>
      </c>
      <c r="H350" s="8" t="str">
        <f ca="1">IF(RAND()&lt;0.25,
    "",
    IF($E350=0,
       CHOOSE(MATCH(RAND(),{0,0.2,0.4,0.6,0.7,0.8,0.85,0.9,0.95,1}),"B-354","B-386","B-4354","B-347","B-357","B-3471","B-34715","B-3571","B-35715"),
       IF($G350=24,
          "B-386",
          IF($G350=12,
             CHOOSE(MATCH(RAND(),{0,0.32,0.49,0.66,0.74,0.82,0.9,1}),"B-386","B-347","B-357","B-3471","B-34715","B-3571","B-35715"),
             "")
)))</f>
        <v>B-347</v>
      </c>
      <c r="I350" s="8" t="str">
        <f t="shared" ca="1" si="28"/>
        <v/>
      </c>
      <c r="J350">
        <f t="shared" ca="1" si="25"/>
        <v>56.9375</v>
      </c>
      <c r="K350">
        <f t="shared" ca="1" si="26"/>
        <v>45.375</v>
      </c>
      <c r="L350" s="14">
        <f t="shared" ca="1" si="27"/>
        <v>2.625</v>
      </c>
      <c r="M350" s="14">
        <f t="shared" ca="1" si="29"/>
        <v>8.25</v>
      </c>
    </row>
    <row r="351" spans="2:13" hidden="1">
      <c r="B351" s="14" t="s">
        <v>21</v>
      </c>
      <c r="C351" s="14">
        <v>0</v>
      </c>
      <c r="D351" s="14"/>
      <c r="E351" s="14">
        <v>1</v>
      </c>
      <c r="F351" s="14">
        <v>0</v>
      </c>
      <c r="G351" s="14">
        <v>24</v>
      </c>
      <c r="H351" s="8" t="str">
        <f ca="1">IF(RAND()&lt;0.25,
    "",
    IF($E351=0,
       CHOOSE(MATCH(RAND(),{0,0.2,0.4,0.6,0.7,0.8,0.85,0.9,0.95,1}),"B-354","B-386","B-4354","B-347","B-357","B-3471","B-34715","B-3571","B-35715"),
       IF($G351=24,
          "B-386",
          IF($G351=12,
             CHOOSE(MATCH(RAND(),{0,0.32,0.49,0.66,0.74,0.82,0.9,1}),"B-386","B-347","B-357","B-3471","B-34715","B-3571","B-35715"),
             "")
)))</f>
        <v>B-386</v>
      </c>
      <c r="I351" s="8" t="str">
        <f t="shared" ca="1" si="28"/>
        <v/>
      </c>
      <c r="J351">
        <f t="shared" ca="1" si="25"/>
        <v>96</v>
      </c>
      <c r="K351">
        <f t="shared" ca="1" si="26"/>
        <v>40.625</v>
      </c>
      <c r="L351" s="14">
        <f t="shared" ca="1" si="27"/>
        <v>1</v>
      </c>
      <c r="M351" s="14" t="str">
        <f t="shared" ca="1" si="29"/>
        <v/>
      </c>
    </row>
    <row r="352" spans="2:13" hidden="1">
      <c r="B352" s="14" t="s">
        <v>21</v>
      </c>
      <c r="C352" s="14">
        <v>0</v>
      </c>
      <c r="D352" s="14"/>
      <c r="E352" s="14">
        <v>1</v>
      </c>
      <c r="F352" s="14">
        <v>0</v>
      </c>
      <c r="G352" s="14"/>
      <c r="H352" s="8" t="str">
        <f ca="1">IF(RAND()&lt;0.25,
    "",
    IF($E352=0,
       CHOOSE(MATCH(RAND(),{0,0.2,0.4,0.6,0.7,0.8,0.85,0.9,0.95,1}),"B-354","B-386","B-4354","B-347","B-357","B-3471","B-34715","B-3571","B-35715"),
       IF($G352=24,
          "B-386",
          IF($G352=12,
             CHOOSE(MATCH(RAND(),{0,0.32,0.49,0.66,0.74,0.82,0.9,1}),"B-386","B-347","B-357","B-3471","B-34715","B-3571","B-35715"),
             "")
)))</f>
        <v/>
      </c>
      <c r="I352" s="8" t="str">
        <f t="shared" ca="1" si="28"/>
        <v/>
      </c>
      <c r="J352">
        <f t="shared" ca="1" si="25"/>
        <v>96</v>
      </c>
      <c r="K352">
        <f t="shared" ca="1" si="26"/>
        <v>53.5</v>
      </c>
      <c r="L352" s="14">
        <f t="shared" ca="1" si="27"/>
        <v>2.375</v>
      </c>
      <c r="M352" s="14">
        <f t="shared" ca="1" si="29"/>
        <v>6</v>
      </c>
    </row>
    <row r="353" spans="2:13" hidden="1">
      <c r="B353" s="14" t="s">
        <v>21</v>
      </c>
      <c r="C353" s="14">
        <v>0</v>
      </c>
      <c r="D353" s="14"/>
      <c r="E353" s="14">
        <v>1</v>
      </c>
      <c r="F353" s="14">
        <v>1</v>
      </c>
      <c r="G353" s="14"/>
      <c r="H353" s="8" t="str">
        <f ca="1">IF(RAND()&lt;0.25,
    "",
    IF($E353=0,
       CHOOSE(MATCH(RAND(),{0,0.2,0.4,0.6,0.7,0.8,0.85,0.9,0.95,1}),"B-354","B-386","B-4354","B-347","B-357","B-3471","B-34715","B-3571","B-35715"),
       IF($G353=24,
          "B-386",
          IF($G353=12,
             CHOOSE(MATCH(RAND(),{0,0.32,0.49,0.66,0.74,0.82,0.9,1}),"B-386","B-347","B-357","B-3471","B-34715","B-3571","B-35715"),
             "")
)))</f>
        <v/>
      </c>
      <c r="I353" s="8" t="str">
        <f t="shared" ca="1" si="28"/>
        <v/>
      </c>
      <c r="J353">
        <f t="shared" ca="1" si="25"/>
        <v>96</v>
      </c>
      <c r="K353">
        <f t="shared" ca="1" si="26"/>
        <v>41.9375</v>
      </c>
      <c r="L353" s="14">
        <f t="shared" ca="1" si="27"/>
        <v>1.5</v>
      </c>
      <c r="M353" s="14" t="str">
        <f t="shared" ca="1" si="29"/>
        <v/>
      </c>
    </row>
    <row r="354" spans="2:13">
      <c r="B354" s="14" t="s">
        <v>21</v>
      </c>
      <c r="C354" s="14">
        <v>1</v>
      </c>
      <c r="D354" s="14">
        <v>0</v>
      </c>
      <c r="E354" s="14">
        <v>0</v>
      </c>
      <c r="F354" s="14"/>
      <c r="G354" s="14"/>
      <c r="H354" s="8" t="str">
        <f ca="1">IF(RAND()&lt;0.25,
    "",
    IF($E354=0,
       CHOOSE(MATCH(RAND(),{0,0.2,0.4,0.6,0.7,0.8,0.85,0.9,0.95,1}),"B-354","B-386","B-4354","B-347","B-357","B-3471","B-34715","B-3571","B-35715"),
       IF($G354=24,
          "B-386",
          IF($G354=12,
             CHOOSE(MATCH(RAND(),{0,0.32,0.49,0.66,0.74,0.82,0.9,1}),"B-386","B-347","B-357","B-3471","B-34715","B-3571","B-35715"),
             "")
)))</f>
        <v>B-386</v>
      </c>
      <c r="I354" s="8" t="str">
        <f t="shared" ca="1" si="28"/>
        <v/>
      </c>
      <c r="J354">
        <f t="shared" ca="1" si="25"/>
        <v>43.9375</v>
      </c>
      <c r="K354">
        <f t="shared" ca="1" si="26"/>
        <v>60.75</v>
      </c>
      <c r="L354" s="14">
        <f t="shared" ca="1" si="27"/>
        <v>2.3125</v>
      </c>
      <c r="M354" s="14">
        <f t="shared" ca="1" si="29"/>
        <v>6.875</v>
      </c>
    </row>
    <row r="355" spans="2:13">
      <c r="B355" s="14" t="s">
        <v>21</v>
      </c>
      <c r="C355" s="14">
        <v>1</v>
      </c>
      <c r="D355" s="14">
        <v>0</v>
      </c>
      <c r="E355" s="14">
        <v>1</v>
      </c>
      <c r="F355" s="14">
        <v>0</v>
      </c>
      <c r="G355" s="14">
        <v>12</v>
      </c>
      <c r="H355" s="8" t="str">
        <f ca="1">IF(RAND()&lt;0.25,
    "",
    IF($E355=0,
       CHOOSE(MATCH(RAND(),{0,0.2,0.4,0.6,0.7,0.8,0.85,0.9,0.95,1}),"B-354","B-386","B-4354","B-347","B-357","B-3471","B-34715","B-3571","B-35715"),
       IF($G355=24,
          "B-386",
          IF($G355=12,
             CHOOSE(MATCH(RAND(),{0,0.32,0.49,0.66,0.74,0.82,0.9,1}),"B-386","B-347","B-357","B-3471","B-34715","B-3571","B-35715"),
             "")
)))</f>
        <v>B-3471</v>
      </c>
      <c r="I355" s="8" t="str">
        <f t="shared" ca="1" si="28"/>
        <v/>
      </c>
      <c r="J355">
        <f t="shared" ca="1" si="25"/>
        <v>108.4375</v>
      </c>
      <c r="K355">
        <f t="shared" ca="1" si="26"/>
        <v>51.1875</v>
      </c>
      <c r="L355" s="14">
        <f t="shared" ca="1" si="27"/>
        <v>1</v>
      </c>
      <c r="M355" s="14">
        <f t="shared" ca="1" si="29"/>
        <v>8.5</v>
      </c>
    </row>
    <row r="356" spans="2:13" hidden="1">
      <c r="B356" s="14" t="s">
        <v>21</v>
      </c>
      <c r="C356" s="14">
        <v>1</v>
      </c>
      <c r="D356" s="14">
        <v>0</v>
      </c>
      <c r="E356" s="14">
        <v>1</v>
      </c>
      <c r="F356" s="14">
        <v>0</v>
      </c>
      <c r="G356" s="14">
        <v>24</v>
      </c>
      <c r="H356" s="8" t="str">
        <f ca="1">IF(RAND()&lt;0.25,
    "",
    IF($E356=0,
       CHOOSE(MATCH(RAND(),{0,0.2,0.4,0.6,0.7,0.8,0.85,0.9,0.95,1}),"B-354","B-386","B-4354","B-347","B-357","B-3471","B-34715","B-3571","B-35715"),
       IF($G356=24,
          "B-386",
          IF($G356=12,
             CHOOSE(MATCH(RAND(),{0,0.32,0.49,0.66,0.74,0.82,0.9,1}),"B-386","B-347","B-357","B-3471","B-34715","B-3571","B-35715"),
             "")
)))</f>
        <v>B-386</v>
      </c>
      <c r="I356" s="8" t="str">
        <f t="shared" ca="1" si="28"/>
        <v/>
      </c>
      <c r="J356">
        <f t="shared" ca="1" si="25"/>
        <v>96</v>
      </c>
      <c r="K356">
        <f t="shared" ca="1" si="26"/>
        <v>62.25</v>
      </c>
      <c r="L356" s="14">
        <f t="shared" ca="1" si="27"/>
        <v>1</v>
      </c>
      <c r="M356" s="14" t="str">
        <f t="shared" ca="1" si="29"/>
        <v/>
      </c>
    </row>
    <row r="357" spans="2:13" hidden="1">
      <c r="B357" s="14" t="s">
        <v>21</v>
      </c>
      <c r="C357" s="14">
        <v>1</v>
      </c>
      <c r="D357" s="14">
        <v>0</v>
      </c>
      <c r="E357" s="14">
        <v>1</v>
      </c>
      <c r="F357" s="14">
        <v>0</v>
      </c>
      <c r="G357" s="14"/>
      <c r="H357" s="8" t="str">
        <f ca="1">IF(RAND()&lt;0.25,
    "",
    IF($E357=0,
       CHOOSE(MATCH(RAND(),{0,0.2,0.4,0.6,0.7,0.8,0.85,0.9,0.95,1}),"B-354","B-386","B-4354","B-347","B-357","B-3471","B-34715","B-3571","B-35715"),
       IF($G357=24,
          "B-386",
          IF($G357=12,
             CHOOSE(MATCH(RAND(),{0,0.32,0.49,0.66,0.74,0.82,0.9,1}),"B-386","B-347","B-357","B-3471","B-34715","B-3571","B-35715"),
             "")
)))</f>
        <v/>
      </c>
      <c r="I357" s="8" t="str">
        <f t="shared" ca="1" si="28"/>
        <v/>
      </c>
      <c r="J357">
        <f t="shared" ca="1" si="25"/>
        <v>70.3125</v>
      </c>
      <c r="K357">
        <f t="shared" ca="1" si="26"/>
        <v>72.75</v>
      </c>
      <c r="L357" s="14">
        <f t="shared" ca="1" si="27"/>
        <v>3.5625</v>
      </c>
      <c r="M357" s="14">
        <f t="shared" ca="1" si="29"/>
        <v>1</v>
      </c>
    </row>
    <row r="358" spans="2:13" hidden="1">
      <c r="B358" s="14" t="s">
        <v>21</v>
      </c>
      <c r="C358" s="14">
        <v>1</v>
      </c>
      <c r="D358" s="14">
        <v>0</v>
      </c>
      <c r="E358" s="14">
        <v>1</v>
      </c>
      <c r="F358" s="14">
        <v>1</v>
      </c>
      <c r="G358" s="14"/>
      <c r="H358" s="8" t="str">
        <f ca="1">IF(RAND()&lt;0.25,
    "",
    IF($E358=0,
       CHOOSE(MATCH(RAND(),{0,0.2,0.4,0.6,0.7,0.8,0.85,0.9,0.95,1}),"B-354","B-386","B-4354","B-347","B-357","B-3471","B-34715","B-3571","B-35715"),
       IF($G358=24,
          "B-386",
          IF($G358=12,
             CHOOSE(MATCH(RAND(),{0,0.32,0.49,0.66,0.74,0.82,0.9,1}),"B-386","B-347","B-357","B-3471","B-34715","B-3571","B-35715"),
             "")
)))</f>
        <v/>
      </c>
      <c r="I358" s="8" t="str">
        <f t="shared" ca="1" si="28"/>
        <v/>
      </c>
      <c r="J358">
        <f t="shared" ca="1" si="25"/>
        <v>96</v>
      </c>
      <c r="K358">
        <f t="shared" ca="1" si="26"/>
        <v>76.5</v>
      </c>
      <c r="L358" s="14">
        <f t="shared" ca="1" si="27"/>
        <v>12</v>
      </c>
      <c r="M358" s="14" t="str">
        <f t="shared" ca="1" si="29"/>
        <v/>
      </c>
    </row>
    <row r="359" spans="2:13">
      <c r="B359" s="14" t="s">
        <v>21</v>
      </c>
      <c r="C359" s="14">
        <v>1</v>
      </c>
      <c r="D359" s="14">
        <v>1</v>
      </c>
      <c r="E359" s="14">
        <v>0</v>
      </c>
      <c r="F359" s="14"/>
      <c r="G359" s="14"/>
      <c r="H359" s="8" t="str">
        <f ca="1">IF(RAND()&lt;0.25,
    "",
    IF($E359=0,
       CHOOSE(MATCH(RAND(),{0,0.2,0.4,0.6,0.7,0.8,0.85,0.9,0.95,1}),"B-354","B-386","B-4354","B-347","B-357","B-3471","B-34715","B-3571","B-35715"),
       IF($G359=24,
          "B-386",
          IF($G359=12,
             CHOOSE(MATCH(RAND(),{0,0.32,0.49,0.66,0.74,0.82,0.9,1}),"B-386","B-347","B-357","B-3471","B-34715","B-3571","B-35715"),
             "")
)))</f>
        <v/>
      </c>
      <c r="I359" s="8" t="str">
        <f t="shared" ca="1" si="28"/>
        <v/>
      </c>
      <c r="J359">
        <f t="shared" ca="1" si="25"/>
        <v>78.0625</v>
      </c>
      <c r="K359">
        <f t="shared" ca="1" si="26"/>
        <v>8.625</v>
      </c>
      <c r="L359" s="14">
        <f t="shared" ca="1" si="27"/>
        <v>12</v>
      </c>
      <c r="M359" s="14">
        <f t="shared" ca="1" si="29"/>
        <v>2.8125</v>
      </c>
    </row>
    <row r="360" spans="2:13" hidden="1">
      <c r="B360" s="14" t="s">
        <v>21</v>
      </c>
      <c r="C360" s="14">
        <v>1</v>
      </c>
      <c r="D360" s="14">
        <v>1</v>
      </c>
      <c r="E360" s="14">
        <v>1</v>
      </c>
      <c r="F360" s="14">
        <v>0</v>
      </c>
      <c r="G360" s="14">
        <v>12</v>
      </c>
      <c r="H360" s="8" t="str">
        <f ca="1">IF(RAND()&lt;0.25,
    "",
    IF($E360=0,
       CHOOSE(MATCH(RAND(),{0,0.2,0.4,0.6,0.7,0.8,0.85,0.9,0.95,1}),"B-354","B-386","B-4354","B-347","B-357","B-3471","B-34715","B-3571","B-35715"),
       IF($G360=24,
          "B-386",
          IF($G360=12,
             CHOOSE(MATCH(RAND(),{0,0.32,0.49,0.66,0.74,0.82,0.9,1}),"B-386","B-347","B-357","B-3471","B-34715","B-3571","B-35715"),
             "")
)))</f>
        <v>B-3471</v>
      </c>
      <c r="I360" s="8" t="str">
        <f t="shared" ca="1" si="28"/>
        <v/>
      </c>
      <c r="J360">
        <f t="shared" ca="1" si="25"/>
        <v>62.25</v>
      </c>
      <c r="K360">
        <f t="shared" ca="1" si="26"/>
        <v>64.75</v>
      </c>
      <c r="L360" s="14">
        <f t="shared" ca="1" si="27"/>
        <v>1</v>
      </c>
      <c r="M360" s="14" t="str">
        <f t="shared" ca="1" si="29"/>
        <v/>
      </c>
    </row>
    <row r="361" spans="2:13" hidden="1">
      <c r="B361" s="14" t="s">
        <v>21</v>
      </c>
      <c r="C361" s="14">
        <v>1</v>
      </c>
      <c r="D361" s="14">
        <v>1</v>
      </c>
      <c r="E361" s="14">
        <v>1</v>
      </c>
      <c r="F361" s="14">
        <v>0</v>
      </c>
      <c r="G361" s="14">
        <v>24</v>
      </c>
      <c r="H361" s="8" t="str">
        <f ca="1">IF(RAND()&lt;0.25,
    "",
    IF($E361=0,
       CHOOSE(MATCH(RAND(),{0,0.2,0.4,0.6,0.7,0.8,0.85,0.9,0.95,1}),"B-354","B-386","B-4354","B-347","B-357","B-3471","B-34715","B-3571","B-35715"),
       IF($G361=24,
          "B-386",
          IF($G361=12,
             CHOOSE(MATCH(RAND(),{0,0.32,0.49,0.66,0.74,0.82,0.9,1}),"B-386","B-347","B-357","B-3471","B-34715","B-3571","B-35715"),
             "")
)))</f>
        <v>B-386</v>
      </c>
      <c r="I361" s="8" t="str">
        <f t="shared" ca="1" si="28"/>
        <v/>
      </c>
      <c r="J361">
        <f t="shared" ca="1" si="25"/>
        <v>76.8125</v>
      </c>
      <c r="K361">
        <f t="shared" ca="1" si="26"/>
        <v>66.625</v>
      </c>
      <c r="L361" s="14">
        <f t="shared" ca="1" si="27"/>
        <v>1</v>
      </c>
      <c r="M361" s="14">
        <f t="shared" ca="1" si="29"/>
        <v>7.75</v>
      </c>
    </row>
    <row r="362" spans="2:13" hidden="1">
      <c r="B362" s="14" t="s">
        <v>21</v>
      </c>
      <c r="C362" s="14">
        <v>1</v>
      </c>
      <c r="D362" s="14">
        <v>1</v>
      </c>
      <c r="E362" s="14">
        <v>1</v>
      </c>
      <c r="F362" s="14">
        <v>0</v>
      </c>
      <c r="G362" s="14"/>
      <c r="H362" s="8" t="str">
        <f ca="1">IF(RAND()&lt;0.25,
    "",
    IF($E362=0,
       CHOOSE(MATCH(RAND(),{0,0.2,0.4,0.6,0.7,0.8,0.85,0.9,0.95,1}),"B-354","B-386","B-4354","B-347","B-357","B-3471","B-34715","B-3571","B-35715"),
       IF($G362=24,
          "B-386",
          IF($G362=12,
             CHOOSE(MATCH(RAND(),{0,0.32,0.49,0.66,0.74,0.82,0.9,1}),"B-386","B-347","B-357","B-3471","B-34715","B-3571","B-35715"),
             "")
)))</f>
        <v/>
      </c>
      <c r="I362" s="8" t="str">
        <f t="shared" ca="1" si="28"/>
        <v/>
      </c>
      <c r="J362">
        <f t="shared" ca="1" si="25"/>
        <v>96</v>
      </c>
      <c r="K362">
        <f t="shared" ca="1" si="26"/>
        <v>24.625</v>
      </c>
      <c r="L362" s="14">
        <f t="shared" ca="1" si="27"/>
        <v>4.5</v>
      </c>
      <c r="M362" s="14">
        <f t="shared" ca="1" si="29"/>
        <v>6.8125</v>
      </c>
    </row>
    <row r="363" spans="2:13" ht="15" hidden="1" thickBot="1">
      <c r="B363" s="50" t="s">
        <v>21</v>
      </c>
      <c r="C363" s="50">
        <v>1</v>
      </c>
      <c r="D363" s="50">
        <v>1</v>
      </c>
      <c r="E363" s="50">
        <v>1</v>
      </c>
      <c r="F363" s="50">
        <v>1</v>
      </c>
      <c r="G363" s="50"/>
      <c r="H363" s="51" t="str">
        <f ca="1">IF(RAND()&lt;0.25,
    "",
    IF($E363=0,
       CHOOSE(MATCH(RAND(),{0,0.2,0.4,0.6,0.7,0.8,0.85,0.9,0.95,1}),"B-354","B-386","B-4354","B-347","B-357","B-3471","B-34715","B-3571","B-35715"),
       IF($G363=24,
          "B-386",
          IF($G363=12,
             CHOOSE(MATCH(RAND(),{0,0.32,0.49,0.66,0.74,0.82,0.9,1}),"B-386","B-347","B-357","B-3471","B-34715","B-3571","B-35715"),
             "")
)))</f>
        <v/>
      </c>
      <c r="I363" s="51" t="str">
        <f t="shared" ca="1" si="28"/>
        <v/>
      </c>
      <c r="J363" s="49">
        <f t="shared" ca="1" si="25"/>
        <v>108.25</v>
      </c>
      <c r="K363" s="49">
        <f t="shared" ca="1" si="26"/>
        <v>37.375</v>
      </c>
      <c r="L363" s="50">
        <f t="shared" ca="1" si="27"/>
        <v>9</v>
      </c>
      <c r="M363" s="14">
        <f t="shared" ca="1" si="29"/>
        <v>2.125</v>
      </c>
    </row>
    <row r="364" spans="2:13" hidden="1">
      <c r="B364" s="14" t="s">
        <v>156</v>
      </c>
      <c r="C364" s="19">
        <v>0</v>
      </c>
      <c r="D364" s="19"/>
      <c r="E364" s="19">
        <v>0</v>
      </c>
      <c r="F364" s="19"/>
      <c r="G364" s="14"/>
      <c r="H364" s="8" t="str">
        <f ca="1">IF(RAND()&lt;0.25,
    "",
    IF($E364=0,
       CHOOSE(MATCH(RAND(),{0,0.2,0.4,0.6,0.7,0.8,0.85,0.9,0.95,1}),"B-354","B-386","B-4354","B-347","B-357","B-3471","B-34715","B-3571","B-35715"),
       IF($G364=24,
          "B-386",
          IF($G364=12,
             CHOOSE(MATCH(RAND(),{0,0.32,0.49,0.66,0.74,0.82,0.9,1}),"B-386","B-347","B-357","B-3471","B-34715","B-3571","B-35715"),
             "")
)))</f>
        <v>B-386</v>
      </c>
      <c r="I364" s="8" t="str">
        <f t="shared" ca="1" si="28"/>
        <v/>
      </c>
      <c r="J364">
        <f t="shared" ca="1" si="25"/>
        <v>40</v>
      </c>
      <c r="K364">
        <f t="shared" ca="1" si="26"/>
        <v>44</v>
      </c>
      <c r="L364" s="14">
        <f t="shared" ca="1" si="27"/>
        <v>2.3125</v>
      </c>
      <c r="M364" s="14">
        <f t="shared" ca="1" si="29"/>
        <v>5.9375</v>
      </c>
    </row>
    <row r="365" spans="2:13">
      <c r="B365" s="14" t="s">
        <v>156</v>
      </c>
      <c r="C365" s="14">
        <v>0</v>
      </c>
      <c r="D365" s="14"/>
      <c r="E365" s="14">
        <v>1</v>
      </c>
      <c r="F365" s="14">
        <v>0</v>
      </c>
      <c r="G365" s="14">
        <v>12</v>
      </c>
      <c r="H365" s="8" t="str">
        <f ca="1">IF(RAND()&lt;0.25,
    "",
    IF($E365=0,
       CHOOSE(MATCH(RAND(),{0,0.2,0.4,0.6,0.7,0.8,0.85,0.9,0.95,1}),"B-354","B-386","B-4354","B-347","B-357","B-3471","B-34715","B-3571","B-35715"),
       IF($G365=24,
          "B-386",
          IF($G365=12,
             CHOOSE(MATCH(RAND(),{0,0.32,0.49,0.66,0.74,0.82,0.9,1}),"B-386","B-347","B-357","B-3471","B-34715","B-3571","B-35715"),
             "")
)))</f>
        <v/>
      </c>
      <c r="I365" s="8" t="str">
        <f t="shared" ca="1" si="28"/>
        <v/>
      </c>
      <c r="J365">
        <f t="shared" ca="1" si="25"/>
        <v>16.625</v>
      </c>
      <c r="K365">
        <f t="shared" ca="1" si="26"/>
        <v>73.8125</v>
      </c>
      <c r="L365" s="14">
        <f t="shared" ca="1" si="27"/>
        <v>12</v>
      </c>
      <c r="M365" s="14" t="str">
        <f t="shared" ca="1" si="29"/>
        <v/>
      </c>
    </row>
    <row r="366" spans="2:13" hidden="1">
      <c r="B366" s="14" t="s">
        <v>156</v>
      </c>
      <c r="C366" s="14">
        <v>0</v>
      </c>
      <c r="D366" s="14"/>
      <c r="E366" s="14">
        <v>1</v>
      </c>
      <c r="F366" s="14">
        <v>0</v>
      </c>
      <c r="G366" s="14">
        <v>24</v>
      </c>
      <c r="H366" s="8" t="str">
        <f ca="1">IF(RAND()&lt;0.25,
    "",
    IF($E366=0,
       CHOOSE(MATCH(RAND(),{0,0.2,0.4,0.6,0.7,0.8,0.85,0.9,0.95,1}),"B-354","B-386","B-4354","B-347","B-357","B-3471","B-34715","B-3571","B-35715"),
       IF($G366=24,
          "B-386",
          IF($G366=12,
             CHOOSE(MATCH(RAND(),{0,0.32,0.49,0.66,0.74,0.82,0.9,1}),"B-386","B-347","B-357","B-3471","B-34715","B-3571","B-35715"),
             "")
)))</f>
        <v/>
      </c>
      <c r="I366" s="8" t="str">
        <f t="shared" ca="1" si="28"/>
        <v/>
      </c>
      <c r="J366">
        <f t="shared" ca="1" si="25"/>
        <v>18.1875</v>
      </c>
      <c r="K366">
        <f t="shared" ca="1" si="26"/>
        <v>72.4375</v>
      </c>
      <c r="L366" s="14">
        <f t="shared" ca="1" si="27"/>
        <v>11.75</v>
      </c>
      <c r="M366" s="14">
        <f t="shared" ca="1" si="29"/>
        <v>8.4375</v>
      </c>
    </row>
    <row r="367" spans="2:13" hidden="1">
      <c r="B367" s="14" t="s">
        <v>156</v>
      </c>
      <c r="C367" s="14">
        <v>0</v>
      </c>
      <c r="D367" s="14"/>
      <c r="E367" s="14">
        <v>1</v>
      </c>
      <c r="F367" s="14">
        <v>0</v>
      </c>
      <c r="G367" s="14"/>
      <c r="H367" s="8" t="str">
        <f ca="1">IF(RAND()&lt;0.25,
    "",
    IF($E367=0,
       CHOOSE(MATCH(RAND(),{0,0.2,0.4,0.6,0.7,0.8,0.85,0.9,0.95,1}),"B-354","B-386","B-4354","B-347","B-357","B-3471","B-34715","B-3571","B-35715"),
       IF($G367=24,
          "B-386",
          IF($G367=12,
             CHOOSE(MATCH(RAND(),{0,0.32,0.49,0.66,0.74,0.82,0.9,1}),"B-386","B-347","B-357","B-3471","B-34715","B-3571","B-35715"),
             "")
)))</f>
        <v/>
      </c>
      <c r="I367" s="8" t="str">
        <f t="shared" ca="1" si="28"/>
        <v/>
      </c>
      <c r="J367">
        <f t="shared" ca="1" si="25"/>
        <v>20.9375</v>
      </c>
      <c r="K367">
        <f t="shared" ca="1" si="26"/>
        <v>9.5</v>
      </c>
      <c r="L367" s="14">
        <f t="shared" ca="1" si="27"/>
        <v>12</v>
      </c>
      <c r="M367" s="14">
        <f t="shared" ca="1" si="29"/>
        <v>7.3125</v>
      </c>
    </row>
    <row r="368" spans="2:13" hidden="1">
      <c r="B368" s="14" t="s">
        <v>156</v>
      </c>
      <c r="C368" s="14">
        <v>0</v>
      </c>
      <c r="D368" s="14"/>
      <c r="E368" s="14">
        <v>1</v>
      </c>
      <c r="F368" s="14">
        <v>1</v>
      </c>
      <c r="G368" s="14"/>
      <c r="H368" s="8" t="str">
        <f ca="1">IF(RAND()&lt;0.25,
    "",
    IF($E368=0,
       CHOOSE(MATCH(RAND(),{0,0.2,0.4,0.6,0.7,0.8,0.85,0.9,0.95,1}),"B-354","B-386","B-4354","B-347","B-357","B-3471","B-34715","B-3571","B-35715"),
       IF($G368=24,
          "B-386",
          IF($G368=12,
             CHOOSE(MATCH(RAND(),{0,0.32,0.49,0.66,0.74,0.82,0.9,1}),"B-386","B-347","B-357","B-3471","B-34715","B-3571","B-35715"),
             "")
)))</f>
        <v/>
      </c>
      <c r="I368" s="8" t="str">
        <f t="shared" ca="1" si="28"/>
        <v/>
      </c>
      <c r="J368">
        <f t="shared" ca="1" si="25"/>
        <v>9.75</v>
      </c>
      <c r="K368">
        <f t="shared" ca="1" si="26"/>
        <v>54.8125</v>
      </c>
      <c r="L368" s="14">
        <f t="shared" ca="1" si="27"/>
        <v>1</v>
      </c>
      <c r="M368" s="14">
        <f t="shared" ca="1" si="29"/>
        <v>5.0625</v>
      </c>
    </row>
    <row r="369" spans="2:13">
      <c r="B369" s="14" t="s">
        <v>156</v>
      </c>
      <c r="C369" s="14">
        <v>1</v>
      </c>
      <c r="D369" s="14">
        <v>0</v>
      </c>
      <c r="E369" s="14">
        <v>0</v>
      </c>
      <c r="F369" s="14"/>
      <c r="G369" s="14"/>
      <c r="H369" s="8" t="str">
        <f ca="1">IF(RAND()&lt;0.25,
    "",
    IF($E369=0,
       CHOOSE(MATCH(RAND(),{0,0.2,0.4,0.6,0.7,0.8,0.85,0.9,0.95,1}),"B-354","B-386","B-4354","B-347","B-357","B-3471","B-34715","B-3571","B-35715"),
       IF($G369=24,
          "B-386",
          IF($G369=12,
             CHOOSE(MATCH(RAND(),{0,0.32,0.49,0.66,0.74,0.82,0.9,1}),"B-386","B-347","B-357","B-3471","B-34715","B-3571","B-35715"),
             "")
)))</f>
        <v>B-357</v>
      </c>
      <c r="I369" s="8" t="str">
        <f t="shared" ca="1" si="28"/>
        <v/>
      </c>
      <c r="J369">
        <f t="shared" ref="J369:J432" ca="1" si="30">IF(B369="BOTTOM",
   60,
   IF(B369="TOP",
      RANDBETWEEN(3*16,50*16)/16,
      IF(B369="WHOLE",
         IF(RAND()&lt;0.75,
            RANDBETWEEN(36*16,110*16)/16,
            96
         ),
         ""
      )
   )
)</f>
        <v>26.25</v>
      </c>
      <c r="K369">
        <f t="shared" ref="K369:K432" ca="1" si="31">_xlfn.LET(
_xlpm.minVal, IF($H369&lt;&gt;"",40,5),
RANDBETWEEN(_xlpm.minVal*16,80*16)/16
)</f>
        <v>77.9375</v>
      </c>
      <c r="L369" s="14">
        <f t="shared" ca="1" si="27"/>
        <v>10.0625</v>
      </c>
      <c r="M369" s="14">
        <f t="shared" ca="1" si="29"/>
        <v>2.4375</v>
      </c>
    </row>
    <row r="370" spans="2:13">
      <c r="B370" s="14" t="s">
        <v>156</v>
      </c>
      <c r="C370" s="14">
        <v>1</v>
      </c>
      <c r="D370" s="14">
        <v>0</v>
      </c>
      <c r="E370" s="14">
        <v>1</v>
      </c>
      <c r="F370" s="14">
        <v>0</v>
      </c>
      <c r="G370" s="14">
        <v>12</v>
      </c>
      <c r="H370" s="8" t="str">
        <f ca="1">IF(RAND()&lt;0.25,
    "",
    IF($E370=0,
       CHOOSE(MATCH(RAND(),{0,0.2,0.4,0.6,0.7,0.8,0.85,0.9,0.95,1}),"B-354","B-386","B-4354","B-347","B-357","B-3471","B-34715","B-3571","B-35715"),
       IF($G370=24,
          "B-386",
          IF($G370=12,
             CHOOSE(MATCH(RAND(),{0,0.32,0.49,0.66,0.74,0.82,0.9,1}),"B-386","B-347","B-357","B-3471","B-34715","B-3571","B-35715"),
             "")
)))</f>
        <v>B-386</v>
      </c>
      <c r="I370" s="8" t="str">
        <f t="shared" ca="1" si="28"/>
        <v/>
      </c>
      <c r="J370">
        <f t="shared" ca="1" si="30"/>
        <v>35.8125</v>
      </c>
      <c r="K370">
        <f t="shared" ca="1" si="31"/>
        <v>45.875</v>
      </c>
      <c r="L370" s="14">
        <f t="shared" ca="1" si="27"/>
        <v>9</v>
      </c>
      <c r="M370" s="14">
        <f t="shared" ca="1" si="29"/>
        <v>1</v>
      </c>
    </row>
    <row r="371" spans="2:13">
      <c r="B371" s="14" t="s">
        <v>156</v>
      </c>
      <c r="C371" s="14">
        <v>1</v>
      </c>
      <c r="D371" s="14">
        <v>0</v>
      </c>
      <c r="E371" s="14">
        <v>1</v>
      </c>
      <c r="F371" s="14">
        <v>0</v>
      </c>
      <c r="G371" s="14">
        <v>24</v>
      </c>
      <c r="H371" s="8" t="str">
        <f ca="1">IF(RAND()&lt;0.25,
    "",
    IF($E371=0,
       CHOOSE(MATCH(RAND(),{0,0.2,0.4,0.6,0.7,0.8,0.85,0.9,0.95,1}),"B-354","B-386","B-4354","B-347","B-357","B-3471","B-34715","B-3571","B-35715"),
       IF($G371=24,
          "B-386",
          IF($G371=12,
             CHOOSE(MATCH(RAND(),{0,0.32,0.49,0.66,0.74,0.82,0.9,1}),"B-386","B-347","B-357","B-3471","B-34715","B-3571","B-35715"),
             "")
)))</f>
        <v/>
      </c>
      <c r="I371" s="8" t="str">
        <f t="shared" ca="1" si="28"/>
        <v/>
      </c>
      <c r="J371">
        <f t="shared" ca="1" si="30"/>
        <v>23.6875</v>
      </c>
      <c r="K371">
        <f t="shared" ca="1" si="31"/>
        <v>59.0625</v>
      </c>
      <c r="L371" s="14">
        <f t="shared" ca="1" si="27"/>
        <v>4.5</v>
      </c>
      <c r="M371" s="14">
        <f t="shared" ca="1" si="29"/>
        <v>6.375</v>
      </c>
    </row>
    <row r="372" spans="2:13" hidden="1">
      <c r="B372" s="14" t="s">
        <v>156</v>
      </c>
      <c r="C372" s="14">
        <v>1</v>
      </c>
      <c r="D372" s="14">
        <v>0</v>
      </c>
      <c r="E372" s="14">
        <v>1</v>
      </c>
      <c r="F372" s="14">
        <v>0</v>
      </c>
      <c r="G372" s="14"/>
      <c r="H372" s="8" t="str">
        <f ca="1">IF(RAND()&lt;0.25,
    "",
    IF($E372=0,
       CHOOSE(MATCH(RAND(),{0,0.2,0.4,0.6,0.7,0.8,0.85,0.9,0.95,1}),"B-354","B-386","B-4354","B-347","B-357","B-3471","B-34715","B-3571","B-35715"),
       IF($G372=24,
          "B-386",
          IF($G372=12,
             CHOOSE(MATCH(RAND(),{0,0.32,0.49,0.66,0.74,0.82,0.9,1}),"B-386","B-347","B-357","B-3471","B-34715","B-3571","B-35715"),
             "")
)))</f>
        <v/>
      </c>
      <c r="I372" s="8" t="str">
        <f t="shared" ca="1" si="28"/>
        <v/>
      </c>
      <c r="J372">
        <f t="shared" ca="1" si="30"/>
        <v>45.5</v>
      </c>
      <c r="K372">
        <f t="shared" ca="1" si="31"/>
        <v>34.8125</v>
      </c>
      <c r="L372" s="14">
        <f t="shared" ca="1" si="27"/>
        <v>9</v>
      </c>
      <c r="M372" s="14" t="str">
        <f t="shared" ca="1" si="29"/>
        <v/>
      </c>
    </row>
    <row r="373" spans="2:13" hidden="1">
      <c r="B373" s="14" t="s">
        <v>156</v>
      </c>
      <c r="C373" s="14">
        <v>1</v>
      </c>
      <c r="D373" s="14">
        <v>0</v>
      </c>
      <c r="E373" s="14">
        <v>1</v>
      </c>
      <c r="F373" s="14">
        <v>1</v>
      </c>
      <c r="G373" s="14"/>
      <c r="H373" s="8" t="str">
        <f ca="1">IF(RAND()&lt;0.25,
    "",
    IF($E373=0,
       CHOOSE(MATCH(RAND(),{0,0.2,0.4,0.6,0.7,0.8,0.85,0.9,0.95,1}),"B-354","B-386","B-4354","B-347","B-357","B-3471","B-34715","B-3571","B-35715"),
       IF($G373=24,
          "B-386",
          IF($G373=12,
             CHOOSE(MATCH(RAND(),{0,0.32,0.49,0.66,0.74,0.82,0.9,1}),"B-386","B-347","B-357","B-3471","B-34715","B-3571","B-35715"),
             "")
)))</f>
        <v/>
      </c>
      <c r="I373" s="8" t="str">
        <f t="shared" ca="1" si="28"/>
        <v/>
      </c>
      <c r="J373">
        <f t="shared" ca="1" si="30"/>
        <v>30.8125</v>
      </c>
      <c r="K373">
        <f t="shared" ca="1" si="31"/>
        <v>31.3125</v>
      </c>
      <c r="L373" s="14">
        <f t="shared" ca="1" si="27"/>
        <v>1</v>
      </c>
      <c r="M373" s="14">
        <f t="shared" ca="1" si="29"/>
        <v>4.25</v>
      </c>
    </row>
    <row r="374" spans="2:13">
      <c r="B374" s="14" t="s">
        <v>156</v>
      </c>
      <c r="C374" s="14">
        <v>1</v>
      </c>
      <c r="D374" s="14">
        <v>1</v>
      </c>
      <c r="E374" s="14">
        <v>0</v>
      </c>
      <c r="F374" s="14"/>
      <c r="G374" s="14"/>
      <c r="H374" s="8" t="str">
        <f ca="1">IF(RAND()&lt;0.25,
    "",
    IF($E374=0,
       CHOOSE(MATCH(RAND(),{0,0.2,0.4,0.6,0.7,0.8,0.85,0.9,0.95,1}),"B-354","B-386","B-4354","B-347","B-357","B-3471","B-34715","B-3571","B-35715"),
       IF($G374=24,
          "B-386",
          IF($G374=12,
             CHOOSE(MATCH(RAND(),{0,0.32,0.49,0.66,0.74,0.82,0.9,1}),"B-386","B-347","B-357","B-3471","B-34715","B-3571","B-35715"),
             "")
)))</f>
        <v/>
      </c>
      <c r="I374" s="8" t="str">
        <f t="shared" ca="1" si="28"/>
        <v/>
      </c>
      <c r="J374">
        <f t="shared" ca="1" si="30"/>
        <v>20.9375</v>
      </c>
      <c r="K374">
        <f t="shared" ca="1" si="31"/>
        <v>44.8125</v>
      </c>
      <c r="L374" s="14">
        <f t="shared" ca="1" si="27"/>
        <v>1.9375</v>
      </c>
      <c r="M374" s="14">
        <f t="shared" ca="1" si="29"/>
        <v>7.875</v>
      </c>
    </row>
    <row r="375" spans="2:13" hidden="1">
      <c r="B375" s="14" t="s">
        <v>156</v>
      </c>
      <c r="C375" s="14">
        <v>1</v>
      </c>
      <c r="D375" s="14">
        <v>1</v>
      </c>
      <c r="E375" s="14">
        <v>1</v>
      </c>
      <c r="F375" s="14">
        <v>0</v>
      </c>
      <c r="G375" s="14">
        <v>12</v>
      </c>
      <c r="H375" s="8" t="str">
        <f ca="1">IF(RAND()&lt;0.25,
    "",
    IF($E375=0,
       CHOOSE(MATCH(RAND(),{0,0.2,0.4,0.6,0.7,0.8,0.85,0.9,0.95,1}),"B-354","B-386","B-4354","B-347","B-357","B-3471","B-34715","B-3571","B-35715"),
       IF($G375=24,
          "B-386",
          IF($G375=12,
             CHOOSE(MATCH(RAND(),{0,0.32,0.49,0.66,0.74,0.82,0.9,1}),"B-386","B-347","B-357","B-3471","B-34715","B-3571","B-35715"),
             "")
)))</f>
        <v>B-357</v>
      </c>
      <c r="I375" s="8" t="str">
        <f t="shared" ca="1" si="28"/>
        <v/>
      </c>
      <c r="J375">
        <f t="shared" ca="1" si="30"/>
        <v>49.125</v>
      </c>
      <c r="K375">
        <f t="shared" ca="1" si="31"/>
        <v>55.375</v>
      </c>
      <c r="L375" s="14">
        <f t="shared" ca="1" si="27"/>
        <v>1.9375</v>
      </c>
      <c r="M375" s="14">
        <f t="shared" ca="1" si="29"/>
        <v>1</v>
      </c>
    </row>
    <row r="376" spans="2:13">
      <c r="B376" s="14" t="s">
        <v>156</v>
      </c>
      <c r="C376" s="14">
        <v>1</v>
      </c>
      <c r="D376" s="14">
        <v>1</v>
      </c>
      <c r="E376" s="14">
        <v>1</v>
      </c>
      <c r="F376" s="14">
        <v>0</v>
      </c>
      <c r="G376" s="14">
        <v>24</v>
      </c>
      <c r="H376" s="8" t="str">
        <f ca="1">IF(RAND()&lt;0.25,
    "",
    IF($E376=0,
       CHOOSE(MATCH(RAND(),{0,0.2,0.4,0.6,0.7,0.8,0.85,0.9,0.95,1}),"B-354","B-386","B-4354","B-347","B-357","B-3471","B-34715","B-3571","B-35715"),
       IF($G376=24,
          "B-386",
          IF($G376=12,
             CHOOSE(MATCH(RAND(),{0,0.32,0.49,0.66,0.74,0.82,0.9,1}),"B-386","B-347","B-357","B-3471","B-34715","B-3571","B-35715"),
             "")
)))</f>
        <v>B-386</v>
      </c>
      <c r="I376" s="8" t="str">
        <f t="shared" ca="1" si="28"/>
        <v/>
      </c>
      <c r="J376">
        <f t="shared" ca="1" si="30"/>
        <v>24.25</v>
      </c>
      <c r="K376">
        <f t="shared" ca="1" si="31"/>
        <v>67.0625</v>
      </c>
      <c r="L376" s="14">
        <f t="shared" ca="1" si="27"/>
        <v>2</v>
      </c>
      <c r="M376" s="14" t="str">
        <f t="shared" ca="1" si="29"/>
        <v/>
      </c>
    </row>
    <row r="377" spans="2:13" hidden="1">
      <c r="B377" s="14" t="s">
        <v>156</v>
      </c>
      <c r="C377" s="14">
        <v>1</v>
      </c>
      <c r="D377" s="14">
        <v>1</v>
      </c>
      <c r="E377" s="14">
        <v>1</v>
      </c>
      <c r="F377" s="14">
        <v>0</v>
      </c>
      <c r="G377" s="14"/>
      <c r="H377" s="8" t="str">
        <f ca="1">IF(RAND()&lt;0.25,
    "",
    IF($E377=0,
       CHOOSE(MATCH(RAND(),{0,0.2,0.4,0.6,0.7,0.8,0.85,0.9,0.95,1}),"B-354","B-386","B-4354","B-347","B-357","B-3471","B-34715","B-3571","B-35715"),
       IF($G377=24,
          "B-386",
          IF($G377=12,
             CHOOSE(MATCH(RAND(),{0,0.32,0.49,0.66,0.74,0.82,0.9,1}),"B-386","B-347","B-357","B-3471","B-34715","B-3571","B-35715"),
             "")
)))</f>
        <v/>
      </c>
      <c r="I377" s="8" t="str">
        <f t="shared" ca="1" si="28"/>
        <v/>
      </c>
      <c r="J377">
        <f t="shared" ca="1" si="30"/>
        <v>15.125</v>
      </c>
      <c r="K377">
        <f t="shared" ca="1" si="31"/>
        <v>45.9375</v>
      </c>
      <c r="L377" s="14">
        <f t="shared" ca="1" si="27"/>
        <v>4.5</v>
      </c>
      <c r="M377" s="14">
        <f t="shared" ca="1" si="29"/>
        <v>6.5</v>
      </c>
    </row>
    <row r="378" spans="2:13" hidden="1">
      <c r="B378" s="14" t="s">
        <v>156</v>
      </c>
      <c r="C378" s="14">
        <v>1</v>
      </c>
      <c r="D378" s="14">
        <v>1</v>
      </c>
      <c r="E378" s="14">
        <v>1</v>
      </c>
      <c r="F378" s="14">
        <v>1</v>
      </c>
      <c r="G378" s="14"/>
      <c r="H378" s="8" t="str">
        <f ca="1">IF(RAND()&lt;0.25,
    "",
    IF($E378=0,
       CHOOSE(MATCH(RAND(),{0,0.2,0.4,0.6,0.7,0.8,0.85,0.9,0.95,1}),"B-354","B-386","B-4354","B-347","B-357","B-3471","B-34715","B-3571","B-35715"),
       IF($G378=24,
          "B-386",
          IF($G378=12,
             CHOOSE(MATCH(RAND(),{0,0.32,0.49,0.66,0.74,0.82,0.9,1}),"B-386","B-347","B-357","B-3471","B-34715","B-3571","B-35715"),
             "")
)))</f>
        <v/>
      </c>
      <c r="I378" s="8" t="str">
        <f t="shared" ca="1" si="28"/>
        <v/>
      </c>
      <c r="J378">
        <f t="shared" ca="1" si="30"/>
        <v>37.5625</v>
      </c>
      <c r="K378">
        <f t="shared" ca="1" si="31"/>
        <v>18.8125</v>
      </c>
      <c r="L378" s="14">
        <f t="shared" ca="1" si="27"/>
        <v>9</v>
      </c>
      <c r="M378" s="14" t="str">
        <f t="shared" ca="1" si="29"/>
        <v/>
      </c>
    </row>
    <row r="379" spans="2:13">
      <c r="B379" s="14" t="s">
        <v>157</v>
      </c>
      <c r="C379" s="14">
        <v>0</v>
      </c>
      <c r="D379" s="14"/>
      <c r="E379" s="14">
        <v>0</v>
      </c>
      <c r="F379" s="14"/>
      <c r="G379" s="14"/>
      <c r="H379" s="8" t="str">
        <f ca="1">IF(RAND()&lt;0.25,
    "",
    IF($E379=0,
       CHOOSE(MATCH(RAND(),{0,0.2,0.4,0.6,0.7,0.8,0.85,0.9,0.95,1}),"B-354","B-386","B-4354","B-347","B-357","B-3471","B-34715","B-3571","B-35715"),
       IF($G379=24,
          "B-386",
          IF($G379=12,
             CHOOSE(MATCH(RAND(),{0,0.32,0.49,0.66,0.74,0.82,0.9,1}),"B-386","B-347","B-357","B-3471","B-34715","B-3571","B-35715"),
             "")
)))</f>
        <v>B-3571</v>
      </c>
      <c r="I379" s="8" t="str">
        <f t="shared" ca="1" si="28"/>
        <v/>
      </c>
      <c r="J379">
        <f t="shared" ca="1" si="30"/>
        <v>60</v>
      </c>
      <c r="K379">
        <f t="shared" ca="1" si="31"/>
        <v>52.8125</v>
      </c>
      <c r="L379" s="14">
        <f t="shared" ca="1" si="27"/>
        <v>12</v>
      </c>
      <c r="M379" s="14">
        <f t="shared" ca="1" si="29"/>
        <v>8.5</v>
      </c>
    </row>
    <row r="380" spans="2:13">
      <c r="B380" s="14" t="s">
        <v>157</v>
      </c>
      <c r="C380" s="14">
        <v>0</v>
      </c>
      <c r="D380" s="14"/>
      <c r="E380" s="14">
        <v>1</v>
      </c>
      <c r="F380" s="14">
        <v>0</v>
      </c>
      <c r="G380" s="14">
        <v>12</v>
      </c>
      <c r="H380" s="8" t="str">
        <f ca="1">IF(RAND()&lt;0.25,
    "",
    IF($E380=0,
       CHOOSE(MATCH(RAND(),{0,0.2,0.4,0.6,0.7,0.8,0.85,0.9,0.95,1}),"B-354","B-386","B-4354","B-347","B-357","B-3471","B-34715","B-3571","B-35715"),
       IF($G380=24,
          "B-386",
          IF($G380=12,
             CHOOSE(MATCH(RAND(),{0,0.32,0.49,0.66,0.74,0.82,0.9,1}),"B-386","B-347","B-357","B-3471","B-34715","B-3571","B-35715"),
             "")
)))</f>
        <v/>
      </c>
      <c r="I380" s="8" t="str">
        <f t="shared" ca="1" si="28"/>
        <v/>
      </c>
      <c r="J380">
        <f t="shared" ca="1" si="30"/>
        <v>60</v>
      </c>
      <c r="K380">
        <f t="shared" ca="1" si="31"/>
        <v>17.1875</v>
      </c>
      <c r="L380" s="14">
        <f t="shared" ca="1" si="27"/>
        <v>12</v>
      </c>
      <c r="M380" s="14">
        <f t="shared" ca="1" si="29"/>
        <v>7.25</v>
      </c>
    </row>
    <row r="381" spans="2:13">
      <c r="B381" s="14" t="s">
        <v>157</v>
      </c>
      <c r="C381" s="14">
        <v>0</v>
      </c>
      <c r="D381" s="14"/>
      <c r="E381" s="14">
        <v>1</v>
      </c>
      <c r="F381" s="14">
        <v>0</v>
      </c>
      <c r="G381" s="14">
        <v>24</v>
      </c>
      <c r="H381" s="8" t="str">
        <f ca="1">IF(RAND()&lt;0.25,
    "",
    IF($E381=0,
       CHOOSE(MATCH(RAND(),{0,0.2,0.4,0.6,0.7,0.8,0.85,0.9,0.95,1}),"B-354","B-386","B-4354","B-347","B-357","B-3471","B-34715","B-3571","B-35715"),
       IF($G381=24,
          "B-386",
          IF($G381=12,
             CHOOSE(MATCH(RAND(),{0,0.32,0.49,0.66,0.74,0.82,0.9,1}),"B-386","B-347","B-357","B-3471","B-34715","B-3571","B-35715"),
             "")
)))</f>
        <v>B-386</v>
      </c>
      <c r="I381" s="8" t="str">
        <f t="shared" ca="1" si="28"/>
        <v/>
      </c>
      <c r="J381">
        <f t="shared" ca="1" si="30"/>
        <v>60</v>
      </c>
      <c r="K381">
        <f t="shared" ca="1" si="31"/>
        <v>54.5625</v>
      </c>
      <c r="L381" s="14">
        <f t="shared" ca="1" si="27"/>
        <v>4.5</v>
      </c>
      <c r="M381" s="14" t="str">
        <f t="shared" ca="1" si="29"/>
        <v/>
      </c>
    </row>
    <row r="382" spans="2:13" hidden="1">
      <c r="B382" s="14" t="s">
        <v>157</v>
      </c>
      <c r="C382" s="14">
        <v>0</v>
      </c>
      <c r="D382" s="14"/>
      <c r="E382" s="14">
        <v>1</v>
      </c>
      <c r="F382" s="14">
        <v>0</v>
      </c>
      <c r="G382" s="14"/>
      <c r="H382" s="8" t="str">
        <f ca="1">IF(RAND()&lt;0.25,
    "",
    IF($E382=0,
       CHOOSE(MATCH(RAND(),{0,0.2,0.4,0.6,0.7,0.8,0.85,0.9,0.95,1}),"B-354","B-386","B-4354","B-347","B-357","B-3471","B-34715","B-3571","B-35715"),
       IF($G382=24,
          "B-386",
          IF($G382=12,
             CHOOSE(MATCH(RAND(),{0,0.32,0.49,0.66,0.74,0.82,0.9,1}),"B-386","B-347","B-357","B-3471","B-34715","B-3571","B-35715"),
             "")
)))</f>
        <v/>
      </c>
      <c r="I382" s="8" t="str">
        <f t="shared" ca="1" si="28"/>
        <v/>
      </c>
      <c r="J382">
        <f t="shared" ca="1" si="30"/>
        <v>60</v>
      </c>
      <c r="K382">
        <f t="shared" ca="1" si="31"/>
        <v>29.25</v>
      </c>
      <c r="L382" s="14">
        <f t="shared" ca="1" si="27"/>
        <v>8.5625</v>
      </c>
      <c r="M382" s="14">
        <f t="shared" ca="1" si="29"/>
        <v>1</v>
      </c>
    </row>
    <row r="383" spans="2:13" hidden="1">
      <c r="B383" s="14" t="s">
        <v>157</v>
      </c>
      <c r="C383" s="14">
        <v>0</v>
      </c>
      <c r="D383" s="14"/>
      <c r="E383" s="14">
        <v>1</v>
      </c>
      <c r="F383" s="14">
        <v>1</v>
      </c>
      <c r="G383" s="14"/>
      <c r="H383" s="8" t="str">
        <f ca="1">IF(RAND()&lt;0.25,
    "",
    IF($E383=0,
       CHOOSE(MATCH(RAND(),{0,0.2,0.4,0.6,0.7,0.8,0.85,0.9,0.95,1}),"B-354","B-386","B-4354","B-347","B-357","B-3471","B-34715","B-3571","B-35715"),
       IF($G383=24,
          "B-386",
          IF($G383=12,
             CHOOSE(MATCH(RAND(),{0,0.32,0.49,0.66,0.74,0.82,0.9,1}),"B-386","B-347","B-357","B-3471","B-34715","B-3571","B-35715"),
             "")
)))</f>
        <v/>
      </c>
      <c r="I383" s="8" t="str">
        <f t="shared" ca="1" si="28"/>
        <v/>
      </c>
      <c r="J383">
        <f t="shared" ca="1" si="30"/>
        <v>60</v>
      </c>
      <c r="K383">
        <f t="shared" ca="1" si="31"/>
        <v>19.875</v>
      </c>
      <c r="L383" s="14">
        <f t="shared" ca="1" si="27"/>
        <v>7.6875</v>
      </c>
      <c r="M383" s="14">
        <f t="shared" ca="1" si="29"/>
        <v>1</v>
      </c>
    </row>
    <row r="384" spans="2:13">
      <c r="B384" s="14" t="s">
        <v>157</v>
      </c>
      <c r="C384" s="14">
        <v>1</v>
      </c>
      <c r="D384" s="14">
        <v>0</v>
      </c>
      <c r="E384" s="14">
        <v>0</v>
      </c>
      <c r="F384" s="14"/>
      <c r="G384" s="14"/>
      <c r="H384" s="8" t="str">
        <f ca="1">IF(RAND()&lt;0.25,
    "",
    IF($E384=0,
       CHOOSE(MATCH(RAND(),{0,0.2,0.4,0.6,0.7,0.8,0.85,0.9,0.95,1}),"B-354","B-386","B-4354","B-347","B-357","B-3471","B-34715","B-3571","B-35715"),
       IF($G384=24,
          "B-386",
          IF($G384=12,
             CHOOSE(MATCH(RAND(),{0,0.32,0.49,0.66,0.74,0.82,0.9,1}),"B-386","B-347","B-357","B-3471","B-34715","B-3571","B-35715"),
             "")
)))</f>
        <v>B-4354</v>
      </c>
      <c r="I384" s="8" t="str">
        <f t="shared" ca="1" si="28"/>
        <v>B-386</v>
      </c>
      <c r="J384">
        <f t="shared" ca="1" si="30"/>
        <v>60</v>
      </c>
      <c r="K384">
        <f t="shared" ca="1" si="31"/>
        <v>64.9375</v>
      </c>
      <c r="L384" s="14">
        <f t="shared" ca="1" si="27"/>
        <v>12</v>
      </c>
      <c r="M384" s="14">
        <f t="shared" ca="1" si="29"/>
        <v>1</v>
      </c>
    </row>
    <row r="385" spans="2:13">
      <c r="B385" s="14" t="s">
        <v>157</v>
      </c>
      <c r="C385" s="14">
        <v>1</v>
      </c>
      <c r="D385" s="14">
        <v>0</v>
      </c>
      <c r="E385" s="14">
        <v>1</v>
      </c>
      <c r="F385" s="14">
        <v>0</v>
      </c>
      <c r="G385" s="14">
        <v>12</v>
      </c>
      <c r="H385" s="8" t="str">
        <f ca="1">IF(RAND()&lt;0.25,
    "",
    IF($E385=0,
       CHOOSE(MATCH(RAND(),{0,0.2,0.4,0.6,0.7,0.8,0.85,0.9,0.95,1}),"B-354","B-386","B-4354","B-347","B-357","B-3471","B-34715","B-3571","B-35715"),
       IF($G385=24,
          "B-386",
          IF($G385=12,
             CHOOSE(MATCH(RAND(),{0,0.32,0.49,0.66,0.74,0.82,0.9,1}),"B-386","B-347","B-357","B-3471","B-34715","B-3571","B-35715"),
             "")
)))</f>
        <v>B-35715</v>
      </c>
      <c r="I385" s="8" t="str">
        <f t="shared" ca="1" si="28"/>
        <v/>
      </c>
      <c r="J385">
        <f t="shared" ca="1" si="30"/>
        <v>60</v>
      </c>
      <c r="K385">
        <f t="shared" ca="1" si="31"/>
        <v>68.9375</v>
      </c>
      <c r="L385" s="14">
        <f t="shared" ca="1" si="27"/>
        <v>1</v>
      </c>
      <c r="M385" s="14">
        <f t="shared" ca="1" si="29"/>
        <v>1.375</v>
      </c>
    </row>
    <row r="386" spans="2:13">
      <c r="B386" s="14" t="s">
        <v>157</v>
      </c>
      <c r="C386" s="14">
        <v>1</v>
      </c>
      <c r="D386" s="14">
        <v>0</v>
      </c>
      <c r="E386" s="14">
        <v>1</v>
      </c>
      <c r="F386" s="14">
        <v>0</v>
      </c>
      <c r="G386" s="14">
        <v>24</v>
      </c>
      <c r="H386" s="8" t="str">
        <f ca="1">IF(RAND()&lt;0.25,
    "",
    IF($E386=0,
       CHOOSE(MATCH(RAND(),{0,0.2,0.4,0.6,0.7,0.8,0.85,0.9,0.95,1}),"B-354","B-386","B-4354","B-347","B-357","B-3471","B-34715","B-3571","B-35715"),
       IF($G386=24,
          "B-386",
          IF($G386=12,
             CHOOSE(MATCH(RAND(),{0,0.32,0.49,0.66,0.74,0.82,0.9,1}),"B-386","B-347","B-357","B-3471","B-34715","B-3571","B-35715"),
             "")
)))</f>
        <v>B-386</v>
      </c>
      <c r="I386" s="8" t="str">
        <f t="shared" ca="1" si="28"/>
        <v/>
      </c>
      <c r="J386">
        <f t="shared" ca="1" si="30"/>
        <v>60</v>
      </c>
      <c r="K386">
        <f t="shared" ca="1" si="31"/>
        <v>58.75</v>
      </c>
      <c r="L386" s="14">
        <f t="shared" ca="1" si="27"/>
        <v>1</v>
      </c>
      <c r="M386" s="14" t="str">
        <f t="shared" ca="1" si="29"/>
        <v/>
      </c>
    </row>
    <row r="387" spans="2:13" hidden="1">
      <c r="B387" s="14" t="s">
        <v>157</v>
      </c>
      <c r="C387" s="14">
        <v>1</v>
      </c>
      <c r="D387" s="14">
        <v>0</v>
      </c>
      <c r="E387" s="14">
        <v>1</v>
      </c>
      <c r="F387" s="14">
        <v>0</v>
      </c>
      <c r="G387" s="14"/>
      <c r="H387" s="8" t="str">
        <f ca="1">IF(RAND()&lt;0.25,
    "",
    IF($E387=0,
       CHOOSE(MATCH(RAND(),{0,0.2,0.4,0.6,0.7,0.8,0.85,0.9,0.95,1}),"B-354","B-386","B-4354","B-347","B-357","B-3471","B-34715","B-3571","B-35715"),
       IF($G387=24,
          "B-386",
          IF($G387=12,
             CHOOSE(MATCH(RAND(),{0,0.32,0.49,0.66,0.74,0.82,0.9,1}),"B-386","B-347","B-357","B-3471","B-34715","B-3571","B-35715"),
             "")
)))</f>
        <v/>
      </c>
      <c r="I387" s="8" t="str">
        <f t="shared" ca="1" si="28"/>
        <v/>
      </c>
      <c r="J387">
        <f t="shared" ca="1" si="30"/>
        <v>60</v>
      </c>
      <c r="K387">
        <f t="shared" ca="1" si="31"/>
        <v>26.8125</v>
      </c>
      <c r="L387" s="14">
        <f t="shared" ca="1" si="27"/>
        <v>1</v>
      </c>
      <c r="M387" s="14" t="str">
        <f t="shared" ca="1" si="29"/>
        <v/>
      </c>
    </row>
    <row r="388" spans="2:13" hidden="1">
      <c r="B388" s="14" t="s">
        <v>157</v>
      </c>
      <c r="C388" s="14">
        <v>1</v>
      </c>
      <c r="D388" s="14">
        <v>0</v>
      </c>
      <c r="E388" s="14">
        <v>1</v>
      </c>
      <c r="F388" s="14">
        <v>1</v>
      </c>
      <c r="G388" s="14"/>
      <c r="H388" s="8" t="str">
        <f ca="1">IF(RAND()&lt;0.25,
    "",
    IF($E388=0,
       CHOOSE(MATCH(RAND(),{0,0.2,0.4,0.6,0.7,0.8,0.85,0.9,0.95,1}),"B-354","B-386","B-4354","B-347","B-357","B-3471","B-34715","B-3571","B-35715"),
       IF($G388=24,
          "B-386",
          IF($G388=12,
             CHOOSE(MATCH(RAND(),{0,0.32,0.49,0.66,0.74,0.82,0.9,1}),"B-386","B-347","B-357","B-3471","B-34715","B-3571","B-35715"),
             "")
)))</f>
        <v/>
      </c>
      <c r="I388" s="8" t="str">
        <f t="shared" ca="1" si="28"/>
        <v/>
      </c>
      <c r="J388">
        <f t="shared" ca="1" si="30"/>
        <v>60</v>
      </c>
      <c r="K388">
        <f t="shared" ca="1" si="31"/>
        <v>20.25</v>
      </c>
      <c r="L388" s="14">
        <f t="shared" ref="L388:L451" ca="1" si="32" xml:space="preserve">    _xlfn.LET(
      _xlpm.k, RANDBETWEEN(1,6),
      _xlpm.step, 1/16,
      IF(
        _xlpm.k=1, 1,
        IF(
          _xlpm.k=2, 4.5,
          IF(
            _xlpm.k=3, 9,
            IF(
              _xlpm.k=4, 12,
              IF(
                _xlpm.k=5,
                  1 + _xlpm.step*RANDBETWEEN(1, (4.5-1)/_xlpm.step - 1),
                  4.5 + _xlpm.step*RANDBETWEEN(1, (12-4.5)/_xlpm.step - 1)
              )
            )
          )
        )
      )
    )</f>
        <v>9</v>
      </c>
      <c r="M388" s="14" t="str">
        <f t="shared" ca="1" si="29"/>
        <v/>
      </c>
    </row>
    <row r="389" spans="2:13">
      <c r="B389" s="14" t="s">
        <v>157</v>
      </c>
      <c r="C389" s="14">
        <v>1</v>
      </c>
      <c r="D389" s="14">
        <v>1</v>
      </c>
      <c r="E389" s="14">
        <v>0</v>
      </c>
      <c r="F389" s="14"/>
      <c r="G389" s="14"/>
      <c r="H389" s="8" t="str">
        <f ca="1">IF(RAND()&lt;0.25,
    "",
    IF($E389=0,
       CHOOSE(MATCH(RAND(),{0,0.2,0.4,0.6,0.7,0.8,0.85,0.9,0.95,1}),"B-354","B-386","B-4354","B-347","B-357","B-3471","B-34715","B-3571","B-35715"),
       IF($G389=24,
          "B-386",
          IF($G389=12,
             CHOOSE(MATCH(RAND(),{0,0.32,0.49,0.66,0.74,0.82,0.9,1}),"B-386","B-347","B-357","B-3471","B-34715","B-3571","B-35715"),
             "")
)))</f>
        <v>B-3571</v>
      </c>
      <c r="I389" s="8" t="str">
        <f t="shared" ref="I389:I452" ca="1" si="33">IF($H389="",
    "",
    IF(AND($E389=0,OR($H389="B-354",$H389="B-386",$H389="B-4354")),
       IF(RAND()&lt;0.5,
          "",
          IF($H389="B-354",
             "B-386",
             IF($H389="B-4354",
                "B-386",
                IF($H389="B-386",
                   IF(RAND()&lt;0.5,
                      "B-354",
                      "B-4354"),
                   "")
                 ))),
       ""))</f>
        <v/>
      </c>
      <c r="J389">
        <f t="shared" ca="1" si="30"/>
        <v>60</v>
      </c>
      <c r="K389">
        <f t="shared" ca="1" si="31"/>
        <v>42.4375</v>
      </c>
      <c r="L389" s="14">
        <f t="shared" ca="1" si="32"/>
        <v>3</v>
      </c>
      <c r="M389" s="14">
        <f t="shared" ref="M389:M452" ca="1" si="34">_xlfn.LET(
  _xlpm.r, RAND(),
  IF(
     _xlpm.r &lt; 0.25,
     1,
     IF(
        _xlpm.r &lt; 0.5,
        1 + RANDBETWEEN(0,16*4)/16,
        IF(
            _xlpm.r &lt; 0.75,
            4.5 + RANDBETWEEN(0,16*4)/16,
            ""
           )
        )
     )
)</f>
        <v>1</v>
      </c>
    </row>
    <row r="390" spans="2:13">
      <c r="B390" s="14" t="s">
        <v>157</v>
      </c>
      <c r="C390" s="14">
        <v>1</v>
      </c>
      <c r="D390" s="14">
        <v>1</v>
      </c>
      <c r="E390" s="14">
        <v>1</v>
      </c>
      <c r="F390" s="14">
        <v>0</v>
      </c>
      <c r="G390" s="14">
        <v>12</v>
      </c>
      <c r="H390" s="8" t="str">
        <f ca="1">IF(RAND()&lt;0.25,
    "",
    IF($E390=0,
       CHOOSE(MATCH(RAND(),{0,0.2,0.4,0.6,0.7,0.8,0.85,0.9,0.95,1}),"B-354","B-386","B-4354","B-347","B-357","B-3471","B-34715","B-3571","B-35715"),
       IF($G390=24,
          "B-386",
          IF($G390=12,
             CHOOSE(MATCH(RAND(),{0,0.32,0.49,0.66,0.74,0.82,0.9,1}),"B-386","B-347","B-357","B-3471","B-34715","B-3571","B-35715"),
             "")
)))</f>
        <v>B-386</v>
      </c>
      <c r="I390" s="8" t="str">
        <f t="shared" ca="1" si="33"/>
        <v/>
      </c>
      <c r="J390">
        <f t="shared" ca="1" si="30"/>
        <v>60</v>
      </c>
      <c r="K390">
        <f t="shared" ca="1" si="31"/>
        <v>69.5</v>
      </c>
      <c r="L390" s="14">
        <f t="shared" ca="1" si="32"/>
        <v>12</v>
      </c>
      <c r="M390" s="14">
        <f t="shared" ca="1" si="34"/>
        <v>1</v>
      </c>
    </row>
    <row r="391" spans="2:13" hidden="1">
      <c r="B391" s="14" t="s">
        <v>157</v>
      </c>
      <c r="C391" s="14">
        <v>1</v>
      </c>
      <c r="D391" s="14">
        <v>1</v>
      </c>
      <c r="E391" s="14">
        <v>1</v>
      </c>
      <c r="F391" s="14">
        <v>0</v>
      </c>
      <c r="G391" s="14">
        <v>24</v>
      </c>
      <c r="H391" s="8" t="str">
        <f ca="1">IF(RAND()&lt;0.25,
    "",
    IF($E391=0,
       CHOOSE(MATCH(RAND(),{0,0.2,0.4,0.6,0.7,0.8,0.85,0.9,0.95,1}),"B-354","B-386","B-4354","B-347","B-357","B-3471","B-34715","B-3571","B-35715"),
       IF($G391=24,
          "B-386",
          IF($G391=12,
             CHOOSE(MATCH(RAND(),{0,0.32,0.49,0.66,0.74,0.82,0.9,1}),"B-386","B-347","B-357","B-3471","B-34715","B-3571","B-35715"),
             "")
)))</f>
        <v>B-386</v>
      </c>
      <c r="I391" s="8" t="str">
        <f t="shared" ca="1" si="33"/>
        <v/>
      </c>
      <c r="J391">
        <f t="shared" ca="1" si="30"/>
        <v>60</v>
      </c>
      <c r="K391">
        <f t="shared" ca="1" si="31"/>
        <v>76.1875</v>
      </c>
      <c r="L391" s="14">
        <f t="shared" ca="1" si="32"/>
        <v>3.1875</v>
      </c>
      <c r="M391" s="14" t="str">
        <f t="shared" ca="1" si="34"/>
        <v/>
      </c>
    </row>
    <row r="392" spans="2:13" hidden="1">
      <c r="B392" s="14" t="s">
        <v>157</v>
      </c>
      <c r="C392" s="14">
        <v>1</v>
      </c>
      <c r="D392" s="14">
        <v>1</v>
      </c>
      <c r="E392" s="14">
        <v>1</v>
      </c>
      <c r="F392" s="14">
        <v>0</v>
      </c>
      <c r="G392" s="14"/>
      <c r="H392" s="8" t="str">
        <f ca="1">IF(RAND()&lt;0.25,
    "",
    IF($E392=0,
       CHOOSE(MATCH(RAND(),{0,0.2,0.4,0.6,0.7,0.8,0.85,0.9,0.95,1}),"B-354","B-386","B-4354","B-347","B-357","B-3471","B-34715","B-3571","B-35715"),
       IF($G392=24,
          "B-386",
          IF($G392=12,
             CHOOSE(MATCH(RAND(),{0,0.32,0.49,0.66,0.74,0.82,0.9,1}),"B-386","B-347","B-357","B-3471","B-34715","B-3571","B-35715"),
             "")
)))</f>
        <v/>
      </c>
      <c r="I392" s="8" t="str">
        <f t="shared" ca="1" si="33"/>
        <v/>
      </c>
      <c r="J392">
        <f t="shared" ca="1" si="30"/>
        <v>60</v>
      </c>
      <c r="K392">
        <f t="shared" ca="1" si="31"/>
        <v>50.0625</v>
      </c>
      <c r="L392" s="14">
        <f t="shared" ca="1" si="32"/>
        <v>12</v>
      </c>
      <c r="M392" s="14">
        <f t="shared" ca="1" si="34"/>
        <v>1</v>
      </c>
    </row>
    <row r="393" spans="2:13" hidden="1">
      <c r="B393" s="14" t="s">
        <v>157</v>
      </c>
      <c r="C393" s="14">
        <v>1</v>
      </c>
      <c r="D393" s="14">
        <v>1</v>
      </c>
      <c r="E393" s="14">
        <v>1</v>
      </c>
      <c r="F393" s="14">
        <v>1</v>
      </c>
      <c r="G393" s="14"/>
      <c r="H393" s="8" t="str">
        <f ca="1">IF(RAND()&lt;0.25,
    "",
    IF($E393=0,
       CHOOSE(MATCH(RAND(),{0,0.2,0.4,0.6,0.7,0.8,0.85,0.9,0.95,1}),"B-354","B-386","B-4354","B-347","B-357","B-3471","B-34715","B-3571","B-35715"),
       IF($G393=24,
          "B-386",
          IF($G393=12,
             CHOOSE(MATCH(RAND(),{0,0.32,0.49,0.66,0.74,0.82,0.9,1}),"B-386","B-347","B-357","B-3471","B-34715","B-3571","B-35715"),
             "")
)))</f>
        <v/>
      </c>
      <c r="I393" s="8" t="str">
        <f t="shared" ca="1" si="33"/>
        <v/>
      </c>
      <c r="J393">
        <f t="shared" ca="1" si="30"/>
        <v>60</v>
      </c>
      <c r="K393">
        <f t="shared" ca="1" si="31"/>
        <v>65.25</v>
      </c>
      <c r="L393" s="14">
        <f t="shared" ca="1" si="32"/>
        <v>4.5</v>
      </c>
      <c r="M393" s="14">
        <f t="shared" ca="1" si="34"/>
        <v>1</v>
      </c>
    </row>
    <row r="394" spans="2:13">
      <c r="B394" s="14" t="s">
        <v>21</v>
      </c>
      <c r="C394" s="14">
        <v>0</v>
      </c>
      <c r="D394" s="14"/>
      <c r="E394" s="14">
        <v>0</v>
      </c>
      <c r="F394" s="14"/>
      <c r="G394" s="14"/>
      <c r="H394" s="8" t="str">
        <f ca="1">IF(RAND()&lt;0.25,
    "",
    IF($E394=0,
       CHOOSE(MATCH(RAND(),{0,0.2,0.4,0.6,0.7,0.8,0.85,0.9,0.95,1}),"B-354","B-386","B-4354","B-347","B-357","B-3471","B-34715","B-3571","B-35715"),
       IF($G394=24,
          "B-386",
          IF($G394=12,
             CHOOSE(MATCH(RAND(),{0,0.32,0.49,0.66,0.74,0.82,0.9,1}),"B-386","B-347","B-357","B-3471","B-34715","B-3571","B-35715"),
             "")
)))</f>
        <v>B-354</v>
      </c>
      <c r="I394" s="8" t="str">
        <f t="shared" ca="1" si="33"/>
        <v>B-386</v>
      </c>
      <c r="J394">
        <f t="shared" ca="1" si="30"/>
        <v>96</v>
      </c>
      <c r="K394">
        <f t="shared" ca="1" si="31"/>
        <v>45.5625</v>
      </c>
      <c r="L394" s="14">
        <f t="shared" ca="1" si="32"/>
        <v>12</v>
      </c>
      <c r="M394" s="14">
        <f t="shared" ca="1" si="34"/>
        <v>8.25</v>
      </c>
    </row>
    <row r="395" spans="2:13">
      <c r="B395" s="14" t="s">
        <v>21</v>
      </c>
      <c r="C395" s="14">
        <v>0</v>
      </c>
      <c r="D395" s="14"/>
      <c r="E395" s="14">
        <v>1</v>
      </c>
      <c r="F395" s="14">
        <v>0</v>
      </c>
      <c r="G395" s="14">
        <v>12</v>
      </c>
      <c r="H395" s="8" t="str">
        <f ca="1">IF(RAND()&lt;0.25,
    "",
    IF($E395=0,
       CHOOSE(MATCH(RAND(),{0,0.2,0.4,0.6,0.7,0.8,0.85,0.9,0.95,1}),"B-354","B-386","B-4354","B-347","B-357","B-3471","B-34715","B-3571","B-35715"),
       IF($G395=24,
          "B-386",
          IF($G395=12,
             CHOOSE(MATCH(RAND(),{0,0.32,0.49,0.66,0.74,0.82,0.9,1}),"B-386","B-347","B-357","B-3471","B-34715","B-3571","B-35715"),
             "")
)))</f>
        <v>B-386</v>
      </c>
      <c r="I395" s="8" t="str">
        <f t="shared" ca="1" si="33"/>
        <v/>
      </c>
      <c r="J395">
        <f t="shared" ca="1" si="30"/>
        <v>96</v>
      </c>
      <c r="K395">
        <f t="shared" ca="1" si="31"/>
        <v>49.875</v>
      </c>
      <c r="L395" s="14">
        <f t="shared" ca="1" si="32"/>
        <v>1</v>
      </c>
      <c r="M395" s="14">
        <f t="shared" ca="1" si="34"/>
        <v>1</v>
      </c>
    </row>
    <row r="396" spans="2:13">
      <c r="B396" s="14" t="s">
        <v>21</v>
      </c>
      <c r="C396" s="14">
        <v>0</v>
      </c>
      <c r="D396" s="14"/>
      <c r="E396" s="14">
        <v>1</v>
      </c>
      <c r="F396" s="14">
        <v>0</v>
      </c>
      <c r="G396" s="14">
        <v>24</v>
      </c>
      <c r="H396" s="8" t="str">
        <f ca="1">IF(RAND()&lt;0.25,
    "",
    IF($E396=0,
       CHOOSE(MATCH(RAND(),{0,0.2,0.4,0.6,0.7,0.8,0.85,0.9,0.95,1}),"B-354","B-386","B-4354","B-347","B-357","B-3471","B-34715","B-3571","B-35715"),
       IF($G396=24,
          "B-386",
          IF($G396=12,
             CHOOSE(MATCH(RAND(),{0,0.32,0.49,0.66,0.74,0.82,0.9,1}),"B-386","B-347","B-357","B-3471","B-34715","B-3571","B-35715"),
             "")
)))</f>
        <v/>
      </c>
      <c r="I396" s="8" t="str">
        <f t="shared" ca="1" si="33"/>
        <v/>
      </c>
      <c r="J396">
        <f t="shared" ca="1" si="30"/>
        <v>60.3125</v>
      </c>
      <c r="K396">
        <f t="shared" ca="1" si="31"/>
        <v>22.3125</v>
      </c>
      <c r="L396" s="14">
        <f t="shared" ca="1" si="32"/>
        <v>4.5</v>
      </c>
      <c r="M396" s="14">
        <f t="shared" ca="1" si="34"/>
        <v>3.6875</v>
      </c>
    </row>
    <row r="397" spans="2:13" hidden="1">
      <c r="B397" s="14" t="s">
        <v>21</v>
      </c>
      <c r="C397" s="14">
        <v>0</v>
      </c>
      <c r="D397" s="14"/>
      <c r="E397" s="14">
        <v>1</v>
      </c>
      <c r="F397" s="14">
        <v>0</v>
      </c>
      <c r="G397" s="14"/>
      <c r="H397" s="8" t="str">
        <f ca="1">IF(RAND()&lt;0.25,
    "",
    IF($E397=0,
       CHOOSE(MATCH(RAND(),{0,0.2,0.4,0.6,0.7,0.8,0.85,0.9,0.95,1}),"B-354","B-386","B-4354","B-347","B-357","B-3471","B-34715","B-3571","B-35715"),
       IF($G397=24,
          "B-386",
          IF($G397=12,
             CHOOSE(MATCH(RAND(),{0,0.32,0.49,0.66,0.74,0.82,0.9,1}),"B-386","B-347","B-357","B-3471","B-34715","B-3571","B-35715"),
             "")
)))</f>
        <v/>
      </c>
      <c r="I397" s="8" t="str">
        <f t="shared" ca="1" si="33"/>
        <v/>
      </c>
      <c r="J397">
        <f t="shared" ca="1" si="30"/>
        <v>72.125</v>
      </c>
      <c r="K397">
        <f t="shared" ca="1" si="31"/>
        <v>16.875</v>
      </c>
      <c r="L397" s="14">
        <f t="shared" ca="1" si="32"/>
        <v>9</v>
      </c>
      <c r="M397" s="14">
        <f t="shared" ca="1" si="34"/>
        <v>6.5</v>
      </c>
    </row>
    <row r="398" spans="2:13" hidden="1">
      <c r="B398" s="14" t="s">
        <v>21</v>
      </c>
      <c r="C398" s="14">
        <v>0</v>
      </c>
      <c r="D398" s="14"/>
      <c r="E398" s="14">
        <v>1</v>
      </c>
      <c r="F398" s="14">
        <v>1</v>
      </c>
      <c r="G398" s="14"/>
      <c r="H398" s="8" t="str">
        <f ca="1">IF(RAND()&lt;0.25,
    "",
    IF($E398=0,
       CHOOSE(MATCH(RAND(),{0,0.2,0.4,0.6,0.7,0.8,0.85,0.9,0.95,1}),"B-354","B-386","B-4354","B-347","B-357","B-3471","B-34715","B-3571","B-35715"),
       IF($G398=24,
          "B-386",
          IF($G398=12,
             CHOOSE(MATCH(RAND(),{0,0.32,0.49,0.66,0.74,0.82,0.9,1}),"B-386","B-347","B-357","B-3471","B-34715","B-3571","B-35715"),
             "")
)))</f>
        <v/>
      </c>
      <c r="I398" s="8" t="str">
        <f t="shared" ca="1" si="33"/>
        <v/>
      </c>
      <c r="J398">
        <f t="shared" ca="1" si="30"/>
        <v>75.25</v>
      </c>
      <c r="K398">
        <f t="shared" ca="1" si="31"/>
        <v>10.5625</v>
      </c>
      <c r="L398" s="14">
        <f t="shared" ca="1" si="32"/>
        <v>12</v>
      </c>
      <c r="M398" s="14">
        <f t="shared" ca="1" si="34"/>
        <v>2.0625</v>
      </c>
    </row>
    <row r="399" spans="2:13" hidden="1">
      <c r="B399" s="14" t="s">
        <v>21</v>
      </c>
      <c r="C399" s="14">
        <v>1</v>
      </c>
      <c r="D399" s="14">
        <v>0</v>
      </c>
      <c r="E399" s="14">
        <v>0</v>
      </c>
      <c r="F399" s="14"/>
      <c r="G399" s="14"/>
      <c r="H399" s="8" t="str">
        <f ca="1">IF(RAND()&lt;0.25,
    "",
    IF($E399=0,
       CHOOSE(MATCH(RAND(),{0,0.2,0.4,0.6,0.7,0.8,0.85,0.9,0.95,1}),"B-354","B-386","B-4354","B-347","B-357","B-3471","B-34715","B-3571","B-35715"),
       IF($G399=24,
          "B-386",
          IF($G399=12,
             CHOOSE(MATCH(RAND(),{0,0.32,0.49,0.66,0.74,0.82,0.9,1}),"B-386","B-347","B-357","B-3471","B-34715","B-3571","B-35715"),
             "")
)))</f>
        <v>B-354</v>
      </c>
      <c r="I399" s="8" t="str">
        <f t="shared" ca="1" si="33"/>
        <v/>
      </c>
      <c r="J399">
        <f t="shared" ca="1" si="30"/>
        <v>46.4375</v>
      </c>
      <c r="K399">
        <f t="shared" ca="1" si="31"/>
        <v>40.3125</v>
      </c>
      <c r="L399" s="14">
        <f t="shared" ca="1" si="32"/>
        <v>9.75</v>
      </c>
      <c r="M399" s="14">
        <f t="shared" ca="1" si="34"/>
        <v>1.875</v>
      </c>
    </row>
    <row r="400" spans="2:13" hidden="1">
      <c r="B400" s="14" t="s">
        <v>21</v>
      </c>
      <c r="C400" s="14">
        <v>1</v>
      </c>
      <c r="D400" s="14">
        <v>0</v>
      </c>
      <c r="E400" s="14">
        <v>1</v>
      </c>
      <c r="F400" s="14">
        <v>0</v>
      </c>
      <c r="G400" s="14">
        <v>12</v>
      </c>
      <c r="H400" s="8" t="str">
        <f ca="1">IF(RAND()&lt;0.25,
    "",
    IF($E400=0,
       CHOOSE(MATCH(RAND(),{0,0.2,0.4,0.6,0.7,0.8,0.85,0.9,0.95,1}),"B-354","B-386","B-4354","B-347","B-357","B-3471","B-34715","B-3571","B-35715"),
       IF($G400=24,
          "B-386",
          IF($G400=12,
             CHOOSE(MATCH(RAND(),{0,0.32,0.49,0.66,0.74,0.82,0.9,1}),"B-386","B-347","B-357","B-3471","B-34715","B-3571","B-35715"),
             "")
)))</f>
        <v>B-357</v>
      </c>
      <c r="I400" s="8" t="str">
        <f t="shared" ca="1" si="33"/>
        <v/>
      </c>
      <c r="J400">
        <f t="shared" ca="1" si="30"/>
        <v>99.6875</v>
      </c>
      <c r="K400">
        <f t="shared" ca="1" si="31"/>
        <v>71.0625</v>
      </c>
      <c r="L400" s="14">
        <f t="shared" ca="1" si="32"/>
        <v>12</v>
      </c>
      <c r="M400" s="14">
        <f t="shared" ca="1" si="34"/>
        <v>5.375</v>
      </c>
    </row>
    <row r="401" spans="2:13" hidden="1">
      <c r="B401" s="14" t="s">
        <v>21</v>
      </c>
      <c r="C401" s="14">
        <v>1</v>
      </c>
      <c r="D401" s="14">
        <v>0</v>
      </c>
      <c r="E401" s="14">
        <v>1</v>
      </c>
      <c r="F401" s="14">
        <v>0</v>
      </c>
      <c r="G401" s="14">
        <v>24</v>
      </c>
      <c r="H401" s="8" t="str">
        <f ca="1">IF(RAND()&lt;0.25,
    "",
    IF($E401=0,
       CHOOSE(MATCH(RAND(),{0,0.2,0.4,0.6,0.7,0.8,0.85,0.9,0.95,1}),"B-354","B-386","B-4354","B-347","B-357","B-3471","B-34715","B-3571","B-35715"),
       IF($G401=24,
          "B-386",
          IF($G401=12,
             CHOOSE(MATCH(RAND(),{0,0.32,0.49,0.66,0.74,0.82,0.9,1}),"B-386","B-347","B-357","B-3471","B-34715","B-3571","B-35715"),
             "")
)))</f>
        <v/>
      </c>
      <c r="I401" s="8" t="str">
        <f t="shared" ca="1" si="33"/>
        <v/>
      </c>
      <c r="J401">
        <f t="shared" ca="1" si="30"/>
        <v>85.5625</v>
      </c>
      <c r="K401">
        <f t="shared" ca="1" si="31"/>
        <v>52.75</v>
      </c>
      <c r="L401" s="14">
        <f t="shared" ca="1" si="32"/>
        <v>9</v>
      </c>
      <c r="M401" s="14">
        <f t="shared" ca="1" si="34"/>
        <v>4.625</v>
      </c>
    </row>
    <row r="402" spans="2:13" hidden="1">
      <c r="B402" s="14" t="s">
        <v>21</v>
      </c>
      <c r="C402" s="14">
        <v>1</v>
      </c>
      <c r="D402" s="14">
        <v>0</v>
      </c>
      <c r="E402" s="14">
        <v>1</v>
      </c>
      <c r="F402" s="14">
        <v>0</v>
      </c>
      <c r="G402" s="14"/>
      <c r="H402" s="8" t="str">
        <f ca="1">IF(RAND()&lt;0.25,
    "",
    IF($E402=0,
       CHOOSE(MATCH(RAND(),{0,0.2,0.4,0.6,0.7,0.8,0.85,0.9,0.95,1}),"B-354","B-386","B-4354","B-347","B-357","B-3471","B-34715","B-3571","B-35715"),
       IF($G402=24,
          "B-386",
          IF($G402=12,
             CHOOSE(MATCH(RAND(),{0,0.32,0.49,0.66,0.74,0.82,0.9,1}),"B-386","B-347","B-357","B-3471","B-34715","B-3571","B-35715"),
             "")
)))</f>
        <v/>
      </c>
      <c r="I402" s="8" t="str">
        <f t="shared" ca="1" si="33"/>
        <v/>
      </c>
      <c r="J402">
        <f t="shared" ca="1" si="30"/>
        <v>75.75</v>
      </c>
      <c r="K402">
        <f t="shared" ca="1" si="31"/>
        <v>31.6875</v>
      </c>
      <c r="L402" s="14">
        <f t="shared" ca="1" si="32"/>
        <v>1</v>
      </c>
      <c r="M402" s="14">
        <f t="shared" ca="1" si="34"/>
        <v>8.375</v>
      </c>
    </row>
    <row r="403" spans="2:13" hidden="1">
      <c r="B403" s="14" t="s">
        <v>21</v>
      </c>
      <c r="C403" s="14">
        <v>1</v>
      </c>
      <c r="D403" s="14">
        <v>0</v>
      </c>
      <c r="E403" s="14">
        <v>1</v>
      </c>
      <c r="F403" s="14">
        <v>1</v>
      </c>
      <c r="G403" s="14"/>
      <c r="H403" s="8" t="str">
        <f ca="1">IF(RAND()&lt;0.25,
    "",
    IF($E403=0,
       CHOOSE(MATCH(RAND(),{0,0.2,0.4,0.6,0.7,0.8,0.85,0.9,0.95,1}),"B-354","B-386","B-4354","B-347","B-357","B-3471","B-34715","B-3571","B-35715"),
       IF($G403=24,
          "B-386",
          IF($G403=12,
             CHOOSE(MATCH(RAND(),{0,0.32,0.49,0.66,0.74,0.82,0.9,1}),"B-386","B-347","B-357","B-3471","B-34715","B-3571","B-35715"),
             "")
)))</f>
        <v/>
      </c>
      <c r="I403" s="8" t="str">
        <f t="shared" ca="1" si="33"/>
        <v/>
      </c>
      <c r="J403">
        <f t="shared" ca="1" si="30"/>
        <v>58.9375</v>
      </c>
      <c r="K403">
        <f t="shared" ca="1" si="31"/>
        <v>6.3125</v>
      </c>
      <c r="L403" s="14">
        <f t="shared" ca="1" si="32"/>
        <v>9</v>
      </c>
      <c r="M403" s="14">
        <f t="shared" ca="1" si="34"/>
        <v>1</v>
      </c>
    </row>
    <row r="404" spans="2:13">
      <c r="B404" s="14" t="s">
        <v>21</v>
      </c>
      <c r="C404" s="14">
        <v>1</v>
      </c>
      <c r="D404" s="14">
        <v>1</v>
      </c>
      <c r="E404" s="14">
        <v>0</v>
      </c>
      <c r="F404" s="14"/>
      <c r="G404" s="14"/>
      <c r="H404" s="8" t="str">
        <f ca="1">IF(RAND()&lt;0.25,
    "",
    IF($E404=0,
       CHOOSE(MATCH(RAND(),{0,0.2,0.4,0.6,0.7,0.8,0.85,0.9,0.95,1}),"B-354","B-386","B-4354","B-347","B-357","B-3471","B-34715","B-3571","B-35715"),
       IF($G404=24,
          "B-386",
          IF($G404=12,
             CHOOSE(MATCH(RAND(),{0,0.32,0.49,0.66,0.74,0.82,0.9,1}),"B-386","B-347","B-357","B-3471","B-34715","B-3571","B-35715"),
             "")
)))</f>
        <v>B-386</v>
      </c>
      <c r="I404" s="8" t="str">
        <f t="shared" ca="1" si="33"/>
        <v/>
      </c>
      <c r="J404">
        <f t="shared" ca="1" si="30"/>
        <v>96</v>
      </c>
      <c r="K404">
        <f t="shared" ca="1" si="31"/>
        <v>79.5</v>
      </c>
      <c r="L404" s="14">
        <f t="shared" ca="1" si="32"/>
        <v>9</v>
      </c>
      <c r="M404" s="14">
        <f t="shared" ca="1" si="34"/>
        <v>1</v>
      </c>
    </row>
    <row r="405" spans="2:13">
      <c r="B405" s="14" t="s">
        <v>21</v>
      </c>
      <c r="C405" s="14">
        <v>1</v>
      </c>
      <c r="D405" s="14">
        <v>1</v>
      </c>
      <c r="E405" s="14">
        <v>1</v>
      </c>
      <c r="F405" s="14">
        <v>0</v>
      </c>
      <c r="G405" s="14">
        <v>12</v>
      </c>
      <c r="H405" s="8" t="str">
        <f ca="1">IF(RAND()&lt;0.25,
    "",
    IF($E405=0,
       CHOOSE(MATCH(RAND(),{0,0.2,0.4,0.6,0.7,0.8,0.85,0.9,0.95,1}),"B-354","B-386","B-4354","B-347","B-357","B-3471","B-34715","B-3571","B-35715"),
       IF($G405=24,
          "B-386",
          IF($G405=12,
             CHOOSE(MATCH(RAND(),{0,0.32,0.49,0.66,0.74,0.82,0.9,1}),"B-386","B-347","B-357","B-3471","B-34715","B-3571","B-35715"),
             "")
)))</f>
        <v/>
      </c>
      <c r="I405" s="8" t="str">
        <f t="shared" ca="1" si="33"/>
        <v/>
      </c>
      <c r="J405">
        <f t="shared" ca="1" si="30"/>
        <v>54.4375</v>
      </c>
      <c r="K405">
        <f t="shared" ca="1" si="31"/>
        <v>10</v>
      </c>
      <c r="L405" s="14">
        <f t="shared" ca="1" si="32"/>
        <v>1</v>
      </c>
      <c r="M405" s="14">
        <f t="shared" ca="1" si="34"/>
        <v>6.125</v>
      </c>
    </row>
    <row r="406" spans="2:13">
      <c r="B406" s="14" t="s">
        <v>21</v>
      </c>
      <c r="C406" s="14">
        <v>1</v>
      </c>
      <c r="D406" s="14">
        <v>1</v>
      </c>
      <c r="E406" s="14">
        <v>1</v>
      </c>
      <c r="F406" s="14">
        <v>0</v>
      </c>
      <c r="G406" s="14">
        <v>24</v>
      </c>
      <c r="H406" s="8" t="str">
        <f ca="1">IF(RAND()&lt;0.25,
    "",
    IF($E406=0,
       CHOOSE(MATCH(RAND(),{0,0.2,0.4,0.6,0.7,0.8,0.85,0.9,0.95,1}),"B-354","B-386","B-4354","B-347","B-357","B-3471","B-34715","B-3571","B-35715"),
       IF($G406=24,
          "B-386",
          IF($G406=12,
             CHOOSE(MATCH(RAND(),{0,0.32,0.49,0.66,0.74,0.82,0.9,1}),"B-386","B-347","B-357","B-3471","B-34715","B-3571","B-35715"),
             "")
)))</f>
        <v>B-386</v>
      </c>
      <c r="I406" s="8" t="str">
        <f t="shared" ca="1" si="33"/>
        <v/>
      </c>
      <c r="J406">
        <f t="shared" ca="1" si="30"/>
        <v>43.875</v>
      </c>
      <c r="K406">
        <f t="shared" ca="1" si="31"/>
        <v>42.625</v>
      </c>
      <c r="L406" s="14">
        <f t="shared" ca="1" si="32"/>
        <v>4.5</v>
      </c>
      <c r="M406" s="14">
        <f t="shared" ca="1" si="34"/>
        <v>4.9375</v>
      </c>
    </row>
    <row r="407" spans="2:13" hidden="1">
      <c r="B407" s="14" t="s">
        <v>21</v>
      </c>
      <c r="C407" s="14">
        <v>1</v>
      </c>
      <c r="D407" s="14">
        <v>1</v>
      </c>
      <c r="E407" s="14">
        <v>1</v>
      </c>
      <c r="F407" s="14">
        <v>0</v>
      </c>
      <c r="G407" s="14"/>
      <c r="H407" s="8" t="str">
        <f ca="1">IF(RAND()&lt;0.25,
    "",
    IF($E407=0,
       CHOOSE(MATCH(RAND(),{0,0.2,0.4,0.6,0.7,0.8,0.85,0.9,0.95,1}),"B-354","B-386","B-4354","B-347","B-357","B-3471","B-34715","B-3571","B-35715"),
       IF($G407=24,
          "B-386",
          IF($G407=12,
             CHOOSE(MATCH(RAND(),{0,0.32,0.49,0.66,0.74,0.82,0.9,1}),"B-386","B-347","B-357","B-3471","B-34715","B-3571","B-35715"),
             "")
)))</f>
        <v/>
      </c>
      <c r="I407" s="8" t="str">
        <f t="shared" ca="1" si="33"/>
        <v/>
      </c>
      <c r="J407">
        <f t="shared" ca="1" si="30"/>
        <v>62.875</v>
      </c>
      <c r="K407">
        <f t="shared" ca="1" si="31"/>
        <v>71.1875</v>
      </c>
      <c r="L407" s="14">
        <f t="shared" ca="1" si="32"/>
        <v>7.9375</v>
      </c>
      <c r="M407" s="14">
        <f t="shared" ca="1" si="34"/>
        <v>3.75</v>
      </c>
    </row>
    <row r="408" spans="2:13" ht="15" hidden="1" thickBot="1">
      <c r="B408" s="50" t="s">
        <v>21</v>
      </c>
      <c r="C408" s="50">
        <v>1</v>
      </c>
      <c r="D408" s="50">
        <v>1</v>
      </c>
      <c r="E408" s="50">
        <v>1</v>
      </c>
      <c r="F408" s="50">
        <v>1</v>
      </c>
      <c r="G408" s="50"/>
      <c r="H408" s="51" t="str">
        <f ca="1">IF(RAND()&lt;0.25,
    "",
    IF($E408=0,
       CHOOSE(MATCH(RAND(),{0,0.2,0.4,0.6,0.7,0.8,0.85,0.9,0.95,1}),"B-354","B-386","B-4354","B-347","B-357","B-3471","B-34715","B-3571","B-35715"),
       IF($G408=24,
          "B-386",
          IF($G408=12,
             CHOOSE(MATCH(RAND(),{0,0.32,0.49,0.66,0.74,0.82,0.9,1}),"B-386","B-347","B-357","B-3471","B-34715","B-3571","B-35715"),
             "")
)))</f>
        <v/>
      </c>
      <c r="I408" s="51" t="str">
        <f t="shared" ca="1" si="33"/>
        <v/>
      </c>
      <c r="J408" s="49">
        <f t="shared" ca="1" si="30"/>
        <v>99.6875</v>
      </c>
      <c r="K408" s="49">
        <f t="shared" ca="1" si="31"/>
        <v>32.625</v>
      </c>
      <c r="L408" s="50">
        <f t="shared" ca="1" si="32"/>
        <v>1</v>
      </c>
      <c r="M408" s="14">
        <f t="shared" ca="1" si="34"/>
        <v>1</v>
      </c>
    </row>
    <row r="409" spans="2:13">
      <c r="B409" s="14" t="s">
        <v>156</v>
      </c>
      <c r="C409" s="19">
        <v>0</v>
      </c>
      <c r="D409" s="19"/>
      <c r="E409" s="19">
        <v>0</v>
      </c>
      <c r="F409" s="19"/>
      <c r="G409" s="14"/>
      <c r="H409" s="8" t="str">
        <f ca="1">IF(RAND()&lt;0.25,
    "",
    IF($E409=0,
       CHOOSE(MATCH(RAND(),{0,0.2,0.4,0.6,0.7,0.8,0.85,0.9,0.95,1}),"B-354","B-386","B-4354","B-347","B-357","B-3471","B-34715","B-3571","B-35715"),
       IF($G409=24,
          "B-386",
          IF($G409=12,
             CHOOSE(MATCH(RAND(),{0,0.32,0.49,0.66,0.74,0.82,0.9,1}),"B-386","B-347","B-357","B-3471","B-34715","B-3571","B-35715"),
             "")
)))</f>
        <v/>
      </c>
      <c r="I409" s="8" t="str">
        <f t="shared" ca="1" si="33"/>
        <v/>
      </c>
      <c r="J409">
        <f t="shared" ca="1" si="30"/>
        <v>5.75</v>
      </c>
      <c r="K409">
        <f t="shared" ca="1" si="31"/>
        <v>28.6875</v>
      </c>
      <c r="L409" s="14">
        <f t="shared" ca="1" si="32"/>
        <v>9</v>
      </c>
      <c r="M409" s="14">
        <f t="shared" ca="1" si="34"/>
        <v>5.3125</v>
      </c>
    </row>
    <row r="410" spans="2:13" hidden="1">
      <c r="B410" s="14" t="s">
        <v>156</v>
      </c>
      <c r="C410" s="14">
        <v>0</v>
      </c>
      <c r="D410" s="14"/>
      <c r="E410" s="14">
        <v>1</v>
      </c>
      <c r="F410" s="14">
        <v>0</v>
      </c>
      <c r="G410" s="14">
        <v>12</v>
      </c>
      <c r="H410" s="8" t="str">
        <f ca="1">IF(RAND()&lt;0.25,
    "",
    IF($E410=0,
       CHOOSE(MATCH(RAND(),{0,0.2,0.4,0.6,0.7,0.8,0.85,0.9,0.95,1}),"B-354","B-386","B-4354","B-347","B-357","B-3471","B-34715","B-3571","B-35715"),
       IF($G410=24,
          "B-386",
          IF($G410=12,
             CHOOSE(MATCH(RAND(),{0,0.32,0.49,0.66,0.74,0.82,0.9,1}),"B-386","B-347","B-357","B-3471","B-34715","B-3571","B-35715"),
             "")
)))</f>
        <v>B-386</v>
      </c>
      <c r="I410" s="8" t="str">
        <f t="shared" ca="1" si="33"/>
        <v/>
      </c>
      <c r="J410">
        <f t="shared" ca="1" si="30"/>
        <v>21.1875</v>
      </c>
      <c r="K410">
        <f t="shared" ca="1" si="31"/>
        <v>45.375</v>
      </c>
      <c r="L410" s="14">
        <f t="shared" ca="1" si="32"/>
        <v>2.3125</v>
      </c>
      <c r="M410" s="14" t="str">
        <f t="shared" ca="1" si="34"/>
        <v/>
      </c>
    </row>
    <row r="411" spans="2:13">
      <c r="B411" s="14" t="s">
        <v>156</v>
      </c>
      <c r="C411" s="14">
        <v>0</v>
      </c>
      <c r="D411" s="14"/>
      <c r="E411" s="14">
        <v>1</v>
      </c>
      <c r="F411" s="14">
        <v>0</v>
      </c>
      <c r="G411" s="14">
        <v>24</v>
      </c>
      <c r="H411" s="8" t="str">
        <f ca="1">IF(RAND()&lt;0.25,
    "",
    IF($E411=0,
       CHOOSE(MATCH(RAND(),{0,0.2,0.4,0.6,0.7,0.8,0.85,0.9,0.95,1}),"B-354","B-386","B-4354","B-347","B-357","B-3471","B-34715","B-3571","B-35715"),
       IF($G411=24,
          "B-386",
          IF($G411=12,
             CHOOSE(MATCH(RAND(),{0,0.32,0.49,0.66,0.74,0.82,0.9,1}),"B-386","B-347","B-357","B-3471","B-34715","B-3571","B-35715"),
             "")
)))</f>
        <v>B-386</v>
      </c>
      <c r="I411" s="8" t="str">
        <f t="shared" ca="1" si="33"/>
        <v/>
      </c>
      <c r="J411">
        <f t="shared" ca="1" si="30"/>
        <v>49.3125</v>
      </c>
      <c r="K411">
        <f t="shared" ca="1" si="31"/>
        <v>47.0625</v>
      </c>
      <c r="L411" s="14">
        <f t="shared" ca="1" si="32"/>
        <v>12</v>
      </c>
      <c r="M411" s="14">
        <f t="shared" ca="1" si="34"/>
        <v>2.5625</v>
      </c>
    </row>
    <row r="412" spans="2:13" hidden="1">
      <c r="B412" s="14" t="s">
        <v>156</v>
      </c>
      <c r="C412" s="14">
        <v>0</v>
      </c>
      <c r="D412" s="14"/>
      <c r="E412" s="14">
        <v>1</v>
      </c>
      <c r="F412" s="14">
        <v>0</v>
      </c>
      <c r="G412" s="14"/>
      <c r="H412" s="8" t="str">
        <f ca="1">IF(RAND()&lt;0.25,
    "",
    IF($E412=0,
       CHOOSE(MATCH(RAND(),{0,0.2,0.4,0.6,0.7,0.8,0.85,0.9,0.95,1}),"B-354","B-386","B-4354","B-347","B-357","B-3471","B-34715","B-3571","B-35715"),
       IF($G412=24,
          "B-386",
          IF($G412=12,
             CHOOSE(MATCH(RAND(),{0,0.32,0.49,0.66,0.74,0.82,0.9,1}),"B-386","B-347","B-357","B-3471","B-34715","B-3571","B-35715"),
             "")
)))</f>
        <v/>
      </c>
      <c r="I412" s="8" t="str">
        <f t="shared" ca="1" si="33"/>
        <v/>
      </c>
      <c r="J412">
        <f t="shared" ca="1" si="30"/>
        <v>43</v>
      </c>
      <c r="K412">
        <f t="shared" ca="1" si="31"/>
        <v>76.125</v>
      </c>
      <c r="L412" s="14">
        <f t="shared" ca="1" si="32"/>
        <v>1</v>
      </c>
      <c r="M412" s="14">
        <f t="shared" ca="1" si="34"/>
        <v>4.75</v>
      </c>
    </row>
    <row r="413" spans="2:13" hidden="1">
      <c r="B413" s="14" t="s">
        <v>156</v>
      </c>
      <c r="C413" s="14">
        <v>0</v>
      </c>
      <c r="D413" s="14"/>
      <c r="E413" s="14">
        <v>1</v>
      </c>
      <c r="F413" s="14">
        <v>1</v>
      </c>
      <c r="G413" s="14"/>
      <c r="H413" s="8" t="str">
        <f ca="1">IF(RAND()&lt;0.25,
    "",
    IF($E413=0,
       CHOOSE(MATCH(RAND(),{0,0.2,0.4,0.6,0.7,0.8,0.85,0.9,0.95,1}),"B-354","B-386","B-4354","B-347","B-357","B-3471","B-34715","B-3571","B-35715"),
       IF($G413=24,
          "B-386",
          IF($G413=12,
             CHOOSE(MATCH(RAND(),{0,0.32,0.49,0.66,0.74,0.82,0.9,1}),"B-386","B-347","B-357","B-3471","B-34715","B-3571","B-35715"),
             "")
)))</f>
        <v/>
      </c>
      <c r="I413" s="8" t="str">
        <f t="shared" ca="1" si="33"/>
        <v/>
      </c>
      <c r="J413">
        <f t="shared" ca="1" si="30"/>
        <v>10.4375</v>
      </c>
      <c r="K413">
        <f t="shared" ca="1" si="31"/>
        <v>32.0625</v>
      </c>
      <c r="L413" s="14">
        <f t="shared" ca="1" si="32"/>
        <v>4.5</v>
      </c>
      <c r="M413" s="14">
        <f t="shared" ca="1" si="34"/>
        <v>1</v>
      </c>
    </row>
    <row r="414" spans="2:13" hidden="1">
      <c r="B414" s="14" t="s">
        <v>156</v>
      </c>
      <c r="C414" s="14">
        <v>1</v>
      </c>
      <c r="D414" s="14">
        <v>0</v>
      </c>
      <c r="E414" s="14">
        <v>0</v>
      </c>
      <c r="F414" s="14"/>
      <c r="G414" s="14"/>
      <c r="H414" s="8" t="str">
        <f ca="1">IF(RAND()&lt;0.25,
    "",
    IF($E414=0,
       CHOOSE(MATCH(RAND(),{0,0.2,0.4,0.6,0.7,0.8,0.85,0.9,0.95,1}),"B-354","B-386","B-4354","B-347","B-357","B-3471","B-34715","B-3571","B-35715"),
       IF($G414=24,
          "B-386",
          IF($G414=12,
             CHOOSE(MATCH(RAND(),{0,0.32,0.49,0.66,0.74,0.82,0.9,1}),"B-386","B-347","B-357","B-3471","B-34715","B-3571","B-35715"),
             "")
)))</f>
        <v>B-4354</v>
      </c>
      <c r="I414" s="8" t="str">
        <f t="shared" ca="1" si="33"/>
        <v/>
      </c>
      <c r="J414">
        <f t="shared" ca="1" si="30"/>
        <v>16.5625</v>
      </c>
      <c r="K414">
        <f t="shared" ca="1" si="31"/>
        <v>49.1875</v>
      </c>
      <c r="L414" s="14">
        <f t="shared" ca="1" si="32"/>
        <v>9</v>
      </c>
      <c r="M414" s="14">
        <f t="shared" ca="1" si="34"/>
        <v>1</v>
      </c>
    </row>
    <row r="415" spans="2:13" hidden="1">
      <c r="B415" s="14" t="s">
        <v>156</v>
      </c>
      <c r="C415" s="14">
        <v>1</v>
      </c>
      <c r="D415" s="14">
        <v>0</v>
      </c>
      <c r="E415" s="14">
        <v>1</v>
      </c>
      <c r="F415" s="14">
        <v>0</v>
      </c>
      <c r="G415" s="14">
        <v>12</v>
      </c>
      <c r="H415" s="8" t="str">
        <f ca="1">IF(RAND()&lt;0.25,
    "",
    IF($E415=0,
       CHOOSE(MATCH(RAND(),{0,0.2,0.4,0.6,0.7,0.8,0.85,0.9,0.95,1}),"B-354","B-386","B-4354","B-347","B-357","B-3471","B-34715","B-3571","B-35715"),
       IF($G415=24,
          "B-386",
          IF($G415=12,
             CHOOSE(MATCH(RAND(),{0,0.32,0.49,0.66,0.74,0.82,0.9,1}),"B-386","B-347","B-357","B-3471","B-34715","B-3571","B-35715"),
             "")
)))</f>
        <v>B-386</v>
      </c>
      <c r="I415" s="8" t="str">
        <f t="shared" ca="1" si="33"/>
        <v/>
      </c>
      <c r="J415">
        <f t="shared" ca="1" si="30"/>
        <v>8.625</v>
      </c>
      <c r="K415">
        <f t="shared" ca="1" si="31"/>
        <v>73.1875</v>
      </c>
      <c r="L415" s="14">
        <f t="shared" ca="1" si="32"/>
        <v>1</v>
      </c>
      <c r="M415" s="14" t="str">
        <f t="shared" ca="1" si="34"/>
        <v/>
      </c>
    </row>
    <row r="416" spans="2:13">
      <c r="B416" s="14" t="s">
        <v>156</v>
      </c>
      <c r="C416" s="14">
        <v>1</v>
      </c>
      <c r="D416" s="14">
        <v>0</v>
      </c>
      <c r="E416" s="14">
        <v>1</v>
      </c>
      <c r="F416" s="14">
        <v>0</v>
      </c>
      <c r="G416" s="14">
        <v>24</v>
      </c>
      <c r="H416" s="8" t="str">
        <f ca="1">IF(RAND()&lt;0.25,
    "",
    IF($E416=0,
       CHOOSE(MATCH(RAND(),{0,0.2,0.4,0.6,0.7,0.8,0.85,0.9,0.95,1}),"B-354","B-386","B-4354","B-347","B-357","B-3471","B-34715","B-3571","B-35715"),
       IF($G416=24,
          "B-386",
          IF($G416=12,
             CHOOSE(MATCH(RAND(),{0,0.32,0.49,0.66,0.74,0.82,0.9,1}),"B-386","B-347","B-357","B-3471","B-34715","B-3571","B-35715"),
             "")
)))</f>
        <v>B-386</v>
      </c>
      <c r="I416" s="8" t="str">
        <f t="shared" ca="1" si="33"/>
        <v/>
      </c>
      <c r="J416">
        <f t="shared" ca="1" si="30"/>
        <v>29.1875</v>
      </c>
      <c r="K416">
        <f t="shared" ca="1" si="31"/>
        <v>60.75</v>
      </c>
      <c r="L416" s="14">
        <f t="shared" ca="1" si="32"/>
        <v>1</v>
      </c>
      <c r="M416" s="14">
        <f t="shared" ca="1" si="34"/>
        <v>1</v>
      </c>
    </row>
    <row r="417" spans="2:13" hidden="1">
      <c r="B417" s="14" t="s">
        <v>156</v>
      </c>
      <c r="C417" s="14">
        <v>1</v>
      </c>
      <c r="D417" s="14">
        <v>0</v>
      </c>
      <c r="E417" s="14">
        <v>1</v>
      </c>
      <c r="F417" s="14">
        <v>0</v>
      </c>
      <c r="G417" s="14"/>
      <c r="H417" s="8" t="str">
        <f ca="1">IF(RAND()&lt;0.25,
    "",
    IF($E417=0,
       CHOOSE(MATCH(RAND(),{0,0.2,0.4,0.6,0.7,0.8,0.85,0.9,0.95,1}),"B-354","B-386","B-4354","B-347","B-357","B-3471","B-34715","B-3571","B-35715"),
       IF($G417=24,
          "B-386",
          IF($G417=12,
             CHOOSE(MATCH(RAND(),{0,0.32,0.49,0.66,0.74,0.82,0.9,1}),"B-386","B-347","B-357","B-3471","B-34715","B-3571","B-35715"),
             "")
)))</f>
        <v/>
      </c>
      <c r="I417" s="8" t="str">
        <f t="shared" ca="1" si="33"/>
        <v/>
      </c>
      <c r="J417">
        <f t="shared" ca="1" si="30"/>
        <v>5.5625</v>
      </c>
      <c r="K417">
        <f t="shared" ca="1" si="31"/>
        <v>50.9375</v>
      </c>
      <c r="L417" s="14">
        <f t="shared" ca="1" si="32"/>
        <v>4.25</v>
      </c>
      <c r="M417" s="14">
        <f t="shared" ca="1" si="34"/>
        <v>3.875</v>
      </c>
    </row>
    <row r="418" spans="2:13" hidden="1">
      <c r="B418" s="14" t="s">
        <v>156</v>
      </c>
      <c r="C418" s="14">
        <v>1</v>
      </c>
      <c r="D418" s="14">
        <v>0</v>
      </c>
      <c r="E418" s="14">
        <v>1</v>
      </c>
      <c r="F418" s="14">
        <v>1</v>
      </c>
      <c r="G418" s="14"/>
      <c r="H418" s="8" t="str">
        <f ca="1">IF(RAND()&lt;0.25,
    "",
    IF($E418=0,
       CHOOSE(MATCH(RAND(),{0,0.2,0.4,0.6,0.7,0.8,0.85,0.9,0.95,1}),"B-354","B-386","B-4354","B-347","B-357","B-3471","B-34715","B-3571","B-35715"),
       IF($G418=24,
          "B-386",
          IF($G418=12,
             CHOOSE(MATCH(RAND(),{0,0.32,0.49,0.66,0.74,0.82,0.9,1}),"B-386","B-347","B-357","B-3471","B-34715","B-3571","B-35715"),
             "")
)))</f>
        <v/>
      </c>
      <c r="I418" s="8" t="str">
        <f t="shared" ca="1" si="33"/>
        <v/>
      </c>
      <c r="J418">
        <f t="shared" ca="1" si="30"/>
        <v>26.1875</v>
      </c>
      <c r="K418">
        <f t="shared" ca="1" si="31"/>
        <v>73.75</v>
      </c>
      <c r="L418" s="14">
        <f t="shared" ca="1" si="32"/>
        <v>6.125</v>
      </c>
      <c r="M418" s="14">
        <f t="shared" ca="1" si="34"/>
        <v>1.0625</v>
      </c>
    </row>
    <row r="419" spans="2:13">
      <c r="B419" s="14" t="s">
        <v>156</v>
      </c>
      <c r="C419" s="14">
        <v>1</v>
      </c>
      <c r="D419" s="14">
        <v>1</v>
      </c>
      <c r="E419" s="14">
        <v>0</v>
      </c>
      <c r="F419" s="14"/>
      <c r="G419" s="14"/>
      <c r="H419" s="8" t="str">
        <f ca="1">IF(RAND()&lt;0.25,
    "",
    IF($E419=0,
       CHOOSE(MATCH(RAND(),{0,0.2,0.4,0.6,0.7,0.8,0.85,0.9,0.95,1}),"B-354","B-386","B-4354","B-347","B-357","B-3471","B-34715","B-3571","B-35715"),
       IF($G419=24,
          "B-386",
          IF($G419=12,
             CHOOSE(MATCH(RAND(),{0,0.32,0.49,0.66,0.74,0.82,0.9,1}),"B-386","B-347","B-357","B-3471","B-34715","B-3571","B-35715"),
             "")
)))</f>
        <v>B-347</v>
      </c>
      <c r="I419" s="8" t="str">
        <f t="shared" ca="1" si="33"/>
        <v/>
      </c>
      <c r="J419">
        <f t="shared" ca="1" si="30"/>
        <v>40.6875</v>
      </c>
      <c r="K419">
        <f t="shared" ca="1" si="31"/>
        <v>64.625</v>
      </c>
      <c r="L419" s="14">
        <f t="shared" ca="1" si="32"/>
        <v>9</v>
      </c>
      <c r="M419" s="14">
        <f t="shared" ca="1" si="34"/>
        <v>1.625</v>
      </c>
    </row>
    <row r="420" spans="2:13">
      <c r="B420" s="14" t="s">
        <v>156</v>
      </c>
      <c r="C420" s="14">
        <v>1</v>
      </c>
      <c r="D420" s="14">
        <v>1</v>
      </c>
      <c r="E420" s="14">
        <v>1</v>
      </c>
      <c r="F420" s="14">
        <v>0</v>
      </c>
      <c r="G420" s="14">
        <v>12</v>
      </c>
      <c r="H420" s="8" t="str">
        <f ca="1">IF(RAND()&lt;0.25,
    "",
    IF($E420=0,
       CHOOSE(MATCH(RAND(),{0,0.2,0.4,0.6,0.7,0.8,0.85,0.9,0.95,1}),"B-354","B-386","B-4354","B-347","B-357","B-3471","B-34715","B-3571","B-35715"),
       IF($G420=24,
          "B-386",
          IF($G420=12,
             CHOOSE(MATCH(RAND(),{0,0.32,0.49,0.66,0.74,0.82,0.9,1}),"B-386","B-347","B-357","B-3471","B-34715","B-3571","B-35715"),
             "")
)))</f>
        <v>B-386</v>
      </c>
      <c r="I420" s="8" t="str">
        <f t="shared" ca="1" si="33"/>
        <v/>
      </c>
      <c r="J420">
        <f t="shared" ca="1" si="30"/>
        <v>14.4375</v>
      </c>
      <c r="K420">
        <f t="shared" ca="1" si="31"/>
        <v>49.4375</v>
      </c>
      <c r="L420" s="14">
        <f t="shared" ca="1" si="32"/>
        <v>1.5625</v>
      </c>
      <c r="M420" s="14">
        <f t="shared" ca="1" si="34"/>
        <v>1</v>
      </c>
    </row>
    <row r="421" spans="2:13">
      <c r="B421" s="14" t="s">
        <v>156</v>
      </c>
      <c r="C421" s="14">
        <v>1</v>
      </c>
      <c r="D421" s="14">
        <v>1</v>
      </c>
      <c r="E421" s="14">
        <v>1</v>
      </c>
      <c r="F421" s="14">
        <v>0</v>
      </c>
      <c r="G421" s="14">
        <v>24</v>
      </c>
      <c r="H421" s="8" t="str">
        <f ca="1">IF(RAND()&lt;0.25,
    "",
    IF($E421=0,
       CHOOSE(MATCH(RAND(),{0,0.2,0.4,0.6,0.7,0.8,0.85,0.9,0.95,1}),"B-354","B-386","B-4354","B-347","B-357","B-3471","B-34715","B-3571","B-35715"),
       IF($G421=24,
          "B-386",
          IF($G421=12,
             CHOOSE(MATCH(RAND(),{0,0.32,0.49,0.66,0.74,0.82,0.9,1}),"B-386","B-347","B-357","B-3471","B-34715","B-3571","B-35715"),
             "")
)))</f>
        <v>B-386</v>
      </c>
      <c r="I421" s="8" t="str">
        <f t="shared" ca="1" si="33"/>
        <v/>
      </c>
      <c r="J421">
        <f t="shared" ca="1" si="30"/>
        <v>7.75</v>
      </c>
      <c r="K421">
        <f t="shared" ca="1" si="31"/>
        <v>55.625</v>
      </c>
      <c r="L421" s="14">
        <f t="shared" ca="1" si="32"/>
        <v>12</v>
      </c>
      <c r="M421" s="14">
        <f t="shared" ca="1" si="34"/>
        <v>4.3125</v>
      </c>
    </row>
    <row r="422" spans="2:13" hidden="1">
      <c r="B422" s="14" t="s">
        <v>156</v>
      </c>
      <c r="C422" s="14">
        <v>1</v>
      </c>
      <c r="D422" s="14">
        <v>1</v>
      </c>
      <c r="E422" s="14">
        <v>1</v>
      </c>
      <c r="F422" s="14">
        <v>0</v>
      </c>
      <c r="G422" s="14"/>
      <c r="H422" s="8" t="str">
        <f ca="1">IF(RAND()&lt;0.25,
    "",
    IF($E422=0,
       CHOOSE(MATCH(RAND(),{0,0.2,0.4,0.6,0.7,0.8,0.85,0.9,0.95,1}),"B-354","B-386","B-4354","B-347","B-357","B-3471","B-34715","B-3571","B-35715"),
       IF($G422=24,
          "B-386",
          IF($G422=12,
             CHOOSE(MATCH(RAND(),{0,0.32,0.49,0.66,0.74,0.82,0.9,1}),"B-386","B-347","B-357","B-3471","B-34715","B-3571","B-35715"),
             "")
)))</f>
        <v/>
      </c>
      <c r="I422" s="8" t="str">
        <f t="shared" ca="1" si="33"/>
        <v/>
      </c>
      <c r="J422">
        <f t="shared" ca="1" si="30"/>
        <v>27.5625</v>
      </c>
      <c r="K422">
        <f t="shared" ca="1" si="31"/>
        <v>18.0625</v>
      </c>
      <c r="L422" s="14">
        <f t="shared" ca="1" si="32"/>
        <v>1</v>
      </c>
      <c r="M422" s="14">
        <f t="shared" ca="1" si="34"/>
        <v>5.8125</v>
      </c>
    </row>
    <row r="423" spans="2:13" hidden="1">
      <c r="B423" s="14" t="s">
        <v>156</v>
      </c>
      <c r="C423" s="14">
        <v>1</v>
      </c>
      <c r="D423" s="14">
        <v>1</v>
      </c>
      <c r="E423" s="14">
        <v>1</v>
      </c>
      <c r="F423" s="14">
        <v>1</v>
      </c>
      <c r="G423" s="14"/>
      <c r="H423" s="8" t="str">
        <f ca="1">IF(RAND()&lt;0.25,
    "",
    IF($E423=0,
       CHOOSE(MATCH(RAND(),{0,0.2,0.4,0.6,0.7,0.8,0.85,0.9,0.95,1}),"B-354","B-386","B-4354","B-347","B-357","B-3471","B-34715","B-3571","B-35715"),
       IF($G423=24,
          "B-386",
          IF($G423=12,
             CHOOSE(MATCH(RAND(),{0,0.32,0.49,0.66,0.74,0.82,0.9,1}),"B-386","B-347","B-357","B-3471","B-34715","B-3571","B-35715"),
             "")
)))</f>
        <v/>
      </c>
      <c r="I423" s="8" t="str">
        <f t="shared" ca="1" si="33"/>
        <v/>
      </c>
      <c r="J423">
        <f t="shared" ca="1" si="30"/>
        <v>28.5625</v>
      </c>
      <c r="K423">
        <f t="shared" ca="1" si="31"/>
        <v>29.6875</v>
      </c>
      <c r="L423" s="14">
        <f t="shared" ca="1" si="32"/>
        <v>6.125</v>
      </c>
      <c r="M423" s="14">
        <f t="shared" ca="1" si="34"/>
        <v>2.8125</v>
      </c>
    </row>
    <row r="424" spans="2:13">
      <c r="B424" s="14" t="s">
        <v>157</v>
      </c>
      <c r="C424" s="14">
        <v>0</v>
      </c>
      <c r="D424" s="14"/>
      <c r="E424" s="14">
        <v>0</v>
      </c>
      <c r="F424" s="14"/>
      <c r="G424" s="14"/>
      <c r="H424" s="8" t="str">
        <f ca="1">IF(RAND()&lt;0.25,
    "",
    IF($E424=0,
       CHOOSE(MATCH(RAND(),{0,0.2,0.4,0.6,0.7,0.8,0.85,0.9,0.95,1}),"B-354","B-386","B-4354","B-347","B-357","B-3471","B-34715","B-3571","B-35715"),
       IF($G424=24,
          "B-386",
          IF($G424=12,
             CHOOSE(MATCH(RAND(),{0,0.32,0.49,0.66,0.74,0.82,0.9,1}),"B-386","B-347","B-357","B-3471","B-34715","B-3571","B-35715"),
             "")
)))</f>
        <v>B-354</v>
      </c>
      <c r="I424" s="8" t="str">
        <f t="shared" ca="1" si="33"/>
        <v>B-386</v>
      </c>
      <c r="J424">
        <f t="shared" ca="1" si="30"/>
        <v>60</v>
      </c>
      <c r="K424">
        <f t="shared" ca="1" si="31"/>
        <v>59.5</v>
      </c>
      <c r="L424" s="14">
        <f t="shared" ca="1" si="32"/>
        <v>6.5625</v>
      </c>
      <c r="M424" s="14">
        <f t="shared" ca="1" si="34"/>
        <v>1</v>
      </c>
    </row>
    <row r="425" spans="2:13">
      <c r="B425" s="14" t="s">
        <v>157</v>
      </c>
      <c r="C425" s="14">
        <v>0</v>
      </c>
      <c r="D425" s="14"/>
      <c r="E425" s="14">
        <v>1</v>
      </c>
      <c r="F425" s="14">
        <v>0</v>
      </c>
      <c r="G425" s="14">
        <v>12</v>
      </c>
      <c r="H425" s="8" t="str">
        <f ca="1">IF(RAND()&lt;0.25,
    "",
    IF($E425=0,
       CHOOSE(MATCH(RAND(),{0,0.2,0.4,0.6,0.7,0.8,0.85,0.9,0.95,1}),"B-354","B-386","B-4354","B-347","B-357","B-3471","B-34715","B-3571","B-35715"),
       IF($G425=24,
          "B-386",
          IF($G425=12,
             CHOOSE(MATCH(RAND(),{0,0.32,0.49,0.66,0.74,0.82,0.9,1}),"B-386","B-347","B-357","B-3471","B-34715","B-3571","B-35715"),
             "")
)))</f>
        <v>B-386</v>
      </c>
      <c r="I425" s="8" t="str">
        <f t="shared" ca="1" si="33"/>
        <v/>
      </c>
      <c r="J425">
        <f t="shared" ca="1" si="30"/>
        <v>60</v>
      </c>
      <c r="K425">
        <f t="shared" ca="1" si="31"/>
        <v>79.125</v>
      </c>
      <c r="L425" s="14">
        <f t="shared" ca="1" si="32"/>
        <v>1</v>
      </c>
      <c r="M425" s="14">
        <f t="shared" ca="1" si="34"/>
        <v>5.75</v>
      </c>
    </row>
    <row r="426" spans="2:13" hidden="1">
      <c r="B426" s="14" t="s">
        <v>157</v>
      </c>
      <c r="C426" s="14">
        <v>0</v>
      </c>
      <c r="D426" s="14"/>
      <c r="E426" s="14">
        <v>1</v>
      </c>
      <c r="F426" s="14">
        <v>0</v>
      </c>
      <c r="G426" s="14">
        <v>24</v>
      </c>
      <c r="H426" s="8" t="str">
        <f ca="1">IF(RAND()&lt;0.25,
    "",
    IF($E426=0,
       CHOOSE(MATCH(RAND(),{0,0.2,0.4,0.6,0.7,0.8,0.85,0.9,0.95,1}),"B-354","B-386","B-4354","B-347","B-357","B-3471","B-34715","B-3571","B-35715"),
       IF($G426=24,
          "B-386",
          IF($G426=12,
             CHOOSE(MATCH(RAND(),{0,0.32,0.49,0.66,0.74,0.82,0.9,1}),"B-386","B-347","B-357","B-3471","B-34715","B-3571","B-35715"),
             "")
)))</f>
        <v/>
      </c>
      <c r="I426" s="8" t="str">
        <f t="shared" ca="1" si="33"/>
        <v/>
      </c>
      <c r="J426">
        <f t="shared" ca="1" si="30"/>
        <v>60</v>
      </c>
      <c r="K426">
        <f t="shared" ca="1" si="31"/>
        <v>35.4375</v>
      </c>
      <c r="L426" s="14">
        <f t="shared" ca="1" si="32"/>
        <v>12</v>
      </c>
      <c r="M426" s="14">
        <f t="shared" ca="1" si="34"/>
        <v>1</v>
      </c>
    </row>
    <row r="427" spans="2:13" hidden="1">
      <c r="B427" s="14" t="s">
        <v>157</v>
      </c>
      <c r="C427" s="14">
        <v>0</v>
      </c>
      <c r="D427" s="14"/>
      <c r="E427" s="14">
        <v>1</v>
      </c>
      <c r="F427" s="14">
        <v>0</v>
      </c>
      <c r="G427" s="14"/>
      <c r="H427" s="8" t="str">
        <f ca="1">IF(RAND()&lt;0.25,
    "",
    IF($E427=0,
       CHOOSE(MATCH(RAND(),{0,0.2,0.4,0.6,0.7,0.8,0.85,0.9,0.95,1}),"B-354","B-386","B-4354","B-347","B-357","B-3471","B-34715","B-3571","B-35715"),
       IF($G427=24,
          "B-386",
          IF($G427=12,
             CHOOSE(MATCH(RAND(),{0,0.32,0.49,0.66,0.74,0.82,0.9,1}),"B-386","B-347","B-357","B-3471","B-34715","B-3571","B-35715"),
             "")
)))</f>
        <v/>
      </c>
      <c r="I427" s="8" t="str">
        <f t="shared" ca="1" si="33"/>
        <v/>
      </c>
      <c r="J427">
        <f t="shared" ca="1" si="30"/>
        <v>60</v>
      </c>
      <c r="K427">
        <f t="shared" ca="1" si="31"/>
        <v>63.125</v>
      </c>
      <c r="L427" s="14">
        <f t="shared" ca="1" si="32"/>
        <v>2.3125</v>
      </c>
      <c r="M427" s="14">
        <f t="shared" ca="1" si="34"/>
        <v>1</v>
      </c>
    </row>
    <row r="428" spans="2:13" hidden="1">
      <c r="B428" s="14" t="s">
        <v>157</v>
      </c>
      <c r="C428" s="14">
        <v>0</v>
      </c>
      <c r="D428" s="14"/>
      <c r="E428" s="14">
        <v>1</v>
      </c>
      <c r="F428" s="14">
        <v>1</v>
      </c>
      <c r="G428" s="14"/>
      <c r="H428" s="8" t="str">
        <f ca="1">IF(RAND()&lt;0.25,
    "",
    IF($E428=0,
       CHOOSE(MATCH(RAND(),{0,0.2,0.4,0.6,0.7,0.8,0.85,0.9,0.95,1}),"B-354","B-386","B-4354","B-347","B-357","B-3471","B-34715","B-3571","B-35715"),
       IF($G428=24,
          "B-386",
          IF($G428=12,
             CHOOSE(MATCH(RAND(),{0,0.32,0.49,0.66,0.74,0.82,0.9,1}),"B-386","B-347","B-357","B-3471","B-34715","B-3571","B-35715"),
             "")
)))</f>
        <v/>
      </c>
      <c r="I428" s="8" t="str">
        <f t="shared" ca="1" si="33"/>
        <v/>
      </c>
      <c r="J428">
        <f t="shared" ca="1" si="30"/>
        <v>60</v>
      </c>
      <c r="K428">
        <f t="shared" ca="1" si="31"/>
        <v>62.9375</v>
      </c>
      <c r="L428" s="14">
        <f t="shared" ca="1" si="32"/>
        <v>1.25</v>
      </c>
      <c r="M428" s="14">
        <f t="shared" ca="1" si="34"/>
        <v>1.625</v>
      </c>
    </row>
    <row r="429" spans="2:13">
      <c r="B429" s="14" t="s">
        <v>157</v>
      </c>
      <c r="C429" s="14">
        <v>1</v>
      </c>
      <c r="D429" s="14">
        <v>0</v>
      </c>
      <c r="E429" s="14">
        <v>0</v>
      </c>
      <c r="F429" s="14"/>
      <c r="G429" s="14"/>
      <c r="H429" s="8" t="str">
        <f ca="1">IF(RAND()&lt;0.25,
    "",
    IF($E429=0,
       CHOOSE(MATCH(RAND(),{0,0.2,0.4,0.6,0.7,0.8,0.85,0.9,0.95,1}),"B-354","B-386","B-4354","B-347","B-357","B-3471","B-34715","B-3571","B-35715"),
       IF($G429=24,
          "B-386",
          IF($G429=12,
             CHOOSE(MATCH(RAND(),{0,0.32,0.49,0.66,0.74,0.82,0.9,1}),"B-386","B-347","B-357","B-3471","B-34715","B-3571","B-35715"),
             "")
)))</f>
        <v/>
      </c>
      <c r="I429" s="8" t="str">
        <f t="shared" ca="1" si="33"/>
        <v/>
      </c>
      <c r="J429">
        <f t="shared" ca="1" si="30"/>
        <v>60</v>
      </c>
      <c r="K429">
        <f t="shared" ca="1" si="31"/>
        <v>59.625</v>
      </c>
      <c r="L429" s="14">
        <f t="shared" ca="1" si="32"/>
        <v>12</v>
      </c>
      <c r="M429" s="14">
        <f t="shared" ca="1" si="34"/>
        <v>1</v>
      </c>
    </row>
    <row r="430" spans="2:13">
      <c r="B430" s="14" t="s">
        <v>157</v>
      </c>
      <c r="C430" s="14">
        <v>1</v>
      </c>
      <c r="D430" s="14">
        <v>0</v>
      </c>
      <c r="E430" s="14">
        <v>1</v>
      </c>
      <c r="F430" s="14">
        <v>0</v>
      </c>
      <c r="G430" s="14">
        <v>12</v>
      </c>
      <c r="H430" s="8" t="str">
        <f ca="1">IF(RAND()&lt;0.25,
    "",
    IF($E430=0,
       CHOOSE(MATCH(RAND(),{0,0.2,0.4,0.6,0.7,0.8,0.85,0.9,0.95,1}),"B-354","B-386","B-4354","B-347","B-357","B-3471","B-34715","B-3571","B-35715"),
       IF($G430=24,
          "B-386",
          IF($G430=12,
             CHOOSE(MATCH(RAND(),{0,0.32,0.49,0.66,0.74,0.82,0.9,1}),"B-386","B-347","B-357","B-3471","B-34715","B-3571","B-35715"),
             "")
)))</f>
        <v>B-3471</v>
      </c>
      <c r="I430" s="8" t="str">
        <f t="shared" ca="1" si="33"/>
        <v/>
      </c>
      <c r="J430">
        <f t="shared" ca="1" si="30"/>
        <v>60</v>
      </c>
      <c r="K430">
        <f t="shared" ca="1" si="31"/>
        <v>68.9375</v>
      </c>
      <c r="L430" s="14">
        <f t="shared" ca="1" si="32"/>
        <v>9</v>
      </c>
      <c r="M430" s="14">
        <f t="shared" ca="1" si="34"/>
        <v>3.625</v>
      </c>
    </row>
    <row r="431" spans="2:13">
      <c r="B431" s="14" t="s">
        <v>157</v>
      </c>
      <c r="C431" s="14">
        <v>1</v>
      </c>
      <c r="D431" s="14">
        <v>0</v>
      </c>
      <c r="E431" s="14">
        <v>1</v>
      </c>
      <c r="F431" s="14">
        <v>0</v>
      </c>
      <c r="G431" s="14">
        <v>24</v>
      </c>
      <c r="H431" s="8" t="str">
        <f ca="1">IF(RAND()&lt;0.25,
    "",
    IF($E431=0,
       CHOOSE(MATCH(RAND(),{0,0.2,0.4,0.6,0.7,0.8,0.85,0.9,0.95,1}),"B-354","B-386","B-4354","B-347","B-357","B-3471","B-34715","B-3571","B-35715"),
       IF($G431=24,
          "B-386",
          IF($G431=12,
             CHOOSE(MATCH(RAND(),{0,0.32,0.49,0.66,0.74,0.82,0.9,1}),"B-386","B-347","B-357","B-3471","B-34715","B-3571","B-35715"),
             "")
)))</f>
        <v>B-386</v>
      </c>
      <c r="I431" s="8" t="str">
        <f t="shared" ca="1" si="33"/>
        <v/>
      </c>
      <c r="J431">
        <f t="shared" ca="1" si="30"/>
        <v>60</v>
      </c>
      <c r="K431">
        <f t="shared" ca="1" si="31"/>
        <v>46.5625</v>
      </c>
      <c r="L431" s="14">
        <f t="shared" ca="1" si="32"/>
        <v>3.125</v>
      </c>
      <c r="M431" s="14">
        <f t="shared" ca="1" si="34"/>
        <v>1</v>
      </c>
    </row>
    <row r="432" spans="2:13" hidden="1">
      <c r="B432" s="14" t="s">
        <v>157</v>
      </c>
      <c r="C432" s="14">
        <v>1</v>
      </c>
      <c r="D432" s="14">
        <v>0</v>
      </c>
      <c r="E432" s="14">
        <v>1</v>
      </c>
      <c r="F432" s="14">
        <v>0</v>
      </c>
      <c r="G432" s="14"/>
      <c r="H432" s="8" t="str">
        <f ca="1">IF(RAND()&lt;0.25,
    "",
    IF($E432=0,
       CHOOSE(MATCH(RAND(),{0,0.2,0.4,0.6,0.7,0.8,0.85,0.9,0.95,1}),"B-354","B-386","B-4354","B-347","B-357","B-3471","B-34715","B-3571","B-35715"),
       IF($G432=24,
          "B-386",
          IF($G432=12,
             CHOOSE(MATCH(RAND(),{0,0.32,0.49,0.66,0.74,0.82,0.9,1}),"B-386","B-347","B-357","B-3471","B-34715","B-3571","B-35715"),
             "")
)))</f>
        <v/>
      </c>
      <c r="I432" s="8" t="str">
        <f t="shared" ca="1" si="33"/>
        <v/>
      </c>
      <c r="J432">
        <f t="shared" ca="1" si="30"/>
        <v>60</v>
      </c>
      <c r="K432">
        <f t="shared" ca="1" si="31"/>
        <v>49.4375</v>
      </c>
      <c r="L432" s="14">
        <f t="shared" ca="1" si="32"/>
        <v>1</v>
      </c>
      <c r="M432" s="14" t="str">
        <f t="shared" ca="1" si="34"/>
        <v/>
      </c>
    </row>
    <row r="433" spans="2:13" hidden="1">
      <c r="B433" s="14" t="s">
        <v>157</v>
      </c>
      <c r="C433" s="14">
        <v>1</v>
      </c>
      <c r="D433" s="14">
        <v>0</v>
      </c>
      <c r="E433" s="14">
        <v>1</v>
      </c>
      <c r="F433" s="14">
        <v>1</v>
      </c>
      <c r="G433" s="14"/>
      <c r="H433" s="8" t="str">
        <f ca="1">IF(RAND()&lt;0.25,
    "",
    IF($E433=0,
       CHOOSE(MATCH(RAND(),{0,0.2,0.4,0.6,0.7,0.8,0.85,0.9,0.95,1}),"B-354","B-386","B-4354","B-347","B-357","B-3471","B-34715","B-3571","B-35715"),
       IF($G433=24,
          "B-386",
          IF($G433=12,
             CHOOSE(MATCH(RAND(),{0,0.32,0.49,0.66,0.74,0.82,0.9,1}),"B-386","B-347","B-357","B-3471","B-34715","B-3571","B-35715"),
             "")
)))</f>
        <v/>
      </c>
      <c r="I433" s="8" t="str">
        <f t="shared" ca="1" si="33"/>
        <v/>
      </c>
      <c r="J433">
        <f t="shared" ref="J433:J496" ca="1" si="35">IF(B433="BOTTOM",
   60,
   IF(B433="TOP",
      RANDBETWEEN(3*16,50*16)/16,
      IF(B433="WHOLE",
         IF(RAND()&lt;0.75,
            RANDBETWEEN(36*16,110*16)/16,
            96
         ),
         ""
      )
   )
)</f>
        <v>60</v>
      </c>
      <c r="K433">
        <f t="shared" ref="K433:K496" ca="1" si="36">_xlfn.LET(
_xlpm.minVal, IF($H433&lt;&gt;"",40,5),
RANDBETWEEN(_xlpm.minVal*16,80*16)/16
)</f>
        <v>61.5625</v>
      </c>
      <c r="L433" s="14">
        <f t="shared" ca="1" si="32"/>
        <v>4.5</v>
      </c>
      <c r="M433" s="14">
        <f t="shared" ca="1" si="34"/>
        <v>6.75</v>
      </c>
    </row>
    <row r="434" spans="2:13">
      <c r="B434" s="14" t="s">
        <v>157</v>
      </c>
      <c r="C434" s="14">
        <v>1</v>
      </c>
      <c r="D434" s="14">
        <v>1</v>
      </c>
      <c r="E434" s="14">
        <v>0</v>
      </c>
      <c r="F434" s="14"/>
      <c r="G434" s="14"/>
      <c r="H434" s="8" t="str">
        <f ca="1">IF(RAND()&lt;0.25,
    "",
    IF($E434=0,
       CHOOSE(MATCH(RAND(),{0,0.2,0.4,0.6,0.7,0.8,0.85,0.9,0.95,1}),"B-354","B-386","B-4354","B-347","B-357","B-3471","B-34715","B-3571","B-35715"),
       IF($G434=24,
          "B-386",
          IF($G434=12,
             CHOOSE(MATCH(RAND(),{0,0.32,0.49,0.66,0.74,0.82,0.9,1}),"B-386","B-347","B-357","B-3471","B-34715","B-3571","B-35715"),
             "")
)))</f>
        <v>B-354</v>
      </c>
      <c r="I434" s="8" t="str">
        <f t="shared" ca="1" si="33"/>
        <v/>
      </c>
      <c r="J434">
        <f t="shared" ca="1" si="35"/>
        <v>60</v>
      </c>
      <c r="K434">
        <f t="shared" ca="1" si="36"/>
        <v>67.875</v>
      </c>
      <c r="L434" s="14">
        <f t="shared" ca="1" si="32"/>
        <v>1</v>
      </c>
      <c r="M434" s="14">
        <f t="shared" ca="1" si="34"/>
        <v>1</v>
      </c>
    </row>
    <row r="435" spans="2:13" hidden="1">
      <c r="B435" s="14" t="s">
        <v>157</v>
      </c>
      <c r="C435" s="14">
        <v>1</v>
      </c>
      <c r="D435" s="14">
        <v>1</v>
      </c>
      <c r="E435" s="14">
        <v>1</v>
      </c>
      <c r="F435" s="14">
        <v>0</v>
      </c>
      <c r="G435" s="14">
        <v>12</v>
      </c>
      <c r="H435" s="8" t="str">
        <f ca="1">IF(RAND()&lt;0.25,
    "",
    IF($E435=0,
       CHOOSE(MATCH(RAND(),{0,0.2,0.4,0.6,0.7,0.8,0.85,0.9,0.95,1}),"B-354","B-386","B-4354","B-347","B-357","B-3471","B-34715","B-3571","B-35715"),
       IF($G435=24,
          "B-386",
          IF($G435=12,
             CHOOSE(MATCH(RAND(),{0,0.32,0.49,0.66,0.74,0.82,0.9,1}),"B-386","B-347","B-357","B-3471","B-34715","B-3571","B-35715"),
             "")
)))</f>
        <v/>
      </c>
      <c r="I435" s="8" t="str">
        <f t="shared" ca="1" si="33"/>
        <v/>
      </c>
      <c r="J435">
        <f t="shared" ca="1" si="35"/>
        <v>60</v>
      </c>
      <c r="K435">
        <f t="shared" ca="1" si="36"/>
        <v>21.0625</v>
      </c>
      <c r="L435" s="14">
        <f t="shared" ca="1" si="32"/>
        <v>2.125</v>
      </c>
      <c r="M435" s="14">
        <f t="shared" ca="1" si="34"/>
        <v>1.6875</v>
      </c>
    </row>
    <row r="436" spans="2:13" hidden="1">
      <c r="B436" s="14" t="s">
        <v>157</v>
      </c>
      <c r="C436" s="14">
        <v>1</v>
      </c>
      <c r="D436" s="14">
        <v>1</v>
      </c>
      <c r="E436" s="14">
        <v>1</v>
      </c>
      <c r="F436" s="14">
        <v>0</v>
      </c>
      <c r="G436" s="14">
        <v>24</v>
      </c>
      <c r="H436" s="8" t="str">
        <f ca="1">IF(RAND()&lt;0.25,
    "",
    IF($E436=0,
       CHOOSE(MATCH(RAND(),{0,0.2,0.4,0.6,0.7,0.8,0.85,0.9,0.95,1}),"B-354","B-386","B-4354","B-347","B-357","B-3471","B-34715","B-3571","B-35715"),
       IF($G436=24,
          "B-386",
          IF($G436=12,
             CHOOSE(MATCH(RAND(),{0,0.32,0.49,0.66,0.74,0.82,0.9,1}),"B-386","B-347","B-357","B-3471","B-34715","B-3571","B-35715"),
             "")
)))</f>
        <v/>
      </c>
      <c r="I436" s="8" t="str">
        <f t="shared" ca="1" si="33"/>
        <v/>
      </c>
      <c r="J436">
        <f t="shared" ca="1" si="35"/>
        <v>60</v>
      </c>
      <c r="K436">
        <f t="shared" ca="1" si="36"/>
        <v>20.5</v>
      </c>
      <c r="L436" s="14">
        <f t="shared" ca="1" si="32"/>
        <v>4.9375</v>
      </c>
      <c r="M436" s="14">
        <f t="shared" ca="1" si="34"/>
        <v>1.875</v>
      </c>
    </row>
    <row r="437" spans="2:13" hidden="1">
      <c r="B437" s="14" t="s">
        <v>157</v>
      </c>
      <c r="C437" s="14">
        <v>1</v>
      </c>
      <c r="D437" s="14">
        <v>1</v>
      </c>
      <c r="E437" s="14">
        <v>1</v>
      </c>
      <c r="F437" s="14">
        <v>0</v>
      </c>
      <c r="G437" s="14"/>
      <c r="H437" s="8" t="str">
        <f ca="1">IF(RAND()&lt;0.25,
    "",
    IF($E437=0,
       CHOOSE(MATCH(RAND(),{0,0.2,0.4,0.6,0.7,0.8,0.85,0.9,0.95,1}),"B-354","B-386","B-4354","B-347","B-357","B-3471","B-34715","B-3571","B-35715"),
       IF($G437=24,
          "B-386",
          IF($G437=12,
             CHOOSE(MATCH(RAND(),{0,0.32,0.49,0.66,0.74,0.82,0.9,1}),"B-386","B-347","B-357","B-3471","B-34715","B-3571","B-35715"),
             "")
)))</f>
        <v/>
      </c>
      <c r="I437" s="8" t="str">
        <f t="shared" ca="1" si="33"/>
        <v/>
      </c>
      <c r="J437">
        <f t="shared" ca="1" si="35"/>
        <v>60</v>
      </c>
      <c r="K437">
        <f t="shared" ca="1" si="36"/>
        <v>58.375</v>
      </c>
      <c r="L437" s="14">
        <f t="shared" ca="1" si="32"/>
        <v>4.3125</v>
      </c>
      <c r="M437" s="14" t="str">
        <f t="shared" ca="1" si="34"/>
        <v/>
      </c>
    </row>
    <row r="438" spans="2:13" hidden="1">
      <c r="B438" s="14" t="s">
        <v>157</v>
      </c>
      <c r="C438" s="14">
        <v>1</v>
      </c>
      <c r="D438" s="14">
        <v>1</v>
      </c>
      <c r="E438" s="14">
        <v>1</v>
      </c>
      <c r="F438" s="14">
        <v>1</v>
      </c>
      <c r="G438" s="14"/>
      <c r="H438" s="8" t="str">
        <f ca="1">IF(RAND()&lt;0.25,
    "",
    IF($E438=0,
       CHOOSE(MATCH(RAND(),{0,0.2,0.4,0.6,0.7,0.8,0.85,0.9,0.95,1}),"B-354","B-386","B-4354","B-347","B-357","B-3471","B-34715","B-3571","B-35715"),
       IF($G438=24,
          "B-386",
          IF($G438=12,
             CHOOSE(MATCH(RAND(),{0,0.32,0.49,0.66,0.74,0.82,0.9,1}),"B-386","B-347","B-357","B-3471","B-34715","B-3571","B-35715"),
             "")
)))</f>
        <v/>
      </c>
      <c r="I438" s="8" t="str">
        <f t="shared" ca="1" si="33"/>
        <v/>
      </c>
      <c r="J438">
        <f t="shared" ca="1" si="35"/>
        <v>60</v>
      </c>
      <c r="K438">
        <f t="shared" ca="1" si="36"/>
        <v>60.8125</v>
      </c>
      <c r="L438" s="14">
        <f t="shared" ca="1" si="32"/>
        <v>12</v>
      </c>
      <c r="M438" s="14">
        <f t="shared" ca="1" si="34"/>
        <v>5.8125</v>
      </c>
    </row>
    <row r="439" spans="2:13">
      <c r="B439" s="14" t="s">
        <v>21</v>
      </c>
      <c r="C439" s="14">
        <v>0</v>
      </c>
      <c r="D439" s="14"/>
      <c r="E439" s="14">
        <v>0</v>
      </c>
      <c r="F439" s="14"/>
      <c r="G439" s="14"/>
      <c r="H439" s="8" t="str">
        <f ca="1">IF(RAND()&lt;0.25,
    "",
    IF($E439=0,
       CHOOSE(MATCH(RAND(),{0,0.2,0.4,0.6,0.7,0.8,0.85,0.9,0.95,1}),"B-354","B-386","B-4354","B-347","B-357","B-3471","B-34715","B-3571","B-35715"),
       IF($G439=24,
          "B-386",
          IF($G439=12,
             CHOOSE(MATCH(RAND(),{0,0.32,0.49,0.66,0.74,0.82,0.9,1}),"B-386","B-347","B-357","B-3471","B-34715","B-3571","B-35715"),
             "")
)))</f>
        <v>B-386</v>
      </c>
      <c r="I439" s="8" t="str">
        <f t="shared" ca="1" si="33"/>
        <v/>
      </c>
      <c r="J439">
        <f t="shared" ca="1" si="35"/>
        <v>48.875</v>
      </c>
      <c r="K439">
        <f t="shared" ca="1" si="36"/>
        <v>63</v>
      </c>
      <c r="L439" s="14">
        <f t="shared" ca="1" si="32"/>
        <v>4.5</v>
      </c>
      <c r="M439" s="14">
        <f t="shared" ca="1" si="34"/>
        <v>2.125</v>
      </c>
    </row>
    <row r="440" spans="2:13">
      <c r="B440" s="14" t="s">
        <v>21</v>
      </c>
      <c r="C440" s="14">
        <v>0</v>
      </c>
      <c r="D440" s="14"/>
      <c r="E440" s="14">
        <v>1</v>
      </c>
      <c r="F440" s="14">
        <v>0</v>
      </c>
      <c r="G440" s="14">
        <v>12</v>
      </c>
      <c r="H440" s="8" t="str">
        <f ca="1">IF(RAND()&lt;0.25,
    "",
    IF($E440=0,
       CHOOSE(MATCH(RAND(),{0,0.2,0.4,0.6,0.7,0.8,0.85,0.9,0.95,1}),"B-354","B-386","B-4354","B-347","B-357","B-3471","B-34715","B-3571","B-35715"),
       IF($G440=24,
          "B-386",
          IF($G440=12,
             CHOOSE(MATCH(RAND(),{0,0.32,0.49,0.66,0.74,0.82,0.9,1}),"B-386","B-347","B-357","B-3471","B-34715","B-3571","B-35715"),
             "")
)))</f>
        <v>B-386</v>
      </c>
      <c r="I440" s="8" t="str">
        <f t="shared" ca="1" si="33"/>
        <v/>
      </c>
      <c r="J440">
        <f t="shared" ca="1" si="35"/>
        <v>96</v>
      </c>
      <c r="K440">
        <f t="shared" ca="1" si="36"/>
        <v>79.6875</v>
      </c>
      <c r="L440" s="14">
        <f t="shared" ca="1" si="32"/>
        <v>12</v>
      </c>
      <c r="M440" s="14" t="str">
        <f t="shared" ca="1" si="34"/>
        <v/>
      </c>
    </row>
    <row r="441" spans="2:13">
      <c r="B441" s="14" t="s">
        <v>21</v>
      </c>
      <c r="C441" s="14">
        <v>0</v>
      </c>
      <c r="D441" s="14"/>
      <c r="E441" s="14">
        <v>1</v>
      </c>
      <c r="F441" s="14">
        <v>0</v>
      </c>
      <c r="G441" s="14">
        <v>24</v>
      </c>
      <c r="H441" s="8" t="str">
        <f ca="1">IF(RAND()&lt;0.25,
    "",
    IF($E441=0,
       CHOOSE(MATCH(RAND(),{0,0.2,0.4,0.6,0.7,0.8,0.85,0.9,0.95,1}),"B-354","B-386","B-4354","B-347","B-357","B-3471","B-34715","B-3571","B-35715"),
       IF($G441=24,
          "B-386",
          IF($G441=12,
             CHOOSE(MATCH(RAND(),{0,0.32,0.49,0.66,0.74,0.82,0.9,1}),"B-386","B-347","B-357","B-3471","B-34715","B-3571","B-35715"),
             "")
)))</f>
        <v>B-386</v>
      </c>
      <c r="I441" s="8" t="str">
        <f t="shared" ca="1" si="33"/>
        <v/>
      </c>
      <c r="J441">
        <f t="shared" ca="1" si="35"/>
        <v>96</v>
      </c>
      <c r="K441">
        <f t="shared" ca="1" si="36"/>
        <v>52.0625</v>
      </c>
      <c r="L441" s="14">
        <f t="shared" ca="1" si="32"/>
        <v>3.75</v>
      </c>
      <c r="M441" s="14">
        <f t="shared" ca="1" si="34"/>
        <v>2.375</v>
      </c>
    </row>
    <row r="442" spans="2:13" hidden="1">
      <c r="B442" s="14" t="s">
        <v>21</v>
      </c>
      <c r="C442" s="14">
        <v>0</v>
      </c>
      <c r="D442" s="14"/>
      <c r="E442" s="14">
        <v>1</v>
      </c>
      <c r="F442" s="14">
        <v>0</v>
      </c>
      <c r="G442" s="14"/>
      <c r="H442" s="8" t="str">
        <f ca="1">IF(RAND()&lt;0.25,
    "",
    IF($E442=0,
       CHOOSE(MATCH(RAND(),{0,0.2,0.4,0.6,0.7,0.8,0.85,0.9,0.95,1}),"B-354","B-386","B-4354","B-347","B-357","B-3471","B-34715","B-3571","B-35715"),
       IF($G442=24,
          "B-386",
          IF($G442=12,
             CHOOSE(MATCH(RAND(),{0,0.32,0.49,0.66,0.74,0.82,0.9,1}),"B-386","B-347","B-357","B-3471","B-34715","B-3571","B-35715"),
             "")
)))</f>
        <v/>
      </c>
      <c r="I442" s="8" t="str">
        <f t="shared" ca="1" si="33"/>
        <v/>
      </c>
      <c r="J442">
        <f t="shared" ca="1" si="35"/>
        <v>96</v>
      </c>
      <c r="K442">
        <f t="shared" ca="1" si="36"/>
        <v>28.9375</v>
      </c>
      <c r="L442" s="14">
        <f t="shared" ca="1" si="32"/>
        <v>2.875</v>
      </c>
      <c r="M442" s="14" t="str">
        <f t="shared" ca="1" si="34"/>
        <v/>
      </c>
    </row>
    <row r="443" spans="2:13" hidden="1">
      <c r="B443" s="14" t="s">
        <v>21</v>
      </c>
      <c r="C443" s="14">
        <v>0</v>
      </c>
      <c r="D443" s="14"/>
      <c r="E443" s="14">
        <v>1</v>
      </c>
      <c r="F443" s="14">
        <v>1</v>
      </c>
      <c r="G443" s="14"/>
      <c r="H443" s="8" t="str">
        <f ca="1">IF(RAND()&lt;0.25,
    "",
    IF($E443=0,
       CHOOSE(MATCH(RAND(),{0,0.2,0.4,0.6,0.7,0.8,0.85,0.9,0.95,1}),"B-354","B-386","B-4354","B-347","B-357","B-3471","B-34715","B-3571","B-35715"),
       IF($G443=24,
          "B-386",
          IF($G443=12,
             CHOOSE(MATCH(RAND(),{0,0.32,0.49,0.66,0.74,0.82,0.9,1}),"B-386","B-347","B-357","B-3471","B-34715","B-3571","B-35715"),
             "")
)))</f>
        <v/>
      </c>
      <c r="I443" s="8" t="str">
        <f t="shared" ca="1" si="33"/>
        <v/>
      </c>
      <c r="J443">
        <f t="shared" ca="1" si="35"/>
        <v>96</v>
      </c>
      <c r="K443">
        <f t="shared" ca="1" si="36"/>
        <v>25.375</v>
      </c>
      <c r="L443" s="14">
        <f t="shared" ca="1" si="32"/>
        <v>1</v>
      </c>
      <c r="M443" s="14">
        <f t="shared" ca="1" si="34"/>
        <v>7.625</v>
      </c>
    </row>
    <row r="444" spans="2:13">
      <c r="B444" s="14" t="s">
        <v>21</v>
      </c>
      <c r="C444" s="14">
        <v>1</v>
      </c>
      <c r="D444" s="14">
        <v>0</v>
      </c>
      <c r="E444" s="14">
        <v>0</v>
      </c>
      <c r="F444" s="14"/>
      <c r="G444" s="14"/>
      <c r="H444" s="8" t="str">
        <f ca="1">IF(RAND()&lt;0.25,
    "",
    IF($E444=0,
       CHOOSE(MATCH(RAND(),{0,0.2,0.4,0.6,0.7,0.8,0.85,0.9,0.95,1}),"B-354","B-386","B-4354","B-347","B-357","B-3471","B-34715","B-3571","B-35715"),
       IF($G444=24,
          "B-386",
          IF($G444=12,
             CHOOSE(MATCH(RAND(),{0,0.32,0.49,0.66,0.74,0.82,0.9,1}),"B-386","B-347","B-357","B-3471","B-34715","B-3571","B-35715"),
             "")
)))</f>
        <v>B-386</v>
      </c>
      <c r="I444" s="8" t="str">
        <f t="shared" ca="1" si="33"/>
        <v/>
      </c>
      <c r="J444">
        <f t="shared" ca="1" si="35"/>
        <v>59.0625</v>
      </c>
      <c r="K444">
        <f t="shared" ca="1" si="36"/>
        <v>44.5</v>
      </c>
      <c r="L444" s="14">
        <f t="shared" ca="1" si="32"/>
        <v>8.625</v>
      </c>
      <c r="M444" s="14">
        <f t="shared" ca="1" si="34"/>
        <v>4.1875</v>
      </c>
    </row>
    <row r="445" spans="2:13" hidden="1">
      <c r="B445" s="14" t="s">
        <v>21</v>
      </c>
      <c r="C445" s="14">
        <v>1</v>
      </c>
      <c r="D445" s="14">
        <v>0</v>
      </c>
      <c r="E445" s="14">
        <v>1</v>
      </c>
      <c r="F445" s="14">
        <v>0</v>
      </c>
      <c r="G445" s="14">
        <v>12</v>
      </c>
      <c r="H445" s="8" t="str">
        <f ca="1">IF(RAND()&lt;0.25,
    "",
    IF($E445=0,
       CHOOSE(MATCH(RAND(),{0,0.2,0.4,0.6,0.7,0.8,0.85,0.9,0.95,1}),"B-354","B-386","B-4354","B-347","B-357","B-3471","B-34715","B-3571","B-35715"),
       IF($G445=24,
          "B-386",
          IF($G445=12,
             CHOOSE(MATCH(RAND(),{0,0.32,0.49,0.66,0.74,0.82,0.9,1}),"B-386","B-347","B-357","B-3471","B-34715","B-3571","B-35715"),
             "")
)))</f>
        <v>B-386</v>
      </c>
      <c r="I445" s="8" t="str">
        <f t="shared" ca="1" si="33"/>
        <v/>
      </c>
      <c r="J445">
        <f t="shared" ca="1" si="35"/>
        <v>96</v>
      </c>
      <c r="K445">
        <f t="shared" ca="1" si="36"/>
        <v>68</v>
      </c>
      <c r="L445" s="14">
        <f t="shared" ca="1" si="32"/>
        <v>9</v>
      </c>
      <c r="M445" s="14" t="str">
        <f t="shared" ca="1" si="34"/>
        <v/>
      </c>
    </row>
    <row r="446" spans="2:13">
      <c r="B446" s="14" t="s">
        <v>21</v>
      </c>
      <c r="C446" s="14">
        <v>1</v>
      </c>
      <c r="D446" s="14">
        <v>0</v>
      </c>
      <c r="E446" s="14">
        <v>1</v>
      </c>
      <c r="F446" s="14">
        <v>0</v>
      </c>
      <c r="G446" s="14">
        <v>24</v>
      </c>
      <c r="H446" s="8" t="str">
        <f ca="1">IF(RAND()&lt;0.25,
    "",
    IF($E446=0,
       CHOOSE(MATCH(RAND(),{0,0.2,0.4,0.6,0.7,0.8,0.85,0.9,0.95,1}),"B-354","B-386","B-4354","B-347","B-357","B-3471","B-34715","B-3571","B-35715"),
       IF($G446=24,
          "B-386",
          IF($G446=12,
             CHOOSE(MATCH(RAND(),{0,0.32,0.49,0.66,0.74,0.82,0.9,1}),"B-386","B-347","B-357","B-3471","B-34715","B-3571","B-35715"),
             "")
)))</f>
        <v>B-386</v>
      </c>
      <c r="I446" s="8" t="str">
        <f t="shared" ca="1" si="33"/>
        <v/>
      </c>
      <c r="J446">
        <f t="shared" ca="1" si="35"/>
        <v>50.75</v>
      </c>
      <c r="K446">
        <f t="shared" ca="1" si="36"/>
        <v>57.1875</v>
      </c>
      <c r="L446" s="14">
        <f t="shared" ca="1" si="32"/>
        <v>7.9375</v>
      </c>
      <c r="M446" s="14">
        <f t="shared" ca="1" si="34"/>
        <v>4.625</v>
      </c>
    </row>
    <row r="447" spans="2:13" hidden="1">
      <c r="B447" s="14" t="s">
        <v>21</v>
      </c>
      <c r="C447" s="14">
        <v>1</v>
      </c>
      <c r="D447" s="14">
        <v>0</v>
      </c>
      <c r="E447" s="14">
        <v>1</v>
      </c>
      <c r="F447" s="14">
        <v>0</v>
      </c>
      <c r="G447" s="14"/>
      <c r="H447" s="8" t="str">
        <f ca="1">IF(RAND()&lt;0.25,
    "",
    IF($E447=0,
       CHOOSE(MATCH(RAND(),{0,0.2,0.4,0.6,0.7,0.8,0.85,0.9,0.95,1}),"B-354","B-386","B-4354","B-347","B-357","B-3471","B-34715","B-3571","B-35715"),
       IF($G447=24,
          "B-386",
          IF($G447=12,
             CHOOSE(MATCH(RAND(),{0,0.32,0.49,0.66,0.74,0.82,0.9,1}),"B-386","B-347","B-357","B-3471","B-34715","B-3571","B-35715"),
             "")
)))</f>
        <v/>
      </c>
      <c r="I447" s="8" t="str">
        <f t="shared" ca="1" si="33"/>
        <v/>
      </c>
      <c r="J447">
        <f t="shared" ca="1" si="35"/>
        <v>48.5625</v>
      </c>
      <c r="K447">
        <f t="shared" ca="1" si="36"/>
        <v>35.6875</v>
      </c>
      <c r="L447" s="14">
        <f t="shared" ca="1" si="32"/>
        <v>3.75</v>
      </c>
      <c r="M447" s="14">
        <f t="shared" ca="1" si="34"/>
        <v>3.9375</v>
      </c>
    </row>
    <row r="448" spans="2:13" hidden="1">
      <c r="B448" s="14" t="s">
        <v>21</v>
      </c>
      <c r="C448" s="14">
        <v>1</v>
      </c>
      <c r="D448" s="14">
        <v>0</v>
      </c>
      <c r="E448" s="14">
        <v>1</v>
      </c>
      <c r="F448" s="14">
        <v>1</v>
      </c>
      <c r="G448" s="14"/>
      <c r="H448" s="8" t="str">
        <f ca="1">IF(RAND()&lt;0.25,
    "",
    IF($E448=0,
       CHOOSE(MATCH(RAND(),{0,0.2,0.4,0.6,0.7,0.8,0.85,0.9,0.95,1}),"B-354","B-386","B-4354","B-347","B-357","B-3471","B-34715","B-3571","B-35715"),
       IF($G448=24,
          "B-386",
          IF($G448=12,
             CHOOSE(MATCH(RAND(),{0,0.32,0.49,0.66,0.74,0.82,0.9,1}),"B-386","B-347","B-357","B-3471","B-34715","B-3571","B-35715"),
             "")
)))</f>
        <v/>
      </c>
      <c r="I448" s="8" t="str">
        <f t="shared" ca="1" si="33"/>
        <v/>
      </c>
      <c r="J448">
        <f t="shared" ca="1" si="35"/>
        <v>69.875</v>
      </c>
      <c r="K448">
        <f t="shared" ca="1" si="36"/>
        <v>39.5625</v>
      </c>
      <c r="L448" s="14">
        <f t="shared" ca="1" si="32"/>
        <v>3</v>
      </c>
      <c r="M448" s="14">
        <f t="shared" ca="1" si="34"/>
        <v>1</v>
      </c>
    </row>
    <row r="449" spans="2:13">
      <c r="B449" s="14" t="s">
        <v>21</v>
      </c>
      <c r="C449" s="14">
        <v>1</v>
      </c>
      <c r="D449" s="14">
        <v>1</v>
      </c>
      <c r="E449" s="14">
        <v>0</v>
      </c>
      <c r="F449" s="14"/>
      <c r="G449" s="14"/>
      <c r="H449" s="8" t="str">
        <f ca="1">IF(RAND()&lt;0.25,
    "",
    IF($E449=0,
       CHOOSE(MATCH(RAND(),{0,0.2,0.4,0.6,0.7,0.8,0.85,0.9,0.95,1}),"B-354","B-386","B-4354","B-347","B-357","B-3471","B-34715","B-3571","B-35715"),
       IF($G449=24,
          "B-386",
          IF($G449=12,
             CHOOSE(MATCH(RAND(),{0,0.32,0.49,0.66,0.74,0.82,0.9,1}),"B-386","B-347","B-357","B-3471","B-34715","B-3571","B-35715"),
             "")
)))</f>
        <v/>
      </c>
      <c r="I449" s="8" t="str">
        <f t="shared" ca="1" si="33"/>
        <v/>
      </c>
      <c r="J449">
        <f t="shared" ca="1" si="35"/>
        <v>96</v>
      </c>
      <c r="K449">
        <f t="shared" ca="1" si="36"/>
        <v>60.75</v>
      </c>
      <c r="L449" s="14">
        <f t="shared" ca="1" si="32"/>
        <v>12</v>
      </c>
      <c r="M449" s="14">
        <f t="shared" ca="1" si="34"/>
        <v>3.125</v>
      </c>
    </row>
    <row r="450" spans="2:13">
      <c r="B450" s="14" t="s">
        <v>21</v>
      </c>
      <c r="C450" s="14">
        <v>1</v>
      </c>
      <c r="D450" s="14">
        <v>1</v>
      </c>
      <c r="E450" s="14">
        <v>1</v>
      </c>
      <c r="F450" s="14">
        <v>0</v>
      </c>
      <c r="G450" s="14">
        <v>12</v>
      </c>
      <c r="H450" s="8" t="str">
        <f ca="1">IF(RAND()&lt;0.25,
    "",
    IF($E450=0,
       CHOOSE(MATCH(RAND(),{0,0.2,0.4,0.6,0.7,0.8,0.85,0.9,0.95,1}),"B-354","B-386","B-4354","B-347","B-357","B-3471","B-34715","B-3571","B-35715"),
       IF($G450=24,
          "B-386",
          IF($G450=12,
             CHOOSE(MATCH(RAND(),{0,0.32,0.49,0.66,0.74,0.82,0.9,1}),"B-386","B-347","B-357","B-3471","B-34715","B-3571","B-35715"),
             "")
)))</f>
        <v/>
      </c>
      <c r="I450" s="8" t="str">
        <f t="shared" ca="1" si="33"/>
        <v/>
      </c>
      <c r="J450">
        <f t="shared" ca="1" si="35"/>
        <v>96</v>
      </c>
      <c r="K450">
        <f t="shared" ca="1" si="36"/>
        <v>63.375</v>
      </c>
      <c r="L450" s="14">
        <f t="shared" ca="1" si="32"/>
        <v>1</v>
      </c>
      <c r="M450" s="14">
        <f t="shared" ca="1" si="34"/>
        <v>7.5</v>
      </c>
    </row>
    <row r="451" spans="2:13" hidden="1">
      <c r="B451" s="14" t="s">
        <v>21</v>
      </c>
      <c r="C451" s="14">
        <v>1</v>
      </c>
      <c r="D451" s="14">
        <v>1</v>
      </c>
      <c r="E451" s="14">
        <v>1</v>
      </c>
      <c r="F451" s="14">
        <v>0</v>
      </c>
      <c r="G451" s="14">
        <v>24</v>
      </c>
      <c r="H451" s="8" t="str">
        <f ca="1">IF(RAND()&lt;0.25,
    "",
    IF($E451=0,
       CHOOSE(MATCH(RAND(),{0,0.2,0.4,0.6,0.7,0.8,0.85,0.9,0.95,1}),"B-354","B-386","B-4354","B-347","B-357","B-3471","B-34715","B-3571","B-35715"),
       IF($G451=24,
          "B-386",
          IF($G451=12,
             CHOOSE(MATCH(RAND(),{0,0.32,0.49,0.66,0.74,0.82,0.9,1}),"B-386","B-347","B-357","B-3471","B-34715","B-3571","B-35715"),
             "")
)))</f>
        <v>B-386</v>
      </c>
      <c r="I451" s="8" t="str">
        <f t="shared" ca="1" si="33"/>
        <v/>
      </c>
      <c r="J451">
        <f t="shared" ca="1" si="35"/>
        <v>91.5</v>
      </c>
      <c r="K451">
        <f t="shared" ca="1" si="36"/>
        <v>63.125</v>
      </c>
      <c r="L451" s="14">
        <f t="shared" ca="1" si="32"/>
        <v>5.625</v>
      </c>
      <c r="M451" s="14">
        <f t="shared" ca="1" si="34"/>
        <v>4.875</v>
      </c>
    </row>
    <row r="452" spans="2:13" hidden="1">
      <c r="B452" s="14" t="s">
        <v>21</v>
      </c>
      <c r="C452" s="14">
        <v>1</v>
      </c>
      <c r="D452" s="14">
        <v>1</v>
      </c>
      <c r="E452" s="14">
        <v>1</v>
      </c>
      <c r="F452" s="14">
        <v>0</v>
      </c>
      <c r="G452" s="14"/>
      <c r="H452" s="8" t="str">
        <f ca="1">IF(RAND()&lt;0.25,
    "",
    IF($E452=0,
       CHOOSE(MATCH(RAND(),{0,0.2,0.4,0.6,0.7,0.8,0.85,0.9,0.95,1}),"B-354","B-386","B-4354","B-347","B-357","B-3471","B-34715","B-3571","B-35715"),
       IF($G452=24,
          "B-386",
          IF($G452=12,
             CHOOSE(MATCH(RAND(),{0,0.32,0.49,0.66,0.74,0.82,0.9,1}),"B-386","B-347","B-357","B-3471","B-34715","B-3571","B-35715"),
             "")
)))</f>
        <v/>
      </c>
      <c r="I452" s="8" t="str">
        <f t="shared" ca="1" si="33"/>
        <v/>
      </c>
      <c r="J452">
        <f t="shared" ca="1" si="35"/>
        <v>108.625</v>
      </c>
      <c r="K452">
        <f t="shared" ca="1" si="36"/>
        <v>62.25</v>
      </c>
      <c r="L452" s="14">
        <f t="shared" ref="L452:L515" ca="1" si="37" xml:space="preserve">    _xlfn.LET(
      _xlpm.k, RANDBETWEEN(1,6),
      _xlpm.step, 1/16,
      IF(
        _xlpm.k=1, 1,
        IF(
          _xlpm.k=2, 4.5,
          IF(
            _xlpm.k=3, 9,
            IF(
              _xlpm.k=4, 12,
              IF(
                _xlpm.k=5,
                  1 + _xlpm.step*RANDBETWEEN(1, (4.5-1)/_xlpm.step - 1),
                  4.5 + _xlpm.step*RANDBETWEEN(1, (12-4.5)/_xlpm.step - 1)
              )
            )
          )
        )
      )
    )</f>
        <v>12</v>
      </c>
      <c r="M452" s="14">
        <f t="shared" ca="1" si="34"/>
        <v>1.1875</v>
      </c>
    </row>
    <row r="453" spans="2:13" ht="15" hidden="1" thickBot="1">
      <c r="B453" s="50" t="s">
        <v>21</v>
      </c>
      <c r="C453" s="50">
        <v>1</v>
      </c>
      <c r="D453" s="50">
        <v>1</v>
      </c>
      <c r="E453" s="50">
        <v>1</v>
      </c>
      <c r="F453" s="50">
        <v>1</v>
      </c>
      <c r="G453" s="50"/>
      <c r="H453" s="51" t="str">
        <f ca="1">IF(RAND()&lt;0.25,
    "",
    IF($E453=0,
       CHOOSE(MATCH(RAND(),{0,0.2,0.4,0.6,0.7,0.8,0.85,0.9,0.95,1}),"B-354","B-386","B-4354","B-347","B-357","B-3471","B-34715","B-3571","B-35715"),
       IF($G453=24,
          "B-386",
          IF($G453=12,
             CHOOSE(MATCH(RAND(),{0,0.32,0.49,0.66,0.74,0.82,0.9,1}),"B-386","B-347","B-357","B-3471","B-34715","B-3571","B-35715"),
             "")
)))</f>
        <v/>
      </c>
      <c r="I453" s="51" t="str">
        <f t="shared" ref="I453:I516" ca="1" si="38">IF($H453="",
    "",
    IF(AND($E453=0,OR($H453="B-354",$H453="B-386",$H453="B-4354")),
       IF(RAND()&lt;0.5,
          "",
          IF($H453="B-354",
             "B-386",
             IF($H453="B-4354",
                "B-386",
                IF($H453="B-386",
                   IF(RAND()&lt;0.5,
                      "B-354",
                      "B-4354"),
                   "")
                 ))),
       ""))</f>
        <v/>
      </c>
      <c r="J453" s="49">
        <f t="shared" ca="1" si="35"/>
        <v>47.3125</v>
      </c>
      <c r="K453" s="49">
        <f t="shared" ca="1" si="36"/>
        <v>70.1875</v>
      </c>
      <c r="L453" s="50">
        <f t="shared" ca="1" si="37"/>
        <v>1</v>
      </c>
      <c r="M453" s="14">
        <f t="shared" ref="M453:M516" ca="1" si="39">_xlfn.LET(
  _xlpm.r, RAND(),
  IF(
     _xlpm.r &lt; 0.25,
     1,
     IF(
        _xlpm.r &lt; 0.5,
        1 + RANDBETWEEN(0,16*4)/16,
        IF(
            _xlpm.r &lt; 0.75,
            4.5 + RANDBETWEEN(0,16*4)/16,
            ""
           )
        )
     )
)</f>
        <v>2.5625</v>
      </c>
    </row>
    <row r="454" spans="2:13">
      <c r="B454" s="14" t="s">
        <v>156</v>
      </c>
      <c r="C454" s="19">
        <v>0</v>
      </c>
      <c r="D454" s="19"/>
      <c r="E454" s="19">
        <v>0</v>
      </c>
      <c r="F454" s="19"/>
      <c r="G454" s="14"/>
      <c r="H454" s="8" t="str">
        <f ca="1">IF(RAND()&lt;0.25,
    "",
    IF($E454=0,
       CHOOSE(MATCH(RAND(),{0,0.2,0.4,0.6,0.7,0.8,0.85,0.9,0.95,1}),"B-354","B-386","B-4354","B-347","B-357","B-3471","B-34715","B-3571","B-35715"),
       IF($G454=24,
          "B-386",
          IF($G454=12,
             CHOOSE(MATCH(RAND(),{0,0.32,0.49,0.66,0.74,0.82,0.9,1}),"B-386","B-347","B-357","B-3471","B-34715","B-3571","B-35715"),
             "")
)))</f>
        <v/>
      </c>
      <c r="I454" s="8" t="str">
        <f t="shared" ca="1" si="38"/>
        <v/>
      </c>
      <c r="J454">
        <f t="shared" ca="1" si="35"/>
        <v>40.6875</v>
      </c>
      <c r="K454">
        <f t="shared" ca="1" si="36"/>
        <v>45.5625</v>
      </c>
      <c r="L454" s="14">
        <f t="shared" ca="1" si="37"/>
        <v>4.5</v>
      </c>
      <c r="M454" s="14">
        <f t="shared" ca="1" si="39"/>
        <v>8.4375</v>
      </c>
    </row>
    <row r="455" spans="2:13">
      <c r="B455" s="14" t="s">
        <v>156</v>
      </c>
      <c r="C455" s="14">
        <v>0</v>
      </c>
      <c r="D455" s="14"/>
      <c r="E455" s="14">
        <v>1</v>
      </c>
      <c r="F455" s="14">
        <v>0</v>
      </c>
      <c r="G455" s="14">
        <v>12</v>
      </c>
      <c r="H455" s="8" t="str">
        <f ca="1">IF(RAND()&lt;0.25,
    "",
    IF($E455=0,
       CHOOSE(MATCH(RAND(),{0,0.2,0.4,0.6,0.7,0.8,0.85,0.9,0.95,1}),"B-354","B-386","B-4354","B-347","B-357","B-3471","B-34715","B-3571","B-35715"),
       IF($G455=24,
          "B-386",
          IF($G455=12,
             CHOOSE(MATCH(RAND(),{0,0.32,0.49,0.66,0.74,0.82,0.9,1}),"B-386","B-347","B-357","B-3471","B-34715","B-3571","B-35715"),
             "")
)))</f>
        <v/>
      </c>
      <c r="I455" s="8" t="str">
        <f t="shared" ca="1" si="38"/>
        <v/>
      </c>
      <c r="J455">
        <f t="shared" ca="1" si="35"/>
        <v>7.0625</v>
      </c>
      <c r="K455">
        <f t="shared" ca="1" si="36"/>
        <v>69.375</v>
      </c>
      <c r="L455" s="14">
        <f t="shared" ca="1" si="37"/>
        <v>8.0625</v>
      </c>
      <c r="M455" s="14">
        <f t="shared" ca="1" si="39"/>
        <v>1.5625</v>
      </c>
    </row>
    <row r="456" spans="2:13">
      <c r="B456" s="14" t="s">
        <v>156</v>
      </c>
      <c r="C456" s="14">
        <v>0</v>
      </c>
      <c r="D456" s="14"/>
      <c r="E456" s="14">
        <v>1</v>
      </c>
      <c r="F456" s="14">
        <v>0</v>
      </c>
      <c r="G456" s="14">
        <v>24</v>
      </c>
      <c r="H456" s="8" t="str">
        <f ca="1">IF(RAND()&lt;0.25,
    "",
    IF($E456=0,
       CHOOSE(MATCH(RAND(),{0,0.2,0.4,0.6,0.7,0.8,0.85,0.9,0.95,1}),"B-354","B-386","B-4354","B-347","B-357","B-3471","B-34715","B-3571","B-35715"),
       IF($G456=24,
          "B-386",
          IF($G456=12,
             CHOOSE(MATCH(RAND(),{0,0.32,0.49,0.66,0.74,0.82,0.9,1}),"B-386","B-347","B-357","B-3471","B-34715","B-3571","B-35715"),
             "")
)))</f>
        <v>B-386</v>
      </c>
      <c r="I456" s="8" t="str">
        <f t="shared" ca="1" si="38"/>
        <v/>
      </c>
      <c r="J456">
        <f t="shared" ca="1" si="35"/>
        <v>43.6875</v>
      </c>
      <c r="K456">
        <f t="shared" ca="1" si="36"/>
        <v>74.5625</v>
      </c>
      <c r="L456" s="14">
        <f t="shared" ca="1" si="37"/>
        <v>9</v>
      </c>
      <c r="M456" s="14">
        <f t="shared" ca="1" si="39"/>
        <v>1</v>
      </c>
    </row>
    <row r="457" spans="2:13" hidden="1">
      <c r="B457" s="14" t="s">
        <v>156</v>
      </c>
      <c r="C457" s="14">
        <v>0</v>
      </c>
      <c r="D457" s="14"/>
      <c r="E457" s="14">
        <v>1</v>
      </c>
      <c r="F457" s="14">
        <v>0</v>
      </c>
      <c r="G457" s="14"/>
      <c r="H457" s="8" t="str">
        <f ca="1">IF(RAND()&lt;0.25,
    "",
    IF($E457=0,
       CHOOSE(MATCH(RAND(),{0,0.2,0.4,0.6,0.7,0.8,0.85,0.9,0.95,1}),"B-354","B-386","B-4354","B-347","B-357","B-3471","B-34715","B-3571","B-35715"),
       IF($G457=24,
          "B-386",
          IF($G457=12,
             CHOOSE(MATCH(RAND(),{0,0.32,0.49,0.66,0.74,0.82,0.9,1}),"B-386","B-347","B-357","B-3471","B-34715","B-3571","B-35715"),
             "")
)))</f>
        <v/>
      </c>
      <c r="I457" s="8" t="str">
        <f t="shared" ca="1" si="38"/>
        <v/>
      </c>
      <c r="J457">
        <f t="shared" ca="1" si="35"/>
        <v>49.25</v>
      </c>
      <c r="K457">
        <f t="shared" ca="1" si="36"/>
        <v>42.375</v>
      </c>
      <c r="L457" s="14">
        <f t="shared" ca="1" si="37"/>
        <v>9</v>
      </c>
      <c r="M457" s="14">
        <f t="shared" ca="1" si="39"/>
        <v>7.0625</v>
      </c>
    </row>
    <row r="458" spans="2:13" hidden="1">
      <c r="B458" s="14" t="s">
        <v>156</v>
      </c>
      <c r="C458" s="14">
        <v>0</v>
      </c>
      <c r="D458" s="14"/>
      <c r="E458" s="14">
        <v>1</v>
      </c>
      <c r="F458" s="14">
        <v>1</v>
      </c>
      <c r="G458" s="14"/>
      <c r="H458" s="8" t="str">
        <f ca="1">IF(RAND()&lt;0.25,
    "",
    IF($E458=0,
       CHOOSE(MATCH(RAND(),{0,0.2,0.4,0.6,0.7,0.8,0.85,0.9,0.95,1}),"B-354","B-386","B-4354","B-347","B-357","B-3471","B-34715","B-3571","B-35715"),
       IF($G458=24,
          "B-386",
          IF($G458=12,
             CHOOSE(MATCH(RAND(),{0,0.32,0.49,0.66,0.74,0.82,0.9,1}),"B-386","B-347","B-357","B-3471","B-34715","B-3571","B-35715"),
             "")
)))</f>
        <v/>
      </c>
      <c r="I458" s="8" t="str">
        <f t="shared" ca="1" si="38"/>
        <v/>
      </c>
      <c r="J458">
        <f t="shared" ca="1" si="35"/>
        <v>8.0625</v>
      </c>
      <c r="K458">
        <f t="shared" ca="1" si="36"/>
        <v>55.5625</v>
      </c>
      <c r="L458" s="14">
        <f t="shared" ca="1" si="37"/>
        <v>1</v>
      </c>
      <c r="M458" s="14" t="str">
        <f t="shared" ca="1" si="39"/>
        <v/>
      </c>
    </row>
    <row r="459" spans="2:13" hidden="1">
      <c r="B459" s="14" t="s">
        <v>156</v>
      </c>
      <c r="C459" s="14">
        <v>1</v>
      </c>
      <c r="D459" s="14">
        <v>0</v>
      </c>
      <c r="E459" s="14">
        <v>0</v>
      </c>
      <c r="F459" s="14"/>
      <c r="G459" s="14"/>
      <c r="H459" s="8" t="str">
        <f ca="1">IF(RAND()&lt;0.25,
    "",
    IF($E459=0,
       CHOOSE(MATCH(RAND(),{0,0.2,0.4,0.6,0.7,0.8,0.85,0.9,0.95,1}),"B-354","B-386","B-4354","B-347","B-357","B-3471","B-34715","B-3571","B-35715"),
       IF($G459=24,
          "B-386",
          IF($G459=12,
             CHOOSE(MATCH(RAND(),{0,0.32,0.49,0.66,0.74,0.82,0.9,1}),"B-386","B-347","B-357","B-3471","B-34715","B-3571","B-35715"),
             "")
)))</f>
        <v>B-347</v>
      </c>
      <c r="I459" s="8" t="str">
        <f t="shared" ca="1" si="38"/>
        <v/>
      </c>
      <c r="J459">
        <f t="shared" ca="1" si="35"/>
        <v>34.8125</v>
      </c>
      <c r="K459">
        <f t="shared" ca="1" si="36"/>
        <v>74.4375</v>
      </c>
      <c r="L459" s="14">
        <f t="shared" ca="1" si="37"/>
        <v>9</v>
      </c>
      <c r="M459" s="14">
        <f t="shared" ca="1" si="39"/>
        <v>5.3125</v>
      </c>
    </row>
    <row r="460" spans="2:13">
      <c r="B460" s="14" t="s">
        <v>156</v>
      </c>
      <c r="C460" s="14">
        <v>1</v>
      </c>
      <c r="D460" s="14">
        <v>0</v>
      </c>
      <c r="E460" s="14">
        <v>1</v>
      </c>
      <c r="F460" s="14">
        <v>0</v>
      </c>
      <c r="G460" s="14">
        <v>12</v>
      </c>
      <c r="H460" s="8" t="str">
        <f ca="1">IF(RAND()&lt;0.25,
    "",
    IF($E460=0,
       CHOOSE(MATCH(RAND(),{0,0.2,0.4,0.6,0.7,0.8,0.85,0.9,0.95,1}),"B-354","B-386","B-4354","B-347","B-357","B-3471","B-34715","B-3571","B-35715"),
       IF($G460=24,
          "B-386",
          IF($G460=12,
             CHOOSE(MATCH(RAND(),{0,0.32,0.49,0.66,0.74,0.82,0.9,1}),"B-386","B-347","B-357","B-3471","B-34715","B-3571","B-35715"),
             "")
)))</f>
        <v>B-3471</v>
      </c>
      <c r="I460" s="8" t="str">
        <f t="shared" ca="1" si="38"/>
        <v/>
      </c>
      <c r="J460">
        <f t="shared" ca="1" si="35"/>
        <v>36.75</v>
      </c>
      <c r="K460">
        <f t="shared" ca="1" si="36"/>
        <v>44.1875</v>
      </c>
      <c r="L460" s="14">
        <f t="shared" ca="1" si="37"/>
        <v>4.5</v>
      </c>
      <c r="M460" s="14">
        <f t="shared" ca="1" si="39"/>
        <v>1</v>
      </c>
    </row>
    <row r="461" spans="2:13">
      <c r="B461" s="14" t="s">
        <v>156</v>
      </c>
      <c r="C461" s="14">
        <v>1</v>
      </c>
      <c r="D461" s="14">
        <v>0</v>
      </c>
      <c r="E461" s="14">
        <v>1</v>
      </c>
      <c r="F461" s="14">
        <v>0</v>
      </c>
      <c r="G461" s="14">
        <v>24</v>
      </c>
      <c r="H461" s="8" t="str">
        <f ca="1">IF(RAND()&lt;0.25,
    "",
    IF($E461=0,
       CHOOSE(MATCH(RAND(),{0,0.2,0.4,0.6,0.7,0.8,0.85,0.9,0.95,1}),"B-354","B-386","B-4354","B-347","B-357","B-3471","B-34715","B-3571","B-35715"),
       IF($G461=24,
          "B-386",
          IF($G461=12,
             CHOOSE(MATCH(RAND(),{0,0.32,0.49,0.66,0.74,0.82,0.9,1}),"B-386","B-347","B-357","B-3471","B-34715","B-3571","B-35715"),
             "")
)))</f>
        <v>B-386</v>
      </c>
      <c r="I461" s="8" t="str">
        <f t="shared" ca="1" si="38"/>
        <v/>
      </c>
      <c r="J461">
        <f t="shared" ca="1" si="35"/>
        <v>45.8125</v>
      </c>
      <c r="K461">
        <f t="shared" ca="1" si="36"/>
        <v>62.6875</v>
      </c>
      <c r="L461" s="14">
        <f t="shared" ca="1" si="37"/>
        <v>4.5</v>
      </c>
      <c r="M461" s="14" t="str">
        <f t="shared" ca="1" si="39"/>
        <v/>
      </c>
    </row>
    <row r="462" spans="2:13" hidden="1">
      <c r="B462" s="14" t="s">
        <v>156</v>
      </c>
      <c r="C462" s="14">
        <v>1</v>
      </c>
      <c r="D462" s="14">
        <v>0</v>
      </c>
      <c r="E462" s="14">
        <v>1</v>
      </c>
      <c r="F462" s="14">
        <v>0</v>
      </c>
      <c r="G462" s="14"/>
      <c r="H462" s="8" t="str">
        <f ca="1">IF(RAND()&lt;0.25,
    "",
    IF($E462=0,
       CHOOSE(MATCH(RAND(),{0,0.2,0.4,0.6,0.7,0.8,0.85,0.9,0.95,1}),"B-354","B-386","B-4354","B-347","B-357","B-3471","B-34715","B-3571","B-35715"),
       IF($G462=24,
          "B-386",
          IF($G462=12,
             CHOOSE(MATCH(RAND(),{0,0.32,0.49,0.66,0.74,0.82,0.9,1}),"B-386","B-347","B-357","B-3471","B-34715","B-3571","B-35715"),
             "")
)))</f>
        <v/>
      </c>
      <c r="I462" s="8" t="str">
        <f t="shared" ca="1" si="38"/>
        <v/>
      </c>
      <c r="J462">
        <f t="shared" ca="1" si="35"/>
        <v>24.125</v>
      </c>
      <c r="K462">
        <f t="shared" ca="1" si="36"/>
        <v>14.625</v>
      </c>
      <c r="L462" s="14">
        <f t="shared" ca="1" si="37"/>
        <v>3.875</v>
      </c>
      <c r="M462" s="14" t="str">
        <f t="shared" ca="1" si="39"/>
        <v/>
      </c>
    </row>
    <row r="463" spans="2:13" hidden="1">
      <c r="B463" s="14" t="s">
        <v>156</v>
      </c>
      <c r="C463" s="14">
        <v>1</v>
      </c>
      <c r="D463" s="14">
        <v>0</v>
      </c>
      <c r="E463" s="14">
        <v>1</v>
      </c>
      <c r="F463" s="14">
        <v>1</v>
      </c>
      <c r="G463" s="14"/>
      <c r="H463" s="8" t="str">
        <f ca="1">IF(RAND()&lt;0.25,
    "",
    IF($E463=0,
       CHOOSE(MATCH(RAND(),{0,0.2,0.4,0.6,0.7,0.8,0.85,0.9,0.95,1}),"B-354","B-386","B-4354","B-347","B-357","B-3471","B-34715","B-3571","B-35715"),
       IF($G463=24,
          "B-386",
          IF($G463=12,
             CHOOSE(MATCH(RAND(),{0,0.32,0.49,0.66,0.74,0.82,0.9,1}),"B-386","B-347","B-357","B-3471","B-34715","B-3571","B-35715"),
             "")
)))</f>
        <v/>
      </c>
      <c r="I463" s="8" t="str">
        <f t="shared" ca="1" si="38"/>
        <v/>
      </c>
      <c r="J463">
        <f t="shared" ca="1" si="35"/>
        <v>21.75</v>
      </c>
      <c r="K463">
        <f t="shared" ca="1" si="36"/>
        <v>33.0625</v>
      </c>
      <c r="L463" s="14">
        <f t="shared" ca="1" si="37"/>
        <v>4.5</v>
      </c>
      <c r="M463" s="14">
        <f t="shared" ca="1" si="39"/>
        <v>4.75</v>
      </c>
    </row>
    <row r="464" spans="2:13" hidden="1">
      <c r="B464" s="14" t="s">
        <v>156</v>
      </c>
      <c r="C464" s="14">
        <v>1</v>
      </c>
      <c r="D464" s="14">
        <v>1</v>
      </c>
      <c r="E464" s="14">
        <v>0</v>
      </c>
      <c r="F464" s="14"/>
      <c r="G464" s="14"/>
      <c r="H464" s="8" t="str">
        <f ca="1">IF(RAND()&lt;0.25,
    "",
    IF($E464=0,
       CHOOSE(MATCH(RAND(),{0,0.2,0.4,0.6,0.7,0.8,0.85,0.9,0.95,1}),"B-354","B-386","B-4354","B-347","B-357","B-3471","B-34715","B-3571","B-35715"),
       IF($G464=24,
          "B-386",
          IF($G464=12,
             CHOOSE(MATCH(RAND(),{0,0.32,0.49,0.66,0.74,0.82,0.9,1}),"B-386","B-347","B-357","B-3471","B-34715","B-3571","B-35715"),
             "")
)))</f>
        <v/>
      </c>
      <c r="I464" s="8" t="str">
        <f t="shared" ca="1" si="38"/>
        <v/>
      </c>
      <c r="J464">
        <f t="shared" ca="1" si="35"/>
        <v>14.1875</v>
      </c>
      <c r="K464">
        <f t="shared" ca="1" si="36"/>
        <v>40.9375</v>
      </c>
      <c r="L464" s="14">
        <f t="shared" ca="1" si="37"/>
        <v>8.4375</v>
      </c>
      <c r="M464" s="14">
        <f t="shared" ca="1" si="39"/>
        <v>1</v>
      </c>
    </row>
    <row r="465" spans="2:13">
      <c r="B465" s="14" t="s">
        <v>156</v>
      </c>
      <c r="C465" s="14">
        <v>1</v>
      </c>
      <c r="D465" s="14">
        <v>1</v>
      </c>
      <c r="E465" s="14">
        <v>1</v>
      </c>
      <c r="F465" s="14">
        <v>0</v>
      </c>
      <c r="G465" s="14">
        <v>12</v>
      </c>
      <c r="H465" s="8" t="str">
        <f ca="1">IF(RAND()&lt;0.25,
    "",
    IF($E465=0,
       CHOOSE(MATCH(RAND(),{0,0.2,0.4,0.6,0.7,0.8,0.85,0.9,0.95,1}),"B-354","B-386","B-4354","B-347","B-357","B-3471","B-34715","B-3571","B-35715"),
       IF($G465=24,
          "B-386",
          IF($G465=12,
             CHOOSE(MATCH(RAND(),{0,0.32,0.49,0.66,0.74,0.82,0.9,1}),"B-386","B-347","B-357","B-3471","B-34715","B-3571","B-35715"),
             "")
)))</f>
        <v/>
      </c>
      <c r="I465" s="8" t="str">
        <f t="shared" ca="1" si="38"/>
        <v/>
      </c>
      <c r="J465">
        <f t="shared" ca="1" si="35"/>
        <v>44.75</v>
      </c>
      <c r="K465">
        <f t="shared" ca="1" si="36"/>
        <v>23.3125</v>
      </c>
      <c r="L465" s="14">
        <f t="shared" ca="1" si="37"/>
        <v>12</v>
      </c>
      <c r="M465" s="14" t="str">
        <f t="shared" ca="1" si="39"/>
        <v/>
      </c>
    </row>
    <row r="466" spans="2:13">
      <c r="B466" s="14" t="s">
        <v>156</v>
      </c>
      <c r="C466" s="14">
        <v>1</v>
      </c>
      <c r="D466" s="14">
        <v>1</v>
      </c>
      <c r="E466" s="14">
        <v>1</v>
      </c>
      <c r="F466" s="14">
        <v>0</v>
      </c>
      <c r="G466" s="14">
        <v>24</v>
      </c>
      <c r="H466" s="8" t="str">
        <f ca="1">IF(RAND()&lt;0.25,
    "",
    IF($E466=0,
       CHOOSE(MATCH(RAND(),{0,0.2,0.4,0.6,0.7,0.8,0.85,0.9,0.95,1}),"B-354","B-386","B-4354","B-347","B-357","B-3471","B-34715","B-3571","B-35715"),
       IF($G466=24,
          "B-386",
          IF($G466=12,
             CHOOSE(MATCH(RAND(),{0,0.32,0.49,0.66,0.74,0.82,0.9,1}),"B-386","B-347","B-357","B-3471","B-34715","B-3571","B-35715"),
             "")
)))</f>
        <v>B-386</v>
      </c>
      <c r="I466" s="8" t="str">
        <f t="shared" ca="1" si="38"/>
        <v/>
      </c>
      <c r="J466">
        <f t="shared" ca="1" si="35"/>
        <v>18.125</v>
      </c>
      <c r="K466">
        <f t="shared" ca="1" si="36"/>
        <v>64.25</v>
      </c>
      <c r="L466" s="14">
        <f t="shared" ca="1" si="37"/>
        <v>7.6875</v>
      </c>
      <c r="M466" s="14">
        <f t="shared" ca="1" si="39"/>
        <v>5.9375</v>
      </c>
    </row>
    <row r="467" spans="2:13" hidden="1">
      <c r="B467" s="14" t="s">
        <v>156</v>
      </c>
      <c r="C467" s="14">
        <v>1</v>
      </c>
      <c r="D467" s="14">
        <v>1</v>
      </c>
      <c r="E467" s="14">
        <v>1</v>
      </c>
      <c r="F467" s="14">
        <v>0</v>
      </c>
      <c r="G467" s="14"/>
      <c r="H467" s="8" t="str">
        <f ca="1">IF(RAND()&lt;0.25,
    "",
    IF($E467=0,
       CHOOSE(MATCH(RAND(),{0,0.2,0.4,0.6,0.7,0.8,0.85,0.9,0.95,1}),"B-354","B-386","B-4354","B-347","B-357","B-3471","B-34715","B-3571","B-35715"),
       IF($G467=24,
          "B-386",
          IF($G467=12,
             CHOOSE(MATCH(RAND(),{0,0.32,0.49,0.66,0.74,0.82,0.9,1}),"B-386","B-347","B-357","B-3471","B-34715","B-3571","B-35715"),
             "")
)))</f>
        <v/>
      </c>
      <c r="I467" s="8" t="str">
        <f t="shared" ca="1" si="38"/>
        <v/>
      </c>
      <c r="J467">
        <f t="shared" ca="1" si="35"/>
        <v>45.5</v>
      </c>
      <c r="K467">
        <f t="shared" ca="1" si="36"/>
        <v>64.125</v>
      </c>
      <c r="L467" s="14">
        <f t="shared" ca="1" si="37"/>
        <v>1</v>
      </c>
      <c r="M467" s="14" t="str">
        <f t="shared" ca="1" si="39"/>
        <v/>
      </c>
    </row>
    <row r="468" spans="2:13" hidden="1">
      <c r="B468" s="14" t="s">
        <v>156</v>
      </c>
      <c r="C468" s="14">
        <v>1</v>
      </c>
      <c r="D468" s="14">
        <v>1</v>
      </c>
      <c r="E468" s="14">
        <v>1</v>
      </c>
      <c r="F468" s="14">
        <v>1</v>
      </c>
      <c r="G468" s="14"/>
      <c r="H468" s="8" t="str">
        <f ca="1">IF(RAND()&lt;0.25,
    "",
    IF($E468=0,
       CHOOSE(MATCH(RAND(),{0,0.2,0.4,0.6,0.7,0.8,0.85,0.9,0.95,1}),"B-354","B-386","B-4354","B-347","B-357","B-3471","B-34715","B-3571","B-35715"),
       IF($G468=24,
          "B-386",
          IF($G468=12,
             CHOOSE(MATCH(RAND(),{0,0.32,0.49,0.66,0.74,0.82,0.9,1}),"B-386","B-347","B-357","B-3471","B-34715","B-3571","B-35715"),
             "")
)))</f>
        <v/>
      </c>
      <c r="I468" s="8" t="str">
        <f t="shared" ca="1" si="38"/>
        <v/>
      </c>
      <c r="J468">
        <f t="shared" ca="1" si="35"/>
        <v>19.125</v>
      </c>
      <c r="K468">
        <f t="shared" ca="1" si="36"/>
        <v>27.375</v>
      </c>
      <c r="L468" s="14">
        <f t="shared" ca="1" si="37"/>
        <v>12</v>
      </c>
      <c r="M468" s="14">
        <f t="shared" ca="1" si="39"/>
        <v>2.6875</v>
      </c>
    </row>
    <row r="469" spans="2:13">
      <c r="B469" s="14" t="s">
        <v>157</v>
      </c>
      <c r="C469" s="14">
        <v>0</v>
      </c>
      <c r="D469" s="14"/>
      <c r="E469" s="14">
        <v>0</v>
      </c>
      <c r="F469" s="14"/>
      <c r="G469" s="14"/>
      <c r="H469" s="8" t="str">
        <f ca="1">IF(RAND()&lt;0.25,
    "",
    IF($E469=0,
       CHOOSE(MATCH(RAND(),{0,0.2,0.4,0.6,0.7,0.8,0.85,0.9,0.95,1}),"B-354","B-386","B-4354","B-347","B-357","B-3471","B-34715","B-3571","B-35715"),
       IF($G469=24,
          "B-386",
          IF($G469=12,
             CHOOSE(MATCH(RAND(),{0,0.32,0.49,0.66,0.74,0.82,0.9,1}),"B-386","B-347","B-357","B-3471","B-34715","B-3571","B-35715"),
             "")
)))</f>
        <v>B-386</v>
      </c>
      <c r="I469" s="8" t="str">
        <f t="shared" ca="1" si="38"/>
        <v/>
      </c>
      <c r="J469">
        <f t="shared" ca="1" si="35"/>
        <v>60</v>
      </c>
      <c r="K469">
        <f t="shared" ca="1" si="36"/>
        <v>58.8125</v>
      </c>
      <c r="L469" s="14">
        <f t="shared" ca="1" si="37"/>
        <v>12</v>
      </c>
      <c r="M469" s="14">
        <f t="shared" ca="1" si="39"/>
        <v>6.4375</v>
      </c>
    </row>
    <row r="470" spans="2:13">
      <c r="B470" s="14" t="s">
        <v>157</v>
      </c>
      <c r="C470" s="14">
        <v>0</v>
      </c>
      <c r="D470" s="14"/>
      <c r="E470" s="14">
        <v>1</v>
      </c>
      <c r="F470" s="14">
        <v>0</v>
      </c>
      <c r="G470" s="14">
        <v>12</v>
      </c>
      <c r="H470" s="8" t="str">
        <f ca="1">IF(RAND()&lt;0.25,
    "",
    IF($E470=0,
       CHOOSE(MATCH(RAND(),{0,0.2,0.4,0.6,0.7,0.8,0.85,0.9,0.95,1}),"B-354","B-386","B-4354","B-347","B-357","B-3471","B-34715","B-3571","B-35715"),
       IF($G470=24,
          "B-386",
          IF($G470=12,
             CHOOSE(MATCH(RAND(),{0,0.32,0.49,0.66,0.74,0.82,0.9,1}),"B-386","B-347","B-357","B-3471","B-34715","B-3571","B-35715"),
             "")
)))</f>
        <v/>
      </c>
      <c r="I470" s="8" t="str">
        <f t="shared" ca="1" si="38"/>
        <v/>
      </c>
      <c r="J470">
        <f t="shared" ca="1" si="35"/>
        <v>60</v>
      </c>
      <c r="K470">
        <f t="shared" ca="1" si="36"/>
        <v>62.3125</v>
      </c>
      <c r="L470" s="14">
        <f t="shared" ca="1" si="37"/>
        <v>9</v>
      </c>
      <c r="M470" s="14" t="str">
        <f t="shared" ca="1" si="39"/>
        <v/>
      </c>
    </row>
    <row r="471" spans="2:13">
      <c r="B471" s="14" t="s">
        <v>157</v>
      </c>
      <c r="C471" s="14">
        <v>0</v>
      </c>
      <c r="D471" s="14"/>
      <c r="E471" s="14">
        <v>1</v>
      </c>
      <c r="F471" s="14">
        <v>0</v>
      </c>
      <c r="G471" s="14">
        <v>24</v>
      </c>
      <c r="H471" s="8" t="str">
        <f ca="1">IF(RAND()&lt;0.25,
    "",
    IF($E471=0,
       CHOOSE(MATCH(RAND(),{0,0.2,0.4,0.6,0.7,0.8,0.85,0.9,0.95,1}),"B-354","B-386","B-4354","B-347","B-357","B-3471","B-34715","B-3571","B-35715"),
       IF($G471=24,
          "B-386",
          IF($G471=12,
             CHOOSE(MATCH(RAND(),{0,0.32,0.49,0.66,0.74,0.82,0.9,1}),"B-386","B-347","B-357","B-3471","B-34715","B-3571","B-35715"),
             "")
)))</f>
        <v>B-386</v>
      </c>
      <c r="I471" s="8" t="str">
        <f t="shared" ca="1" si="38"/>
        <v/>
      </c>
      <c r="J471">
        <f t="shared" ca="1" si="35"/>
        <v>60</v>
      </c>
      <c r="K471">
        <f t="shared" ca="1" si="36"/>
        <v>60.625</v>
      </c>
      <c r="L471" s="14">
        <f t="shared" ca="1" si="37"/>
        <v>2.375</v>
      </c>
      <c r="M471" s="14">
        <f t="shared" ca="1" si="39"/>
        <v>1.0625</v>
      </c>
    </row>
    <row r="472" spans="2:13" hidden="1">
      <c r="B472" s="14" t="s">
        <v>157</v>
      </c>
      <c r="C472" s="14">
        <v>0</v>
      </c>
      <c r="D472" s="14"/>
      <c r="E472" s="14">
        <v>1</v>
      </c>
      <c r="F472" s="14">
        <v>0</v>
      </c>
      <c r="G472" s="14"/>
      <c r="H472" s="8" t="str">
        <f ca="1">IF(RAND()&lt;0.25,
    "",
    IF($E472=0,
       CHOOSE(MATCH(RAND(),{0,0.2,0.4,0.6,0.7,0.8,0.85,0.9,0.95,1}),"B-354","B-386","B-4354","B-347","B-357","B-3471","B-34715","B-3571","B-35715"),
       IF($G472=24,
          "B-386",
          IF($G472=12,
             CHOOSE(MATCH(RAND(),{0,0.32,0.49,0.66,0.74,0.82,0.9,1}),"B-386","B-347","B-357","B-3471","B-34715","B-3571","B-35715"),
             "")
)))</f>
        <v/>
      </c>
      <c r="I472" s="8" t="str">
        <f t="shared" ca="1" si="38"/>
        <v/>
      </c>
      <c r="J472">
        <f t="shared" ca="1" si="35"/>
        <v>60</v>
      </c>
      <c r="K472">
        <f t="shared" ca="1" si="36"/>
        <v>33.625</v>
      </c>
      <c r="L472" s="14">
        <f t="shared" ca="1" si="37"/>
        <v>12</v>
      </c>
      <c r="M472" s="14">
        <f t="shared" ca="1" si="39"/>
        <v>6.5</v>
      </c>
    </row>
    <row r="473" spans="2:13" hidden="1">
      <c r="B473" s="14" t="s">
        <v>157</v>
      </c>
      <c r="C473" s="14">
        <v>0</v>
      </c>
      <c r="D473" s="14"/>
      <c r="E473" s="14">
        <v>1</v>
      </c>
      <c r="F473" s="14">
        <v>1</v>
      </c>
      <c r="G473" s="14"/>
      <c r="H473" s="8" t="str">
        <f ca="1">IF(RAND()&lt;0.25,
    "",
    IF($E473=0,
       CHOOSE(MATCH(RAND(),{0,0.2,0.4,0.6,0.7,0.8,0.85,0.9,0.95,1}),"B-354","B-386","B-4354","B-347","B-357","B-3471","B-34715","B-3571","B-35715"),
       IF($G473=24,
          "B-386",
          IF($G473=12,
             CHOOSE(MATCH(RAND(),{0,0.32,0.49,0.66,0.74,0.82,0.9,1}),"B-386","B-347","B-357","B-3471","B-34715","B-3571","B-35715"),
             "")
)))</f>
        <v/>
      </c>
      <c r="I473" s="8" t="str">
        <f t="shared" ca="1" si="38"/>
        <v/>
      </c>
      <c r="J473">
        <f t="shared" ca="1" si="35"/>
        <v>60</v>
      </c>
      <c r="K473">
        <f t="shared" ca="1" si="36"/>
        <v>50.125</v>
      </c>
      <c r="L473" s="14">
        <f t="shared" ca="1" si="37"/>
        <v>9</v>
      </c>
      <c r="M473" s="14">
        <f t="shared" ca="1" si="39"/>
        <v>6.625</v>
      </c>
    </row>
    <row r="474" spans="2:13">
      <c r="B474" s="14" t="s">
        <v>157</v>
      </c>
      <c r="C474" s="14">
        <v>1</v>
      </c>
      <c r="D474" s="14">
        <v>0</v>
      </c>
      <c r="E474" s="14">
        <v>0</v>
      </c>
      <c r="F474" s="14"/>
      <c r="G474" s="14"/>
      <c r="H474" s="8" t="str">
        <f ca="1">IF(RAND()&lt;0.25,
    "",
    IF($E474=0,
       CHOOSE(MATCH(RAND(),{0,0.2,0.4,0.6,0.7,0.8,0.85,0.9,0.95,1}),"B-354","B-386","B-4354","B-347","B-357","B-3471","B-34715","B-3571","B-35715"),
       IF($G474=24,
          "B-386",
          IF($G474=12,
             CHOOSE(MATCH(RAND(),{0,0.32,0.49,0.66,0.74,0.82,0.9,1}),"B-386","B-347","B-357","B-3471","B-34715","B-3571","B-35715"),
             "")
)))</f>
        <v>B-347</v>
      </c>
      <c r="I474" s="8" t="str">
        <f t="shared" ca="1" si="38"/>
        <v/>
      </c>
      <c r="J474">
        <f t="shared" ca="1" si="35"/>
        <v>60</v>
      </c>
      <c r="K474">
        <f t="shared" ca="1" si="36"/>
        <v>55.0625</v>
      </c>
      <c r="L474" s="14">
        <f t="shared" ca="1" si="37"/>
        <v>10.75</v>
      </c>
      <c r="M474" s="14">
        <f t="shared" ca="1" si="39"/>
        <v>1</v>
      </c>
    </row>
    <row r="475" spans="2:13">
      <c r="B475" s="14" t="s">
        <v>157</v>
      </c>
      <c r="C475" s="14">
        <v>1</v>
      </c>
      <c r="D475" s="14">
        <v>0</v>
      </c>
      <c r="E475" s="14">
        <v>1</v>
      </c>
      <c r="F475" s="14">
        <v>0</v>
      </c>
      <c r="G475" s="14">
        <v>12</v>
      </c>
      <c r="H475" s="8" t="str">
        <f ca="1">IF(RAND()&lt;0.25,
    "",
    IF($E475=0,
       CHOOSE(MATCH(RAND(),{0,0.2,0.4,0.6,0.7,0.8,0.85,0.9,0.95,1}),"B-354","B-386","B-4354","B-347","B-357","B-3471","B-34715","B-3571","B-35715"),
       IF($G475=24,
          "B-386",
          IF($G475=12,
             CHOOSE(MATCH(RAND(),{0,0.32,0.49,0.66,0.74,0.82,0.9,1}),"B-386","B-347","B-357","B-3471","B-34715","B-3571","B-35715"),
             "")
)))</f>
        <v/>
      </c>
      <c r="I475" s="8" t="str">
        <f t="shared" ca="1" si="38"/>
        <v/>
      </c>
      <c r="J475">
        <f t="shared" ca="1" si="35"/>
        <v>60</v>
      </c>
      <c r="K475">
        <f t="shared" ca="1" si="36"/>
        <v>37</v>
      </c>
      <c r="L475" s="14">
        <f t="shared" ca="1" si="37"/>
        <v>4.5</v>
      </c>
      <c r="M475" s="14">
        <f t="shared" ca="1" si="39"/>
        <v>4.0625</v>
      </c>
    </row>
    <row r="476" spans="2:13">
      <c r="B476" s="14" t="s">
        <v>157</v>
      </c>
      <c r="C476" s="14">
        <v>1</v>
      </c>
      <c r="D476" s="14">
        <v>0</v>
      </c>
      <c r="E476" s="14">
        <v>1</v>
      </c>
      <c r="F476" s="14">
        <v>0</v>
      </c>
      <c r="G476" s="14">
        <v>24</v>
      </c>
      <c r="H476" s="8" t="str">
        <f ca="1">IF(RAND()&lt;0.25,
    "",
    IF($E476=0,
       CHOOSE(MATCH(RAND(),{0,0.2,0.4,0.6,0.7,0.8,0.85,0.9,0.95,1}),"B-354","B-386","B-4354","B-347","B-357","B-3471","B-34715","B-3571","B-35715"),
       IF($G476=24,
          "B-386",
          IF($G476=12,
             CHOOSE(MATCH(RAND(),{0,0.32,0.49,0.66,0.74,0.82,0.9,1}),"B-386","B-347","B-357","B-3471","B-34715","B-3571","B-35715"),
             "")
)))</f>
        <v>B-386</v>
      </c>
      <c r="I476" s="8" t="str">
        <f t="shared" ca="1" si="38"/>
        <v/>
      </c>
      <c r="J476">
        <f t="shared" ca="1" si="35"/>
        <v>60</v>
      </c>
      <c r="K476">
        <f t="shared" ca="1" si="36"/>
        <v>58.9375</v>
      </c>
      <c r="L476" s="14">
        <f t="shared" ca="1" si="37"/>
        <v>11.3125</v>
      </c>
      <c r="M476" s="14">
        <f t="shared" ca="1" si="39"/>
        <v>7.375</v>
      </c>
    </row>
    <row r="477" spans="2:13" hidden="1">
      <c r="B477" s="14" t="s">
        <v>157</v>
      </c>
      <c r="C477" s="14">
        <v>1</v>
      </c>
      <c r="D477" s="14">
        <v>0</v>
      </c>
      <c r="E477" s="14">
        <v>1</v>
      </c>
      <c r="F477" s="14">
        <v>0</v>
      </c>
      <c r="G477" s="14"/>
      <c r="H477" s="8" t="str">
        <f ca="1">IF(RAND()&lt;0.25,
    "",
    IF($E477=0,
       CHOOSE(MATCH(RAND(),{0,0.2,0.4,0.6,0.7,0.8,0.85,0.9,0.95,1}),"B-354","B-386","B-4354","B-347","B-357","B-3471","B-34715","B-3571","B-35715"),
       IF($G477=24,
          "B-386",
          IF($G477=12,
             CHOOSE(MATCH(RAND(),{0,0.32,0.49,0.66,0.74,0.82,0.9,1}),"B-386","B-347","B-357","B-3471","B-34715","B-3571","B-35715"),
             "")
)))</f>
        <v/>
      </c>
      <c r="I477" s="8" t="str">
        <f t="shared" ca="1" si="38"/>
        <v/>
      </c>
      <c r="J477">
        <f t="shared" ca="1" si="35"/>
        <v>60</v>
      </c>
      <c r="K477">
        <f t="shared" ca="1" si="36"/>
        <v>11.625</v>
      </c>
      <c r="L477" s="14">
        <f t="shared" ca="1" si="37"/>
        <v>12</v>
      </c>
      <c r="M477" s="14">
        <f t="shared" ca="1" si="39"/>
        <v>1</v>
      </c>
    </row>
    <row r="478" spans="2:13" hidden="1">
      <c r="B478" s="14" t="s">
        <v>157</v>
      </c>
      <c r="C478" s="14">
        <v>1</v>
      </c>
      <c r="D478" s="14">
        <v>0</v>
      </c>
      <c r="E478" s="14">
        <v>1</v>
      </c>
      <c r="F478" s="14">
        <v>1</v>
      </c>
      <c r="G478" s="14"/>
      <c r="H478" s="8" t="str">
        <f ca="1">IF(RAND()&lt;0.25,
    "",
    IF($E478=0,
       CHOOSE(MATCH(RAND(),{0,0.2,0.4,0.6,0.7,0.8,0.85,0.9,0.95,1}),"B-354","B-386","B-4354","B-347","B-357","B-3471","B-34715","B-3571","B-35715"),
       IF($G478=24,
          "B-386",
          IF($G478=12,
             CHOOSE(MATCH(RAND(),{0,0.32,0.49,0.66,0.74,0.82,0.9,1}),"B-386","B-347","B-357","B-3471","B-34715","B-3571","B-35715"),
             "")
)))</f>
        <v/>
      </c>
      <c r="I478" s="8" t="str">
        <f t="shared" ca="1" si="38"/>
        <v/>
      </c>
      <c r="J478">
        <f t="shared" ca="1" si="35"/>
        <v>60</v>
      </c>
      <c r="K478">
        <f t="shared" ca="1" si="36"/>
        <v>30.8125</v>
      </c>
      <c r="L478" s="14">
        <f t="shared" ca="1" si="37"/>
        <v>1</v>
      </c>
      <c r="M478" s="14">
        <f t="shared" ca="1" si="39"/>
        <v>1</v>
      </c>
    </row>
    <row r="479" spans="2:13">
      <c r="B479" s="14" t="s">
        <v>157</v>
      </c>
      <c r="C479" s="14">
        <v>1</v>
      </c>
      <c r="D479" s="14">
        <v>1</v>
      </c>
      <c r="E479" s="14">
        <v>0</v>
      </c>
      <c r="F479" s="14"/>
      <c r="G479" s="14"/>
      <c r="H479" s="8" t="str">
        <f ca="1">IF(RAND()&lt;0.25,
    "",
    IF($E479=0,
       CHOOSE(MATCH(RAND(),{0,0.2,0.4,0.6,0.7,0.8,0.85,0.9,0.95,1}),"B-354","B-386","B-4354","B-347","B-357","B-3471","B-34715","B-3571","B-35715"),
       IF($G479=24,
          "B-386",
          IF($G479=12,
             CHOOSE(MATCH(RAND(),{0,0.32,0.49,0.66,0.74,0.82,0.9,1}),"B-386","B-347","B-357","B-3471","B-34715","B-3571","B-35715"),
             "")
)))</f>
        <v/>
      </c>
      <c r="I479" s="8" t="str">
        <f t="shared" ca="1" si="38"/>
        <v/>
      </c>
      <c r="J479">
        <f t="shared" ca="1" si="35"/>
        <v>60</v>
      </c>
      <c r="K479">
        <f t="shared" ca="1" si="36"/>
        <v>53.25</v>
      </c>
      <c r="L479" s="14">
        <f t="shared" ca="1" si="37"/>
        <v>4.5</v>
      </c>
      <c r="M479" s="14">
        <f t="shared" ca="1" si="39"/>
        <v>1.125</v>
      </c>
    </row>
    <row r="480" spans="2:13">
      <c r="B480" s="14" t="s">
        <v>157</v>
      </c>
      <c r="C480" s="14">
        <v>1</v>
      </c>
      <c r="D480" s="14">
        <v>1</v>
      </c>
      <c r="E480" s="14">
        <v>1</v>
      </c>
      <c r="F480" s="14">
        <v>0</v>
      </c>
      <c r="G480" s="14">
        <v>12</v>
      </c>
      <c r="H480" s="8" t="str">
        <f ca="1">IF(RAND()&lt;0.25,
    "",
    IF($E480=0,
       CHOOSE(MATCH(RAND(),{0,0.2,0.4,0.6,0.7,0.8,0.85,0.9,0.95,1}),"B-354","B-386","B-4354","B-347","B-357","B-3471","B-34715","B-3571","B-35715"),
       IF($G480=24,
          "B-386",
          IF($G480=12,
             CHOOSE(MATCH(RAND(),{0,0.32,0.49,0.66,0.74,0.82,0.9,1}),"B-386","B-347","B-357","B-3471","B-34715","B-3571","B-35715"),
             "")
)))</f>
        <v>B-386</v>
      </c>
      <c r="I480" s="8" t="str">
        <f t="shared" ca="1" si="38"/>
        <v/>
      </c>
      <c r="J480">
        <f t="shared" ca="1" si="35"/>
        <v>60</v>
      </c>
      <c r="K480">
        <f t="shared" ca="1" si="36"/>
        <v>68.5625</v>
      </c>
      <c r="L480" s="14">
        <f t="shared" ca="1" si="37"/>
        <v>9</v>
      </c>
      <c r="M480" s="14">
        <f t="shared" ca="1" si="39"/>
        <v>6.5</v>
      </c>
    </row>
    <row r="481" spans="2:13" hidden="1">
      <c r="B481" s="14" t="s">
        <v>157</v>
      </c>
      <c r="C481" s="14">
        <v>1</v>
      </c>
      <c r="D481" s="14">
        <v>1</v>
      </c>
      <c r="E481" s="14">
        <v>1</v>
      </c>
      <c r="F481" s="14">
        <v>0</v>
      </c>
      <c r="G481" s="14">
        <v>24</v>
      </c>
      <c r="H481" s="8" t="str">
        <f ca="1">IF(RAND()&lt;0.25,
    "",
    IF($E481=0,
       CHOOSE(MATCH(RAND(),{0,0.2,0.4,0.6,0.7,0.8,0.85,0.9,0.95,1}),"B-354","B-386","B-4354","B-347","B-357","B-3471","B-34715","B-3571","B-35715"),
       IF($G481=24,
          "B-386",
          IF($G481=12,
             CHOOSE(MATCH(RAND(),{0,0.32,0.49,0.66,0.74,0.82,0.9,1}),"B-386","B-347","B-357","B-3471","B-34715","B-3571","B-35715"),
             "")
)))</f>
        <v>B-386</v>
      </c>
      <c r="I481" s="8" t="str">
        <f t="shared" ca="1" si="38"/>
        <v/>
      </c>
      <c r="J481">
        <f t="shared" ca="1" si="35"/>
        <v>60</v>
      </c>
      <c r="K481">
        <f t="shared" ca="1" si="36"/>
        <v>47.9375</v>
      </c>
      <c r="L481" s="14">
        <f t="shared" ca="1" si="37"/>
        <v>1.125</v>
      </c>
      <c r="M481" s="14">
        <f t="shared" ca="1" si="39"/>
        <v>7.75</v>
      </c>
    </row>
    <row r="482" spans="2:13" hidden="1">
      <c r="B482" s="14" t="s">
        <v>157</v>
      </c>
      <c r="C482" s="14">
        <v>1</v>
      </c>
      <c r="D482" s="14">
        <v>1</v>
      </c>
      <c r="E482" s="14">
        <v>1</v>
      </c>
      <c r="F482" s="14">
        <v>0</v>
      </c>
      <c r="G482" s="14"/>
      <c r="H482" s="8" t="str">
        <f ca="1">IF(RAND()&lt;0.25,
    "",
    IF($E482=0,
       CHOOSE(MATCH(RAND(),{0,0.2,0.4,0.6,0.7,0.8,0.85,0.9,0.95,1}),"B-354","B-386","B-4354","B-347","B-357","B-3471","B-34715","B-3571","B-35715"),
       IF($G482=24,
          "B-386",
          IF($G482=12,
             CHOOSE(MATCH(RAND(),{0,0.32,0.49,0.66,0.74,0.82,0.9,1}),"B-386","B-347","B-357","B-3471","B-34715","B-3571","B-35715"),
             "")
)))</f>
        <v/>
      </c>
      <c r="I482" s="8" t="str">
        <f t="shared" ca="1" si="38"/>
        <v/>
      </c>
      <c r="J482">
        <f t="shared" ca="1" si="35"/>
        <v>60</v>
      </c>
      <c r="K482">
        <f t="shared" ca="1" si="36"/>
        <v>36.375</v>
      </c>
      <c r="L482" s="14">
        <f t="shared" ca="1" si="37"/>
        <v>12</v>
      </c>
      <c r="M482" s="14">
        <f t="shared" ca="1" si="39"/>
        <v>6.625</v>
      </c>
    </row>
    <row r="483" spans="2:13" hidden="1">
      <c r="B483" s="14" t="s">
        <v>157</v>
      </c>
      <c r="C483" s="14">
        <v>1</v>
      </c>
      <c r="D483" s="14">
        <v>1</v>
      </c>
      <c r="E483" s="14">
        <v>1</v>
      </c>
      <c r="F483" s="14">
        <v>1</v>
      </c>
      <c r="G483" s="14"/>
      <c r="H483" s="8" t="str">
        <f ca="1">IF(RAND()&lt;0.25,
    "",
    IF($E483=0,
       CHOOSE(MATCH(RAND(),{0,0.2,0.4,0.6,0.7,0.8,0.85,0.9,0.95,1}),"B-354","B-386","B-4354","B-347","B-357","B-3471","B-34715","B-3571","B-35715"),
       IF($G483=24,
          "B-386",
          IF($G483=12,
             CHOOSE(MATCH(RAND(),{0,0.32,0.49,0.66,0.74,0.82,0.9,1}),"B-386","B-347","B-357","B-3471","B-34715","B-3571","B-35715"),
             "")
)))</f>
        <v/>
      </c>
      <c r="I483" s="8" t="str">
        <f t="shared" ca="1" si="38"/>
        <v/>
      </c>
      <c r="J483">
        <f t="shared" ca="1" si="35"/>
        <v>60</v>
      </c>
      <c r="K483">
        <f t="shared" ca="1" si="36"/>
        <v>66.875</v>
      </c>
      <c r="L483" s="14">
        <f t="shared" ca="1" si="37"/>
        <v>4.8125</v>
      </c>
      <c r="M483" s="14">
        <f t="shared" ca="1" si="39"/>
        <v>7.9375</v>
      </c>
    </row>
    <row r="484" spans="2:13">
      <c r="B484" s="14" t="s">
        <v>21</v>
      </c>
      <c r="C484" s="14">
        <v>0</v>
      </c>
      <c r="D484" s="14"/>
      <c r="E484" s="14">
        <v>0</v>
      </c>
      <c r="F484" s="14"/>
      <c r="G484" s="14"/>
      <c r="H484" s="8" t="str">
        <f ca="1">IF(RAND()&lt;0.25,
    "",
    IF($E484=0,
       CHOOSE(MATCH(RAND(),{0,0.2,0.4,0.6,0.7,0.8,0.85,0.9,0.95,1}),"B-354","B-386","B-4354","B-347","B-357","B-3471","B-34715","B-3571","B-35715"),
       IF($G484=24,
          "B-386",
          IF($G484=12,
             CHOOSE(MATCH(RAND(),{0,0.32,0.49,0.66,0.74,0.82,0.9,1}),"B-386","B-347","B-357","B-3471","B-34715","B-3571","B-35715"),
             "")
)))</f>
        <v>B-357</v>
      </c>
      <c r="I484" s="8" t="str">
        <f t="shared" ca="1" si="38"/>
        <v/>
      </c>
      <c r="J484">
        <f t="shared" ca="1" si="35"/>
        <v>96</v>
      </c>
      <c r="K484">
        <f t="shared" ca="1" si="36"/>
        <v>49.3125</v>
      </c>
      <c r="L484" s="14">
        <f t="shared" ca="1" si="37"/>
        <v>9</v>
      </c>
      <c r="M484" s="14">
        <f t="shared" ca="1" si="39"/>
        <v>7.375</v>
      </c>
    </row>
    <row r="485" spans="2:13">
      <c r="B485" s="14" t="s">
        <v>21</v>
      </c>
      <c r="C485" s="14">
        <v>0</v>
      </c>
      <c r="D485" s="14"/>
      <c r="E485" s="14">
        <v>1</v>
      </c>
      <c r="F485" s="14">
        <v>0</v>
      </c>
      <c r="G485" s="14">
        <v>12</v>
      </c>
      <c r="H485" s="8" t="str">
        <f ca="1">IF(RAND()&lt;0.25,
    "",
    IF($E485=0,
       CHOOSE(MATCH(RAND(),{0,0.2,0.4,0.6,0.7,0.8,0.85,0.9,0.95,1}),"B-354","B-386","B-4354","B-347","B-357","B-3471","B-34715","B-3571","B-35715"),
       IF($G485=24,
          "B-386",
          IF($G485=12,
             CHOOSE(MATCH(RAND(),{0,0.32,0.49,0.66,0.74,0.82,0.9,1}),"B-386","B-347","B-357","B-3471","B-34715","B-3571","B-35715"),
             "")
)))</f>
        <v>B-386</v>
      </c>
      <c r="I485" s="8" t="str">
        <f t="shared" ca="1" si="38"/>
        <v/>
      </c>
      <c r="J485">
        <f t="shared" ca="1" si="35"/>
        <v>74.25</v>
      </c>
      <c r="K485">
        <f t="shared" ca="1" si="36"/>
        <v>80</v>
      </c>
      <c r="L485" s="14">
        <f t="shared" ca="1" si="37"/>
        <v>12</v>
      </c>
      <c r="M485" s="14">
        <f t="shared" ca="1" si="39"/>
        <v>8.5</v>
      </c>
    </row>
    <row r="486" spans="2:13">
      <c r="B486" s="14" t="s">
        <v>21</v>
      </c>
      <c r="C486" s="14">
        <v>0</v>
      </c>
      <c r="D486" s="14"/>
      <c r="E486" s="14">
        <v>1</v>
      </c>
      <c r="F486" s="14">
        <v>0</v>
      </c>
      <c r="G486" s="14">
        <v>24</v>
      </c>
      <c r="H486" s="8" t="str">
        <f ca="1">IF(RAND()&lt;0.25,
    "",
    IF($E486=0,
       CHOOSE(MATCH(RAND(),{0,0.2,0.4,0.6,0.7,0.8,0.85,0.9,0.95,1}),"B-354","B-386","B-4354","B-347","B-357","B-3471","B-34715","B-3571","B-35715"),
       IF($G486=24,
          "B-386",
          IF($G486=12,
             CHOOSE(MATCH(RAND(),{0,0.32,0.49,0.66,0.74,0.82,0.9,1}),"B-386","B-347","B-357","B-3471","B-34715","B-3571","B-35715"),
             "")
)))</f>
        <v>B-386</v>
      </c>
      <c r="I486" s="8" t="str">
        <f t="shared" ca="1" si="38"/>
        <v/>
      </c>
      <c r="J486">
        <f t="shared" ca="1" si="35"/>
        <v>96</v>
      </c>
      <c r="K486">
        <f t="shared" ca="1" si="36"/>
        <v>69.0625</v>
      </c>
      <c r="L486" s="14">
        <f t="shared" ca="1" si="37"/>
        <v>12</v>
      </c>
      <c r="M486" s="14" t="str">
        <f t="shared" ca="1" si="39"/>
        <v/>
      </c>
    </row>
    <row r="487" spans="2:13" hidden="1">
      <c r="B487" s="14" t="s">
        <v>21</v>
      </c>
      <c r="C487" s="14">
        <v>0</v>
      </c>
      <c r="D487" s="14"/>
      <c r="E487" s="14">
        <v>1</v>
      </c>
      <c r="F487" s="14">
        <v>0</v>
      </c>
      <c r="G487" s="14"/>
      <c r="H487" s="8" t="str">
        <f ca="1">IF(RAND()&lt;0.25,
    "",
    IF($E487=0,
       CHOOSE(MATCH(RAND(),{0,0.2,0.4,0.6,0.7,0.8,0.85,0.9,0.95,1}),"B-354","B-386","B-4354","B-347","B-357","B-3471","B-34715","B-3571","B-35715"),
       IF($G487=24,
          "B-386",
          IF($G487=12,
             CHOOSE(MATCH(RAND(),{0,0.32,0.49,0.66,0.74,0.82,0.9,1}),"B-386","B-347","B-357","B-3471","B-34715","B-3571","B-35715"),
             "")
)))</f>
        <v/>
      </c>
      <c r="I487" s="8" t="str">
        <f t="shared" ca="1" si="38"/>
        <v/>
      </c>
      <c r="J487">
        <f t="shared" ca="1" si="35"/>
        <v>96</v>
      </c>
      <c r="K487">
        <f t="shared" ca="1" si="36"/>
        <v>67.0625</v>
      </c>
      <c r="L487" s="14">
        <f t="shared" ca="1" si="37"/>
        <v>1</v>
      </c>
      <c r="M487" s="14">
        <f t="shared" ca="1" si="39"/>
        <v>7.6875</v>
      </c>
    </row>
    <row r="488" spans="2:13" hidden="1">
      <c r="B488" s="14" t="s">
        <v>21</v>
      </c>
      <c r="C488" s="14">
        <v>0</v>
      </c>
      <c r="D488" s="14"/>
      <c r="E488" s="14">
        <v>1</v>
      </c>
      <c r="F488" s="14">
        <v>1</v>
      </c>
      <c r="G488" s="14"/>
      <c r="H488" s="8" t="str">
        <f ca="1">IF(RAND()&lt;0.25,
    "",
    IF($E488=0,
       CHOOSE(MATCH(RAND(),{0,0.2,0.4,0.6,0.7,0.8,0.85,0.9,0.95,1}),"B-354","B-386","B-4354","B-347","B-357","B-3471","B-34715","B-3571","B-35715"),
       IF($G488=24,
          "B-386",
          IF($G488=12,
             CHOOSE(MATCH(RAND(),{0,0.32,0.49,0.66,0.74,0.82,0.9,1}),"B-386","B-347","B-357","B-3471","B-34715","B-3571","B-35715"),
             "")
)))</f>
        <v/>
      </c>
      <c r="I488" s="8" t="str">
        <f t="shared" ca="1" si="38"/>
        <v/>
      </c>
      <c r="J488">
        <f t="shared" ca="1" si="35"/>
        <v>94.3125</v>
      </c>
      <c r="K488">
        <f t="shared" ca="1" si="36"/>
        <v>27.375</v>
      </c>
      <c r="L488" s="14">
        <f t="shared" ca="1" si="37"/>
        <v>1.875</v>
      </c>
      <c r="M488" s="14" t="str">
        <f t="shared" ca="1" si="39"/>
        <v/>
      </c>
    </row>
    <row r="489" spans="2:13">
      <c r="B489" s="14" t="s">
        <v>21</v>
      </c>
      <c r="C489" s="14">
        <v>1</v>
      </c>
      <c r="D489" s="14">
        <v>0</v>
      </c>
      <c r="E489" s="14">
        <v>0</v>
      </c>
      <c r="F489" s="14"/>
      <c r="G489" s="14"/>
      <c r="H489" s="8" t="str">
        <f ca="1">IF(RAND()&lt;0.25,
    "",
    IF($E489=0,
       CHOOSE(MATCH(RAND(),{0,0.2,0.4,0.6,0.7,0.8,0.85,0.9,0.95,1}),"B-354","B-386","B-4354","B-347","B-357","B-3471","B-34715","B-3571","B-35715"),
       IF($G489=24,
          "B-386",
          IF($G489=12,
             CHOOSE(MATCH(RAND(),{0,0.32,0.49,0.66,0.74,0.82,0.9,1}),"B-386","B-347","B-357","B-3471","B-34715","B-3571","B-35715"),
             "")
)))</f>
        <v>B-386</v>
      </c>
      <c r="I489" s="8" t="str">
        <f t="shared" ca="1" si="38"/>
        <v/>
      </c>
      <c r="J489">
        <f t="shared" ca="1" si="35"/>
        <v>60.9375</v>
      </c>
      <c r="K489">
        <f t="shared" ca="1" si="36"/>
        <v>79.75</v>
      </c>
      <c r="L489" s="14">
        <f t="shared" ca="1" si="37"/>
        <v>1</v>
      </c>
      <c r="M489" s="14">
        <f t="shared" ca="1" si="39"/>
        <v>5.4375</v>
      </c>
    </row>
    <row r="490" spans="2:13">
      <c r="B490" s="14" t="s">
        <v>21</v>
      </c>
      <c r="C490" s="14">
        <v>1</v>
      </c>
      <c r="D490" s="14">
        <v>0</v>
      </c>
      <c r="E490" s="14">
        <v>1</v>
      </c>
      <c r="F490" s="14">
        <v>0</v>
      </c>
      <c r="G490" s="14">
        <v>12</v>
      </c>
      <c r="H490" s="8" t="str">
        <f ca="1">IF(RAND()&lt;0.25,
    "",
    IF($E490=0,
       CHOOSE(MATCH(RAND(),{0,0.2,0.4,0.6,0.7,0.8,0.85,0.9,0.95,1}),"B-354","B-386","B-4354","B-347","B-357","B-3471","B-34715","B-3571","B-35715"),
       IF($G490=24,
          "B-386",
          IF($G490=12,
             CHOOSE(MATCH(RAND(),{0,0.32,0.49,0.66,0.74,0.82,0.9,1}),"B-386","B-347","B-357","B-3471","B-34715","B-3571","B-35715"),
             "")
)))</f>
        <v/>
      </c>
      <c r="I490" s="8" t="str">
        <f t="shared" ca="1" si="38"/>
        <v/>
      </c>
      <c r="J490">
        <f t="shared" ca="1" si="35"/>
        <v>50.4375</v>
      </c>
      <c r="K490">
        <f t="shared" ca="1" si="36"/>
        <v>59.25</v>
      </c>
      <c r="L490" s="14">
        <f t="shared" ca="1" si="37"/>
        <v>4.5</v>
      </c>
      <c r="M490" s="14" t="str">
        <f t="shared" ca="1" si="39"/>
        <v/>
      </c>
    </row>
    <row r="491" spans="2:13">
      <c r="B491" s="14" t="s">
        <v>21</v>
      </c>
      <c r="C491" s="14">
        <v>1</v>
      </c>
      <c r="D491" s="14">
        <v>0</v>
      </c>
      <c r="E491" s="14">
        <v>1</v>
      </c>
      <c r="F491" s="14">
        <v>0</v>
      </c>
      <c r="G491" s="14">
        <v>24</v>
      </c>
      <c r="H491" s="8" t="str">
        <f ca="1">IF(RAND()&lt;0.25,
    "",
    IF($E491=0,
       CHOOSE(MATCH(RAND(),{0,0.2,0.4,0.6,0.7,0.8,0.85,0.9,0.95,1}),"B-354","B-386","B-4354","B-347","B-357","B-3471","B-34715","B-3571","B-35715"),
       IF($G491=24,
          "B-386",
          IF($G491=12,
             CHOOSE(MATCH(RAND(),{0,0.32,0.49,0.66,0.74,0.82,0.9,1}),"B-386","B-347","B-357","B-3471","B-34715","B-3571","B-35715"),
             "")
)))</f>
        <v>B-386</v>
      </c>
      <c r="I491" s="8" t="str">
        <f t="shared" ca="1" si="38"/>
        <v/>
      </c>
      <c r="J491">
        <f t="shared" ca="1" si="35"/>
        <v>41.9375</v>
      </c>
      <c r="K491">
        <f t="shared" ca="1" si="36"/>
        <v>72.8125</v>
      </c>
      <c r="L491" s="14">
        <f t="shared" ca="1" si="37"/>
        <v>11.5625</v>
      </c>
      <c r="M491" s="14">
        <f t="shared" ca="1" si="39"/>
        <v>4.9375</v>
      </c>
    </row>
    <row r="492" spans="2:13" hidden="1">
      <c r="B492" s="14" t="s">
        <v>21</v>
      </c>
      <c r="C492" s="14">
        <v>1</v>
      </c>
      <c r="D492" s="14">
        <v>0</v>
      </c>
      <c r="E492" s="14">
        <v>1</v>
      </c>
      <c r="F492" s="14">
        <v>0</v>
      </c>
      <c r="G492" s="14"/>
      <c r="H492" s="8" t="str">
        <f ca="1">IF(RAND()&lt;0.25,
    "",
    IF($E492=0,
       CHOOSE(MATCH(RAND(),{0,0.2,0.4,0.6,0.7,0.8,0.85,0.9,0.95,1}),"B-354","B-386","B-4354","B-347","B-357","B-3471","B-34715","B-3571","B-35715"),
       IF($G492=24,
          "B-386",
          IF($G492=12,
             CHOOSE(MATCH(RAND(),{0,0.32,0.49,0.66,0.74,0.82,0.9,1}),"B-386","B-347","B-357","B-3471","B-34715","B-3571","B-35715"),
             "")
)))</f>
        <v/>
      </c>
      <c r="I492" s="8" t="str">
        <f t="shared" ca="1" si="38"/>
        <v/>
      </c>
      <c r="J492">
        <f t="shared" ca="1" si="35"/>
        <v>109.6875</v>
      </c>
      <c r="K492">
        <f t="shared" ca="1" si="36"/>
        <v>18.8125</v>
      </c>
      <c r="L492" s="14">
        <f t="shared" ca="1" si="37"/>
        <v>1</v>
      </c>
      <c r="M492" s="14" t="str">
        <f t="shared" ca="1" si="39"/>
        <v/>
      </c>
    </row>
    <row r="493" spans="2:13" hidden="1">
      <c r="B493" s="14" t="s">
        <v>21</v>
      </c>
      <c r="C493" s="14">
        <v>1</v>
      </c>
      <c r="D493" s="14">
        <v>0</v>
      </c>
      <c r="E493" s="14">
        <v>1</v>
      </c>
      <c r="F493" s="14">
        <v>1</v>
      </c>
      <c r="G493" s="14"/>
      <c r="H493" s="8" t="str">
        <f ca="1">IF(RAND()&lt;0.25,
    "",
    IF($E493=0,
       CHOOSE(MATCH(RAND(),{0,0.2,0.4,0.6,0.7,0.8,0.85,0.9,0.95,1}),"B-354","B-386","B-4354","B-347","B-357","B-3471","B-34715","B-3571","B-35715"),
       IF($G493=24,
          "B-386",
          IF($G493=12,
             CHOOSE(MATCH(RAND(),{0,0.32,0.49,0.66,0.74,0.82,0.9,1}),"B-386","B-347","B-357","B-3471","B-34715","B-3571","B-35715"),
             "")
)))</f>
        <v/>
      </c>
      <c r="I493" s="8" t="str">
        <f t="shared" ca="1" si="38"/>
        <v/>
      </c>
      <c r="J493">
        <f t="shared" ca="1" si="35"/>
        <v>87.5625</v>
      </c>
      <c r="K493">
        <f t="shared" ca="1" si="36"/>
        <v>69.625</v>
      </c>
      <c r="L493" s="14">
        <f t="shared" ca="1" si="37"/>
        <v>1</v>
      </c>
      <c r="M493" s="14">
        <f t="shared" ca="1" si="39"/>
        <v>3.375</v>
      </c>
    </row>
    <row r="494" spans="2:13" hidden="1">
      <c r="B494" s="14" t="s">
        <v>21</v>
      </c>
      <c r="C494" s="14">
        <v>1</v>
      </c>
      <c r="D494" s="14">
        <v>1</v>
      </c>
      <c r="E494" s="14">
        <v>0</v>
      </c>
      <c r="F494" s="14"/>
      <c r="G494" s="14"/>
      <c r="H494" s="8" t="str">
        <f ca="1">IF(RAND()&lt;0.25,
    "",
    IF($E494=0,
       CHOOSE(MATCH(RAND(),{0,0.2,0.4,0.6,0.7,0.8,0.85,0.9,0.95,1}),"B-354","B-386","B-4354","B-347","B-357","B-3471","B-34715","B-3571","B-35715"),
       IF($G494=24,
          "B-386",
          IF($G494=12,
             CHOOSE(MATCH(RAND(),{0,0.32,0.49,0.66,0.74,0.82,0.9,1}),"B-386","B-347","B-357","B-3471","B-34715","B-3571","B-35715"),
             "")
)))</f>
        <v/>
      </c>
      <c r="I494" s="8" t="str">
        <f t="shared" ca="1" si="38"/>
        <v/>
      </c>
      <c r="J494">
        <f t="shared" ca="1" si="35"/>
        <v>106.375</v>
      </c>
      <c r="K494">
        <f t="shared" ca="1" si="36"/>
        <v>18.5</v>
      </c>
      <c r="L494" s="14">
        <f t="shared" ca="1" si="37"/>
        <v>12</v>
      </c>
      <c r="M494" s="14">
        <f t="shared" ca="1" si="39"/>
        <v>1</v>
      </c>
    </row>
    <row r="495" spans="2:13">
      <c r="B495" s="14" t="s">
        <v>21</v>
      </c>
      <c r="C495" s="14">
        <v>1</v>
      </c>
      <c r="D495" s="14">
        <v>1</v>
      </c>
      <c r="E495" s="14">
        <v>1</v>
      </c>
      <c r="F495" s="14">
        <v>0</v>
      </c>
      <c r="G495" s="14">
        <v>12</v>
      </c>
      <c r="H495" s="8" t="str">
        <f ca="1">IF(RAND()&lt;0.25,
    "",
    IF($E495=0,
       CHOOSE(MATCH(RAND(),{0,0.2,0.4,0.6,0.7,0.8,0.85,0.9,0.95,1}),"B-354","B-386","B-4354","B-347","B-357","B-3471","B-34715","B-3571","B-35715"),
       IF($G495=24,
          "B-386",
          IF($G495=12,
             CHOOSE(MATCH(RAND(),{0,0.32,0.49,0.66,0.74,0.82,0.9,1}),"B-386","B-347","B-357","B-3471","B-34715","B-3571","B-35715"),
             "")
)))</f>
        <v>B-347</v>
      </c>
      <c r="I495" s="8" t="str">
        <f t="shared" ca="1" si="38"/>
        <v/>
      </c>
      <c r="J495">
        <f t="shared" ca="1" si="35"/>
        <v>65.6875</v>
      </c>
      <c r="K495">
        <f t="shared" ca="1" si="36"/>
        <v>47.5625</v>
      </c>
      <c r="L495" s="14">
        <f t="shared" ca="1" si="37"/>
        <v>12</v>
      </c>
      <c r="M495" s="14">
        <f t="shared" ca="1" si="39"/>
        <v>7.875</v>
      </c>
    </row>
    <row r="496" spans="2:13">
      <c r="B496" s="14" t="s">
        <v>21</v>
      </c>
      <c r="C496" s="14">
        <v>1</v>
      </c>
      <c r="D496" s="14">
        <v>1</v>
      </c>
      <c r="E496" s="14">
        <v>1</v>
      </c>
      <c r="F496" s="14">
        <v>0</v>
      </c>
      <c r="G496" s="14">
        <v>24</v>
      </c>
      <c r="H496" s="8" t="str">
        <f ca="1">IF(RAND()&lt;0.25,
    "",
    IF($E496=0,
       CHOOSE(MATCH(RAND(),{0,0.2,0.4,0.6,0.7,0.8,0.85,0.9,0.95,1}),"B-354","B-386","B-4354","B-347","B-357","B-3471","B-34715","B-3571","B-35715"),
       IF($G496=24,
          "B-386",
          IF($G496=12,
             CHOOSE(MATCH(RAND(),{0,0.32,0.49,0.66,0.74,0.82,0.9,1}),"B-386","B-347","B-357","B-3471","B-34715","B-3571","B-35715"),
             "")
)))</f>
        <v>B-386</v>
      </c>
      <c r="I496" s="8" t="str">
        <f t="shared" ca="1" si="38"/>
        <v/>
      </c>
      <c r="J496">
        <f t="shared" ca="1" si="35"/>
        <v>96</v>
      </c>
      <c r="K496">
        <f t="shared" ca="1" si="36"/>
        <v>54</v>
      </c>
      <c r="L496" s="14">
        <f t="shared" ca="1" si="37"/>
        <v>4.9375</v>
      </c>
      <c r="M496" s="14">
        <f t="shared" ca="1" si="39"/>
        <v>7.875</v>
      </c>
    </row>
    <row r="497" spans="2:13" hidden="1">
      <c r="B497" s="14" t="s">
        <v>21</v>
      </c>
      <c r="C497" s="14">
        <v>1</v>
      </c>
      <c r="D497" s="14">
        <v>1</v>
      </c>
      <c r="E497" s="14">
        <v>1</v>
      </c>
      <c r="F497" s="14">
        <v>0</v>
      </c>
      <c r="G497" s="14"/>
      <c r="H497" s="8" t="str">
        <f ca="1">IF(RAND()&lt;0.25,
    "",
    IF($E497=0,
       CHOOSE(MATCH(RAND(),{0,0.2,0.4,0.6,0.7,0.8,0.85,0.9,0.95,1}),"B-354","B-386","B-4354","B-347","B-357","B-3471","B-34715","B-3571","B-35715"),
       IF($G497=24,
          "B-386",
          IF($G497=12,
             CHOOSE(MATCH(RAND(),{0,0.32,0.49,0.66,0.74,0.82,0.9,1}),"B-386","B-347","B-357","B-3471","B-34715","B-3571","B-35715"),
             "")
)))</f>
        <v/>
      </c>
      <c r="I497" s="8" t="str">
        <f t="shared" ca="1" si="38"/>
        <v/>
      </c>
      <c r="J497">
        <f t="shared" ref="J497:J560" ca="1" si="40">IF(B497="BOTTOM",
   60,
   IF(B497="TOP",
      RANDBETWEEN(3*16,50*16)/16,
      IF(B497="WHOLE",
         IF(RAND()&lt;0.75,
            RANDBETWEEN(36*16,110*16)/16,
            96
         ),
         ""
      )
   )
)</f>
        <v>93</v>
      </c>
      <c r="K497">
        <f t="shared" ref="K497:K560" ca="1" si="41">_xlfn.LET(
_xlpm.minVal, IF($H497&lt;&gt;"",40,5),
RANDBETWEEN(_xlpm.minVal*16,80*16)/16
)</f>
        <v>72.6875</v>
      </c>
      <c r="L497" s="14">
        <f t="shared" ca="1" si="37"/>
        <v>2.875</v>
      </c>
      <c r="M497" s="14">
        <f t="shared" ca="1" si="39"/>
        <v>5</v>
      </c>
    </row>
    <row r="498" spans="2:13" ht="15" hidden="1" thickBot="1">
      <c r="B498" s="50" t="s">
        <v>21</v>
      </c>
      <c r="C498" s="50">
        <v>1</v>
      </c>
      <c r="D498" s="50">
        <v>1</v>
      </c>
      <c r="E498" s="50">
        <v>1</v>
      </c>
      <c r="F498" s="50">
        <v>1</v>
      </c>
      <c r="G498" s="50"/>
      <c r="H498" s="51" t="str">
        <f ca="1">IF(RAND()&lt;0.25,
    "",
    IF($E498=0,
       CHOOSE(MATCH(RAND(),{0,0.2,0.4,0.6,0.7,0.8,0.85,0.9,0.95,1}),"B-354","B-386","B-4354","B-347","B-357","B-3471","B-34715","B-3571","B-35715"),
       IF($G498=24,
          "B-386",
          IF($G498=12,
             CHOOSE(MATCH(RAND(),{0,0.32,0.49,0.66,0.74,0.82,0.9,1}),"B-386","B-347","B-357","B-3471","B-34715","B-3571","B-35715"),
             "")
)))</f>
        <v/>
      </c>
      <c r="I498" s="51" t="str">
        <f t="shared" ca="1" si="38"/>
        <v/>
      </c>
      <c r="J498" s="49">
        <f t="shared" ca="1" si="40"/>
        <v>38.375</v>
      </c>
      <c r="K498" s="49">
        <f t="shared" ca="1" si="41"/>
        <v>17.9375</v>
      </c>
      <c r="L498" s="50">
        <f t="shared" ca="1" si="37"/>
        <v>1</v>
      </c>
      <c r="M498" s="14" t="str">
        <f t="shared" ca="1" si="39"/>
        <v/>
      </c>
    </row>
    <row r="499" spans="2:13">
      <c r="B499" s="14" t="s">
        <v>156</v>
      </c>
      <c r="C499" s="19">
        <v>0</v>
      </c>
      <c r="D499" s="19"/>
      <c r="E499" s="19">
        <v>0</v>
      </c>
      <c r="F499" s="19"/>
      <c r="G499" s="14"/>
      <c r="H499" s="8" t="str">
        <f ca="1">IF(RAND()&lt;0.25,
    "",
    IF($E499=0,
       CHOOSE(MATCH(RAND(),{0,0.2,0.4,0.6,0.7,0.8,0.85,0.9,0.95,1}),"B-354","B-386","B-4354","B-347","B-357","B-3471","B-34715","B-3571","B-35715"),
       IF($G499=24,
          "B-386",
          IF($G499=12,
             CHOOSE(MATCH(RAND(),{0,0.32,0.49,0.66,0.74,0.82,0.9,1}),"B-386","B-347","B-357","B-3471","B-34715","B-3571","B-35715"),
             "")
)))</f>
        <v>B-354</v>
      </c>
      <c r="I499" s="8" t="str">
        <f t="shared" ca="1" si="38"/>
        <v>B-386</v>
      </c>
      <c r="J499">
        <f t="shared" ca="1" si="40"/>
        <v>24.0625</v>
      </c>
      <c r="K499">
        <f t="shared" ca="1" si="41"/>
        <v>65.0625</v>
      </c>
      <c r="L499" s="14">
        <f t="shared" ca="1" si="37"/>
        <v>9</v>
      </c>
      <c r="M499" s="14" t="str">
        <f t="shared" ca="1" si="39"/>
        <v/>
      </c>
    </row>
    <row r="500" spans="2:13">
      <c r="B500" s="14" t="s">
        <v>156</v>
      </c>
      <c r="C500" s="14">
        <v>0</v>
      </c>
      <c r="D500" s="14"/>
      <c r="E500" s="14">
        <v>1</v>
      </c>
      <c r="F500" s="14">
        <v>0</v>
      </c>
      <c r="G500" s="14">
        <v>12</v>
      </c>
      <c r="H500" s="8" t="str">
        <f ca="1">IF(RAND()&lt;0.25,
    "",
    IF($E500=0,
       CHOOSE(MATCH(RAND(),{0,0.2,0.4,0.6,0.7,0.8,0.85,0.9,0.95,1}),"B-354","B-386","B-4354","B-347","B-357","B-3471","B-34715","B-3571","B-35715"),
       IF($G500=24,
          "B-386",
          IF($G500=12,
             CHOOSE(MATCH(RAND(),{0,0.32,0.49,0.66,0.74,0.82,0.9,1}),"B-386","B-347","B-357","B-3471","B-34715","B-3571","B-35715"),
             "")
)))</f>
        <v>B-357</v>
      </c>
      <c r="I500" s="8" t="str">
        <f t="shared" ca="1" si="38"/>
        <v/>
      </c>
      <c r="J500">
        <f t="shared" ca="1" si="40"/>
        <v>7.1875</v>
      </c>
      <c r="K500">
        <f t="shared" ca="1" si="41"/>
        <v>73.5625</v>
      </c>
      <c r="L500" s="14">
        <f t="shared" ca="1" si="37"/>
        <v>9</v>
      </c>
      <c r="M500" s="14">
        <f t="shared" ca="1" si="39"/>
        <v>2</v>
      </c>
    </row>
    <row r="501" spans="2:13">
      <c r="B501" s="14" t="s">
        <v>156</v>
      </c>
      <c r="C501" s="14">
        <v>0</v>
      </c>
      <c r="D501" s="14"/>
      <c r="E501" s="14">
        <v>1</v>
      </c>
      <c r="F501" s="14">
        <v>0</v>
      </c>
      <c r="G501" s="14">
        <v>24</v>
      </c>
      <c r="H501" s="8" t="str">
        <f ca="1">IF(RAND()&lt;0.25,
    "",
    IF($E501=0,
       CHOOSE(MATCH(RAND(),{0,0.2,0.4,0.6,0.7,0.8,0.85,0.9,0.95,1}),"B-354","B-386","B-4354","B-347","B-357","B-3471","B-34715","B-3571","B-35715"),
       IF($G501=24,
          "B-386",
          IF($G501=12,
             CHOOSE(MATCH(RAND(),{0,0.32,0.49,0.66,0.74,0.82,0.9,1}),"B-386","B-347","B-357","B-3471","B-34715","B-3571","B-35715"),
             "")
)))</f>
        <v>B-386</v>
      </c>
      <c r="I501" s="8" t="str">
        <f t="shared" ca="1" si="38"/>
        <v/>
      </c>
      <c r="J501">
        <f t="shared" ca="1" si="40"/>
        <v>25.8125</v>
      </c>
      <c r="K501">
        <f t="shared" ca="1" si="41"/>
        <v>56.1875</v>
      </c>
      <c r="L501" s="14">
        <f t="shared" ca="1" si="37"/>
        <v>12</v>
      </c>
      <c r="M501" s="14">
        <f t="shared" ca="1" si="39"/>
        <v>1</v>
      </c>
    </row>
    <row r="502" spans="2:13" hidden="1">
      <c r="B502" s="14" t="s">
        <v>156</v>
      </c>
      <c r="C502" s="14">
        <v>0</v>
      </c>
      <c r="D502" s="14"/>
      <c r="E502" s="14">
        <v>1</v>
      </c>
      <c r="F502" s="14">
        <v>0</v>
      </c>
      <c r="G502" s="14"/>
      <c r="H502" s="8" t="str">
        <f ca="1">IF(RAND()&lt;0.25,
    "",
    IF($E502=0,
       CHOOSE(MATCH(RAND(),{0,0.2,0.4,0.6,0.7,0.8,0.85,0.9,0.95,1}),"B-354","B-386","B-4354","B-347","B-357","B-3471","B-34715","B-3571","B-35715"),
       IF($G502=24,
          "B-386",
          IF($G502=12,
             CHOOSE(MATCH(RAND(),{0,0.32,0.49,0.66,0.74,0.82,0.9,1}),"B-386","B-347","B-357","B-3471","B-34715","B-3571","B-35715"),
             "")
)))</f>
        <v/>
      </c>
      <c r="I502" s="8" t="str">
        <f t="shared" ca="1" si="38"/>
        <v/>
      </c>
      <c r="J502">
        <f t="shared" ca="1" si="40"/>
        <v>21.625</v>
      </c>
      <c r="K502">
        <f t="shared" ca="1" si="41"/>
        <v>78.4375</v>
      </c>
      <c r="L502" s="14">
        <f t="shared" ca="1" si="37"/>
        <v>12</v>
      </c>
      <c r="M502" s="14">
        <f t="shared" ca="1" si="39"/>
        <v>3.3125</v>
      </c>
    </row>
    <row r="503" spans="2:13" hidden="1">
      <c r="B503" s="14" t="s">
        <v>156</v>
      </c>
      <c r="C503" s="14">
        <v>0</v>
      </c>
      <c r="D503" s="14"/>
      <c r="E503" s="14">
        <v>1</v>
      </c>
      <c r="F503" s="14">
        <v>1</v>
      </c>
      <c r="G503" s="14"/>
      <c r="H503" s="8" t="str">
        <f ca="1">IF(RAND()&lt;0.25,
    "",
    IF($E503=0,
       CHOOSE(MATCH(RAND(),{0,0.2,0.4,0.6,0.7,0.8,0.85,0.9,0.95,1}),"B-354","B-386","B-4354","B-347","B-357","B-3471","B-34715","B-3571","B-35715"),
       IF($G503=24,
          "B-386",
          IF($G503=12,
             CHOOSE(MATCH(RAND(),{0,0.32,0.49,0.66,0.74,0.82,0.9,1}),"B-386","B-347","B-357","B-3471","B-34715","B-3571","B-35715"),
             "")
)))</f>
        <v/>
      </c>
      <c r="I503" s="8" t="str">
        <f t="shared" ca="1" si="38"/>
        <v/>
      </c>
      <c r="J503">
        <f t="shared" ca="1" si="40"/>
        <v>41.3125</v>
      </c>
      <c r="K503">
        <f t="shared" ca="1" si="41"/>
        <v>77.875</v>
      </c>
      <c r="L503" s="14">
        <f t="shared" ca="1" si="37"/>
        <v>9</v>
      </c>
      <c r="M503" s="14">
        <f t="shared" ca="1" si="39"/>
        <v>7.75</v>
      </c>
    </row>
    <row r="504" spans="2:13" hidden="1">
      <c r="B504" s="14" t="s">
        <v>156</v>
      </c>
      <c r="C504" s="14">
        <v>1</v>
      </c>
      <c r="D504" s="14">
        <v>0</v>
      </c>
      <c r="E504" s="14">
        <v>0</v>
      </c>
      <c r="F504" s="14"/>
      <c r="G504" s="14"/>
      <c r="H504" s="8" t="str">
        <f ca="1">IF(RAND()&lt;0.25,
    "",
    IF($E504=0,
       CHOOSE(MATCH(RAND(),{0,0.2,0.4,0.6,0.7,0.8,0.85,0.9,0.95,1}),"B-354","B-386","B-4354","B-347","B-357","B-3471","B-34715","B-3571","B-35715"),
       IF($G504=24,
          "B-386",
          IF($G504=12,
             CHOOSE(MATCH(RAND(),{0,0.32,0.49,0.66,0.74,0.82,0.9,1}),"B-386","B-347","B-357","B-3471","B-34715","B-3571","B-35715"),
             "")
)))</f>
        <v>B-347</v>
      </c>
      <c r="I504" s="8" t="str">
        <f t="shared" ca="1" si="38"/>
        <v/>
      </c>
      <c r="J504">
        <f t="shared" ca="1" si="40"/>
        <v>33.9375</v>
      </c>
      <c r="K504">
        <f t="shared" ca="1" si="41"/>
        <v>71.9375</v>
      </c>
      <c r="L504" s="14">
        <f t="shared" ca="1" si="37"/>
        <v>12</v>
      </c>
      <c r="M504" s="14">
        <f t="shared" ca="1" si="39"/>
        <v>5.8125</v>
      </c>
    </row>
    <row r="505" spans="2:13">
      <c r="B505" s="14" t="s">
        <v>156</v>
      </c>
      <c r="C505" s="14">
        <v>1</v>
      </c>
      <c r="D505" s="14">
        <v>0</v>
      </c>
      <c r="E505" s="14">
        <v>1</v>
      </c>
      <c r="F505" s="14">
        <v>0</v>
      </c>
      <c r="G505" s="14">
        <v>12</v>
      </c>
      <c r="H505" s="8" t="str">
        <f ca="1">IF(RAND()&lt;0.25,
    "",
    IF($E505=0,
       CHOOSE(MATCH(RAND(),{0,0.2,0.4,0.6,0.7,0.8,0.85,0.9,0.95,1}),"B-354","B-386","B-4354","B-347","B-357","B-3471","B-34715","B-3571","B-35715"),
       IF($G505=24,
          "B-386",
          IF($G505=12,
             CHOOSE(MATCH(RAND(),{0,0.32,0.49,0.66,0.74,0.82,0.9,1}),"B-386","B-347","B-357","B-3471","B-34715","B-3571","B-35715"),
             "")
)))</f>
        <v>B-386</v>
      </c>
      <c r="I505" s="8" t="str">
        <f t="shared" ca="1" si="38"/>
        <v/>
      </c>
      <c r="J505">
        <f t="shared" ca="1" si="40"/>
        <v>24.4375</v>
      </c>
      <c r="K505">
        <f t="shared" ca="1" si="41"/>
        <v>71.9375</v>
      </c>
      <c r="L505" s="14">
        <f t="shared" ca="1" si="37"/>
        <v>1</v>
      </c>
      <c r="M505" s="14" t="str">
        <f t="shared" ca="1" si="39"/>
        <v/>
      </c>
    </row>
    <row r="506" spans="2:13">
      <c r="B506" s="14" t="s">
        <v>156</v>
      </c>
      <c r="C506" s="14">
        <v>1</v>
      </c>
      <c r="D506" s="14">
        <v>0</v>
      </c>
      <c r="E506" s="14">
        <v>1</v>
      </c>
      <c r="F506" s="14">
        <v>0</v>
      </c>
      <c r="G506" s="14">
        <v>24</v>
      </c>
      <c r="H506" s="8" t="str">
        <f ca="1">IF(RAND()&lt;0.25,
    "",
    IF($E506=0,
       CHOOSE(MATCH(RAND(),{0,0.2,0.4,0.6,0.7,0.8,0.85,0.9,0.95,1}),"B-354","B-386","B-4354","B-347","B-357","B-3471","B-34715","B-3571","B-35715"),
       IF($G506=24,
          "B-386",
          IF($G506=12,
             CHOOSE(MATCH(RAND(),{0,0.32,0.49,0.66,0.74,0.82,0.9,1}),"B-386","B-347","B-357","B-3471","B-34715","B-3571","B-35715"),
             "")
)))</f>
        <v>B-386</v>
      </c>
      <c r="I506" s="8" t="str">
        <f t="shared" ca="1" si="38"/>
        <v/>
      </c>
      <c r="J506">
        <f t="shared" ca="1" si="40"/>
        <v>41</v>
      </c>
      <c r="K506">
        <f t="shared" ca="1" si="41"/>
        <v>70</v>
      </c>
      <c r="L506" s="14">
        <f t="shared" ca="1" si="37"/>
        <v>12</v>
      </c>
      <c r="M506" s="14">
        <f t="shared" ca="1" si="39"/>
        <v>1</v>
      </c>
    </row>
    <row r="507" spans="2:13" hidden="1">
      <c r="B507" s="14" t="s">
        <v>156</v>
      </c>
      <c r="C507" s="14">
        <v>1</v>
      </c>
      <c r="D507" s="14">
        <v>0</v>
      </c>
      <c r="E507" s="14">
        <v>1</v>
      </c>
      <c r="F507" s="14">
        <v>0</v>
      </c>
      <c r="G507" s="14"/>
      <c r="H507" s="8" t="str">
        <f ca="1">IF(RAND()&lt;0.25,
    "",
    IF($E507=0,
       CHOOSE(MATCH(RAND(),{0,0.2,0.4,0.6,0.7,0.8,0.85,0.9,0.95,1}),"B-354","B-386","B-4354","B-347","B-357","B-3471","B-34715","B-3571","B-35715"),
       IF($G507=24,
          "B-386",
          IF($G507=12,
             CHOOSE(MATCH(RAND(),{0,0.32,0.49,0.66,0.74,0.82,0.9,1}),"B-386","B-347","B-357","B-3471","B-34715","B-3571","B-35715"),
             "")
)))</f>
        <v/>
      </c>
      <c r="I507" s="8" t="str">
        <f t="shared" ca="1" si="38"/>
        <v/>
      </c>
      <c r="J507">
        <f t="shared" ca="1" si="40"/>
        <v>24.6875</v>
      </c>
      <c r="K507">
        <f t="shared" ca="1" si="41"/>
        <v>72.75</v>
      </c>
      <c r="L507" s="14">
        <f t="shared" ca="1" si="37"/>
        <v>4</v>
      </c>
      <c r="M507" s="14">
        <f t="shared" ca="1" si="39"/>
        <v>4.75</v>
      </c>
    </row>
    <row r="508" spans="2:13" hidden="1">
      <c r="B508" s="14" t="s">
        <v>156</v>
      </c>
      <c r="C508" s="14">
        <v>1</v>
      </c>
      <c r="D508" s="14">
        <v>0</v>
      </c>
      <c r="E508" s="14">
        <v>1</v>
      </c>
      <c r="F508" s="14">
        <v>1</v>
      </c>
      <c r="G508" s="14"/>
      <c r="H508" s="8" t="str">
        <f ca="1">IF(RAND()&lt;0.25,
    "",
    IF($E508=0,
       CHOOSE(MATCH(RAND(),{0,0.2,0.4,0.6,0.7,0.8,0.85,0.9,0.95,1}),"B-354","B-386","B-4354","B-347","B-357","B-3471","B-34715","B-3571","B-35715"),
       IF($G508=24,
          "B-386",
          IF($G508=12,
             CHOOSE(MATCH(RAND(),{0,0.32,0.49,0.66,0.74,0.82,0.9,1}),"B-386","B-347","B-357","B-3471","B-34715","B-3571","B-35715"),
             "")
)))</f>
        <v/>
      </c>
      <c r="I508" s="8" t="str">
        <f t="shared" ca="1" si="38"/>
        <v/>
      </c>
      <c r="J508">
        <f t="shared" ca="1" si="40"/>
        <v>34.0625</v>
      </c>
      <c r="K508">
        <f t="shared" ca="1" si="41"/>
        <v>25</v>
      </c>
      <c r="L508" s="14">
        <f t="shared" ca="1" si="37"/>
        <v>12</v>
      </c>
      <c r="M508" s="14" t="str">
        <f t="shared" ca="1" si="39"/>
        <v/>
      </c>
    </row>
    <row r="509" spans="2:13">
      <c r="B509" s="14" t="s">
        <v>156</v>
      </c>
      <c r="C509" s="14">
        <v>1</v>
      </c>
      <c r="D509" s="14">
        <v>1</v>
      </c>
      <c r="E509" s="14">
        <v>0</v>
      </c>
      <c r="F509" s="14"/>
      <c r="G509" s="14"/>
      <c r="H509" s="8" t="str">
        <f ca="1">IF(RAND()&lt;0.25,
    "",
    IF($E509=0,
       CHOOSE(MATCH(RAND(),{0,0.2,0.4,0.6,0.7,0.8,0.85,0.9,0.95,1}),"B-354","B-386","B-4354","B-347","B-357","B-3471","B-34715","B-3571","B-35715"),
       IF($G509=24,
          "B-386",
          IF($G509=12,
             CHOOSE(MATCH(RAND(),{0,0.32,0.49,0.66,0.74,0.82,0.9,1}),"B-386","B-347","B-357","B-3471","B-34715","B-3571","B-35715"),
             "")
)))</f>
        <v/>
      </c>
      <c r="I509" s="8" t="str">
        <f t="shared" ca="1" si="38"/>
        <v/>
      </c>
      <c r="J509">
        <f t="shared" ca="1" si="40"/>
        <v>41.5</v>
      </c>
      <c r="K509">
        <f t="shared" ca="1" si="41"/>
        <v>61.1875</v>
      </c>
      <c r="L509" s="14">
        <f t="shared" ca="1" si="37"/>
        <v>12</v>
      </c>
      <c r="M509" s="14">
        <f t="shared" ca="1" si="39"/>
        <v>5.3125</v>
      </c>
    </row>
    <row r="510" spans="2:13" hidden="1">
      <c r="B510" s="14" t="s">
        <v>156</v>
      </c>
      <c r="C510" s="14">
        <v>1</v>
      </c>
      <c r="D510" s="14">
        <v>1</v>
      </c>
      <c r="E510" s="14">
        <v>1</v>
      </c>
      <c r="F510" s="14">
        <v>0</v>
      </c>
      <c r="G510" s="14">
        <v>12</v>
      </c>
      <c r="H510" s="8" t="str">
        <f ca="1">IF(RAND()&lt;0.25,
    "",
    IF($E510=0,
       CHOOSE(MATCH(RAND(),{0,0.2,0.4,0.6,0.7,0.8,0.85,0.9,0.95,1}),"B-354","B-386","B-4354","B-347","B-357","B-3471","B-34715","B-3571","B-35715"),
       IF($G510=24,
          "B-386",
          IF($G510=12,
             CHOOSE(MATCH(RAND(),{0,0.32,0.49,0.66,0.74,0.82,0.9,1}),"B-386","B-347","B-357","B-3471","B-34715","B-3571","B-35715"),
             "")
)))</f>
        <v>B-386</v>
      </c>
      <c r="I510" s="8" t="str">
        <f t="shared" ca="1" si="38"/>
        <v/>
      </c>
      <c r="J510">
        <f t="shared" ca="1" si="40"/>
        <v>13</v>
      </c>
      <c r="K510">
        <f t="shared" ca="1" si="41"/>
        <v>41.3125</v>
      </c>
      <c r="L510" s="14">
        <f t="shared" ca="1" si="37"/>
        <v>12</v>
      </c>
      <c r="M510" s="14">
        <f t="shared" ca="1" si="39"/>
        <v>2.875</v>
      </c>
    </row>
    <row r="511" spans="2:13">
      <c r="B511" s="14" t="s">
        <v>156</v>
      </c>
      <c r="C511" s="14">
        <v>1</v>
      </c>
      <c r="D511" s="14">
        <v>1</v>
      </c>
      <c r="E511" s="14">
        <v>1</v>
      </c>
      <c r="F511" s="14">
        <v>0</v>
      </c>
      <c r="G511" s="14">
        <v>24</v>
      </c>
      <c r="H511" s="8" t="str">
        <f ca="1">IF(RAND()&lt;0.25,
    "",
    IF($E511=0,
       CHOOSE(MATCH(RAND(),{0,0.2,0.4,0.6,0.7,0.8,0.85,0.9,0.95,1}),"B-354","B-386","B-4354","B-347","B-357","B-3471","B-34715","B-3571","B-35715"),
       IF($G511=24,
          "B-386",
          IF($G511=12,
             CHOOSE(MATCH(RAND(),{0,0.32,0.49,0.66,0.74,0.82,0.9,1}),"B-386","B-347","B-357","B-3471","B-34715","B-3571","B-35715"),
             "")
)))</f>
        <v>B-386</v>
      </c>
      <c r="I511" s="8" t="str">
        <f t="shared" ca="1" si="38"/>
        <v/>
      </c>
      <c r="J511">
        <f t="shared" ca="1" si="40"/>
        <v>42</v>
      </c>
      <c r="K511">
        <f t="shared" ca="1" si="41"/>
        <v>49.1875</v>
      </c>
      <c r="L511" s="14">
        <f t="shared" ca="1" si="37"/>
        <v>9</v>
      </c>
      <c r="M511" s="14">
        <f t="shared" ca="1" si="39"/>
        <v>1</v>
      </c>
    </row>
    <row r="512" spans="2:13" hidden="1">
      <c r="B512" s="14" t="s">
        <v>156</v>
      </c>
      <c r="C512" s="14">
        <v>1</v>
      </c>
      <c r="D512" s="14">
        <v>1</v>
      </c>
      <c r="E512" s="14">
        <v>1</v>
      </c>
      <c r="F512" s="14">
        <v>0</v>
      </c>
      <c r="G512" s="14"/>
      <c r="H512" s="8" t="str">
        <f ca="1">IF(RAND()&lt;0.25,
    "",
    IF($E512=0,
       CHOOSE(MATCH(RAND(),{0,0.2,0.4,0.6,0.7,0.8,0.85,0.9,0.95,1}),"B-354","B-386","B-4354","B-347","B-357","B-3471","B-34715","B-3571","B-35715"),
       IF($G512=24,
          "B-386",
          IF($G512=12,
             CHOOSE(MATCH(RAND(),{0,0.32,0.49,0.66,0.74,0.82,0.9,1}),"B-386","B-347","B-357","B-3471","B-34715","B-3571","B-35715"),
             "")
)))</f>
        <v/>
      </c>
      <c r="I512" s="8" t="str">
        <f t="shared" ca="1" si="38"/>
        <v/>
      </c>
      <c r="J512">
        <f t="shared" ca="1" si="40"/>
        <v>48.5625</v>
      </c>
      <c r="K512">
        <f t="shared" ca="1" si="41"/>
        <v>53.0625</v>
      </c>
      <c r="L512" s="14">
        <f t="shared" ca="1" si="37"/>
        <v>4.5</v>
      </c>
      <c r="M512" s="14">
        <f t="shared" ca="1" si="39"/>
        <v>1</v>
      </c>
    </row>
    <row r="513" spans="2:13" hidden="1">
      <c r="B513" s="14" t="s">
        <v>156</v>
      </c>
      <c r="C513" s="14">
        <v>1</v>
      </c>
      <c r="D513" s="14">
        <v>1</v>
      </c>
      <c r="E513" s="14">
        <v>1</v>
      </c>
      <c r="F513" s="14">
        <v>1</v>
      </c>
      <c r="G513" s="14"/>
      <c r="H513" s="8" t="str">
        <f ca="1">IF(RAND()&lt;0.25,
    "",
    IF($E513=0,
       CHOOSE(MATCH(RAND(),{0,0.2,0.4,0.6,0.7,0.8,0.85,0.9,0.95,1}),"B-354","B-386","B-4354","B-347","B-357","B-3471","B-34715","B-3571","B-35715"),
       IF($G513=24,
          "B-386",
          IF($G513=12,
             CHOOSE(MATCH(RAND(),{0,0.32,0.49,0.66,0.74,0.82,0.9,1}),"B-386","B-347","B-357","B-3471","B-34715","B-3571","B-35715"),
             "")
)))</f>
        <v/>
      </c>
      <c r="I513" s="8" t="str">
        <f t="shared" ca="1" si="38"/>
        <v/>
      </c>
      <c r="J513">
        <f t="shared" ca="1" si="40"/>
        <v>47.125</v>
      </c>
      <c r="K513">
        <f t="shared" ca="1" si="41"/>
        <v>53.875</v>
      </c>
      <c r="L513" s="14">
        <f t="shared" ca="1" si="37"/>
        <v>12</v>
      </c>
      <c r="M513" s="14">
        <f t="shared" ca="1" si="39"/>
        <v>8</v>
      </c>
    </row>
    <row r="514" spans="2:13">
      <c r="B514" s="14" t="s">
        <v>157</v>
      </c>
      <c r="C514" s="14">
        <v>0</v>
      </c>
      <c r="D514" s="14"/>
      <c r="E514" s="14">
        <v>0</v>
      </c>
      <c r="F514" s="14"/>
      <c r="G514" s="14"/>
      <c r="H514" s="8" t="str">
        <f ca="1">IF(RAND()&lt;0.25,
    "",
    IF($E514=0,
       CHOOSE(MATCH(RAND(),{0,0.2,0.4,0.6,0.7,0.8,0.85,0.9,0.95,1}),"B-354","B-386","B-4354","B-347","B-357","B-3471","B-34715","B-3571","B-35715"),
       IF($G514=24,
          "B-386",
          IF($G514=12,
             CHOOSE(MATCH(RAND(),{0,0.32,0.49,0.66,0.74,0.82,0.9,1}),"B-386","B-347","B-357","B-3471","B-34715","B-3571","B-35715"),
             "")
)))</f>
        <v>B-386</v>
      </c>
      <c r="I514" s="8" t="str">
        <f t="shared" ca="1" si="38"/>
        <v>B-354</v>
      </c>
      <c r="J514">
        <f t="shared" ca="1" si="40"/>
        <v>60</v>
      </c>
      <c r="K514">
        <f t="shared" ca="1" si="41"/>
        <v>66.25</v>
      </c>
      <c r="L514" s="14">
        <f t="shared" ca="1" si="37"/>
        <v>3.5</v>
      </c>
      <c r="M514" s="14">
        <f t="shared" ca="1" si="39"/>
        <v>4.8125</v>
      </c>
    </row>
    <row r="515" spans="2:13" hidden="1">
      <c r="B515" s="14" t="s">
        <v>157</v>
      </c>
      <c r="C515" s="14">
        <v>0</v>
      </c>
      <c r="D515" s="14"/>
      <c r="E515" s="14">
        <v>1</v>
      </c>
      <c r="F515" s="14">
        <v>0</v>
      </c>
      <c r="G515" s="14">
        <v>12</v>
      </c>
      <c r="H515" s="8" t="str">
        <f ca="1">IF(RAND()&lt;0.25,
    "",
    IF($E515=0,
       CHOOSE(MATCH(RAND(),{0,0.2,0.4,0.6,0.7,0.8,0.85,0.9,0.95,1}),"B-354","B-386","B-4354","B-347","B-357","B-3471","B-34715","B-3571","B-35715"),
       IF($G515=24,
          "B-386",
          IF($G515=12,
             CHOOSE(MATCH(RAND(),{0,0.32,0.49,0.66,0.74,0.82,0.9,1}),"B-386","B-347","B-357","B-3471","B-34715","B-3571","B-35715"),
             "")
)))</f>
        <v/>
      </c>
      <c r="I515" s="8" t="str">
        <f t="shared" ca="1" si="38"/>
        <v/>
      </c>
      <c r="J515">
        <f t="shared" ca="1" si="40"/>
        <v>60</v>
      </c>
      <c r="K515">
        <f t="shared" ca="1" si="41"/>
        <v>28.5</v>
      </c>
      <c r="L515" s="14">
        <f t="shared" ca="1" si="37"/>
        <v>1.25</v>
      </c>
      <c r="M515" s="14">
        <f t="shared" ca="1" si="39"/>
        <v>4.6875</v>
      </c>
    </row>
    <row r="516" spans="2:13">
      <c r="B516" s="14" t="s">
        <v>157</v>
      </c>
      <c r="C516" s="14">
        <v>0</v>
      </c>
      <c r="D516" s="14"/>
      <c r="E516" s="14">
        <v>1</v>
      </c>
      <c r="F516" s="14">
        <v>0</v>
      </c>
      <c r="G516" s="14">
        <v>24</v>
      </c>
      <c r="H516" s="8" t="str">
        <f ca="1">IF(RAND()&lt;0.25,
    "",
    IF($E516=0,
       CHOOSE(MATCH(RAND(),{0,0.2,0.4,0.6,0.7,0.8,0.85,0.9,0.95,1}),"B-354","B-386","B-4354","B-347","B-357","B-3471","B-34715","B-3571","B-35715"),
       IF($G516=24,
          "B-386",
          IF($G516=12,
             CHOOSE(MATCH(RAND(),{0,0.32,0.49,0.66,0.74,0.82,0.9,1}),"B-386","B-347","B-357","B-3471","B-34715","B-3571","B-35715"),
             "")
)))</f>
        <v>B-386</v>
      </c>
      <c r="I516" s="8" t="str">
        <f t="shared" ca="1" si="38"/>
        <v/>
      </c>
      <c r="J516">
        <f t="shared" ca="1" si="40"/>
        <v>60</v>
      </c>
      <c r="K516">
        <f t="shared" ca="1" si="41"/>
        <v>61.875</v>
      </c>
      <c r="L516" s="14">
        <f t="shared" ref="L516:L579" ca="1" si="42" xml:space="preserve">    _xlfn.LET(
      _xlpm.k, RANDBETWEEN(1,6),
      _xlpm.step, 1/16,
      IF(
        _xlpm.k=1, 1,
        IF(
          _xlpm.k=2, 4.5,
          IF(
            _xlpm.k=3, 9,
            IF(
              _xlpm.k=4, 12,
              IF(
                _xlpm.k=5,
                  1 + _xlpm.step*RANDBETWEEN(1, (4.5-1)/_xlpm.step - 1),
                  4.5 + _xlpm.step*RANDBETWEEN(1, (12-4.5)/_xlpm.step - 1)
              )
            )
          )
        )
      )
    )</f>
        <v>9</v>
      </c>
      <c r="M516" s="14" t="str">
        <f t="shared" ca="1" si="39"/>
        <v/>
      </c>
    </row>
    <row r="517" spans="2:13" hidden="1">
      <c r="B517" s="14" t="s">
        <v>157</v>
      </c>
      <c r="C517" s="14">
        <v>0</v>
      </c>
      <c r="D517" s="14"/>
      <c r="E517" s="14">
        <v>1</v>
      </c>
      <c r="F517" s="14">
        <v>0</v>
      </c>
      <c r="G517" s="14"/>
      <c r="H517" s="8" t="str">
        <f ca="1">IF(RAND()&lt;0.25,
    "",
    IF($E517=0,
       CHOOSE(MATCH(RAND(),{0,0.2,0.4,0.6,0.7,0.8,0.85,0.9,0.95,1}),"B-354","B-386","B-4354","B-347","B-357","B-3471","B-34715","B-3571","B-35715"),
       IF($G517=24,
          "B-386",
          IF($G517=12,
             CHOOSE(MATCH(RAND(),{0,0.32,0.49,0.66,0.74,0.82,0.9,1}),"B-386","B-347","B-357","B-3471","B-34715","B-3571","B-35715"),
             "")
)))</f>
        <v/>
      </c>
      <c r="I517" s="8" t="str">
        <f t="shared" ref="I517:I580" ca="1" si="43">IF($H517="",
    "",
    IF(AND($E517=0,OR($H517="B-354",$H517="B-386",$H517="B-4354")),
       IF(RAND()&lt;0.5,
          "",
          IF($H517="B-354",
             "B-386",
             IF($H517="B-4354",
                "B-386",
                IF($H517="B-386",
                   IF(RAND()&lt;0.5,
                      "B-354",
                      "B-4354"),
                   "")
                 ))),
       ""))</f>
        <v/>
      </c>
      <c r="J517">
        <f t="shared" ca="1" si="40"/>
        <v>60</v>
      </c>
      <c r="K517">
        <f t="shared" ca="1" si="41"/>
        <v>77.8125</v>
      </c>
      <c r="L517" s="14">
        <f t="shared" ca="1" si="42"/>
        <v>9</v>
      </c>
      <c r="M517" s="14">
        <f t="shared" ref="M517:M580" ca="1" si="44">_xlfn.LET(
  _xlpm.r, RAND(),
  IF(
     _xlpm.r &lt; 0.25,
     1,
     IF(
        _xlpm.r &lt; 0.5,
        1 + RANDBETWEEN(0,16*4)/16,
        IF(
            _xlpm.r &lt; 0.75,
            4.5 + RANDBETWEEN(0,16*4)/16,
            ""
           )
        )
     )
)</f>
        <v>7.9375</v>
      </c>
    </row>
    <row r="518" spans="2:13" hidden="1">
      <c r="B518" s="14" t="s">
        <v>157</v>
      </c>
      <c r="C518" s="14">
        <v>0</v>
      </c>
      <c r="D518" s="14"/>
      <c r="E518" s="14">
        <v>1</v>
      </c>
      <c r="F518" s="14">
        <v>1</v>
      </c>
      <c r="G518" s="14"/>
      <c r="H518" s="8" t="str">
        <f ca="1">IF(RAND()&lt;0.25,
    "",
    IF($E518=0,
       CHOOSE(MATCH(RAND(),{0,0.2,0.4,0.6,0.7,0.8,0.85,0.9,0.95,1}),"B-354","B-386","B-4354","B-347","B-357","B-3471","B-34715","B-3571","B-35715"),
       IF($G518=24,
          "B-386",
          IF($G518=12,
             CHOOSE(MATCH(RAND(),{0,0.32,0.49,0.66,0.74,0.82,0.9,1}),"B-386","B-347","B-357","B-3471","B-34715","B-3571","B-35715"),
             "")
)))</f>
        <v/>
      </c>
      <c r="I518" s="8" t="str">
        <f t="shared" ca="1" si="43"/>
        <v/>
      </c>
      <c r="J518">
        <f t="shared" ca="1" si="40"/>
        <v>60</v>
      </c>
      <c r="K518">
        <f t="shared" ca="1" si="41"/>
        <v>13.4375</v>
      </c>
      <c r="L518" s="14">
        <f t="shared" ca="1" si="42"/>
        <v>3.5</v>
      </c>
      <c r="M518" s="14" t="str">
        <f t="shared" ca="1" si="44"/>
        <v/>
      </c>
    </row>
    <row r="519" spans="2:13">
      <c r="B519" s="14" t="s">
        <v>157</v>
      </c>
      <c r="C519" s="14">
        <v>1</v>
      </c>
      <c r="D519" s="14">
        <v>0</v>
      </c>
      <c r="E519" s="14">
        <v>0</v>
      </c>
      <c r="F519" s="14"/>
      <c r="G519" s="14"/>
      <c r="H519" s="8" t="str">
        <f ca="1">IF(RAND()&lt;0.25,
    "",
    IF($E519=0,
       CHOOSE(MATCH(RAND(),{0,0.2,0.4,0.6,0.7,0.8,0.85,0.9,0.95,1}),"B-354","B-386","B-4354","B-347","B-357","B-3471","B-34715","B-3571","B-35715"),
       IF($G519=24,
          "B-386",
          IF($G519=12,
             CHOOSE(MATCH(RAND(),{0,0.32,0.49,0.66,0.74,0.82,0.9,1}),"B-386","B-347","B-357","B-3471","B-34715","B-3571","B-35715"),
             "")
)))</f>
        <v>B-386</v>
      </c>
      <c r="I519" s="8" t="str">
        <f t="shared" ca="1" si="43"/>
        <v/>
      </c>
      <c r="J519">
        <f t="shared" ca="1" si="40"/>
        <v>60</v>
      </c>
      <c r="K519">
        <f t="shared" ca="1" si="41"/>
        <v>68.1875</v>
      </c>
      <c r="L519" s="14">
        <f t="shared" ca="1" si="42"/>
        <v>3.5625</v>
      </c>
      <c r="M519" s="14">
        <f t="shared" ca="1" si="44"/>
        <v>1.6875</v>
      </c>
    </row>
    <row r="520" spans="2:13">
      <c r="B520" s="14" t="s">
        <v>157</v>
      </c>
      <c r="C520" s="14">
        <v>1</v>
      </c>
      <c r="D520" s="14">
        <v>0</v>
      </c>
      <c r="E520" s="14">
        <v>1</v>
      </c>
      <c r="F520" s="14">
        <v>0</v>
      </c>
      <c r="G520" s="14">
        <v>12</v>
      </c>
      <c r="H520" s="8" t="str">
        <f ca="1">IF(RAND()&lt;0.25,
    "",
    IF($E520=0,
       CHOOSE(MATCH(RAND(),{0,0.2,0.4,0.6,0.7,0.8,0.85,0.9,0.95,1}),"B-354","B-386","B-4354","B-347","B-357","B-3471","B-34715","B-3571","B-35715"),
       IF($G520=24,
          "B-386",
          IF($G520=12,
             CHOOSE(MATCH(RAND(),{0,0.32,0.49,0.66,0.74,0.82,0.9,1}),"B-386","B-347","B-357","B-3471","B-34715","B-3571","B-35715"),
             "")
)))</f>
        <v>B-386</v>
      </c>
      <c r="I520" s="8" t="str">
        <f t="shared" ca="1" si="43"/>
        <v/>
      </c>
      <c r="J520">
        <f t="shared" ca="1" si="40"/>
        <v>60</v>
      </c>
      <c r="K520">
        <f t="shared" ca="1" si="41"/>
        <v>72</v>
      </c>
      <c r="L520" s="14">
        <f t="shared" ca="1" si="42"/>
        <v>4.5</v>
      </c>
      <c r="M520" s="14">
        <f t="shared" ca="1" si="44"/>
        <v>1.3125</v>
      </c>
    </row>
    <row r="521" spans="2:13">
      <c r="B521" s="14" t="s">
        <v>157</v>
      </c>
      <c r="C521" s="14">
        <v>1</v>
      </c>
      <c r="D521" s="14">
        <v>0</v>
      </c>
      <c r="E521" s="14">
        <v>1</v>
      </c>
      <c r="F521" s="14">
        <v>0</v>
      </c>
      <c r="G521" s="14">
        <v>24</v>
      </c>
      <c r="H521" s="8" t="str">
        <f ca="1">IF(RAND()&lt;0.25,
    "",
    IF($E521=0,
       CHOOSE(MATCH(RAND(),{0,0.2,0.4,0.6,0.7,0.8,0.85,0.9,0.95,1}),"B-354","B-386","B-4354","B-347","B-357","B-3471","B-34715","B-3571","B-35715"),
       IF($G521=24,
          "B-386",
          IF($G521=12,
             CHOOSE(MATCH(RAND(),{0,0.32,0.49,0.66,0.74,0.82,0.9,1}),"B-386","B-347","B-357","B-3471","B-34715","B-3571","B-35715"),
             "")
)))</f>
        <v>B-386</v>
      </c>
      <c r="I521" s="8" t="str">
        <f t="shared" ca="1" si="43"/>
        <v/>
      </c>
      <c r="J521">
        <f t="shared" ca="1" si="40"/>
        <v>60</v>
      </c>
      <c r="K521">
        <f t="shared" ca="1" si="41"/>
        <v>49.125</v>
      </c>
      <c r="L521" s="14">
        <f t="shared" ca="1" si="42"/>
        <v>1</v>
      </c>
      <c r="M521" s="14">
        <f t="shared" ca="1" si="44"/>
        <v>8.0625</v>
      </c>
    </row>
    <row r="522" spans="2:13" hidden="1">
      <c r="B522" s="14" t="s">
        <v>157</v>
      </c>
      <c r="C522" s="14">
        <v>1</v>
      </c>
      <c r="D522" s="14">
        <v>0</v>
      </c>
      <c r="E522" s="14">
        <v>1</v>
      </c>
      <c r="F522" s="14">
        <v>0</v>
      </c>
      <c r="G522" s="14"/>
      <c r="H522" s="8" t="str">
        <f ca="1">IF(RAND()&lt;0.25,
    "",
    IF($E522=0,
       CHOOSE(MATCH(RAND(),{0,0.2,0.4,0.6,0.7,0.8,0.85,0.9,0.95,1}),"B-354","B-386","B-4354","B-347","B-357","B-3471","B-34715","B-3571","B-35715"),
       IF($G522=24,
          "B-386",
          IF($G522=12,
             CHOOSE(MATCH(RAND(),{0,0.32,0.49,0.66,0.74,0.82,0.9,1}),"B-386","B-347","B-357","B-3471","B-34715","B-3571","B-35715"),
             "")
)))</f>
        <v/>
      </c>
      <c r="I522" s="8" t="str">
        <f t="shared" ca="1" si="43"/>
        <v/>
      </c>
      <c r="J522">
        <f t="shared" ca="1" si="40"/>
        <v>60</v>
      </c>
      <c r="K522">
        <f t="shared" ca="1" si="41"/>
        <v>58.4375</v>
      </c>
      <c r="L522" s="14">
        <f t="shared" ca="1" si="42"/>
        <v>4.5</v>
      </c>
      <c r="M522" s="14">
        <f t="shared" ca="1" si="44"/>
        <v>1</v>
      </c>
    </row>
    <row r="523" spans="2:13" hidden="1">
      <c r="B523" s="14" t="s">
        <v>157</v>
      </c>
      <c r="C523" s="14">
        <v>1</v>
      </c>
      <c r="D523" s="14">
        <v>0</v>
      </c>
      <c r="E523" s="14">
        <v>1</v>
      </c>
      <c r="F523" s="14">
        <v>1</v>
      </c>
      <c r="G523" s="14"/>
      <c r="H523" s="8" t="str">
        <f ca="1">IF(RAND()&lt;0.25,
    "",
    IF($E523=0,
       CHOOSE(MATCH(RAND(),{0,0.2,0.4,0.6,0.7,0.8,0.85,0.9,0.95,1}),"B-354","B-386","B-4354","B-347","B-357","B-3471","B-34715","B-3571","B-35715"),
       IF($G523=24,
          "B-386",
          IF($G523=12,
             CHOOSE(MATCH(RAND(),{0,0.32,0.49,0.66,0.74,0.82,0.9,1}),"B-386","B-347","B-357","B-3471","B-34715","B-3571","B-35715"),
             "")
)))</f>
        <v/>
      </c>
      <c r="I523" s="8" t="str">
        <f t="shared" ca="1" si="43"/>
        <v/>
      </c>
      <c r="J523">
        <f t="shared" ca="1" si="40"/>
        <v>60</v>
      </c>
      <c r="K523">
        <f t="shared" ca="1" si="41"/>
        <v>42.25</v>
      </c>
      <c r="L523" s="14">
        <f t="shared" ca="1" si="42"/>
        <v>12</v>
      </c>
      <c r="M523" s="14">
        <f t="shared" ca="1" si="44"/>
        <v>1</v>
      </c>
    </row>
    <row r="524" spans="2:13" hidden="1">
      <c r="B524" s="14" t="s">
        <v>157</v>
      </c>
      <c r="C524" s="14">
        <v>1</v>
      </c>
      <c r="D524" s="14">
        <v>1</v>
      </c>
      <c r="E524" s="14">
        <v>0</v>
      </c>
      <c r="F524" s="14"/>
      <c r="G524" s="14"/>
      <c r="H524" s="8" t="str">
        <f ca="1">IF(RAND()&lt;0.25,
    "",
    IF($E524=0,
       CHOOSE(MATCH(RAND(),{0,0.2,0.4,0.6,0.7,0.8,0.85,0.9,0.95,1}),"B-354","B-386","B-4354","B-347","B-357","B-3471","B-34715","B-3571","B-35715"),
       IF($G524=24,
          "B-386",
          IF($G524=12,
             CHOOSE(MATCH(RAND(),{0,0.32,0.49,0.66,0.74,0.82,0.9,1}),"B-386","B-347","B-357","B-3471","B-34715","B-3571","B-35715"),
             "")
)))</f>
        <v>B-4354</v>
      </c>
      <c r="I524" s="8" t="str">
        <f t="shared" ca="1" si="43"/>
        <v/>
      </c>
      <c r="J524">
        <f t="shared" ca="1" si="40"/>
        <v>60</v>
      </c>
      <c r="K524">
        <f t="shared" ca="1" si="41"/>
        <v>49.0625</v>
      </c>
      <c r="L524" s="14">
        <f t="shared" ca="1" si="42"/>
        <v>1</v>
      </c>
      <c r="M524" s="14">
        <f t="shared" ca="1" si="44"/>
        <v>6.5</v>
      </c>
    </row>
    <row r="525" spans="2:13" hidden="1">
      <c r="B525" s="14" t="s">
        <v>157</v>
      </c>
      <c r="C525" s="14">
        <v>1</v>
      </c>
      <c r="D525" s="14">
        <v>1</v>
      </c>
      <c r="E525" s="14">
        <v>1</v>
      </c>
      <c r="F525" s="14">
        <v>0</v>
      </c>
      <c r="G525" s="14">
        <v>12</v>
      </c>
      <c r="H525" s="8" t="str">
        <f ca="1">IF(RAND()&lt;0.25,
    "",
    IF($E525=0,
       CHOOSE(MATCH(RAND(),{0,0.2,0.4,0.6,0.7,0.8,0.85,0.9,0.95,1}),"B-354","B-386","B-4354","B-347","B-357","B-3471","B-34715","B-3571","B-35715"),
       IF($G525=24,
          "B-386",
          IF($G525=12,
             CHOOSE(MATCH(RAND(),{0,0.32,0.49,0.66,0.74,0.82,0.9,1}),"B-386","B-347","B-357","B-3471","B-34715","B-3571","B-35715"),
             "")
)))</f>
        <v>B-357</v>
      </c>
      <c r="I525" s="8" t="str">
        <f t="shared" ca="1" si="43"/>
        <v/>
      </c>
      <c r="J525">
        <f t="shared" ca="1" si="40"/>
        <v>60</v>
      </c>
      <c r="K525">
        <f t="shared" ca="1" si="41"/>
        <v>54.375</v>
      </c>
      <c r="L525" s="14">
        <f t="shared" ca="1" si="42"/>
        <v>12</v>
      </c>
      <c r="M525" s="14">
        <f t="shared" ca="1" si="44"/>
        <v>2.5625</v>
      </c>
    </row>
    <row r="526" spans="2:13">
      <c r="B526" s="14" t="s">
        <v>157</v>
      </c>
      <c r="C526" s="14">
        <v>1</v>
      </c>
      <c r="D526" s="14">
        <v>1</v>
      </c>
      <c r="E526" s="14">
        <v>1</v>
      </c>
      <c r="F526" s="14">
        <v>0</v>
      </c>
      <c r="G526" s="14">
        <v>24</v>
      </c>
      <c r="H526" s="8" t="str">
        <f ca="1">IF(RAND()&lt;0.25,
    "",
    IF($E526=0,
       CHOOSE(MATCH(RAND(),{0,0.2,0.4,0.6,0.7,0.8,0.85,0.9,0.95,1}),"B-354","B-386","B-4354","B-347","B-357","B-3471","B-34715","B-3571","B-35715"),
       IF($G526=24,
          "B-386",
          IF($G526=12,
             CHOOSE(MATCH(RAND(),{0,0.32,0.49,0.66,0.74,0.82,0.9,1}),"B-386","B-347","B-357","B-3471","B-34715","B-3571","B-35715"),
             "")
)))</f>
        <v>B-386</v>
      </c>
      <c r="I526" s="8" t="str">
        <f t="shared" ca="1" si="43"/>
        <v/>
      </c>
      <c r="J526">
        <f t="shared" ca="1" si="40"/>
        <v>60</v>
      </c>
      <c r="K526">
        <f t="shared" ca="1" si="41"/>
        <v>51.75</v>
      </c>
      <c r="L526" s="14">
        <f t="shared" ca="1" si="42"/>
        <v>1</v>
      </c>
      <c r="M526" s="14">
        <f t="shared" ca="1" si="44"/>
        <v>4.125</v>
      </c>
    </row>
    <row r="527" spans="2:13" hidden="1">
      <c r="B527" s="14" t="s">
        <v>157</v>
      </c>
      <c r="C527" s="14">
        <v>1</v>
      </c>
      <c r="D527" s="14">
        <v>1</v>
      </c>
      <c r="E527" s="14">
        <v>1</v>
      </c>
      <c r="F527" s="14">
        <v>0</v>
      </c>
      <c r="G527" s="14"/>
      <c r="H527" s="8" t="str">
        <f ca="1">IF(RAND()&lt;0.25,
    "",
    IF($E527=0,
       CHOOSE(MATCH(RAND(),{0,0.2,0.4,0.6,0.7,0.8,0.85,0.9,0.95,1}),"B-354","B-386","B-4354","B-347","B-357","B-3471","B-34715","B-3571","B-35715"),
       IF($G527=24,
          "B-386",
          IF($G527=12,
             CHOOSE(MATCH(RAND(),{0,0.32,0.49,0.66,0.74,0.82,0.9,1}),"B-386","B-347","B-357","B-3471","B-34715","B-3571","B-35715"),
             "")
)))</f>
        <v/>
      </c>
      <c r="I527" s="8" t="str">
        <f t="shared" ca="1" si="43"/>
        <v/>
      </c>
      <c r="J527">
        <f t="shared" ca="1" si="40"/>
        <v>60</v>
      </c>
      <c r="K527">
        <f t="shared" ca="1" si="41"/>
        <v>52.25</v>
      </c>
      <c r="L527" s="14">
        <f t="shared" ca="1" si="42"/>
        <v>4.5</v>
      </c>
      <c r="M527" s="14">
        <f t="shared" ca="1" si="44"/>
        <v>6.625</v>
      </c>
    </row>
    <row r="528" spans="2:13" hidden="1">
      <c r="B528" s="14" t="s">
        <v>157</v>
      </c>
      <c r="C528" s="14">
        <v>1</v>
      </c>
      <c r="D528" s="14">
        <v>1</v>
      </c>
      <c r="E528" s="14">
        <v>1</v>
      </c>
      <c r="F528" s="14">
        <v>1</v>
      </c>
      <c r="G528" s="14"/>
      <c r="H528" s="8" t="str">
        <f ca="1">IF(RAND()&lt;0.25,
    "",
    IF($E528=0,
       CHOOSE(MATCH(RAND(),{0,0.2,0.4,0.6,0.7,0.8,0.85,0.9,0.95,1}),"B-354","B-386","B-4354","B-347","B-357","B-3471","B-34715","B-3571","B-35715"),
       IF($G528=24,
          "B-386",
          IF($G528=12,
             CHOOSE(MATCH(RAND(),{0,0.32,0.49,0.66,0.74,0.82,0.9,1}),"B-386","B-347","B-357","B-3471","B-34715","B-3571","B-35715"),
             "")
)))</f>
        <v/>
      </c>
      <c r="I528" s="8" t="str">
        <f t="shared" ca="1" si="43"/>
        <v/>
      </c>
      <c r="J528">
        <f t="shared" ca="1" si="40"/>
        <v>60</v>
      </c>
      <c r="K528">
        <f t="shared" ca="1" si="41"/>
        <v>52.375</v>
      </c>
      <c r="L528" s="14">
        <f t="shared" ca="1" si="42"/>
        <v>4.5</v>
      </c>
      <c r="M528" s="14">
        <f t="shared" ca="1" si="44"/>
        <v>1.4375</v>
      </c>
    </row>
    <row r="529" spans="2:13">
      <c r="B529" s="14" t="s">
        <v>21</v>
      </c>
      <c r="C529" s="14">
        <v>0</v>
      </c>
      <c r="D529" s="14"/>
      <c r="E529" s="14">
        <v>0</v>
      </c>
      <c r="F529" s="14"/>
      <c r="G529" s="14"/>
      <c r="H529" s="8" t="str">
        <f ca="1">IF(RAND()&lt;0.25,
    "",
    IF($E529=0,
       CHOOSE(MATCH(RAND(),{0,0.2,0.4,0.6,0.7,0.8,0.85,0.9,0.95,1}),"B-354","B-386","B-4354","B-347","B-357","B-3471","B-34715","B-3571","B-35715"),
       IF($G529=24,
          "B-386",
          IF($G529=12,
             CHOOSE(MATCH(RAND(),{0,0.32,0.49,0.66,0.74,0.82,0.9,1}),"B-386","B-347","B-357","B-3471","B-34715","B-3571","B-35715"),
             "")
)))</f>
        <v/>
      </c>
      <c r="I529" s="8" t="str">
        <f t="shared" ca="1" si="43"/>
        <v/>
      </c>
      <c r="J529">
        <f t="shared" ca="1" si="40"/>
        <v>70.5</v>
      </c>
      <c r="K529">
        <f t="shared" ca="1" si="41"/>
        <v>62.0625</v>
      </c>
      <c r="L529" s="14">
        <f t="shared" ca="1" si="42"/>
        <v>1</v>
      </c>
      <c r="M529" s="14">
        <f t="shared" ca="1" si="44"/>
        <v>1</v>
      </c>
    </row>
    <row r="530" spans="2:13">
      <c r="B530" s="14" t="s">
        <v>21</v>
      </c>
      <c r="C530" s="14">
        <v>0</v>
      </c>
      <c r="D530" s="14"/>
      <c r="E530" s="14">
        <v>1</v>
      </c>
      <c r="F530" s="14">
        <v>0</v>
      </c>
      <c r="G530" s="14">
        <v>12</v>
      </c>
      <c r="H530" s="8" t="str">
        <f ca="1">IF(RAND()&lt;0.25,
    "",
    IF($E530=0,
       CHOOSE(MATCH(RAND(),{0,0.2,0.4,0.6,0.7,0.8,0.85,0.9,0.95,1}),"B-354","B-386","B-4354","B-347","B-357","B-3471","B-34715","B-3571","B-35715"),
       IF($G530=24,
          "B-386",
          IF($G530=12,
             CHOOSE(MATCH(RAND(),{0,0.32,0.49,0.66,0.74,0.82,0.9,1}),"B-386","B-347","B-357","B-3471","B-34715","B-3571","B-35715"),
             "")
)))</f>
        <v>B-357</v>
      </c>
      <c r="I530" s="8" t="str">
        <f t="shared" ca="1" si="43"/>
        <v/>
      </c>
      <c r="J530">
        <f t="shared" ca="1" si="40"/>
        <v>75.4375</v>
      </c>
      <c r="K530">
        <f t="shared" ca="1" si="41"/>
        <v>72.8125</v>
      </c>
      <c r="L530" s="14">
        <f t="shared" ca="1" si="42"/>
        <v>2.6875</v>
      </c>
      <c r="M530" s="14">
        <f t="shared" ca="1" si="44"/>
        <v>1.25</v>
      </c>
    </row>
    <row r="531" spans="2:13" hidden="1">
      <c r="B531" s="14" t="s">
        <v>21</v>
      </c>
      <c r="C531" s="14">
        <v>0</v>
      </c>
      <c r="D531" s="14"/>
      <c r="E531" s="14">
        <v>1</v>
      </c>
      <c r="F531" s="14">
        <v>0</v>
      </c>
      <c r="G531" s="14">
        <v>24</v>
      </c>
      <c r="H531" s="8" t="str">
        <f ca="1">IF(RAND()&lt;0.25,
    "",
    IF($E531=0,
       CHOOSE(MATCH(RAND(),{0,0.2,0.4,0.6,0.7,0.8,0.85,0.9,0.95,1}),"B-354","B-386","B-4354","B-347","B-357","B-3471","B-34715","B-3571","B-35715"),
       IF($G531=24,
          "B-386",
          IF($G531=12,
             CHOOSE(MATCH(RAND(),{0,0.32,0.49,0.66,0.74,0.82,0.9,1}),"B-386","B-347","B-357","B-3471","B-34715","B-3571","B-35715"),
             "")
)))</f>
        <v>B-386</v>
      </c>
      <c r="I531" s="8" t="str">
        <f t="shared" ca="1" si="43"/>
        <v/>
      </c>
      <c r="J531">
        <f t="shared" ca="1" si="40"/>
        <v>68.875</v>
      </c>
      <c r="K531">
        <f t="shared" ca="1" si="41"/>
        <v>41.9375</v>
      </c>
      <c r="L531" s="14">
        <f t="shared" ca="1" si="42"/>
        <v>4.5</v>
      </c>
      <c r="M531" s="14">
        <f t="shared" ca="1" si="44"/>
        <v>2.9375</v>
      </c>
    </row>
    <row r="532" spans="2:13" hidden="1">
      <c r="B532" s="14" t="s">
        <v>21</v>
      </c>
      <c r="C532" s="14">
        <v>0</v>
      </c>
      <c r="D532" s="14"/>
      <c r="E532" s="14">
        <v>1</v>
      </c>
      <c r="F532" s="14">
        <v>0</v>
      </c>
      <c r="G532" s="14"/>
      <c r="H532" s="8" t="str">
        <f ca="1">IF(RAND()&lt;0.25,
    "",
    IF($E532=0,
       CHOOSE(MATCH(RAND(),{0,0.2,0.4,0.6,0.7,0.8,0.85,0.9,0.95,1}),"B-354","B-386","B-4354","B-347","B-357","B-3471","B-34715","B-3571","B-35715"),
       IF($G532=24,
          "B-386",
          IF($G532=12,
             CHOOSE(MATCH(RAND(),{0,0.32,0.49,0.66,0.74,0.82,0.9,1}),"B-386","B-347","B-357","B-3471","B-34715","B-3571","B-35715"),
             "")
)))</f>
        <v/>
      </c>
      <c r="I532" s="8" t="str">
        <f t="shared" ca="1" si="43"/>
        <v/>
      </c>
      <c r="J532">
        <f t="shared" ca="1" si="40"/>
        <v>96</v>
      </c>
      <c r="K532">
        <f t="shared" ca="1" si="41"/>
        <v>37.5625</v>
      </c>
      <c r="L532" s="14">
        <f t="shared" ca="1" si="42"/>
        <v>10.5625</v>
      </c>
      <c r="M532" s="14">
        <f t="shared" ca="1" si="44"/>
        <v>1</v>
      </c>
    </row>
    <row r="533" spans="2:13" hidden="1">
      <c r="B533" s="14" t="s">
        <v>21</v>
      </c>
      <c r="C533" s="14">
        <v>0</v>
      </c>
      <c r="D533" s="14"/>
      <c r="E533" s="14">
        <v>1</v>
      </c>
      <c r="F533" s="14">
        <v>1</v>
      </c>
      <c r="G533" s="14"/>
      <c r="H533" s="8" t="str">
        <f ca="1">IF(RAND()&lt;0.25,
    "",
    IF($E533=0,
       CHOOSE(MATCH(RAND(),{0,0.2,0.4,0.6,0.7,0.8,0.85,0.9,0.95,1}),"B-354","B-386","B-4354","B-347","B-357","B-3471","B-34715","B-3571","B-35715"),
       IF($G533=24,
          "B-386",
          IF($G533=12,
             CHOOSE(MATCH(RAND(),{0,0.32,0.49,0.66,0.74,0.82,0.9,1}),"B-386","B-347","B-357","B-3471","B-34715","B-3571","B-35715"),
             "")
)))</f>
        <v/>
      </c>
      <c r="I533" s="8" t="str">
        <f t="shared" ca="1" si="43"/>
        <v/>
      </c>
      <c r="J533">
        <f t="shared" ca="1" si="40"/>
        <v>66.0625</v>
      </c>
      <c r="K533">
        <f t="shared" ca="1" si="41"/>
        <v>15.9375</v>
      </c>
      <c r="L533" s="14">
        <f t="shared" ca="1" si="42"/>
        <v>12</v>
      </c>
      <c r="M533" s="14">
        <f t="shared" ca="1" si="44"/>
        <v>1.9375</v>
      </c>
    </row>
    <row r="534" spans="2:13">
      <c r="B534" s="14" t="s">
        <v>21</v>
      </c>
      <c r="C534" s="14">
        <v>1</v>
      </c>
      <c r="D534" s="14">
        <v>0</v>
      </c>
      <c r="E534" s="14">
        <v>0</v>
      </c>
      <c r="F534" s="14"/>
      <c r="G534" s="14"/>
      <c r="H534" s="8" t="str">
        <f ca="1">IF(RAND()&lt;0.25,
    "",
    IF($E534=0,
       CHOOSE(MATCH(RAND(),{0,0.2,0.4,0.6,0.7,0.8,0.85,0.9,0.95,1}),"B-354","B-386","B-4354","B-347","B-357","B-3471","B-34715","B-3571","B-35715"),
       IF($G534=24,
          "B-386",
          IF($G534=12,
             CHOOSE(MATCH(RAND(),{0,0.32,0.49,0.66,0.74,0.82,0.9,1}),"B-386","B-347","B-357","B-3471","B-34715","B-3571","B-35715"),
             "")
)))</f>
        <v/>
      </c>
      <c r="I534" s="8" t="str">
        <f t="shared" ca="1" si="43"/>
        <v/>
      </c>
      <c r="J534">
        <f t="shared" ca="1" si="40"/>
        <v>71.5</v>
      </c>
      <c r="K534">
        <f t="shared" ca="1" si="41"/>
        <v>76.75</v>
      </c>
      <c r="L534" s="14">
        <f t="shared" ca="1" si="42"/>
        <v>4.5</v>
      </c>
      <c r="M534" s="14">
        <f t="shared" ca="1" si="44"/>
        <v>5.5625</v>
      </c>
    </row>
    <row r="535" spans="2:13">
      <c r="B535" s="14" t="s">
        <v>21</v>
      </c>
      <c r="C535" s="14">
        <v>1</v>
      </c>
      <c r="D535" s="14">
        <v>0</v>
      </c>
      <c r="E535" s="14">
        <v>1</v>
      </c>
      <c r="F535" s="14">
        <v>0</v>
      </c>
      <c r="G535" s="14">
        <v>12</v>
      </c>
      <c r="H535" s="8" t="str">
        <f ca="1">IF(RAND()&lt;0.25,
    "",
    IF($E535=0,
       CHOOSE(MATCH(RAND(),{0,0.2,0.4,0.6,0.7,0.8,0.85,0.9,0.95,1}),"B-354","B-386","B-4354","B-347","B-357","B-3471","B-34715","B-3571","B-35715"),
       IF($G535=24,
          "B-386",
          IF($G535=12,
             CHOOSE(MATCH(RAND(),{0,0.32,0.49,0.66,0.74,0.82,0.9,1}),"B-386","B-347","B-357","B-3471","B-34715","B-3571","B-35715"),
             "")
)))</f>
        <v/>
      </c>
      <c r="I535" s="8" t="str">
        <f t="shared" ca="1" si="43"/>
        <v/>
      </c>
      <c r="J535">
        <f t="shared" ca="1" si="40"/>
        <v>53</v>
      </c>
      <c r="K535">
        <f t="shared" ca="1" si="41"/>
        <v>75.25</v>
      </c>
      <c r="L535" s="14">
        <f t="shared" ca="1" si="42"/>
        <v>9</v>
      </c>
      <c r="M535" s="14">
        <f t="shared" ca="1" si="44"/>
        <v>1.75</v>
      </c>
    </row>
    <row r="536" spans="2:13" hidden="1">
      <c r="B536" s="14" t="s">
        <v>21</v>
      </c>
      <c r="C536" s="14">
        <v>1</v>
      </c>
      <c r="D536" s="14">
        <v>0</v>
      </c>
      <c r="E536" s="14">
        <v>1</v>
      </c>
      <c r="F536" s="14">
        <v>0</v>
      </c>
      <c r="G536" s="14">
        <v>24</v>
      </c>
      <c r="H536" s="8" t="str">
        <f ca="1">IF(RAND()&lt;0.25,
    "",
    IF($E536=0,
       CHOOSE(MATCH(RAND(),{0,0.2,0.4,0.6,0.7,0.8,0.85,0.9,0.95,1}),"B-354","B-386","B-4354","B-347","B-357","B-3471","B-34715","B-3571","B-35715"),
       IF($G536=24,
          "B-386",
          IF($G536=12,
             CHOOSE(MATCH(RAND(),{0,0.32,0.49,0.66,0.74,0.82,0.9,1}),"B-386","B-347","B-357","B-3471","B-34715","B-3571","B-35715"),
             "")
)))</f>
        <v>B-386</v>
      </c>
      <c r="I536" s="8" t="str">
        <f t="shared" ca="1" si="43"/>
        <v/>
      </c>
      <c r="J536">
        <f t="shared" ca="1" si="40"/>
        <v>56.5625</v>
      </c>
      <c r="K536">
        <f t="shared" ca="1" si="41"/>
        <v>43.875</v>
      </c>
      <c r="L536" s="14">
        <f t="shared" ca="1" si="42"/>
        <v>12</v>
      </c>
      <c r="M536" s="14">
        <f t="shared" ca="1" si="44"/>
        <v>1</v>
      </c>
    </row>
    <row r="537" spans="2:13" hidden="1">
      <c r="B537" s="14" t="s">
        <v>21</v>
      </c>
      <c r="C537" s="14">
        <v>1</v>
      </c>
      <c r="D537" s="14">
        <v>0</v>
      </c>
      <c r="E537" s="14">
        <v>1</v>
      </c>
      <c r="F537" s="14">
        <v>0</v>
      </c>
      <c r="G537" s="14"/>
      <c r="H537" s="8" t="str">
        <f ca="1">IF(RAND()&lt;0.25,
    "",
    IF($E537=0,
       CHOOSE(MATCH(RAND(),{0,0.2,0.4,0.6,0.7,0.8,0.85,0.9,0.95,1}),"B-354","B-386","B-4354","B-347","B-357","B-3471","B-34715","B-3571","B-35715"),
       IF($G537=24,
          "B-386",
          IF($G537=12,
             CHOOSE(MATCH(RAND(),{0,0.32,0.49,0.66,0.74,0.82,0.9,1}),"B-386","B-347","B-357","B-3471","B-34715","B-3571","B-35715"),
             "")
)))</f>
        <v/>
      </c>
      <c r="I537" s="8" t="str">
        <f t="shared" ca="1" si="43"/>
        <v/>
      </c>
      <c r="J537">
        <f t="shared" ca="1" si="40"/>
        <v>86.625</v>
      </c>
      <c r="K537">
        <f t="shared" ca="1" si="41"/>
        <v>69.8125</v>
      </c>
      <c r="L537" s="14">
        <f t="shared" ca="1" si="42"/>
        <v>12</v>
      </c>
      <c r="M537" s="14">
        <f t="shared" ca="1" si="44"/>
        <v>7.8125</v>
      </c>
    </row>
    <row r="538" spans="2:13" hidden="1">
      <c r="B538" s="14" t="s">
        <v>21</v>
      </c>
      <c r="C538" s="14">
        <v>1</v>
      </c>
      <c r="D538" s="14">
        <v>0</v>
      </c>
      <c r="E538" s="14">
        <v>1</v>
      </c>
      <c r="F538" s="14">
        <v>1</v>
      </c>
      <c r="G538" s="14"/>
      <c r="H538" s="8" t="str">
        <f ca="1">IF(RAND()&lt;0.25,
    "",
    IF($E538=0,
       CHOOSE(MATCH(RAND(),{0,0.2,0.4,0.6,0.7,0.8,0.85,0.9,0.95,1}),"B-354","B-386","B-4354","B-347","B-357","B-3471","B-34715","B-3571","B-35715"),
       IF($G538=24,
          "B-386",
          IF($G538=12,
             CHOOSE(MATCH(RAND(),{0,0.32,0.49,0.66,0.74,0.82,0.9,1}),"B-386","B-347","B-357","B-3471","B-34715","B-3571","B-35715"),
             "")
)))</f>
        <v/>
      </c>
      <c r="I538" s="8" t="str">
        <f t="shared" ca="1" si="43"/>
        <v/>
      </c>
      <c r="J538">
        <f t="shared" ca="1" si="40"/>
        <v>93.125</v>
      </c>
      <c r="K538">
        <f t="shared" ca="1" si="41"/>
        <v>47.1875</v>
      </c>
      <c r="L538" s="14">
        <f t="shared" ca="1" si="42"/>
        <v>9</v>
      </c>
      <c r="M538" s="14">
        <f t="shared" ca="1" si="44"/>
        <v>1.0625</v>
      </c>
    </row>
    <row r="539" spans="2:13" hidden="1">
      <c r="B539" s="14" t="s">
        <v>21</v>
      </c>
      <c r="C539" s="14">
        <v>1</v>
      </c>
      <c r="D539" s="14">
        <v>1</v>
      </c>
      <c r="E539" s="14">
        <v>0</v>
      </c>
      <c r="F539" s="14"/>
      <c r="G539" s="14"/>
      <c r="H539" s="8" t="str">
        <f ca="1">IF(RAND()&lt;0.25,
    "",
    IF($E539=0,
       CHOOSE(MATCH(RAND(),{0,0.2,0.4,0.6,0.7,0.8,0.85,0.9,0.95,1}),"B-354","B-386","B-4354","B-347","B-357","B-3471","B-34715","B-3571","B-35715"),
       IF($G539=24,
          "B-386",
          IF($G539=12,
             CHOOSE(MATCH(RAND(),{0,0.32,0.49,0.66,0.74,0.82,0.9,1}),"B-386","B-347","B-357","B-3471","B-34715","B-3571","B-35715"),
             "")
)))</f>
        <v>B-386</v>
      </c>
      <c r="I539" s="8" t="str">
        <f t="shared" ca="1" si="43"/>
        <v>B-354</v>
      </c>
      <c r="J539">
        <f t="shared" ca="1" si="40"/>
        <v>96</v>
      </c>
      <c r="K539">
        <f t="shared" ca="1" si="41"/>
        <v>69.625</v>
      </c>
      <c r="L539" s="14">
        <f t="shared" ca="1" si="42"/>
        <v>4.125</v>
      </c>
      <c r="M539" s="14">
        <f t="shared" ca="1" si="44"/>
        <v>1.125</v>
      </c>
    </row>
    <row r="540" spans="2:13" hidden="1">
      <c r="B540" s="14" t="s">
        <v>21</v>
      </c>
      <c r="C540" s="14">
        <v>1</v>
      </c>
      <c r="D540" s="14">
        <v>1</v>
      </c>
      <c r="E540" s="14">
        <v>1</v>
      </c>
      <c r="F540" s="14">
        <v>0</v>
      </c>
      <c r="G540" s="14">
        <v>12</v>
      </c>
      <c r="H540" s="8" t="str">
        <f ca="1">IF(RAND()&lt;0.25,
    "",
    IF($E540=0,
       CHOOSE(MATCH(RAND(),{0,0.2,0.4,0.6,0.7,0.8,0.85,0.9,0.95,1}),"B-354","B-386","B-4354","B-347","B-357","B-3471","B-34715","B-3571","B-35715"),
       IF($G540=24,
          "B-386",
          IF($G540=12,
             CHOOSE(MATCH(RAND(),{0,0.32,0.49,0.66,0.74,0.82,0.9,1}),"B-386","B-347","B-357","B-3471","B-34715","B-3571","B-35715"),
             "")
)))</f>
        <v/>
      </c>
      <c r="I540" s="8" t="str">
        <f t="shared" ca="1" si="43"/>
        <v/>
      </c>
      <c r="J540">
        <f t="shared" ca="1" si="40"/>
        <v>68.6875</v>
      </c>
      <c r="K540">
        <f t="shared" ca="1" si="41"/>
        <v>29.4375</v>
      </c>
      <c r="L540" s="14">
        <f t="shared" ca="1" si="42"/>
        <v>9</v>
      </c>
      <c r="M540" s="14">
        <f t="shared" ca="1" si="44"/>
        <v>7.6875</v>
      </c>
    </row>
    <row r="541" spans="2:13" hidden="1">
      <c r="B541" s="14" t="s">
        <v>21</v>
      </c>
      <c r="C541" s="14">
        <v>1</v>
      </c>
      <c r="D541" s="14">
        <v>1</v>
      </c>
      <c r="E541" s="14">
        <v>1</v>
      </c>
      <c r="F541" s="14">
        <v>0</v>
      </c>
      <c r="G541" s="14">
        <v>24</v>
      </c>
      <c r="H541" s="8" t="str">
        <f ca="1">IF(RAND()&lt;0.25,
    "",
    IF($E541=0,
       CHOOSE(MATCH(RAND(),{0,0.2,0.4,0.6,0.7,0.8,0.85,0.9,0.95,1}),"B-354","B-386","B-4354","B-347","B-357","B-3471","B-34715","B-3571","B-35715"),
       IF($G541=24,
          "B-386",
          IF($G541=12,
             CHOOSE(MATCH(RAND(),{0,0.32,0.49,0.66,0.74,0.82,0.9,1}),"B-386","B-347","B-357","B-3471","B-34715","B-3571","B-35715"),
             "")
)))</f>
        <v>B-386</v>
      </c>
      <c r="I541" s="8" t="str">
        <f t="shared" ca="1" si="43"/>
        <v/>
      </c>
      <c r="J541">
        <f t="shared" ca="1" si="40"/>
        <v>96</v>
      </c>
      <c r="K541">
        <f t="shared" ca="1" si="41"/>
        <v>73.8125</v>
      </c>
      <c r="L541" s="14">
        <f t="shared" ca="1" si="42"/>
        <v>12</v>
      </c>
      <c r="M541" s="14">
        <f t="shared" ca="1" si="44"/>
        <v>3.125</v>
      </c>
    </row>
    <row r="542" spans="2:13" hidden="1">
      <c r="B542" s="14" t="s">
        <v>21</v>
      </c>
      <c r="C542" s="14">
        <v>1</v>
      </c>
      <c r="D542" s="14">
        <v>1</v>
      </c>
      <c r="E542" s="14">
        <v>1</v>
      </c>
      <c r="F542" s="14">
        <v>0</v>
      </c>
      <c r="G542" s="14"/>
      <c r="H542" s="8" t="str">
        <f ca="1">IF(RAND()&lt;0.25,
    "",
    IF($E542=0,
       CHOOSE(MATCH(RAND(),{0,0.2,0.4,0.6,0.7,0.8,0.85,0.9,0.95,1}),"B-354","B-386","B-4354","B-347","B-357","B-3471","B-34715","B-3571","B-35715"),
       IF($G542=24,
          "B-386",
          IF($G542=12,
             CHOOSE(MATCH(RAND(),{0,0.32,0.49,0.66,0.74,0.82,0.9,1}),"B-386","B-347","B-357","B-3471","B-34715","B-3571","B-35715"),
             "")
)))</f>
        <v/>
      </c>
      <c r="I542" s="8" t="str">
        <f t="shared" ca="1" si="43"/>
        <v/>
      </c>
      <c r="J542">
        <f t="shared" ca="1" si="40"/>
        <v>96</v>
      </c>
      <c r="K542">
        <f t="shared" ca="1" si="41"/>
        <v>9.9375</v>
      </c>
      <c r="L542" s="14">
        <f t="shared" ca="1" si="42"/>
        <v>1</v>
      </c>
      <c r="M542" s="14" t="str">
        <f t="shared" ca="1" si="44"/>
        <v/>
      </c>
    </row>
    <row r="543" spans="2:13" ht="15" hidden="1" thickBot="1">
      <c r="B543" s="50" t="s">
        <v>21</v>
      </c>
      <c r="C543" s="50">
        <v>1</v>
      </c>
      <c r="D543" s="50">
        <v>1</v>
      </c>
      <c r="E543" s="50">
        <v>1</v>
      </c>
      <c r="F543" s="50">
        <v>1</v>
      </c>
      <c r="G543" s="50"/>
      <c r="H543" s="51" t="str">
        <f ca="1">IF(RAND()&lt;0.25,
    "",
    IF($E543=0,
       CHOOSE(MATCH(RAND(),{0,0.2,0.4,0.6,0.7,0.8,0.85,0.9,0.95,1}),"B-354","B-386","B-4354","B-347","B-357","B-3471","B-34715","B-3571","B-35715"),
       IF($G543=24,
          "B-386",
          IF($G543=12,
             CHOOSE(MATCH(RAND(),{0,0.32,0.49,0.66,0.74,0.82,0.9,1}),"B-386","B-347","B-357","B-3471","B-34715","B-3571","B-35715"),
             "")
)))</f>
        <v/>
      </c>
      <c r="I543" s="51" t="str">
        <f t="shared" ca="1" si="43"/>
        <v/>
      </c>
      <c r="J543" s="49">
        <f t="shared" ca="1" si="40"/>
        <v>83.1875</v>
      </c>
      <c r="K543" s="49">
        <f t="shared" ca="1" si="41"/>
        <v>39.625</v>
      </c>
      <c r="L543" s="50">
        <f t="shared" ca="1" si="42"/>
        <v>12</v>
      </c>
      <c r="M543" s="14">
        <f t="shared" ca="1" si="44"/>
        <v>1</v>
      </c>
    </row>
    <row r="544" spans="2:13">
      <c r="B544" s="14" t="s">
        <v>156</v>
      </c>
      <c r="C544" s="19">
        <v>0</v>
      </c>
      <c r="D544" s="19"/>
      <c r="E544" s="19">
        <v>0</v>
      </c>
      <c r="F544" s="19"/>
      <c r="G544" s="14"/>
      <c r="H544" s="8" t="str">
        <f ca="1">IF(RAND()&lt;0.25,
    "",
    IF($E544=0,
       CHOOSE(MATCH(RAND(),{0,0.2,0.4,0.6,0.7,0.8,0.85,0.9,0.95,1}),"B-354","B-386","B-4354","B-347","B-357","B-3471","B-34715","B-3571","B-35715"),
       IF($G544=24,
          "B-386",
          IF($G544=12,
             CHOOSE(MATCH(RAND(),{0,0.32,0.49,0.66,0.74,0.82,0.9,1}),"B-386","B-347","B-357","B-3471","B-34715","B-3571","B-35715"),
             "")
)))</f>
        <v>B-4354</v>
      </c>
      <c r="I544" s="8" t="str">
        <f t="shared" ca="1" si="43"/>
        <v>B-386</v>
      </c>
      <c r="J544">
        <f t="shared" ca="1" si="40"/>
        <v>27.25</v>
      </c>
      <c r="K544">
        <f t="shared" ca="1" si="41"/>
        <v>43.625</v>
      </c>
      <c r="L544" s="14">
        <f t="shared" ca="1" si="42"/>
        <v>1.0625</v>
      </c>
      <c r="M544" s="14">
        <f t="shared" ca="1" si="44"/>
        <v>5.3125</v>
      </c>
    </row>
    <row r="545" spans="2:13">
      <c r="B545" s="14" t="s">
        <v>156</v>
      </c>
      <c r="C545" s="14">
        <v>0</v>
      </c>
      <c r="D545" s="14"/>
      <c r="E545" s="14">
        <v>1</v>
      </c>
      <c r="F545" s="14">
        <v>0</v>
      </c>
      <c r="G545" s="14">
        <v>12</v>
      </c>
      <c r="H545" s="8" t="str">
        <f ca="1">IF(RAND()&lt;0.25,
    "",
    IF($E545=0,
       CHOOSE(MATCH(RAND(),{0,0.2,0.4,0.6,0.7,0.8,0.85,0.9,0.95,1}),"B-354","B-386","B-4354","B-347","B-357","B-3471","B-34715","B-3571","B-35715"),
       IF($G545=24,
          "B-386",
          IF($G545=12,
             CHOOSE(MATCH(RAND(),{0,0.32,0.49,0.66,0.74,0.82,0.9,1}),"B-386","B-347","B-357","B-3471","B-34715","B-3571","B-35715"),
             "")
)))</f>
        <v>B-386</v>
      </c>
      <c r="I545" s="8" t="str">
        <f t="shared" ca="1" si="43"/>
        <v/>
      </c>
      <c r="J545">
        <f t="shared" ca="1" si="40"/>
        <v>29.25</v>
      </c>
      <c r="K545">
        <f t="shared" ca="1" si="41"/>
        <v>52.125</v>
      </c>
      <c r="L545" s="14">
        <f t="shared" ca="1" si="42"/>
        <v>4.5</v>
      </c>
      <c r="M545" s="14">
        <f t="shared" ca="1" si="44"/>
        <v>1</v>
      </c>
    </row>
    <row r="546" spans="2:13" hidden="1">
      <c r="B546" s="14" t="s">
        <v>156</v>
      </c>
      <c r="C546" s="14">
        <v>0</v>
      </c>
      <c r="D546" s="14"/>
      <c r="E546" s="14">
        <v>1</v>
      </c>
      <c r="F546" s="14">
        <v>0</v>
      </c>
      <c r="G546" s="14">
        <v>24</v>
      </c>
      <c r="H546" s="8" t="str">
        <f ca="1">IF(RAND()&lt;0.25,
    "",
    IF($E546=0,
       CHOOSE(MATCH(RAND(),{0,0.2,0.4,0.6,0.7,0.8,0.85,0.9,0.95,1}),"B-354","B-386","B-4354","B-347","B-357","B-3471","B-34715","B-3571","B-35715"),
       IF($G546=24,
          "B-386",
          IF($G546=12,
             CHOOSE(MATCH(RAND(),{0,0.32,0.49,0.66,0.74,0.82,0.9,1}),"B-386","B-347","B-357","B-3471","B-34715","B-3571","B-35715"),
             "")
)))</f>
        <v>B-386</v>
      </c>
      <c r="I546" s="8" t="str">
        <f t="shared" ca="1" si="43"/>
        <v/>
      </c>
      <c r="J546">
        <f t="shared" ca="1" si="40"/>
        <v>11.875</v>
      </c>
      <c r="K546">
        <f t="shared" ca="1" si="41"/>
        <v>75.3125</v>
      </c>
      <c r="L546" s="14">
        <f t="shared" ca="1" si="42"/>
        <v>9</v>
      </c>
      <c r="M546" s="14" t="str">
        <f t="shared" ca="1" si="44"/>
        <v/>
      </c>
    </row>
    <row r="547" spans="2:13" hidden="1">
      <c r="B547" s="14" t="s">
        <v>156</v>
      </c>
      <c r="C547" s="14">
        <v>0</v>
      </c>
      <c r="D547" s="14"/>
      <c r="E547" s="14">
        <v>1</v>
      </c>
      <c r="F547" s="14">
        <v>0</v>
      </c>
      <c r="G547" s="14"/>
      <c r="H547" s="8" t="str">
        <f ca="1">IF(RAND()&lt;0.25,
    "",
    IF($E547=0,
       CHOOSE(MATCH(RAND(),{0,0.2,0.4,0.6,0.7,0.8,0.85,0.9,0.95,1}),"B-354","B-386","B-4354","B-347","B-357","B-3471","B-34715","B-3571","B-35715"),
       IF($G547=24,
          "B-386",
          IF($G547=12,
             CHOOSE(MATCH(RAND(),{0,0.32,0.49,0.66,0.74,0.82,0.9,1}),"B-386","B-347","B-357","B-3471","B-34715","B-3571","B-35715"),
             "")
)))</f>
        <v/>
      </c>
      <c r="I547" s="8" t="str">
        <f t="shared" ca="1" si="43"/>
        <v/>
      </c>
      <c r="J547">
        <f t="shared" ca="1" si="40"/>
        <v>15.4375</v>
      </c>
      <c r="K547">
        <f t="shared" ca="1" si="41"/>
        <v>38.4375</v>
      </c>
      <c r="L547" s="14">
        <f t="shared" ca="1" si="42"/>
        <v>9</v>
      </c>
      <c r="M547" s="14">
        <f t="shared" ca="1" si="44"/>
        <v>2.3125</v>
      </c>
    </row>
    <row r="548" spans="2:13" hidden="1">
      <c r="B548" s="14" t="s">
        <v>156</v>
      </c>
      <c r="C548" s="14">
        <v>0</v>
      </c>
      <c r="D548" s="14"/>
      <c r="E548" s="14">
        <v>1</v>
      </c>
      <c r="F548" s="14">
        <v>1</v>
      </c>
      <c r="G548" s="14"/>
      <c r="H548" s="8" t="str">
        <f ca="1">IF(RAND()&lt;0.25,
    "",
    IF($E548=0,
       CHOOSE(MATCH(RAND(),{0,0.2,0.4,0.6,0.7,0.8,0.85,0.9,0.95,1}),"B-354","B-386","B-4354","B-347","B-357","B-3471","B-34715","B-3571","B-35715"),
       IF($G548=24,
          "B-386",
          IF($G548=12,
             CHOOSE(MATCH(RAND(),{0,0.32,0.49,0.66,0.74,0.82,0.9,1}),"B-386","B-347","B-357","B-3471","B-34715","B-3571","B-35715"),
             "")
)))</f>
        <v/>
      </c>
      <c r="I548" s="8" t="str">
        <f t="shared" ca="1" si="43"/>
        <v/>
      </c>
      <c r="J548">
        <f t="shared" ca="1" si="40"/>
        <v>13.75</v>
      </c>
      <c r="K548">
        <f t="shared" ca="1" si="41"/>
        <v>10.8125</v>
      </c>
      <c r="L548" s="14">
        <f t="shared" ca="1" si="42"/>
        <v>6.9375</v>
      </c>
      <c r="M548" s="14">
        <f t="shared" ca="1" si="44"/>
        <v>3.5625</v>
      </c>
    </row>
    <row r="549" spans="2:13">
      <c r="B549" s="14" t="s">
        <v>156</v>
      </c>
      <c r="C549" s="14">
        <v>1</v>
      </c>
      <c r="D549" s="14">
        <v>0</v>
      </c>
      <c r="E549" s="14">
        <v>0</v>
      </c>
      <c r="F549" s="14"/>
      <c r="G549" s="14"/>
      <c r="H549" s="8" t="str">
        <f ca="1">IF(RAND()&lt;0.25,
    "",
    IF($E549=0,
       CHOOSE(MATCH(RAND(),{0,0.2,0.4,0.6,0.7,0.8,0.85,0.9,0.95,1}),"B-354","B-386","B-4354","B-347","B-357","B-3471","B-34715","B-3571","B-35715"),
       IF($G549=24,
          "B-386",
          IF($G549=12,
             CHOOSE(MATCH(RAND(),{0,0.32,0.49,0.66,0.74,0.82,0.9,1}),"B-386","B-347","B-357","B-3471","B-34715","B-3571","B-35715"),
             "")
)))</f>
        <v>B-3471</v>
      </c>
      <c r="I549" s="8" t="str">
        <f t="shared" ca="1" si="43"/>
        <v/>
      </c>
      <c r="J549">
        <f t="shared" ca="1" si="40"/>
        <v>45.5625</v>
      </c>
      <c r="K549">
        <f t="shared" ca="1" si="41"/>
        <v>63.4375</v>
      </c>
      <c r="L549" s="14">
        <f t="shared" ca="1" si="42"/>
        <v>12</v>
      </c>
      <c r="M549" s="14">
        <f t="shared" ca="1" si="44"/>
        <v>4.375</v>
      </c>
    </row>
    <row r="550" spans="2:13" hidden="1">
      <c r="B550" s="14" t="s">
        <v>156</v>
      </c>
      <c r="C550" s="14">
        <v>1</v>
      </c>
      <c r="D550" s="14">
        <v>0</v>
      </c>
      <c r="E550" s="14">
        <v>1</v>
      </c>
      <c r="F550" s="14">
        <v>0</v>
      </c>
      <c r="G550" s="14">
        <v>12</v>
      </c>
      <c r="H550" s="8" t="str">
        <f ca="1">IF(RAND()&lt;0.25,
    "",
    IF($E550=0,
       CHOOSE(MATCH(RAND(),{0,0.2,0.4,0.6,0.7,0.8,0.85,0.9,0.95,1}),"B-354","B-386","B-4354","B-347","B-357","B-3471","B-34715","B-3571","B-35715"),
       IF($G550=24,
          "B-386",
          IF($G550=12,
             CHOOSE(MATCH(RAND(),{0,0.32,0.49,0.66,0.74,0.82,0.9,1}),"B-386","B-347","B-357","B-3471","B-34715","B-3571","B-35715"),
             "")
)))</f>
        <v>B-386</v>
      </c>
      <c r="I550" s="8" t="str">
        <f t="shared" ca="1" si="43"/>
        <v/>
      </c>
      <c r="J550">
        <f t="shared" ca="1" si="40"/>
        <v>26.5625</v>
      </c>
      <c r="K550">
        <f t="shared" ca="1" si="41"/>
        <v>76.375</v>
      </c>
      <c r="L550" s="14">
        <f t="shared" ca="1" si="42"/>
        <v>1</v>
      </c>
      <c r="M550" s="14">
        <f t="shared" ca="1" si="44"/>
        <v>2.625</v>
      </c>
    </row>
    <row r="551" spans="2:13">
      <c r="B551" s="14" t="s">
        <v>156</v>
      </c>
      <c r="C551" s="14">
        <v>1</v>
      </c>
      <c r="D551" s="14">
        <v>0</v>
      </c>
      <c r="E551" s="14">
        <v>1</v>
      </c>
      <c r="F551" s="14">
        <v>0</v>
      </c>
      <c r="G551" s="14">
        <v>24</v>
      </c>
      <c r="H551" s="8" t="str">
        <f ca="1">IF(RAND()&lt;0.25,
    "",
    IF($E551=0,
       CHOOSE(MATCH(RAND(),{0,0.2,0.4,0.6,0.7,0.8,0.85,0.9,0.95,1}),"B-354","B-386","B-4354","B-347","B-357","B-3471","B-34715","B-3571","B-35715"),
       IF($G551=24,
          "B-386",
          IF($G551=12,
             CHOOSE(MATCH(RAND(),{0,0.32,0.49,0.66,0.74,0.82,0.9,1}),"B-386","B-347","B-357","B-3471","B-34715","B-3571","B-35715"),
             "")
)))</f>
        <v/>
      </c>
      <c r="I551" s="8" t="str">
        <f t="shared" ca="1" si="43"/>
        <v/>
      </c>
      <c r="J551">
        <f t="shared" ca="1" si="40"/>
        <v>12</v>
      </c>
      <c r="K551">
        <f t="shared" ca="1" si="41"/>
        <v>66.625</v>
      </c>
      <c r="L551" s="14">
        <f t="shared" ca="1" si="42"/>
        <v>1</v>
      </c>
      <c r="M551" s="14">
        <f t="shared" ca="1" si="44"/>
        <v>5.0625</v>
      </c>
    </row>
    <row r="552" spans="2:13" hidden="1">
      <c r="B552" s="14" t="s">
        <v>156</v>
      </c>
      <c r="C552" s="14">
        <v>1</v>
      </c>
      <c r="D552" s="14">
        <v>0</v>
      </c>
      <c r="E552" s="14">
        <v>1</v>
      </c>
      <c r="F552" s="14">
        <v>0</v>
      </c>
      <c r="G552" s="14"/>
      <c r="H552" s="8" t="str">
        <f ca="1">IF(RAND()&lt;0.25,
    "",
    IF($E552=0,
       CHOOSE(MATCH(RAND(),{0,0.2,0.4,0.6,0.7,0.8,0.85,0.9,0.95,1}),"B-354","B-386","B-4354","B-347","B-357","B-3471","B-34715","B-3571","B-35715"),
       IF($G552=24,
          "B-386",
          IF($G552=12,
             CHOOSE(MATCH(RAND(),{0,0.32,0.49,0.66,0.74,0.82,0.9,1}),"B-386","B-347","B-357","B-3471","B-34715","B-3571","B-35715"),
             "")
)))</f>
        <v/>
      </c>
      <c r="I552" s="8" t="str">
        <f t="shared" ca="1" si="43"/>
        <v/>
      </c>
      <c r="J552">
        <f t="shared" ca="1" si="40"/>
        <v>9.8125</v>
      </c>
      <c r="K552">
        <f t="shared" ca="1" si="41"/>
        <v>32.625</v>
      </c>
      <c r="L552" s="14">
        <f t="shared" ca="1" si="42"/>
        <v>12</v>
      </c>
      <c r="M552" s="14">
        <f t="shared" ca="1" si="44"/>
        <v>1</v>
      </c>
    </row>
    <row r="553" spans="2:13" hidden="1">
      <c r="B553" s="14" t="s">
        <v>156</v>
      </c>
      <c r="C553" s="14">
        <v>1</v>
      </c>
      <c r="D553" s="14">
        <v>0</v>
      </c>
      <c r="E553" s="14">
        <v>1</v>
      </c>
      <c r="F553" s="14">
        <v>1</v>
      </c>
      <c r="G553" s="14"/>
      <c r="H553" s="8" t="str">
        <f ca="1">IF(RAND()&lt;0.25,
    "",
    IF($E553=0,
       CHOOSE(MATCH(RAND(),{0,0.2,0.4,0.6,0.7,0.8,0.85,0.9,0.95,1}),"B-354","B-386","B-4354","B-347","B-357","B-3471","B-34715","B-3571","B-35715"),
       IF($G553=24,
          "B-386",
          IF($G553=12,
             CHOOSE(MATCH(RAND(),{0,0.32,0.49,0.66,0.74,0.82,0.9,1}),"B-386","B-347","B-357","B-3471","B-34715","B-3571","B-35715"),
             "")
)))</f>
        <v/>
      </c>
      <c r="I553" s="8" t="str">
        <f t="shared" ca="1" si="43"/>
        <v/>
      </c>
      <c r="J553">
        <f t="shared" ca="1" si="40"/>
        <v>26.3125</v>
      </c>
      <c r="K553">
        <f t="shared" ca="1" si="41"/>
        <v>73.375</v>
      </c>
      <c r="L553" s="14">
        <f t="shared" ca="1" si="42"/>
        <v>4.5</v>
      </c>
      <c r="M553" s="14" t="str">
        <f t="shared" ca="1" si="44"/>
        <v/>
      </c>
    </row>
    <row r="554" spans="2:13">
      <c r="B554" s="14" t="s">
        <v>156</v>
      </c>
      <c r="C554" s="14">
        <v>1</v>
      </c>
      <c r="D554" s="14">
        <v>1</v>
      </c>
      <c r="E554" s="14">
        <v>0</v>
      </c>
      <c r="F554" s="14"/>
      <c r="G554" s="14"/>
      <c r="H554" s="8" t="str">
        <f ca="1">IF(RAND()&lt;0.25,
    "",
    IF($E554=0,
       CHOOSE(MATCH(RAND(),{0,0.2,0.4,0.6,0.7,0.8,0.85,0.9,0.95,1}),"B-354","B-386","B-4354","B-347","B-357","B-3471","B-34715","B-3571","B-35715"),
       IF($G554=24,
          "B-386",
          IF($G554=12,
             CHOOSE(MATCH(RAND(),{0,0.32,0.49,0.66,0.74,0.82,0.9,1}),"B-386","B-347","B-357","B-3471","B-34715","B-3571","B-35715"),
             "")
)))</f>
        <v>B-386</v>
      </c>
      <c r="I554" s="8" t="str">
        <f t="shared" ca="1" si="43"/>
        <v>B-4354</v>
      </c>
      <c r="J554">
        <f t="shared" ca="1" si="40"/>
        <v>45.6875</v>
      </c>
      <c r="K554">
        <f t="shared" ca="1" si="41"/>
        <v>42.6875</v>
      </c>
      <c r="L554" s="14">
        <f t="shared" ca="1" si="42"/>
        <v>10.875</v>
      </c>
      <c r="M554" s="14" t="str">
        <f t="shared" ca="1" si="44"/>
        <v/>
      </c>
    </row>
    <row r="555" spans="2:13">
      <c r="B555" s="14" t="s">
        <v>156</v>
      </c>
      <c r="C555" s="14">
        <v>1</v>
      </c>
      <c r="D555" s="14">
        <v>1</v>
      </c>
      <c r="E555" s="14">
        <v>1</v>
      </c>
      <c r="F555" s="14">
        <v>0</v>
      </c>
      <c r="G555" s="14">
        <v>12</v>
      </c>
      <c r="H555" s="8" t="str">
        <f ca="1">IF(RAND()&lt;0.25,
    "",
    IF($E555=0,
       CHOOSE(MATCH(RAND(),{0,0.2,0.4,0.6,0.7,0.8,0.85,0.9,0.95,1}),"B-354","B-386","B-4354","B-347","B-357","B-3471","B-34715","B-3571","B-35715"),
       IF($G555=24,
          "B-386",
          IF($G555=12,
             CHOOSE(MATCH(RAND(),{0,0.32,0.49,0.66,0.74,0.82,0.9,1}),"B-386","B-347","B-357","B-3471","B-34715","B-3571","B-35715"),
             "")
)))</f>
        <v>B-386</v>
      </c>
      <c r="I555" s="8" t="str">
        <f t="shared" ca="1" si="43"/>
        <v/>
      </c>
      <c r="J555">
        <f t="shared" ca="1" si="40"/>
        <v>13.25</v>
      </c>
      <c r="K555">
        <f t="shared" ca="1" si="41"/>
        <v>62.5625</v>
      </c>
      <c r="L555" s="14">
        <f t="shared" ca="1" si="42"/>
        <v>9</v>
      </c>
      <c r="M555" s="14">
        <f t="shared" ca="1" si="44"/>
        <v>8.125</v>
      </c>
    </row>
    <row r="556" spans="2:13">
      <c r="B556" s="14" t="s">
        <v>156</v>
      </c>
      <c r="C556" s="14">
        <v>1</v>
      </c>
      <c r="D556" s="14">
        <v>1</v>
      </c>
      <c r="E556" s="14">
        <v>1</v>
      </c>
      <c r="F556" s="14">
        <v>0</v>
      </c>
      <c r="G556" s="14">
        <v>24</v>
      </c>
      <c r="H556" s="8" t="str">
        <f ca="1">IF(RAND()&lt;0.25,
    "",
    IF($E556=0,
       CHOOSE(MATCH(RAND(),{0,0.2,0.4,0.6,0.7,0.8,0.85,0.9,0.95,1}),"B-354","B-386","B-4354","B-347","B-357","B-3471","B-34715","B-3571","B-35715"),
       IF($G556=24,
          "B-386",
          IF($G556=12,
             CHOOSE(MATCH(RAND(),{0,0.32,0.49,0.66,0.74,0.82,0.9,1}),"B-386","B-347","B-357","B-3471","B-34715","B-3571","B-35715"),
             "")
)))</f>
        <v/>
      </c>
      <c r="I556" s="8" t="str">
        <f t="shared" ca="1" si="43"/>
        <v/>
      </c>
      <c r="J556">
        <f t="shared" ca="1" si="40"/>
        <v>4.875</v>
      </c>
      <c r="K556">
        <f t="shared" ca="1" si="41"/>
        <v>12.3125</v>
      </c>
      <c r="L556" s="14">
        <f t="shared" ca="1" si="42"/>
        <v>4.5</v>
      </c>
      <c r="M556" s="14" t="str">
        <f t="shared" ca="1" si="44"/>
        <v/>
      </c>
    </row>
    <row r="557" spans="2:13" hidden="1">
      <c r="B557" s="14" t="s">
        <v>156</v>
      </c>
      <c r="C557" s="14">
        <v>1</v>
      </c>
      <c r="D557" s="14">
        <v>1</v>
      </c>
      <c r="E557" s="14">
        <v>1</v>
      </c>
      <c r="F557" s="14">
        <v>0</v>
      </c>
      <c r="G557" s="14"/>
      <c r="H557" s="8" t="str">
        <f ca="1">IF(RAND()&lt;0.25,
    "",
    IF($E557=0,
       CHOOSE(MATCH(RAND(),{0,0.2,0.4,0.6,0.7,0.8,0.85,0.9,0.95,1}),"B-354","B-386","B-4354","B-347","B-357","B-3471","B-34715","B-3571","B-35715"),
       IF($G557=24,
          "B-386",
          IF($G557=12,
             CHOOSE(MATCH(RAND(),{0,0.32,0.49,0.66,0.74,0.82,0.9,1}),"B-386","B-347","B-357","B-3471","B-34715","B-3571","B-35715"),
             "")
)))</f>
        <v/>
      </c>
      <c r="I557" s="8" t="str">
        <f t="shared" ca="1" si="43"/>
        <v/>
      </c>
      <c r="J557">
        <f t="shared" ca="1" si="40"/>
        <v>9.8125</v>
      </c>
      <c r="K557">
        <f t="shared" ca="1" si="41"/>
        <v>5.4375</v>
      </c>
      <c r="L557" s="14">
        <f t="shared" ca="1" si="42"/>
        <v>4.5</v>
      </c>
      <c r="M557" s="14">
        <f t="shared" ca="1" si="44"/>
        <v>3.4375</v>
      </c>
    </row>
    <row r="558" spans="2:13" hidden="1">
      <c r="B558" s="14" t="s">
        <v>156</v>
      </c>
      <c r="C558" s="14">
        <v>1</v>
      </c>
      <c r="D558" s="14">
        <v>1</v>
      </c>
      <c r="E558" s="14">
        <v>1</v>
      </c>
      <c r="F558" s="14">
        <v>1</v>
      </c>
      <c r="G558" s="14"/>
      <c r="H558" s="8" t="str">
        <f ca="1">IF(RAND()&lt;0.25,
    "",
    IF($E558=0,
       CHOOSE(MATCH(RAND(),{0,0.2,0.4,0.6,0.7,0.8,0.85,0.9,0.95,1}),"B-354","B-386","B-4354","B-347","B-357","B-3471","B-34715","B-3571","B-35715"),
       IF($G558=24,
          "B-386",
          IF($G558=12,
             CHOOSE(MATCH(RAND(),{0,0.32,0.49,0.66,0.74,0.82,0.9,1}),"B-386","B-347","B-357","B-3471","B-34715","B-3571","B-35715"),
             "")
)))</f>
        <v/>
      </c>
      <c r="I558" s="8" t="str">
        <f t="shared" ca="1" si="43"/>
        <v/>
      </c>
      <c r="J558">
        <f t="shared" ca="1" si="40"/>
        <v>17.875</v>
      </c>
      <c r="K558">
        <f t="shared" ca="1" si="41"/>
        <v>39.875</v>
      </c>
      <c r="L558" s="14">
        <f t="shared" ca="1" si="42"/>
        <v>4.1875</v>
      </c>
      <c r="M558" s="14" t="str">
        <f t="shared" ca="1" si="44"/>
        <v/>
      </c>
    </row>
    <row r="559" spans="2:13" hidden="1">
      <c r="B559" s="14" t="s">
        <v>157</v>
      </c>
      <c r="C559" s="14">
        <v>0</v>
      </c>
      <c r="D559" s="14"/>
      <c r="E559" s="14">
        <v>0</v>
      </c>
      <c r="F559" s="14"/>
      <c r="G559" s="14"/>
      <c r="H559" s="8" t="str">
        <f ca="1">IF(RAND()&lt;0.25,
    "",
    IF($E559=0,
       CHOOSE(MATCH(RAND(),{0,0.2,0.4,0.6,0.7,0.8,0.85,0.9,0.95,1}),"B-354","B-386","B-4354","B-347","B-357","B-3471","B-34715","B-3571","B-35715"),
       IF($G559=24,
          "B-386",
          IF($G559=12,
             CHOOSE(MATCH(RAND(),{0,0.32,0.49,0.66,0.74,0.82,0.9,1}),"B-386","B-347","B-357","B-3471","B-34715","B-3571","B-35715"),
             "")
)))</f>
        <v>B-347</v>
      </c>
      <c r="I559" s="8" t="str">
        <f t="shared" ca="1" si="43"/>
        <v/>
      </c>
      <c r="J559">
        <f t="shared" ca="1" si="40"/>
        <v>60</v>
      </c>
      <c r="K559">
        <f t="shared" ca="1" si="41"/>
        <v>74</v>
      </c>
      <c r="L559" s="14">
        <f t="shared" ca="1" si="42"/>
        <v>9</v>
      </c>
      <c r="M559" s="14" t="str">
        <f t="shared" ca="1" si="44"/>
        <v/>
      </c>
    </row>
    <row r="560" spans="2:13" hidden="1">
      <c r="B560" s="14" t="s">
        <v>157</v>
      </c>
      <c r="C560" s="14">
        <v>0</v>
      </c>
      <c r="D560" s="14"/>
      <c r="E560" s="14">
        <v>1</v>
      </c>
      <c r="F560" s="14">
        <v>0</v>
      </c>
      <c r="G560" s="14">
        <v>12</v>
      </c>
      <c r="H560" s="8" t="str">
        <f ca="1">IF(RAND()&lt;0.25,
    "",
    IF($E560=0,
       CHOOSE(MATCH(RAND(),{0,0.2,0.4,0.6,0.7,0.8,0.85,0.9,0.95,1}),"B-354","B-386","B-4354","B-347","B-357","B-3471","B-34715","B-3571","B-35715"),
       IF($G560=24,
          "B-386",
          IF($G560=12,
             CHOOSE(MATCH(RAND(),{0,0.32,0.49,0.66,0.74,0.82,0.9,1}),"B-386","B-347","B-357","B-3471","B-34715","B-3571","B-35715"),
             "")
)))</f>
        <v>B-357</v>
      </c>
      <c r="I560" s="8" t="str">
        <f t="shared" ca="1" si="43"/>
        <v/>
      </c>
      <c r="J560">
        <f t="shared" ca="1" si="40"/>
        <v>60</v>
      </c>
      <c r="K560">
        <f t="shared" ca="1" si="41"/>
        <v>53.6875</v>
      </c>
      <c r="L560" s="14">
        <f t="shared" ca="1" si="42"/>
        <v>12</v>
      </c>
      <c r="M560" s="14" t="str">
        <f t="shared" ca="1" si="44"/>
        <v/>
      </c>
    </row>
    <row r="561" spans="2:13">
      <c r="B561" s="14" t="s">
        <v>157</v>
      </c>
      <c r="C561" s="14">
        <v>0</v>
      </c>
      <c r="D561" s="14"/>
      <c r="E561" s="14">
        <v>1</v>
      </c>
      <c r="F561" s="14">
        <v>0</v>
      </c>
      <c r="G561" s="14">
        <v>24</v>
      </c>
      <c r="H561" s="8" t="str">
        <f ca="1">IF(RAND()&lt;0.25,
    "",
    IF($E561=0,
       CHOOSE(MATCH(RAND(),{0,0.2,0.4,0.6,0.7,0.8,0.85,0.9,0.95,1}),"B-354","B-386","B-4354","B-347","B-357","B-3471","B-34715","B-3571","B-35715"),
       IF($G561=24,
          "B-386",
          IF($G561=12,
             CHOOSE(MATCH(RAND(),{0,0.32,0.49,0.66,0.74,0.82,0.9,1}),"B-386","B-347","B-357","B-3471","B-34715","B-3571","B-35715"),
             "")
)))</f>
        <v>B-386</v>
      </c>
      <c r="I561" s="8" t="str">
        <f t="shared" ca="1" si="43"/>
        <v/>
      </c>
      <c r="J561">
        <f t="shared" ref="J561:J624" ca="1" si="45">IF(B561="BOTTOM",
   60,
   IF(B561="TOP",
      RANDBETWEEN(3*16,50*16)/16,
      IF(B561="WHOLE",
         IF(RAND()&lt;0.75,
            RANDBETWEEN(36*16,110*16)/16,
            96
         ),
         ""
      )
   )
)</f>
        <v>60</v>
      </c>
      <c r="K561">
        <f t="shared" ref="K561:K624" ca="1" si="46">_xlfn.LET(
_xlpm.minVal, IF($H561&lt;&gt;"",40,5),
RANDBETWEEN(_xlpm.minVal*16,80*16)/16
)</f>
        <v>56.5</v>
      </c>
      <c r="L561" s="14">
        <f t="shared" ca="1" si="42"/>
        <v>12</v>
      </c>
      <c r="M561" s="14">
        <f t="shared" ca="1" si="44"/>
        <v>2.625</v>
      </c>
    </row>
    <row r="562" spans="2:13" hidden="1">
      <c r="B562" s="14" t="s">
        <v>157</v>
      </c>
      <c r="C562" s="14">
        <v>0</v>
      </c>
      <c r="D562" s="14"/>
      <c r="E562" s="14">
        <v>1</v>
      </c>
      <c r="F562" s="14">
        <v>0</v>
      </c>
      <c r="G562" s="14"/>
      <c r="H562" s="8" t="str">
        <f ca="1">IF(RAND()&lt;0.25,
    "",
    IF($E562=0,
       CHOOSE(MATCH(RAND(),{0,0.2,0.4,0.6,0.7,0.8,0.85,0.9,0.95,1}),"B-354","B-386","B-4354","B-347","B-357","B-3471","B-34715","B-3571","B-35715"),
       IF($G562=24,
          "B-386",
          IF($G562=12,
             CHOOSE(MATCH(RAND(),{0,0.32,0.49,0.66,0.74,0.82,0.9,1}),"B-386","B-347","B-357","B-3471","B-34715","B-3571","B-35715"),
             "")
)))</f>
        <v/>
      </c>
      <c r="I562" s="8" t="str">
        <f t="shared" ca="1" si="43"/>
        <v/>
      </c>
      <c r="J562">
        <f t="shared" ca="1" si="45"/>
        <v>60</v>
      </c>
      <c r="K562">
        <f t="shared" ca="1" si="46"/>
        <v>27.75</v>
      </c>
      <c r="L562" s="14">
        <f t="shared" ca="1" si="42"/>
        <v>4.5</v>
      </c>
      <c r="M562" s="14">
        <f t="shared" ca="1" si="44"/>
        <v>1</v>
      </c>
    </row>
    <row r="563" spans="2:13" hidden="1">
      <c r="B563" s="14" t="s">
        <v>157</v>
      </c>
      <c r="C563" s="14">
        <v>0</v>
      </c>
      <c r="D563" s="14"/>
      <c r="E563" s="14">
        <v>1</v>
      </c>
      <c r="F563" s="14">
        <v>1</v>
      </c>
      <c r="G563" s="14"/>
      <c r="H563" s="8" t="str">
        <f ca="1">IF(RAND()&lt;0.25,
    "",
    IF($E563=0,
       CHOOSE(MATCH(RAND(),{0,0.2,0.4,0.6,0.7,0.8,0.85,0.9,0.95,1}),"B-354","B-386","B-4354","B-347","B-357","B-3471","B-34715","B-3571","B-35715"),
       IF($G563=24,
          "B-386",
          IF($G563=12,
             CHOOSE(MATCH(RAND(),{0,0.32,0.49,0.66,0.74,0.82,0.9,1}),"B-386","B-347","B-357","B-3471","B-34715","B-3571","B-35715"),
             "")
)))</f>
        <v/>
      </c>
      <c r="I563" s="8" t="str">
        <f t="shared" ca="1" si="43"/>
        <v/>
      </c>
      <c r="J563">
        <f t="shared" ca="1" si="45"/>
        <v>60</v>
      </c>
      <c r="K563">
        <f t="shared" ca="1" si="46"/>
        <v>17</v>
      </c>
      <c r="L563" s="14">
        <f t="shared" ca="1" si="42"/>
        <v>9</v>
      </c>
      <c r="M563" s="14">
        <f t="shared" ca="1" si="44"/>
        <v>1</v>
      </c>
    </row>
    <row r="564" spans="2:13">
      <c r="B564" s="14" t="s">
        <v>157</v>
      </c>
      <c r="C564" s="14">
        <v>1</v>
      </c>
      <c r="D564" s="14">
        <v>0</v>
      </c>
      <c r="E564" s="14">
        <v>0</v>
      </c>
      <c r="F564" s="14"/>
      <c r="G564" s="14"/>
      <c r="H564" s="8" t="str">
        <f ca="1">IF(RAND()&lt;0.25,
    "",
    IF($E564=0,
       CHOOSE(MATCH(RAND(),{0,0.2,0.4,0.6,0.7,0.8,0.85,0.9,0.95,1}),"B-354","B-386","B-4354","B-347","B-357","B-3471","B-34715","B-3571","B-35715"),
       IF($G564=24,
          "B-386",
          IF($G564=12,
             CHOOSE(MATCH(RAND(),{0,0.32,0.49,0.66,0.74,0.82,0.9,1}),"B-386","B-347","B-357","B-3471","B-34715","B-3571","B-35715"),
             "")
)))</f>
        <v>B-386</v>
      </c>
      <c r="I564" s="8" t="str">
        <f t="shared" ca="1" si="43"/>
        <v/>
      </c>
      <c r="J564">
        <f t="shared" ca="1" si="45"/>
        <v>60</v>
      </c>
      <c r="K564">
        <f t="shared" ca="1" si="46"/>
        <v>55.125</v>
      </c>
      <c r="L564" s="14">
        <f t="shared" ca="1" si="42"/>
        <v>9.125</v>
      </c>
      <c r="M564" s="14">
        <f t="shared" ca="1" si="44"/>
        <v>1</v>
      </c>
    </row>
    <row r="565" spans="2:13">
      <c r="B565" s="14" t="s">
        <v>157</v>
      </c>
      <c r="C565" s="14">
        <v>1</v>
      </c>
      <c r="D565" s="14">
        <v>0</v>
      </c>
      <c r="E565" s="14">
        <v>1</v>
      </c>
      <c r="F565" s="14">
        <v>0</v>
      </c>
      <c r="G565" s="14">
        <v>12</v>
      </c>
      <c r="H565" s="8" t="str">
        <f ca="1">IF(RAND()&lt;0.25,
    "",
    IF($E565=0,
       CHOOSE(MATCH(RAND(),{0,0.2,0.4,0.6,0.7,0.8,0.85,0.9,0.95,1}),"B-354","B-386","B-4354","B-347","B-357","B-3471","B-34715","B-3571","B-35715"),
       IF($G565=24,
          "B-386",
          IF($G565=12,
             CHOOSE(MATCH(RAND(),{0,0.32,0.49,0.66,0.74,0.82,0.9,1}),"B-386","B-347","B-357","B-3471","B-34715","B-3571","B-35715"),
             "")
)))</f>
        <v/>
      </c>
      <c r="I565" s="8" t="str">
        <f t="shared" ca="1" si="43"/>
        <v/>
      </c>
      <c r="J565">
        <f t="shared" ca="1" si="45"/>
        <v>60</v>
      </c>
      <c r="K565">
        <f t="shared" ca="1" si="46"/>
        <v>78.5625</v>
      </c>
      <c r="L565" s="14">
        <f t="shared" ca="1" si="42"/>
        <v>12</v>
      </c>
      <c r="M565" s="14" t="str">
        <f t="shared" ca="1" si="44"/>
        <v/>
      </c>
    </row>
    <row r="566" spans="2:13">
      <c r="B566" s="14" t="s">
        <v>157</v>
      </c>
      <c r="C566" s="14">
        <v>1</v>
      </c>
      <c r="D566" s="14">
        <v>0</v>
      </c>
      <c r="E566" s="14">
        <v>1</v>
      </c>
      <c r="F566" s="14">
        <v>0</v>
      </c>
      <c r="G566" s="14">
        <v>24</v>
      </c>
      <c r="H566" s="8" t="str">
        <f ca="1">IF(RAND()&lt;0.25,
    "",
    IF($E566=0,
       CHOOSE(MATCH(RAND(),{0,0.2,0.4,0.6,0.7,0.8,0.85,0.9,0.95,1}),"B-354","B-386","B-4354","B-347","B-357","B-3471","B-34715","B-3571","B-35715"),
       IF($G566=24,
          "B-386",
          IF($G566=12,
             CHOOSE(MATCH(RAND(),{0,0.32,0.49,0.66,0.74,0.82,0.9,1}),"B-386","B-347","B-357","B-3471","B-34715","B-3571","B-35715"),
             "")
)))</f>
        <v>B-386</v>
      </c>
      <c r="I566" s="8" t="str">
        <f t="shared" ca="1" si="43"/>
        <v/>
      </c>
      <c r="J566">
        <f t="shared" ca="1" si="45"/>
        <v>60</v>
      </c>
      <c r="K566">
        <f t="shared" ca="1" si="46"/>
        <v>51.125</v>
      </c>
      <c r="L566" s="14">
        <f t="shared" ca="1" si="42"/>
        <v>12</v>
      </c>
      <c r="M566" s="14">
        <f t="shared" ca="1" si="44"/>
        <v>4.625</v>
      </c>
    </row>
    <row r="567" spans="2:13" hidden="1">
      <c r="B567" s="14" t="s">
        <v>157</v>
      </c>
      <c r="C567" s="14">
        <v>1</v>
      </c>
      <c r="D567" s="14">
        <v>0</v>
      </c>
      <c r="E567" s="14">
        <v>1</v>
      </c>
      <c r="F567" s="14">
        <v>0</v>
      </c>
      <c r="G567" s="14"/>
      <c r="H567" s="8" t="str">
        <f ca="1">IF(RAND()&lt;0.25,
    "",
    IF($E567=0,
       CHOOSE(MATCH(RAND(),{0,0.2,0.4,0.6,0.7,0.8,0.85,0.9,0.95,1}),"B-354","B-386","B-4354","B-347","B-357","B-3471","B-34715","B-3571","B-35715"),
       IF($G567=24,
          "B-386",
          IF($G567=12,
             CHOOSE(MATCH(RAND(),{0,0.32,0.49,0.66,0.74,0.82,0.9,1}),"B-386","B-347","B-357","B-3471","B-34715","B-3571","B-35715"),
             "")
)))</f>
        <v/>
      </c>
      <c r="I567" s="8" t="str">
        <f t="shared" ca="1" si="43"/>
        <v/>
      </c>
      <c r="J567">
        <f t="shared" ca="1" si="45"/>
        <v>60</v>
      </c>
      <c r="K567">
        <f t="shared" ca="1" si="46"/>
        <v>67</v>
      </c>
      <c r="L567" s="14">
        <f t="shared" ca="1" si="42"/>
        <v>4.5</v>
      </c>
      <c r="M567" s="14" t="str">
        <f t="shared" ca="1" si="44"/>
        <v/>
      </c>
    </row>
    <row r="568" spans="2:13" hidden="1">
      <c r="B568" s="14" t="s">
        <v>157</v>
      </c>
      <c r="C568" s="14">
        <v>1</v>
      </c>
      <c r="D568" s="14">
        <v>0</v>
      </c>
      <c r="E568" s="14">
        <v>1</v>
      </c>
      <c r="F568" s="14">
        <v>1</v>
      </c>
      <c r="G568" s="14"/>
      <c r="H568" s="8" t="str">
        <f ca="1">IF(RAND()&lt;0.25,
    "",
    IF($E568=0,
       CHOOSE(MATCH(RAND(),{0,0.2,0.4,0.6,0.7,0.8,0.85,0.9,0.95,1}),"B-354","B-386","B-4354","B-347","B-357","B-3471","B-34715","B-3571","B-35715"),
       IF($G568=24,
          "B-386",
          IF($G568=12,
             CHOOSE(MATCH(RAND(),{0,0.32,0.49,0.66,0.74,0.82,0.9,1}),"B-386","B-347","B-357","B-3471","B-34715","B-3571","B-35715"),
             "")
)))</f>
        <v/>
      </c>
      <c r="I568" s="8" t="str">
        <f t="shared" ca="1" si="43"/>
        <v/>
      </c>
      <c r="J568">
        <f t="shared" ca="1" si="45"/>
        <v>60</v>
      </c>
      <c r="K568">
        <f t="shared" ca="1" si="46"/>
        <v>35.9375</v>
      </c>
      <c r="L568" s="14">
        <f t="shared" ca="1" si="42"/>
        <v>12</v>
      </c>
      <c r="M568" s="14">
        <f t="shared" ca="1" si="44"/>
        <v>6.125</v>
      </c>
    </row>
    <row r="569" spans="2:13" hidden="1">
      <c r="B569" s="14" t="s">
        <v>157</v>
      </c>
      <c r="C569" s="14">
        <v>1</v>
      </c>
      <c r="D569" s="14">
        <v>1</v>
      </c>
      <c r="E569" s="14">
        <v>0</v>
      </c>
      <c r="F569" s="14"/>
      <c r="G569" s="14"/>
      <c r="H569" s="8" t="str">
        <f ca="1">IF(RAND()&lt;0.25,
    "",
    IF($E569=0,
       CHOOSE(MATCH(RAND(),{0,0.2,0.4,0.6,0.7,0.8,0.85,0.9,0.95,1}),"B-354","B-386","B-4354","B-347","B-357","B-3471","B-34715","B-3571","B-35715"),
       IF($G569=24,
          "B-386",
          IF($G569=12,
             CHOOSE(MATCH(RAND(),{0,0.32,0.49,0.66,0.74,0.82,0.9,1}),"B-386","B-347","B-357","B-3471","B-34715","B-3571","B-35715"),
             "")
)))</f>
        <v>B-386</v>
      </c>
      <c r="I569" s="8" t="str">
        <f t="shared" ca="1" si="43"/>
        <v/>
      </c>
      <c r="J569">
        <f t="shared" ca="1" si="45"/>
        <v>60</v>
      </c>
      <c r="K569">
        <f t="shared" ca="1" si="46"/>
        <v>65.5625</v>
      </c>
      <c r="L569" s="14">
        <f t="shared" ca="1" si="42"/>
        <v>4.5</v>
      </c>
      <c r="M569" s="14">
        <f t="shared" ca="1" si="44"/>
        <v>5.375</v>
      </c>
    </row>
    <row r="570" spans="2:13">
      <c r="B570" s="14" t="s">
        <v>157</v>
      </c>
      <c r="C570" s="14">
        <v>1</v>
      </c>
      <c r="D570" s="14">
        <v>1</v>
      </c>
      <c r="E570" s="14">
        <v>1</v>
      </c>
      <c r="F570" s="14">
        <v>0</v>
      </c>
      <c r="G570" s="14">
        <v>12</v>
      </c>
      <c r="H570" s="8" t="str">
        <f ca="1">IF(RAND()&lt;0.25,
    "",
    IF($E570=0,
       CHOOSE(MATCH(RAND(),{0,0.2,0.4,0.6,0.7,0.8,0.85,0.9,0.95,1}),"B-354","B-386","B-4354","B-347","B-357","B-3471","B-34715","B-3571","B-35715"),
       IF($G570=24,
          "B-386",
          IF($G570=12,
             CHOOSE(MATCH(RAND(),{0,0.32,0.49,0.66,0.74,0.82,0.9,1}),"B-386","B-347","B-357","B-3471","B-34715","B-3571","B-35715"),
             "")
)))</f>
        <v>B-35715</v>
      </c>
      <c r="I570" s="8" t="str">
        <f t="shared" ca="1" si="43"/>
        <v/>
      </c>
      <c r="J570">
        <f t="shared" ca="1" si="45"/>
        <v>60</v>
      </c>
      <c r="K570">
        <f t="shared" ca="1" si="46"/>
        <v>68.6875</v>
      </c>
      <c r="L570" s="14">
        <f t="shared" ca="1" si="42"/>
        <v>4.5</v>
      </c>
      <c r="M570" s="14">
        <f t="shared" ca="1" si="44"/>
        <v>1</v>
      </c>
    </row>
    <row r="571" spans="2:13">
      <c r="B571" s="14" t="s">
        <v>157</v>
      </c>
      <c r="C571" s="14">
        <v>1</v>
      </c>
      <c r="D571" s="14">
        <v>1</v>
      </c>
      <c r="E571" s="14">
        <v>1</v>
      </c>
      <c r="F571" s="14">
        <v>0</v>
      </c>
      <c r="G571" s="14">
        <v>24</v>
      </c>
      <c r="H571" s="8" t="str">
        <f ca="1">IF(RAND()&lt;0.25,
    "",
    IF($E571=0,
       CHOOSE(MATCH(RAND(),{0,0.2,0.4,0.6,0.7,0.8,0.85,0.9,0.95,1}),"B-354","B-386","B-4354","B-347","B-357","B-3471","B-34715","B-3571","B-35715"),
       IF($G571=24,
          "B-386",
          IF($G571=12,
             CHOOSE(MATCH(RAND(),{0,0.32,0.49,0.66,0.74,0.82,0.9,1}),"B-386","B-347","B-357","B-3471","B-34715","B-3571","B-35715"),
             "")
)))</f>
        <v/>
      </c>
      <c r="I571" s="8" t="str">
        <f t="shared" ca="1" si="43"/>
        <v/>
      </c>
      <c r="J571">
        <f t="shared" ca="1" si="45"/>
        <v>60</v>
      </c>
      <c r="K571">
        <f t="shared" ca="1" si="46"/>
        <v>42.5</v>
      </c>
      <c r="L571" s="14">
        <f t="shared" ca="1" si="42"/>
        <v>5</v>
      </c>
      <c r="M571" s="14" t="str">
        <f t="shared" ca="1" si="44"/>
        <v/>
      </c>
    </row>
    <row r="572" spans="2:13" hidden="1">
      <c r="B572" s="14" t="s">
        <v>157</v>
      </c>
      <c r="C572" s="14">
        <v>1</v>
      </c>
      <c r="D572" s="14">
        <v>1</v>
      </c>
      <c r="E572" s="14">
        <v>1</v>
      </c>
      <c r="F572" s="14">
        <v>0</v>
      </c>
      <c r="G572" s="14"/>
      <c r="H572" s="8" t="str">
        <f ca="1">IF(RAND()&lt;0.25,
    "",
    IF($E572=0,
       CHOOSE(MATCH(RAND(),{0,0.2,0.4,0.6,0.7,0.8,0.85,0.9,0.95,1}),"B-354","B-386","B-4354","B-347","B-357","B-3471","B-34715","B-3571","B-35715"),
       IF($G572=24,
          "B-386",
          IF($G572=12,
             CHOOSE(MATCH(RAND(),{0,0.32,0.49,0.66,0.74,0.82,0.9,1}),"B-386","B-347","B-357","B-3471","B-34715","B-3571","B-35715"),
             "")
)))</f>
        <v/>
      </c>
      <c r="I572" s="8" t="str">
        <f t="shared" ca="1" si="43"/>
        <v/>
      </c>
      <c r="J572">
        <f t="shared" ca="1" si="45"/>
        <v>60</v>
      </c>
      <c r="K572">
        <f t="shared" ca="1" si="46"/>
        <v>22.0625</v>
      </c>
      <c r="L572" s="14">
        <f t="shared" ca="1" si="42"/>
        <v>9</v>
      </c>
      <c r="M572" s="14">
        <f t="shared" ca="1" si="44"/>
        <v>3.875</v>
      </c>
    </row>
    <row r="573" spans="2:13" hidden="1">
      <c r="B573" s="14" t="s">
        <v>157</v>
      </c>
      <c r="C573" s="14">
        <v>1</v>
      </c>
      <c r="D573" s="14">
        <v>1</v>
      </c>
      <c r="E573" s="14">
        <v>1</v>
      </c>
      <c r="F573" s="14">
        <v>1</v>
      </c>
      <c r="G573" s="14"/>
      <c r="H573" s="8" t="str">
        <f ca="1">IF(RAND()&lt;0.25,
    "",
    IF($E573=0,
       CHOOSE(MATCH(RAND(),{0,0.2,0.4,0.6,0.7,0.8,0.85,0.9,0.95,1}),"B-354","B-386","B-4354","B-347","B-357","B-3471","B-34715","B-3571","B-35715"),
       IF($G573=24,
          "B-386",
          IF($G573=12,
             CHOOSE(MATCH(RAND(),{0,0.32,0.49,0.66,0.74,0.82,0.9,1}),"B-386","B-347","B-357","B-3471","B-34715","B-3571","B-35715"),
             "")
)))</f>
        <v/>
      </c>
      <c r="I573" s="8" t="str">
        <f t="shared" ca="1" si="43"/>
        <v/>
      </c>
      <c r="J573">
        <f t="shared" ca="1" si="45"/>
        <v>60</v>
      </c>
      <c r="K573">
        <f t="shared" ca="1" si="46"/>
        <v>13.9375</v>
      </c>
      <c r="L573" s="14">
        <f t="shared" ca="1" si="42"/>
        <v>1</v>
      </c>
      <c r="M573" s="14" t="str">
        <f t="shared" ca="1" si="44"/>
        <v/>
      </c>
    </row>
    <row r="574" spans="2:13" hidden="1">
      <c r="B574" s="14" t="s">
        <v>21</v>
      </c>
      <c r="C574" s="14">
        <v>0</v>
      </c>
      <c r="D574" s="14"/>
      <c r="E574" s="14">
        <v>0</v>
      </c>
      <c r="F574" s="14"/>
      <c r="G574" s="14"/>
      <c r="H574" s="8" t="str">
        <f ca="1">IF(RAND()&lt;0.25,
    "",
    IF($E574=0,
       CHOOSE(MATCH(RAND(),{0,0.2,0.4,0.6,0.7,0.8,0.85,0.9,0.95,1}),"B-354","B-386","B-4354","B-347","B-357","B-3471","B-34715","B-3571","B-35715"),
       IF($G574=24,
          "B-386",
          IF($G574=12,
             CHOOSE(MATCH(RAND(),{0,0.32,0.49,0.66,0.74,0.82,0.9,1}),"B-386","B-347","B-357","B-3471","B-34715","B-3571","B-35715"),
             "")
)))</f>
        <v>B-4354</v>
      </c>
      <c r="I574" s="8" t="str">
        <f t="shared" ca="1" si="43"/>
        <v/>
      </c>
      <c r="J574">
        <f t="shared" ca="1" si="45"/>
        <v>56.4375</v>
      </c>
      <c r="K574">
        <f t="shared" ca="1" si="46"/>
        <v>76.25</v>
      </c>
      <c r="L574" s="14">
        <f t="shared" ca="1" si="42"/>
        <v>1</v>
      </c>
      <c r="M574" s="14">
        <f t="shared" ca="1" si="44"/>
        <v>1.125</v>
      </c>
    </row>
    <row r="575" spans="2:13">
      <c r="B575" s="14" t="s">
        <v>21</v>
      </c>
      <c r="C575" s="14">
        <v>0</v>
      </c>
      <c r="D575" s="14"/>
      <c r="E575" s="14">
        <v>1</v>
      </c>
      <c r="F575" s="14">
        <v>0</v>
      </c>
      <c r="G575" s="14">
        <v>12</v>
      </c>
      <c r="H575" s="8" t="str">
        <f ca="1">IF(RAND()&lt;0.25,
    "",
    IF($E575=0,
       CHOOSE(MATCH(RAND(),{0,0.2,0.4,0.6,0.7,0.8,0.85,0.9,0.95,1}),"B-354","B-386","B-4354","B-347","B-357","B-3471","B-34715","B-3571","B-35715"),
       IF($G575=24,
          "B-386",
          IF($G575=12,
             CHOOSE(MATCH(RAND(),{0,0.32,0.49,0.66,0.74,0.82,0.9,1}),"B-386","B-347","B-357","B-3471","B-34715","B-3571","B-35715"),
             "")
)))</f>
        <v>B-3571</v>
      </c>
      <c r="I575" s="8" t="str">
        <f t="shared" ca="1" si="43"/>
        <v/>
      </c>
      <c r="J575">
        <f t="shared" ca="1" si="45"/>
        <v>63</v>
      </c>
      <c r="K575">
        <f t="shared" ca="1" si="46"/>
        <v>75.1875</v>
      </c>
      <c r="L575" s="14">
        <f t="shared" ca="1" si="42"/>
        <v>1</v>
      </c>
      <c r="M575" s="14">
        <f t="shared" ca="1" si="44"/>
        <v>5.75</v>
      </c>
    </row>
    <row r="576" spans="2:13">
      <c r="B576" s="14" t="s">
        <v>21</v>
      </c>
      <c r="C576" s="14">
        <v>0</v>
      </c>
      <c r="D576" s="14"/>
      <c r="E576" s="14">
        <v>1</v>
      </c>
      <c r="F576" s="14">
        <v>0</v>
      </c>
      <c r="G576" s="14">
        <v>24</v>
      </c>
      <c r="H576" s="8" t="str">
        <f ca="1">IF(RAND()&lt;0.25,
    "",
    IF($E576=0,
       CHOOSE(MATCH(RAND(),{0,0.2,0.4,0.6,0.7,0.8,0.85,0.9,0.95,1}),"B-354","B-386","B-4354","B-347","B-357","B-3471","B-34715","B-3571","B-35715"),
       IF($G576=24,
          "B-386",
          IF($G576=12,
             CHOOSE(MATCH(RAND(),{0,0.32,0.49,0.66,0.74,0.82,0.9,1}),"B-386","B-347","B-357","B-3471","B-34715","B-3571","B-35715"),
             "")
)))</f>
        <v/>
      </c>
      <c r="I576" s="8" t="str">
        <f t="shared" ca="1" si="43"/>
        <v/>
      </c>
      <c r="J576">
        <f t="shared" ca="1" si="45"/>
        <v>44.75</v>
      </c>
      <c r="K576">
        <f t="shared" ca="1" si="46"/>
        <v>63.5625</v>
      </c>
      <c r="L576" s="14">
        <f t="shared" ca="1" si="42"/>
        <v>9</v>
      </c>
      <c r="M576" s="14">
        <f t="shared" ca="1" si="44"/>
        <v>1</v>
      </c>
    </row>
    <row r="577" spans="2:13" hidden="1">
      <c r="B577" s="14" t="s">
        <v>21</v>
      </c>
      <c r="C577" s="14">
        <v>0</v>
      </c>
      <c r="D577" s="14"/>
      <c r="E577" s="14">
        <v>1</v>
      </c>
      <c r="F577" s="14">
        <v>0</v>
      </c>
      <c r="G577" s="14"/>
      <c r="H577" s="8" t="str">
        <f ca="1">IF(RAND()&lt;0.25,
    "",
    IF($E577=0,
       CHOOSE(MATCH(RAND(),{0,0.2,0.4,0.6,0.7,0.8,0.85,0.9,0.95,1}),"B-354","B-386","B-4354","B-347","B-357","B-3471","B-34715","B-3571","B-35715"),
       IF($G577=24,
          "B-386",
          IF($G577=12,
             CHOOSE(MATCH(RAND(),{0,0.32,0.49,0.66,0.74,0.82,0.9,1}),"B-386","B-347","B-357","B-3471","B-34715","B-3571","B-35715"),
             "")
)))</f>
        <v/>
      </c>
      <c r="I577" s="8" t="str">
        <f t="shared" ca="1" si="43"/>
        <v/>
      </c>
      <c r="J577">
        <f t="shared" ca="1" si="45"/>
        <v>40.5625</v>
      </c>
      <c r="K577">
        <f t="shared" ca="1" si="46"/>
        <v>15.9375</v>
      </c>
      <c r="L577" s="14">
        <f t="shared" ca="1" si="42"/>
        <v>2.125</v>
      </c>
      <c r="M577" s="14">
        <f t="shared" ca="1" si="44"/>
        <v>8.0625</v>
      </c>
    </row>
    <row r="578" spans="2:13" hidden="1">
      <c r="B578" s="14" t="s">
        <v>21</v>
      </c>
      <c r="C578" s="14">
        <v>0</v>
      </c>
      <c r="D578" s="14"/>
      <c r="E578" s="14">
        <v>1</v>
      </c>
      <c r="F578" s="14">
        <v>1</v>
      </c>
      <c r="G578" s="14"/>
      <c r="H578" s="8" t="str">
        <f ca="1">IF(RAND()&lt;0.25,
    "",
    IF($E578=0,
       CHOOSE(MATCH(RAND(),{0,0.2,0.4,0.6,0.7,0.8,0.85,0.9,0.95,1}),"B-354","B-386","B-4354","B-347","B-357","B-3471","B-34715","B-3571","B-35715"),
       IF($G578=24,
          "B-386",
          IF($G578=12,
             CHOOSE(MATCH(RAND(),{0,0.32,0.49,0.66,0.74,0.82,0.9,1}),"B-386","B-347","B-357","B-3471","B-34715","B-3571","B-35715"),
             "")
)))</f>
        <v/>
      </c>
      <c r="I578" s="8" t="str">
        <f t="shared" ca="1" si="43"/>
        <v/>
      </c>
      <c r="J578">
        <f t="shared" ca="1" si="45"/>
        <v>67.9375</v>
      </c>
      <c r="K578">
        <f t="shared" ca="1" si="46"/>
        <v>21.375</v>
      </c>
      <c r="L578" s="14">
        <f t="shared" ca="1" si="42"/>
        <v>12</v>
      </c>
      <c r="M578" s="14">
        <f t="shared" ca="1" si="44"/>
        <v>7.25</v>
      </c>
    </row>
    <row r="579" spans="2:13">
      <c r="B579" s="14" t="s">
        <v>21</v>
      </c>
      <c r="C579" s="14">
        <v>1</v>
      </c>
      <c r="D579" s="14">
        <v>0</v>
      </c>
      <c r="E579" s="14">
        <v>0</v>
      </c>
      <c r="F579" s="14"/>
      <c r="G579" s="14"/>
      <c r="H579" s="8" t="str">
        <f ca="1">IF(RAND()&lt;0.25,
    "",
    IF($E579=0,
       CHOOSE(MATCH(RAND(),{0,0.2,0.4,0.6,0.7,0.8,0.85,0.9,0.95,1}),"B-354","B-386","B-4354","B-347","B-357","B-3471","B-34715","B-3571","B-35715"),
       IF($G579=24,
          "B-386",
          IF($G579=12,
             CHOOSE(MATCH(RAND(),{0,0.32,0.49,0.66,0.74,0.82,0.9,1}),"B-386","B-347","B-357","B-3471","B-34715","B-3571","B-35715"),
             "")
)))</f>
        <v>B-35715</v>
      </c>
      <c r="I579" s="8" t="str">
        <f t="shared" ca="1" si="43"/>
        <v/>
      </c>
      <c r="J579">
        <f t="shared" ca="1" si="45"/>
        <v>73.9375</v>
      </c>
      <c r="K579">
        <f t="shared" ca="1" si="46"/>
        <v>45.6875</v>
      </c>
      <c r="L579" s="14">
        <f t="shared" ca="1" si="42"/>
        <v>1</v>
      </c>
      <c r="M579" s="14" t="str">
        <f t="shared" ca="1" si="44"/>
        <v/>
      </c>
    </row>
    <row r="580" spans="2:13" hidden="1">
      <c r="B580" s="14" t="s">
        <v>21</v>
      </c>
      <c r="C580" s="14">
        <v>1</v>
      </c>
      <c r="D580" s="14">
        <v>0</v>
      </c>
      <c r="E580" s="14">
        <v>1</v>
      </c>
      <c r="F580" s="14">
        <v>0</v>
      </c>
      <c r="G580" s="14">
        <v>12</v>
      </c>
      <c r="H580" s="8" t="str">
        <f ca="1">IF(RAND()&lt;0.25,
    "",
    IF($E580=0,
       CHOOSE(MATCH(RAND(),{0,0.2,0.4,0.6,0.7,0.8,0.85,0.9,0.95,1}),"B-354","B-386","B-4354","B-347","B-357","B-3471","B-34715","B-3571","B-35715"),
       IF($G580=24,
          "B-386",
          IF($G580=12,
             CHOOSE(MATCH(RAND(),{0,0.32,0.49,0.66,0.74,0.82,0.9,1}),"B-386","B-347","B-357","B-3471","B-34715","B-3571","B-35715"),
             "")
)))</f>
        <v>B-357</v>
      </c>
      <c r="I580" s="8" t="str">
        <f t="shared" ca="1" si="43"/>
        <v/>
      </c>
      <c r="J580">
        <f t="shared" ca="1" si="45"/>
        <v>68.5</v>
      </c>
      <c r="K580">
        <f t="shared" ca="1" si="46"/>
        <v>46.5</v>
      </c>
      <c r="L580" s="14">
        <f t="shared" ref="L580:L643" ca="1" si="47" xml:space="preserve">    _xlfn.LET(
      _xlpm.k, RANDBETWEEN(1,6),
      _xlpm.step, 1/16,
      IF(
        _xlpm.k=1, 1,
        IF(
          _xlpm.k=2, 4.5,
          IF(
            _xlpm.k=3, 9,
            IF(
              _xlpm.k=4, 12,
              IF(
                _xlpm.k=5,
                  1 + _xlpm.step*RANDBETWEEN(1, (4.5-1)/_xlpm.step - 1),
                  4.5 + _xlpm.step*RANDBETWEEN(1, (12-4.5)/_xlpm.step - 1)
              )
            )
          )
        )
      )
    )</f>
        <v>11.625</v>
      </c>
      <c r="M580" s="14">
        <f t="shared" ca="1" si="44"/>
        <v>4.8125</v>
      </c>
    </row>
    <row r="581" spans="2:13">
      <c r="B581" s="14" t="s">
        <v>21</v>
      </c>
      <c r="C581" s="14">
        <v>1</v>
      </c>
      <c r="D581" s="14">
        <v>0</v>
      </c>
      <c r="E581" s="14">
        <v>1</v>
      </c>
      <c r="F581" s="14">
        <v>0</v>
      </c>
      <c r="G581" s="14">
        <v>24</v>
      </c>
      <c r="H581" s="8" t="str">
        <f ca="1">IF(RAND()&lt;0.25,
    "",
    IF($E581=0,
       CHOOSE(MATCH(RAND(),{0,0.2,0.4,0.6,0.7,0.8,0.85,0.9,0.95,1}),"B-354","B-386","B-4354","B-347","B-357","B-3471","B-34715","B-3571","B-35715"),
       IF($G581=24,
          "B-386",
          IF($G581=12,
             CHOOSE(MATCH(RAND(),{0,0.32,0.49,0.66,0.74,0.82,0.9,1}),"B-386","B-347","B-357","B-3471","B-34715","B-3571","B-35715"),
             "")
)))</f>
        <v>B-386</v>
      </c>
      <c r="I581" s="8" t="str">
        <f t="shared" ref="I581:I644" ca="1" si="48">IF($H581="",
    "",
    IF(AND($E581=0,OR($H581="B-354",$H581="B-386",$H581="B-4354")),
       IF(RAND()&lt;0.5,
          "",
          IF($H581="B-354",
             "B-386",
             IF($H581="B-4354",
                "B-386",
                IF($H581="B-386",
                   IF(RAND()&lt;0.5,
                      "B-354",
                      "B-4354"),
                   "")
                 ))),
       ""))</f>
        <v/>
      </c>
      <c r="J581">
        <f t="shared" ca="1" si="45"/>
        <v>108.1875</v>
      </c>
      <c r="K581">
        <f t="shared" ca="1" si="46"/>
        <v>43.25</v>
      </c>
      <c r="L581" s="14">
        <f t="shared" ca="1" si="47"/>
        <v>12</v>
      </c>
      <c r="M581" s="14">
        <f t="shared" ref="M581:M644" ca="1" si="49">_xlfn.LET(
  _xlpm.r, RAND(),
  IF(
     _xlpm.r &lt; 0.25,
     1,
     IF(
        _xlpm.r &lt; 0.5,
        1 + RANDBETWEEN(0,16*4)/16,
        IF(
            _xlpm.r &lt; 0.75,
            4.5 + RANDBETWEEN(0,16*4)/16,
            ""
           )
        )
     )
)</f>
        <v>6.25</v>
      </c>
    </row>
    <row r="582" spans="2:13" hidden="1">
      <c r="B582" s="14" t="s">
        <v>21</v>
      </c>
      <c r="C582" s="14">
        <v>1</v>
      </c>
      <c r="D582" s="14">
        <v>0</v>
      </c>
      <c r="E582" s="14">
        <v>1</v>
      </c>
      <c r="F582" s="14">
        <v>0</v>
      </c>
      <c r="G582" s="14"/>
      <c r="H582" s="8" t="str">
        <f ca="1">IF(RAND()&lt;0.25,
    "",
    IF($E582=0,
       CHOOSE(MATCH(RAND(),{0,0.2,0.4,0.6,0.7,0.8,0.85,0.9,0.95,1}),"B-354","B-386","B-4354","B-347","B-357","B-3471","B-34715","B-3571","B-35715"),
       IF($G582=24,
          "B-386",
          IF($G582=12,
             CHOOSE(MATCH(RAND(),{0,0.32,0.49,0.66,0.74,0.82,0.9,1}),"B-386","B-347","B-357","B-3471","B-34715","B-3571","B-35715"),
             "")
)))</f>
        <v/>
      </c>
      <c r="I582" s="8" t="str">
        <f t="shared" ca="1" si="48"/>
        <v/>
      </c>
      <c r="J582">
        <f t="shared" ca="1" si="45"/>
        <v>77.1875</v>
      </c>
      <c r="K582">
        <f t="shared" ca="1" si="46"/>
        <v>6.625</v>
      </c>
      <c r="L582" s="14">
        <f t="shared" ca="1" si="47"/>
        <v>5.0625</v>
      </c>
      <c r="M582" s="14">
        <f t="shared" ca="1" si="49"/>
        <v>1</v>
      </c>
    </row>
    <row r="583" spans="2:13" hidden="1">
      <c r="B583" s="14" t="s">
        <v>21</v>
      </c>
      <c r="C583" s="14">
        <v>1</v>
      </c>
      <c r="D583" s="14">
        <v>0</v>
      </c>
      <c r="E583" s="14">
        <v>1</v>
      </c>
      <c r="F583" s="14">
        <v>1</v>
      </c>
      <c r="G583" s="14"/>
      <c r="H583" s="8" t="str">
        <f ca="1">IF(RAND()&lt;0.25,
    "",
    IF($E583=0,
       CHOOSE(MATCH(RAND(),{0,0.2,0.4,0.6,0.7,0.8,0.85,0.9,0.95,1}),"B-354","B-386","B-4354","B-347","B-357","B-3471","B-34715","B-3571","B-35715"),
       IF($G583=24,
          "B-386",
          IF($G583=12,
             CHOOSE(MATCH(RAND(),{0,0.32,0.49,0.66,0.74,0.82,0.9,1}),"B-386","B-347","B-357","B-3471","B-34715","B-3571","B-35715"),
             "")
)))</f>
        <v/>
      </c>
      <c r="I583" s="8" t="str">
        <f t="shared" ca="1" si="48"/>
        <v/>
      </c>
      <c r="J583">
        <f t="shared" ca="1" si="45"/>
        <v>96</v>
      </c>
      <c r="K583">
        <f t="shared" ca="1" si="46"/>
        <v>36.6875</v>
      </c>
      <c r="L583" s="14">
        <f t="shared" ca="1" si="47"/>
        <v>1.1875</v>
      </c>
      <c r="M583" s="14">
        <f t="shared" ca="1" si="49"/>
        <v>4.375</v>
      </c>
    </row>
    <row r="584" spans="2:13" hidden="1">
      <c r="B584" s="14" t="s">
        <v>21</v>
      </c>
      <c r="C584" s="14">
        <v>1</v>
      </c>
      <c r="D584" s="14">
        <v>1</v>
      </c>
      <c r="E584" s="14">
        <v>0</v>
      </c>
      <c r="F584" s="14"/>
      <c r="G584" s="14"/>
      <c r="H584" s="8" t="str">
        <f ca="1">IF(RAND()&lt;0.25,
    "",
    IF($E584=0,
       CHOOSE(MATCH(RAND(),{0,0.2,0.4,0.6,0.7,0.8,0.85,0.9,0.95,1}),"B-354","B-386","B-4354","B-347","B-357","B-3471","B-34715","B-3571","B-35715"),
       IF($G584=24,
          "B-386",
          IF($G584=12,
             CHOOSE(MATCH(RAND(),{0,0.32,0.49,0.66,0.74,0.82,0.9,1}),"B-386","B-347","B-357","B-3471","B-34715","B-3571","B-35715"),
             "")
)))</f>
        <v>B-354</v>
      </c>
      <c r="I584" s="8" t="str">
        <f t="shared" ca="1" si="48"/>
        <v/>
      </c>
      <c r="J584">
        <f t="shared" ca="1" si="45"/>
        <v>67.125</v>
      </c>
      <c r="K584">
        <f t="shared" ca="1" si="46"/>
        <v>77.8125</v>
      </c>
      <c r="L584" s="14">
        <f t="shared" ca="1" si="47"/>
        <v>12</v>
      </c>
      <c r="M584" s="14">
        <f t="shared" ca="1" si="49"/>
        <v>1</v>
      </c>
    </row>
    <row r="585" spans="2:13">
      <c r="B585" s="14" t="s">
        <v>21</v>
      </c>
      <c r="C585" s="14">
        <v>1</v>
      </c>
      <c r="D585" s="14">
        <v>1</v>
      </c>
      <c r="E585" s="14">
        <v>1</v>
      </c>
      <c r="F585" s="14">
        <v>0</v>
      </c>
      <c r="G585" s="14">
        <v>12</v>
      </c>
      <c r="H585" s="8" t="str">
        <f ca="1">IF(RAND()&lt;0.25,
    "",
    IF($E585=0,
       CHOOSE(MATCH(RAND(),{0,0.2,0.4,0.6,0.7,0.8,0.85,0.9,0.95,1}),"B-354","B-386","B-4354","B-347","B-357","B-3471","B-34715","B-3571","B-35715"),
       IF($G585=24,
          "B-386",
          IF($G585=12,
             CHOOSE(MATCH(RAND(),{0,0.32,0.49,0.66,0.74,0.82,0.9,1}),"B-386","B-347","B-357","B-3471","B-34715","B-3571","B-35715"),
             "")
)))</f>
        <v>B-357</v>
      </c>
      <c r="I585" s="8" t="str">
        <f t="shared" ca="1" si="48"/>
        <v/>
      </c>
      <c r="J585">
        <f t="shared" ca="1" si="45"/>
        <v>89.125</v>
      </c>
      <c r="K585">
        <f t="shared" ca="1" si="46"/>
        <v>69.375</v>
      </c>
      <c r="L585" s="14">
        <f t="shared" ca="1" si="47"/>
        <v>2.375</v>
      </c>
      <c r="M585" s="14" t="str">
        <f t="shared" ca="1" si="49"/>
        <v/>
      </c>
    </row>
    <row r="586" spans="2:13">
      <c r="B586" s="14" t="s">
        <v>21</v>
      </c>
      <c r="C586" s="14">
        <v>1</v>
      </c>
      <c r="D586" s="14">
        <v>1</v>
      </c>
      <c r="E586" s="14">
        <v>1</v>
      </c>
      <c r="F586" s="14">
        <v>0</v>
      </c>
      <c r="G586" s="14">
        <v>24</v>
      </c>
      <c r="H586" s="8" t="str">
        <f ca="1">IF(RAND()&lt;0.25,
    "",
    IF($E586=0,
       CHOOSE(MATCH(RAND(),{0,0.2,0.4,0.6,0.7,0.8,0.85,0.9,0.95,1}),"B-354","B-386","B-4354","B-347","B-357","B-3471","B-34715","B-3571","B-35715"),
       IF($G586=24,
          "B-386",
          IF($G586=12,
             CHOOSE(MATCH(RAND(),{0,0.32,0.49,0.66,0.74,0.82,0.9,1}),"B-386","B-347","B-357","B-3471","B-34715","B-3571","B-35715"),
             "")
)))</f>
        <v>B-386</v>
      </c>
      <c r="I586" s="8" t="str">
        <f t="shared" ca="1" si="48"/>
        <v/>
      </c>
      <c r="J586">
        <f t="shared" ca="1" si="45"/>
        <v>93.0625</v>
      </c>
      <c r="K586">
        <f t="shared" ca="1" si="46"/>
        <v>65.3125</v>
      </c>
      <c r="L586" s="14">
        <f t="shared" ca="1" si="47"/>
        <v>10.1875</v>
      </c>
      <c r="M586" s="14">
        <f t="shared" ca="1" si="49"/>
        <v>1</v>
      </c>
    </row>
    <row r="587" spans="2:13" hidden="1">
      <c r="B587" s="14" t="s">
        <v>21</v>
      </c>
      <c r="C587" s="14">
        <v>1</v>
      </c>
      <c r="D587" s="14">
        <v>1</v>
      </c>
      <c r="E587" s="14">
        <v>1</v>
      </c>
      <c r="F587" s="14">
        <v>0</v>
      </c>
      <c r="G587" s="14"/>
      <c r="H587" s="8" t="str">
        <f ca="1">IF(RAND()&lt;0.25,
    "",
    IF($E587=0,
       CHOOSE(MATCH(RAND(),{0,0.2,0.4,0.6,0.7,0.8,0.85,0.9,0.95,1}),"B-354","B-386","B-4354","B-347","B-357","B-3471","B-34715","B-3571","B-35715"),
       IF($G587=24,
          "B-386",
          IF($G587=12,
             CHOOSE(MATCH(RAND(),{0,0.32,0.49,0.66,0.74,0.82,0.9,1}),"B-386","B-347","B-357","B-3471","B-34715","B-3571","B-35715"),
             "")
)))</f>
        <v/>
      </c>
      <c r="I587" s="8" t="str">
        <f t="shared" ca="1" si="48"/>
        <v/>
      </c>
      <c r="J587">
        <f t="shared" ca="1" si="45"/>
        <v>61.6875</v>
      </c>
      <c r="K587">
        <f t="shared" ca="1" si="46"/>
        <v>44.875</v>
      </c>
      <c r="L587" s="14">
        <f t="shared" ca="1" si="47"/>
        <v>9</v>
      </c>
      <c r="M587" s="14" t="str">
        <f t="shared" ca="1" si="49"/>
        <v/>
      </c>
    </row>
    <row r="588" spans="2:13" ht="15" hidden="1" thickBot="1">
      <c r="B588" s="50" t="s">
        <v>21</v>
      </c>
      <c r="C588" s="50">
        <v>1</v>
      </c>
      <c r="D588" s="50">
        <v>1</v>
      </c>
      <c r="E588" s="50">
        <v>1</v>
      </c>
      <c r="F588" s="50">
        <v>1</v>
      </c>
      <c r="G588" s="50"/>
      <c r="H588" s="51" t="str">
        <f ca="1">IF(RAND()&lt;0.25,
    "",
    IF($E588=0,
       CHOOSE(MATCH(RAND(),{0,0.2,0.4,0.6,0.7,0.8,0.85,0.9,0.95,1}),"B-354","B-386","B-4354","B-347","B-357","B-3471","B-34715","B-3571","B-35715"),
       IF($G588=24,
          "B-386",
          IF($G588=12,
             CHOOSE(MATCH(RAND(),{0,0.32,0.49,0.66,0.74,0.82,0.9,1}),"B-386","B-347","B-357","B-3471","B-34715","B-3571","B-35715"),
             "")
)))</f>
        <v/>
      </c>
      <c r="I588" s="51" t="str">
        <f t="shared" ca="1" si="48"/>
        <v/>
      </c>
      <c r="J588" s="49">
        <f t="shared" ca="1" si="45"/>
        <v>37.375</v>
      </c>
      <c r="K588" s="49">
        <f t="shared" ca="1" si="46"/>
        <v>72.9375</v>
      </c>
      <c r="L588" s="50">
        <f t="shared" ca="1" si="47"/>
        <v>9</v>
      </c>
      <c r="M588" s="14">
        <f t="shared" ca="1" si="49"/>
        <v>5.25</v>
      </c>
    </row>
    <row r="589" spans="2:13" hidden="1">
      <c r="B589" s="14" t="s">
        <v>156</v>
      </c>
      <c r="C589" s="19">
        <v>0</v>
      </c>
      <c r="D589" s="19"/>
      <c r="E589" s="19">
        <v>0</v>
      </c>
      <c r="F589" s="19"/>
      <c r="G589" s="14"/>
      <c r="H589" s="8" t="str">
        <f ca="1">IF(RAND()&lt;0.25,
    "",
    IF($E589=0,
       CHOOSE(MATCH(RAND(),{0,0.2,0.4,0.6,0.7,0.8,0.85,0.9,0.95,1}),"B-354","B-386","B-4354","B-347","B-357","B-3471","B-34715","B-3571","B-35715"),
       IF($G589=24,
          "B-386",
          IF($G589=12,
             CHOOSE(MATCH(RAND(),{0,0.32,0.49,0.66,0.74,0.82,0.9,1}),"B-386","B-347","B-357","B-3471","B-34715","B-3571","B-35715"),
             "")
)))</f>
        <v>B-4354</v>
      </c>
      <c r="I589" s="8" t="str">
        <f t="shared" ca="1" si="48"/>
        <v>B-386</v>
      </c>
      <c r="J589">
        <f t="shared" ca="1" si="45"/>
        <v>29.625</v>
      </c>
      <c r="K589">
        <f t="shared" ca="1" si="46"/>
        <v>57.375</v>
      </c>
      <c r="L589" s="14">
        <f t="shared" ca="1" si="47"/>
        <v>3.9375</v>
      </c>
      <c r="M589" s="14">
        <f t="shared" ca="1" si="49"/>
        <v>1</v>
      </c>
    </row>
    <row r="590" spans="2:13">
      <c r="B590" s="14" t="s">
        <v>156</v>
      </c>
      <c r="C590" s="14">
        <v>0</v>
      </c>
      <c r="D590" s="14"/>
      <c r="E590" s="14">
        <v>1</v>
      </c>
      <c r="F590" s="14">
        <v>0</v>
      </c>
      <c r="G590" s="14">
        <v>12</v>
      </c>
      <c r="H590" s="8" t="str">
        <f ca="1">IF(RAND()&lt;0.25,
    "",
    IF($E590=0,
       CHOOSE(MATCH(RAND(),{0,0.2,0.4,0.6,0.7,0.8,0.85,0.9,0.95,1}),"B-354","B-386","B-4354","B-347","B-357","B-3471","B-34715","B-3571","B-35715"),
       IF($G590=24,
          "B-386",
          IF($G590=12,
             CHOOSE(MATCH(RAND(),{0,0.32,0.49,0.66,0.74,0.82,0.9,1}),"B-386","B-347","B-357","B-3471","B-34715","B-3571","B-35715"),
             "")
)))</f>
        <v>B-3571</v>
      </c>
      <c r="I590" s="8" t="str">
        <f t="shared" ca="1" si="48"/>
        <v/>
      </c>
      <c r="J590">
        <f t="shared" ca="1" si="45"/>
        <v>5.5625</v>
      </c>
      <c r="K590">
        <f t="shared" ca="1" si="46"/>
        <v>45.25</v>
      </c>
      <c r="L590" s="14">
        <f t="shared" ca="1" si="47"/>
        <v>9</v>
      </c>
      <c r="M590" s="14">
        <f t="shared" ca="1" si="49"/>
        <v>6.1875</v>
      </c>
    </row>
    <row r="591" spans="2:13">
      <c r="B591" s="14" t="s">
        <v>156</v>
      </c>
      <c r="C591" s="14">
        <v>0</v>
      </c>
      <c r="D591" s="14"/>
      <c r="E591" s="14">
        <v>1</v>
      </c>
      <c r="F591" s="14">
        <v>0</v>
      </c>
      <c r="G591" s="14">
        <v>24</v>
      </c>
      <c r="H591" s="8" t="str">
        <f ca="1">IF(RAND()&lt;0.25,
    "",
    IF($E591=0,
       CHOOSE(MATCH(RAND(),{0,0.2,0.4,0.6,0.7,0.8,0.85,0.9,0.95,1}),"B-354","B-386","B-4354","B-347","B-357","B-3471","B-34715","B-3571","B-35715"),
       IF($G591=24,
          "B-386",
          IF($G591=12,
             CHOOSE(MATCH(RAND(),{0,0.32,0.49,0.66,0.74,0.82,0.9,1}),"B-386","B-347","B-357","B-3471","B-34715","B-3571","B-35715"),
             "")
)))</f>
        <v>B-386</v>
      </c>
      <c r="I591" s="8" t="str">
        <f t="shared" ca="1" si="48"/>
        <v/>
      </c>
      <c r="J591">
        <f t="shared" ca="1" si="45"/>
        <v>23.25</v>
      </c>
      <c r="K591">
        <f t="shared" ca="1" si="46"/>
        <v>65.6875</v>
      </c>
      <c r="L591" s="14">
        <f t="shared" ca="1" si="47"/>
        <v>1</v>
      </c>
      <c r="M591" s="14">
        <f t="shared" ca="1" si="49"/>
        <v>2.8125</v>
      </c>
    </row>
    <row r="592" spans="2:13" hidden="1">
      <c r="B592" s="14" t="s">
        <v>156</v>
      </c>
      <c r="C592" s="14">
        <v>0</v>
      </c>
      <c r="D592" s="14"/>
      <c r="E592" s="14">
        <v>1</v>
      </c>
      <c r="F592" s="14">
        <v>0</v>
      </c>
      <c r="G592" s="14"/>
      <c r="H592" s="8" t="str">
        <f ca="1">IF(RAND()&lt;0.25,
    "",
    IF($E592=0,
       CHOOSE(MATCH(RAND(),{0,0.2,0.4,0.6,0.7,0.8,0.85,0.9,0.95,1}),"B-354","B-386","B-4354","B-347","B-357","B-3471","B-34715","B-3571","B-35715"),
       IF($G592=24,
          "B-386",
          IF($G592=12,
             CHOOSE(MATCH(RAND(),{0,0.32,0.49,0.66,0.74,0.82,0.9,1}),"B-386","B-347","B-357","B-3471","B-34715","B-3571","B-35715"),
             "")
)))</f>
        <v/>
      </c>
      <c r="I592" s="8" t="str">
        <f t="shared" ca="1" si="48"/>
        <v/>
      </c>
      <c r="J592">
        <f t="shared" ca="1" si="45"/>
        <v>35.625</v>
      </c>
      <c r="K592">
        <f t="shared" ca="1" si="46"/>
        <v>27.5625</v>
      </c>
      <c r="L592" s="14">
        <f t="shared" ca="1" si="47"/>
        <v>4.5</v>
      </c>
      <c r="M592" s="14">
        <f t="shared" ca="1" si="49"/>
        <v>4.0625</v>
      </c>
    </row>
    <row r="593" spans="2:13" hidden="1">
      <c r="B593" s="14" t="s">
        <v>156</v>
      </c>
      <c r="C593" s="14">
        <v>0</v>
      </c>
      <c r="D593" s="14"/>
      <c r="E593" s="14">
        <v>1</v>
      </c>
      <c r="F593" s="14">
        <v>1</v>
      </c>
      <c r="G593" s="14"/>
      <c r="H593" s="8" t="str">
        <f ca="1">IF(RAND()&lt;0.25,
    "",
    IF($E593=0,
       CHOOSE(MATCH(RAND(),{0,0.2,0.4,0.6,0.7,0.8,0.85,0.9,0.95,1}),"B-354","B-386","B-4354","B-347","B-357","B-3471","B-34715","B-3571","B-35715"),
       IF($G593=24,
          "B-386",
          IF($G593=12,
             CHOOSE(MATCH(RAND(),{0,0.32,0.49,0.66,0.74,0.82,0.9,1}),"B-386","B-347","B-357","B-3471","B-34715","B-3571","B-35715"),
             "")
)))</f>
        <v/>
      </c>
      <c r="I593" s="8" t="str">
        <f t="shared" ca="1" si="48"/>
        <v/>
      </c>
      <c r="J593">
        <f t="shared" ca="1" si="45"/>
        <v>6.8125</v>
      </c>
      <c r="K593">
        <f t="shared" ca="1" si="46"/>
        <v>32.5</v>
      </c>
      <c r="L593" s="14">
        <f t="shared" ca="1" si="47"/>
        <v>4.5</v>
      </c>
      <c r="M593" s="14">
        <f t="shared" ca="1" si="49"/>
        <v>8.375</v>
      </c>
    </row>
    <row r="594" spans="2:13" hidden="1">
      <c r="B594" s="14" t="s">
        <v>156</v>
      </c>
      <c r="C594" s="14">
        <v>1</v>
      </c>
      <c r="D594" s="14">
        <v>0</v>
      </c>
      <c r="E594" s="14">
        <v>0</v>
      </c>
      <c r="F594" s="14"/>
      <c r="G594" s="14"/>
      <c r="H594" s="8" t="str">
        <f ca="1">IF(RAND()&lt;0.25,
    "",
    IF($E594=0,
       CHOOSE(MATCH(RAND(),{0,0.2,0.4,0.6,0.7,0.8,0.85,0.9,0.95,1}),"B-354","B-386","B-4354","B-347","B-357","B-3471","B-34715","B-3571","B-35715"),
       IF($G594=24,
          "B-386",
          IF($G594=12,
             CHOOSE(MATCH(RAND(),{0,0.32,0.49,0.66,0.74,0.82,0.9,1}),"B-386","B-347","B-357","B-3471","B-34715","B-3571","B-35715"),
             "")
)))</f>
        <v>B-357</v>
      </c>
      <c r="I594" s="8" t="str">
        <f t="shared" ca="1" si="48"/>
        <v/>
      </c>
      <c r="J594">
        <f t="shared" ca="1" si="45"/>
        <v>9.6875</v>
      </c>
      <c r="K594">
        <f t="shared" ca="1" si="46"/>
        <v>43.375</v>
      </c>
      <c r="L594" s="14">
        <f t="shared" ca="1" si="47"/>
        <v>12</v>
      </c>
      <c r="M594" s="14">
        <f t="shared" ca="1" si="49"/>
        <v>1</v>
      </c>
    </row>
    <row r="595" spans="2:13" hidden="1">
      <c r="B595" s="14" t="s">
        <v>156</v>
      </c>
      <c r="C595" s="14">
        <v>1</v>
      </c>
      <c r="D595" s="14">
        <v>0</v>
      </c>
      <c r="E595" s="14">
        <v>1</v>
      </c>
      <c r="F595" s="14">
        <v>0</v>
      </c>
      <c r="G595" s="14">
        <v>12</v>
      </c>
      <c r="H595" s="8" t="str">
        <f ca="1">IF(RAND()&lt;0.25,
    "",
    IF($E595=0,
       CHOOSE(MATCH(RAND(),{0,0.2,0.4,0.6,0.7,0.8,0.85,0.9,0.95,1}),"B-354","B-386","B-4354","B-347","B-357","B-3471","B-34715","B-3571","B-35715"),
       IF($G595=24,
          "B-386",
          IF($G595=12,
             CHOOSE(MATCH(RAND(),{0,0.32,0.49,0.66,0.74,0.82,0.9,1}),"B-386","B-347","B-357","B-3471","B-34715","B-3571","B-35715"),
             "")
)))</f>
        <v>B-35715</v>
      </c>
      <c r="I595" s="8" t="str">
        <f t="shared" ca="1" si="48"/>
        <v/>
      </c>
      <c r="J595">
        <f t="shared" ca="1" si="45"/>
        <v>49.4375</v>
      </c>
      <c r="K595">
        <f t="shared" ca="1" si="46"/>
        <v>76.0625</v>
      </c>
      <c r="L595" s="14">
        <f t="shared" ca="1" si="47"/>
        <v>9</v>
      </c>
      <c r="M595" s="14">
        <f t="shared" ca="1" si="49"/>
        <v>1</v>
      </c>
    </row>
    <row r="596" spans="2:13">
      <c r="B596" s="14" t="s">
        <v>156</v>
      </c>
      <c r="C596" s="14">
        <v>1</v>
      </c>
      <c r="D596" s="14">
        <v>0</v>
      </c>
      <c r="E596" s="14">
        <v>1</v>
      </c>
      <c r="F596" s="14">
        <v>0</v>
      </c>
      <c r="G596" s="14">
        <v>24</v>
      </c>
      <c r="H596" s="8" t="str">
        <f ca="1">IF(RAND()&lt;0.25,
    "",
    IF($E596=0,
       CHOOSE(MATCH(RAND(),{0,0.2,0.4,0.6,0.7,0.8,0.85,0.9,0.95,1}),"B-354","B-386","B-4354","B-347","B-357","B-3471","B-34715","B-3571","B-35715"),
       IF($G596=24,
          "B-386",
          IF($G596=12,
             CHOOSE(MATCH(RAND(),{0,0.32,0.49,0.66,0.74,0.82,0.9,1}),"B-386","B-347","B-357","B-3471","B-34715","B-3571","B-35715"),
             "")
)))</f>
        <v>B-386</v>
      </c>
      <c r="I596" s="8" t="str">
        <f t="shared" ca="1" si="48"/>
        <v/>
      </c>
      <c r="J596">
        <f t="shared" ca="1" si="45"/>
        <v>36.75</v>
      </c>
      <c r="K596">
        <f t="shared" ca="1" si="46"/>
        <v>43.75</v>
      </c>
      <c r="L596" s="14">
        <f t="shared" ca="1" si="47"/>
        <v>4.5</v>
      </c>
      <c r="M596" s="14">
        <f t="shared" ca="1" si="49"/>
        <v>1</v>
      </c>
    </row>
    <row r="597" spans="2:13" hidden="1">
      <c r="B597" s="14" t="s">
        <v>156</v>
      </c>
      <c r="C597" s="14">
        <v>1</v>
      </c>
      <c r="D597" s="14">
        <v>0</v>
      </c>
      <c r="E597" s="14">
        <v>1</v>
      </c>
      <c r="F597" s="14">
        <v>0</v>
      </c>
      <c r="G597" s="14"/>
      <c r="H597" s="8" t="str">
        <f ca="1">IF(RAND()&lt;0.25,
    "",
    IF($E597=0,
       CHOOSE(MATCH(RAND(),{0,0.2,0.4,0.6,0.7,0.8,0.85,0.9,0.95,1}),"B-354","B-386","B-4354","B-347","B-357","B-3471","B-34715","B-3571","B-35715"),
       IF($G597=24,
          "B-386",
          IF($G597=12,
             CHOOSE(MATCH(RAND(),{0,0.32,0.49,0.66,0.74,0.82,0.9,1}),"B-386","B-347","B-357","B-3471","B-34715","B-3571","B-35715"),
             "")
)))</f>
        <v/>
      </c>
      <c r="I597" s="8" t="str">
        <f t="shared" ca="1" si="48"/>
        <v/>
      </c>
      <c r="J597">
        <f t="shared" ca="1" si="45"/>
        <v>16.3125</v>
      </c>
      <c r="K597">
        <f t="shared" ca="1" si="46"/>
        <v>68.0625</v>
      </c>
      <c r="L597" s="14">
        <f t="shared" ca="1" si="47"/>
        <v>1</v>
      </c>
      <c r="M597" s="14">
        <f t="shared" ca="1" si="49"/>
        <v>6</v>
      </c>
    </row>
    <row r="598" spans="2:13" hidden="1">
      <c r="B598" s="14" t="s">
        <v>156</v>
      </c>
      <c r="C598" s="14">
        <v>1</v>
      </c>
      <c r="D598" s="14">
        <v>0</v>
      </c>
      <c r="E598" s="14">
        <v>1</v>
      </c>
      <c r="F598" s="14">
        <v>1</v>
      </c>
      <c r="G598" s="14"/>
      <c r="H598" s="8" t="str">
        <f ca="1">IF(RAND()&lt;0.25,
    "",
    IF($E598=0,
       CHOOSE(MATCH(RAND(),{0,0.2,0.4,0.6,0.7,0.8,0.85,0.9,0.95,1}),"B-354","B-386","B-4354","B-347","B-357","B-3471","B-34715","B-3571","B-35715"),
       IF($G598=24,
          "B-386",
          IF($G598=12,
             CHOOSE(MATCH(RAND(),{0,0.32,0.49,0.66,0.74,0.82,0.9,1}),"B-386","B-347","B-357","B-3471","B-34715","B-3571","B-35715"),
             "")
)))</f>
        <v/>
      </c>
      <c r="I598" s="8" t="str">
        <f t="shared" ca="1" si="48"/>
        <v/>
      </c>
      <c r="J598">
        <f t="shared" ca="1" si="45"/>
        <v>27.8125</v>
      </c>
      <c r="K598">
        <f t="shared" ca="1" si="46"/>
        <v>52.875</v>
      </c>
      <c r="L598" s="14">
        <f t="shared" ca="1" si="47"/>
        <v>4.5</v>
      </c>
      <c r="M598" s="14">
        <f t="shared" ca="1" si="49"/>
        <v>1</v>
      </c>
    </row>
    <row r="599" spans="2:13">
      <c r="B599" s="14" t="s">
        <v>156</v>
      </c>
      <c r="C599" s="14">
        <v>1</v>
      </c>
      <c r="D599" s="14">
        <v>1</v>
      </c>
      <c r="E599" s="14">
        <v>0</v>
      </c>
      <c r="F599" s="14"/>
      <c r="G599" s="14"/>
      <c r="H599" s="8" t="str">
        <f ca="1">IF(RAND()&lt;0.25,
    "",
    IF($E599=0,
       CHOOSE(MATCH(RAND(),{0,0.2,0.4,0.6,0.7,0.8,0.85,0.9,0.95,1}),"B-354","B-386","B-4354","B-347","B-357","B-3471","B-34715","B-3571","B-35715"),
       IF($G599=24,
          "B-386",
          IF($G599=12,
             CHOOSE(MATCH(RAND(),{0,0.32,0.49,0.66,0.74,0.82,0.9,1}),"B-386","B-347","B-357","B-3471","B-34715","B-3571","B-35715"),
             "")
)))</f>
        <v/>
      </c>
      <c r="I599" s="8" t="str">
        <f t="shared" ca="1" si="48"/>
        <v/>
      </c>
      <c r="J599">
        <f t="shared" ca="1" si="45"/>
        <v>33.3125</v>
      </c>
      <c r="K599">
        <f t="shared" ca="1" si="46"/>
        <v>11.6875</v>
      </c>
      <c r="L599" s="14">
        <f t="shared" ca="1" si="47"/>
        <v>9</v>
      </c>
      <c r="M599" s="14">
        <f t="shared" ca="1" si="49"/>
        <v>1</v>
      </c>
    </row>
    <row r="600" spans="2:13">
      <c r="B600" s="14" t="s">
        <v>156</v>
      </c>
      <c r="C600" s="14">
        <v>1</v>
      </c>
      <c r="D600" s="14">
        <v>1</v>
      </c>
      <c r="E600" s="14">
        <v>1</v>
      </c>
      <c r="F600" s="14">
        <v>0</v>
      </c>
      <c r="G600" s="14">
        <v>12</v>
      </c>
      <c r="H600" s="8" t="str">
        <f ca="1">IF(RAND()&lt;0.25,
    "",
    IF($E600=0,
       CHOOSE(MATCH(RAND(),{0,0.2,0.4,0.6,0.7,0.8,0.85,0.9,0.95,1}),"B-354","B-386","B-4354","B-347","B-357","B-3471","B-34715","B-3571","B-35715"),
       IF($G600=24,
          "B-386",
          IF($G600=12,
             CHOOSE(MATCH(RAND(),{0,0.32,0.49,0.66,0.74,0.82,0.9,1}),"B-386","B-347","B-357","B-3471","B-34715","B-3571","B-35715"),
             "")
)))</f>
        <v>B-347</v>
      </c>
      <c r="I600" s="8" t="str">
        <f t="shared" ca="1" si="48"/>
        <v/>
      </c>
      <c r="J600">
        <f t="shared" ca="1" si="45"/>
        <v>11.6875</v>
      </c>
      <c r="K600">
        <f t="shared" ca="1" si="46"/>
        <v>69.1875</v>
      </c>
      <c r="L600" s="14">
        <f t="shared" ca="1" si="47"/>
        <v>5.875</v>
      </c>
      <c r="M600" s="14" t="str">
        <f t="shared" ca="1" si="49"/>
        <v/>
      </c>
    </row>
    <row r="601" spans="2:13">
      <c r="B601" s="14" t="s">
        <v>156</v>
      </c>
      <c r="C601" s="14">
        <v>1</v>
      </c>
      <c r="D601" s="14">
        <v>1</v>
      </c>
      <c r="E601" s="14">
        <v>1</v>
      </c>
      <c r="F601" s="14">
        <v>0</v>
      </c>
      <c r="G601" s="14">
        <v>24</v>
      </c>
      <c r="H601" s="8" t="str">
        <f ca="1">IF(RAND()&lt;0.25,
    "",
    IF($E601=0,
       CHOOSE(MATCH(RAND(),{0,0.2,0.4,0.6,0.7,0.8,0.85,0.9,0.95,1}),"B-354","B-386","B-4354","B-347","B-357","B-3471","B-34715","B-3571","B-35715"),
       IF($G601=24,
          "B-386",
          IF($G601=12,
             CHOOSE(MATCH(RAND(),{0,0.32,0.49,0.66,0.74,0.82,0.9,1}),"B-386","B-347","B-357","B-3471","B-34715","B-3571","B-35715"),
             "")
)))</f>
        <v>B-386</v>
      </c>
      <c r="I601" s="8" t="str">
        <f t="shared" ca="1" si="48"/>
        <v/>
      </c>
      <c r="J601">
        <f t="shared" ca="1" si="45"/>
        <v>41.125</v>
      </c>
      <c r="K601">
        <f t="shared" ca="1" si="46"/>
        <v>66.375</v>
      </c>
      <c r="L601" s="14">
        <f t="shared" ca="1" si="47"/>
        <v>1</v>
      </c>
      <c r="M601" s="14">
        <f t="shared" ca="1" si="49"/>
        <v>1</v>
      </c>
    </row>
    <row r="602" spans="2:13" hidden="1">
      <c r="B602" s="14" t="s">
        <v>156</v>
      </c>
      <c r="C602" s="14">
        <v>1</v>
      </c>
      <c r="D602" s="14">
        <v>1</v>
      </c>
      <c r="E602" s="14">
        <v>1</v>
      </c>
      <c r="F602" s="14">
        <v>0</v>
      </c>
      <c r="G602" s="14"/>
      <c r="H602" s="8" t="str">
        <f ca="1">IF(RAND()&lt;0.25,
    "",
    IF($E602=0,
       CHOOSE(MATCH(RAND(),{0,0.2,0.4,0.6,0.7,0.8,0.85,0.9,0.95,1}),"B-354","B-386","B-4354","B-347","B-357","B-3471","B-34715","B-3571","B-35715"),
       IF($G602=24,
          "B-386",
          IF($G602=12,
             CHOOSE(MATCH(RAND(),{0,0.32,0.49,0.66,0.74,0.82,0.9,1}),"B-386","B-347","B-357","B-3471","B-34715","B-3571","B-35715"),
             "")
)))</f>
        <v/>
      </c>
      <c r="I602" s="8" t="str">
        <f t="shared" ca="1" si="48"/>
        <v/>
      </c>
      <c r="J602">
        <f t="shared" ca="1" si="45"/>
        <v>32.375</v>
      </c>
      <c r="K602">
        <f t="shared" ca="1" si="46"/>
        <v>14.9375</v>
      </c>
      <c r="L602" s="14">
        <f t="shared" ca="1" si="47"/>
        <v>4.5</v>
      </c>
      <c r="M602" s="14">
        <f t="shared" ca="1" si="49"/>
        <v>1</v>
      </c>
    </row>
    <row r="603" spans="2:13" hidden="1">
      <c r="B603" s="14" t="s">
        <v>156</v>
      </c>
      <c r="C603" s="14">
        <v>1</v>
      </c>
      <c r="D603" s="14">
        <v>1</v>
      </c>
      <c r="E603" s="14">
        <v>1</v>
      </c>
      <c r="F603" s="14">
        <v>1</v>
      </c>
      <c r="G603" s="14"/>
      <c r="H603" s="8" t="str">
        <f ca="1">IF(RAND()&lt;0.25,
    "",
    IF($E603=0,
       CHOOSE(MATCH(RAND(),{0,0.2,0.4,0.6,0.7,0.8,0.85,0.9,0.95,1}),"B-354","B-386","B-4354","B-347","B-357","B-3471","B-34715","B-3571","B-35715"),
       IF($G603=24,
          "B-386",
          IF($G603=12,
             CHOOSE(MATCH(RAND(),{0,0.32,0.49,0.66,0.74,0.82,0.9,1}),"B-386","B-347","B-357","B-3471","B-34715","B-3571","B-35715"),
             "")
)))</f>
        <v/>
      </c>
      <c r="I603" s="8" t="str">
        <f t="shared" ca="1" si="48"/>
        <v/>
      </c>
      <c r="J603">
        <f t="shared" ca="1" si="45"/>
        <v>32.75</v>
      </c>
      <c r="K603">
        <f t="shared" ca="1" si="46"/>
        <v>62.8125</v>
      </c>
      <c r="L603" s="14">
        <f t="shared" ca="1" si="47"/>
        <v>9</v>
      </c>
      <c r="M603" s="14">
        <f t="shared" ca="1" si="49"/>
        <v>2.3125</v>
      </c>
    </row>
    <row r="604" spans="2:13">
      <c r="B604" s="14" t="s">
        <v>157</v>
      </c>
      <c r="C604" s="14">
        <v>0</v>
      </c>
      <c r="D604" s="14"/>
      <c r="E604" s="14">
        <v>0</v>
      </c>
      <c r="F604" s="14"/>
      <c r="G604" s="14"/>
      <c r="H604" s="8" t="str">
        <f ca="1">IF(RAND()&lt;0.25,
    "",
    IF($E604=0,
       CHOOSE(MATCH(RAND(),{0,0.2,0.4,0.6,0.7,0.8,0.85,0.9,0.95,1}),"B-354","B-386","B-4354","B-347","B-357","B-3471","B-34715","B-3571","B-35715"),
       IF($G604=24,
          "B-386",
          IF($G604=12,
             CHOOSE(MATCH(RAND(),{0,0.32,0.49,0.66,0.74,0.82,0.9,1}),"B-386","B-347","B-357","B-3471","B-34715","B-3571","B-35715"),
             "")
)))</f>
        <v>B-3571</v>
      </c>
      <c r="I604" s="8" t="str">
        <f t="shared" ca="1" si="48"/>
        <v/>
      </c>
      <c r="J604">
        <f t="shared" ca="1" si="45"/>
        <v>60</v>
      </c>
      <c r="K604">
        <f t="shared" ca="1" si="46"/>
        <v>59.5</v>
      </c>
      <c r="L604" s="14">
        <f t="shared" ca="1" si="47"/>
        <v>12</v>
      </c>
      <c r="M604" s="14">
        <f t="shared" ca="1" si="49"/>
        <v>1</v>
      </c>
    </row>
    <row r="605" spans="2:13" hidden="1">
      <c r="B605" s="14" t="s">
        <v>157</v>
      </c>
      <c r="C605" s="14">
        <v>0</v>
      </c>
      <c r="D605" s="14"/>
      <c r="E605" s="14">
        <v>1</v>
      </c>
      <c r="F605" s="14">
        <v>0</v>
      </c>
      <c r="G605" s="14">
        <v>12</v>
      </c>
      <c r="H605" s="8" t="str">
        <f ca="1">IF(RAND()&lt;0.25,
    "",
    IF($E605=0,
       CHOOSE(MATCH(RAND(),{0,0.2,0.4,0.6,0.7,0.8,0.85,0.9,0.95,1}),"B-354","B-386","B-4354","B-347","B-357","B-3471","B-34715","B-3571","B-35715"),
       IF($G605=24,
          "B-386",
          IF($G605=12,
             CHOOSE(MATCH(RAND(),{0,0.32,0.49,0.66,0.74,0.82,0.9,1}),"B-386","B-347","B-357","B-3471","B-34715","B-3571","B-35715"),
             "")
)))</f>
        <v>B-347</v>
      </c>
      <c r="I605" s="8" t="str">
        <f t="shared" ca="1" si="48"/>
        <v/>
      </c>
      <c r="J605">
        <f t="shared" ca="1" si="45"/>
        <v>60</v>
      </c>
      <c r="K605">
        <f t="shared" ca="1" si="46"/>
        <v>73.125</v>
      </c>
      <c r="L605" s="14">
        <f t="shared" ca="1" si="47"/>
        <v>4.1875</v>
      </c>
      <c r="M605" s="14">
        <f t="shared" ca="1" si="49"/>
        <v>4</v>
      </c>
    </row>
    <row r="606" spans="2:13">
      <c r="B606" s="14" t="s">
        <v>157</v>
      </c>
      <c r="C606" s="14">
        <v>0</v>
      </c>
      <c r="D606" s="14"/>
      <c r="E606" s="14">
        <v>1</v>
      </c>
      <c r="F606" s="14">
        <v>0</v>
      </c>
      <c r="G606" s="14">
        <v>24</v>
      </c>
      <c r="H606" s="8" t="str">
        <f ca="1">IF(RAND()&lt;0.25,
    "",
    IF($E606=0,
       CHOOSE(MATCH(RAND(),{0,0.2,0.4,0.6,0.7,0.8,0.85,0.9,0.95,1}),"B-354","B-386","B-4354","B-347","B-357","B-3471","B-34715","B-3571","B-35715"),
       IF($G606=24,
          "B-386",
          IF($G606=12,
             CHOOSE(MATCH(RAND(),{0,0.32,0.49,0.66,0.74,0.82,0.9,1}),"B-386","B-347","B-357","B-3471","B-34715","B-3571","B-35715"),
             "")
)))</f>
        <v>B-386</v>
      </c>
      <c r="I606" s="8" t="str">
        <f t="shared" ca="1" si="48"/>
        <v/>
      </c>
      <c r="J606">
        <f t="shared" ca="1" si="45"/>
        <v>60</v>
      </c>
      <c r="K606">
        <f t="shared" ca="1" si="46"/>
        <v>50.375</v>
      </c>
      <c r="L606" s="14">
        <f t="shared" ca="1" si="47"/>
        <v>1.5625</v>
      </c>
      <c r="M606" s="14" t="str">
        <f t="shared" ca="1" si="49"/>
        <v/>
      </c>
    </row>
    <row r="607" spans="2:13" hidden="1">
      <c r="B607" s="14" t="s">
        <v>157</v>
      </c>
      <c r="C607" s="14">
        <v>0</v>
      </c>
      <c r="D607" s="14"/>
      <c r="E607" s="14">
        <v>1</v>
      </c>
      <c r="F607" s="14">
        <v>0</v>
      </c>
      <c r="G607" s="14"/>
      <c r="H607" s="8" t="str">
        <f ca="1">IF(RAND()&lt;0.25,
    "",
    IF($E607=0,
       CHOOSE(MATCH(RAND(),{0,0.2,0.4,0.6,0.7,0.8,0.85,0.9,0.95,1}),"B-354","B-386","B-4354","B-347","B-357","B-3471","B-34715","B-3571","B-35715"),
       IF($G607=24,
          "B-386",
          IF($G607=12,
             CHOOSE(MATCH(RAND(),{0,0.32,0.49,0.66,0.74,0.82,0.9,1}),"B-386","B-347","B-357","B-3471","B-34715","B-3571","B-35715"),
             "")
)))</f>
        <v/>
      </c>
      <c r="I607" s="8" t="str">
        <f t="shared" ca="1" si="48"/>
        <v/>
      </c>
      <c r="J607">
        <f t="shared" ca="1" si="45"/>
        <v>60</v>
      </c>
      <c r="K607">
        <f t="shared" ca="1" si="46"/>
        <v>67.125</v>
      </c>
      <c r="L607" s="14">
        <f t="shared" ca="1" si="47"/>
        <v>9</v>
      </c>
      <c r="M607" s="14">
        <f t="shared" ca="1" si="49"/>
        <v>1</v>
      </c>
    </row>
    <row r="608" spans="2:13" hidden="1">
      <c r="B608" s="14" t="s">
        <v>157</v>
      </c>
      <c r="C608" s="14">
        <v>0</v>
      </c>
      <c r="D608" s="14"/>
      <c r="E608" s="14">
        <v>1</v>
      </c>
      <c r="F608" s="14">
        <v>1</v>
      </c>
      <c r="G608" s="14"/>
      <c r="H608" s="8" t="str">
        <f ca="1">IF(RAND()&lt;0.25,
    "",
    IF($E608=0,
       CHOOSE(MATCH(RAND(),{0,0.2,0.4,0.6,0.7,0.8,0.85,0.9,0.95,1}),"B-354","B-386","B-4354","B-347","B-357","B-3471","B-34715","B-3571","B-35715"),
       IF($G608=24,
          "B-386",
          IF($G608=12,
             CHOOSE(MATCH(RAND(),{0,0.32,0.49,0.66,0.74,0.82,0.9,1}),"B-386","B-347","B-357","B-3471","B-34715","B-3571","B-35715"),
             "")
)))</f>
        <v/>
      </c>
      <c r="I608" s="8" t="str">
        <f t="shared" ca="1" si="48"/>
        <v/>
      </c>
      <c r="J608">
        <f t="shared" ca="1" si="45"/>
        <v>60</v>
      </c>
      <c r="K608">
        <f t="shared" ca="1" si="46"/>
        <v>68.4375</v>
      </c>
      <c r="L608" s="14">
        <f t="shared" ca="1" si="47"/>
        <v>9</v>
      </c>
      <c r="M608" s="14">
        <f t="shared" ca="1" si="49"/>
        <v>5.5625</v>
      </c>
    </row>
    <row r="609" spans="2:13">
      <c r="B609" s="14" t="s">
        <v>157</v>
      </c>
      <c r="C609" s="14">
        <v>1</v>
      </c>
      <c r="D609" s="14">
        <v>0</v>
      </c>
      <c r="E609" s="14">
        <v>0</v>
      </c>
      <c r="F609" s="14"/>
      <c r="G609" s="14"/>
      <c r="H609" s="8" t="str">
        <f ca="1">IF(RAND()&lt;0.25,
    "",
    IF($E609=0,
       CHOOSE(MATCH(RAND(),{0,0.2,0.4,0.6,0.7,0.8,0.85,0.9,0.95,1}),"B-354","B-386","B-4354","B-347","B-357","B-3471","B-34715","B-3571","B-35715"),
       IF($G609=24,
          "B-386",
          IF($G609=12,
             CHOOSE(MATCH(RAND(),{0,0.32,0.49,0.66,0.74,0.82,0.9,1}),"B-386","B-347","B-357","B-3471","B-34715","B-3571","B-35715"),
             "")
)))</f>
        <v>B-386</v>
      </c>
      <c r="I609" s="8" t="str">
        <f t="shared" ca="1" si="48"/>
        <v/>
      </c>
      <c r="J609">
        <f t="shared" ca="1" si="45"/>
        <v>60</v>
      </c>
      <c r="K609">
        <f t="shared" ca="1" si="46"/>
        <v>48.4375</v>
      </c>
      <c r="L609" s="14">
        <f t="shared" ca="1" si="47"/>
        <v>4.5625</v>
      </c>
      <c r="M609" s="14">
        <f t="shared" ca="1" si="49"/>
        <v>6.3125</v>
      </c>
    </row>
    <row r="610" spans="2:13">
      <c r="B610" s="14" t="s">
        <v>157</v>
      </c>
      <c r="C610" s="14">
        <v>1</v>
      </c>
      <c r="D610" s="14">
        <v>0</v>
      </c>
      <c r="E610" s="14">
        <v>1</v>
      </c>
      <c r="F610" s="14">
        <v>0</v>
      </c>
      <c r="G610" s="14">
        <v>12</v>
      </c>
      <c r="H610" s="8" t="str">
        <f ca="1">IF(RAND()&lt;0.25,
    "",
    IF($E610=0,
       CHOOSE(MATCH(RAND(),{0,0.2,0.4,0.6,0.7,0.8,0.85,0.9,0.95,1}),"B-354","B-386","B-4354","B-347","B-357","B-3471","B-34715","B-3571","B-35715"),
       IF($G610=24,
          "B-386",
          IF($G610=12,
             CHOOSE(MATCH(RAND(),{0,0.32,0.49,0.66,0.74,0.82,0.9,1}),"B-386","B-347","B-357","B-3471","B-34715","B-3571","B-35715"),
             "")
)))</f>
        <v>B-386</v>
      </c>
      <c r="I610" s="8" t="str">
        <f t="shared" ca="1" si="48"/>
        <v/>
      </c>
      <c r="J610">
        <f t="shared" ca="1" si="45"/>
        <v>60</v>
      </c>
      <c r="K610">
        <f t="shared" ca="1" si="46"/>
        <v>72.5</v>
      </c>
      <c r="L610" s="14">
        <f t="shared" ca="1" si="47"/>
        <v>4.5</v>
      </c>
      <c r="M610" s="14">
        <f t="shared" ca="1" si="49"/>
        <v>8.375</v>
      </c>
    </row>
    <row r="611" spans="2:13" hidden="1">
      <c r="B611" s="14" t="s">
        <v>157</v>
      </c>
      <c r="C611" s="14">
        <v>1</v>
      </c>
      <c r="D611" s="14">
        <v>0</v>
      </c>
      <c r="E611" s="14">
        <v>1</v>
      </c>
      <c r="F611" s="14">
        <v>0</v>
      </c>
      <c r="G611" s="14">
        <v>24</v>
      </c>
      <c r="H611" s="8" t="str">
        <f ca="1">IF(RAND()&lt;0.25,
    "",
    IF($E611=0,
       CHOOSE(MATCH(RAND(),{0,0.2,0.4,0.6,0.7,0.8,0.85,0.9,0.95,1}),"B-354","B-386","B-4354","B-347","B-357","B-3471","B-34715","B-3571","B-35715"),
       IF($G611=24,
          "B-386",
          IF($G611=12,
             CHOOSE(MATCH(RAND(),{0,0.32,0.49,0.66,0.74,0.82,0.9,1}),"B-386","B-347","B-357","B-3471","B-34715","B-3571","B-35715"),
             "")
)))</f>
        <v/>
      </c>
      <c r="I611" s="8" t="str">
        <f t="shared" ca="1" si="48"/>
        <v/>
      </c>
      <c r="J611">
        <f t="shared" ca="1" si="45"/>
        <v>60</v>
      </c>
      <c r="K611">
        <f t="shared" ca="1" si="46"/>
        <v>67.625</v>
      </c>
      <c r="L611" s="14">
        <f t="shared" ca="1" si="47"/>
        <v>1</v>
      </c>
      <c r="M611" s="14">
        <f t="shared" ca="1" si="49"/>
        <v>6.625</v>
      </c>
    </row>
    <row r="612" spans="2:13" hidden="1">
      <c r="B612" s="14" t="s">
        <v>157</v>
      </c>
      <c r="C612" s="14">
        <v>1</v>
      </c>
      <c r="D612" s="14">
        <v>0</v>
      </c>
      <c r="E612" s="14">
        <v>1</v>
      </c>
      <c r="F612" s="14">
        <v>0</v>
      </c>
      <c r="G612" s="14"/>
      <c r="H612" s="8" t="str">
        <f ca="1">IF(RAND()&lt;0.25,
    "",
    IF($E612=0,
       CHOOSE(MATCH(RAND(),{0,0.2,0.4,0.6,0.7,0.8,0.85,0.9,0.95,1}),"B-354","B-386","B-4354","B-347","B-357","B-3471","B-34715","B-3571","B-35715"),
       IF($G612=24,
          "B-386",
          IF($G612=12,
             CHOOSE(MATCH(RAND(),{0,0.32,0.49,0.66,0.74,0.82,0.9,1}),"B-386","B-347","B-357","B-3471","B-34715","B-3571","B-35715"),
             "")
)))</f>
        <v/>
      </c>
      <c r="I612" s="8" t="str">
        <f t="shared" ca="1" si="48"/>
        <v/>
      </c>
      <c r="J612">
        <f t="shared" ca="1" si="45"/>
        <v>60</v>
      </c>
      <c r="K612">
        <f t="shared" ca="1" si="46"/>
        <v>31.25</v>
      </c>
      <c r="L612" s="14">
        <f t="shared" ca="1" si="47"/>
        <v>4.5</v>
      </c>
      <c r="M612" s="14">
        <f t="shared" ca="1" si="49"/>
        <v>4.75</v>
      </c>
    </row>
    <row r="613" spans="2:13" hidden="1">
      <c r="B613" s="14" t="s">
        <v>157</v>
      </c>
      <c r="C613" s="14">
        <v>1</v>
      </c>
      <c r="D613" s="14">
        <v>0</v>
      </c>
      <c r="E613" s="14">
        <v>1</v>
      </c>
      <c r="F613" s="14">
        <v>1</v>
      </c>
      <c r="G613" s="14"/>
      <c r="H613" s="8" t="str">
        <f ca="1">IF(RAND()&lt;0.25,
    "",
    IF($E613=0,
       CHOOSE(MATCH(RAND(),{0,0.2,0.4,0.6,0.7,0.8,0.85,0.9,0.95,1}),"B-354","B-386","B-4354","B-347","B-357","B-3471","B-34715","B-3571","B-35715"),
       IF($G613=24,
          "B-386",
          IF($G613=12,
             CHOOSE(MATCH(RAND(),{0,0.32,0.49,0.66,0.74,0.82,0.9,1}),"B-386","B-347","B-357","B-3471","B-34715","B-3571","B-35715"),
             "")
)))</f>
        <v/>
      </c>
      <c r="I613" s="8" t="str">
        <f t="shared" ca="1" si="48"/>
        <v/>
      </c>
      <c r="J613">
        <f t="shared" ca="1" si="45"/>
        <v>60</v>
      </c>
      <c r="K613">
        <f t="shared" ca="1" si="46"/>
        <v>35.9375</v>
      </c>
      <c r="L613" s="14">
        <f t="shared" ca="1" si="47"/>
        <v>4.5</v>
      </c>
      <c r="M613" s="14">
        <f t="shared" ca="1" si="49"/>
        <v>4.625</v>
      </c>
    </row>
    <row r="614" spans="2:13">
      <c r="B614" s="14" t="s">
        <v>157</v>
      </c>
      <c r="C614" s="14">
        <v>1</v>
      </c>
      <c r="D614" s="14">
        <v>1</v>
      </c>
      <c r="E614" s="14">
        <v>0</v>
      </c>
      <c r="F614" s="14"/>
      <c r="G614" s="14"/>
      <c r="H614" s="8" t="str">
        <f ca="1">IF(RAND()&lt;0.25,
    "",
    IF($E614=0,
       CHOOSE(MATCH(RAND(),{0,0.2,0.4,0.6,0.7,0.8,0.85,0.9,0.95,1}),"B-354","B-386","B-4354","B-347","B-357","B-3471","B-34715","B-3571","B-35715"),
       IF($G614=24,
          "B-386",
          IF($G614=12,
             CHOOSE(MATCH(RAND(),{0,0.32,0.49,0.66,0.74,0.82,0.9,1}),"B-386","B-347","B-357","B-3471","B-34715","B-3571","B-35715"),
             "")
)))</f>
        <v>B-357</v>
      </c>
      <c r="I614" s="8" t="str">
        <f t="shared" ca="1" si="48"/>
        <v/>
      </c>
      <c r="J614">
        <f t="shared" ca="1" si="45"/>
        <v>60</v>
      </c>
      <c r="K614">
        <f t="shared" ca="1" si="46"/>
        <v>75.6875</v>
      </c>
      <c r="L614" s="14">
        <f t="shared" ca="1" si="47"/>
        <v>12</v>
      </c>
      <c r="M614" s="14">
        <f t="shared" ca="1" si="49"/>
        <v>1</v>
      </c>
    </row>
    <row r="615" spans="2:13">
      <c r="B615" s="14" t="s">
        <v>157</v>
      </c>
      <c r="C615" s="14">
        <v>1</v>
      </c>
      <c r="D615" s="14">
        <v>1</v>
      </c>
      <c r="E615" s="14">
        <v>1</v>
      </c>
      <c r="F615" s="14">
        <v>0</v>
      </c>
      <c r="G615" s="14">
        <v>12</v>
      </c>
      <c r="H615" s="8" t="str">
        <f ca="1">IF(RAND()&lt;0.25,
    "",
    IF($E615=0,
       CHOOSE(MATCH(RAND(),{0,0.2,0.4,0.6,0.7,0.8,0.85,0.9,0.95,1}),"B-354","B-386","B-4354","B-347","B-357","B-3471","B-34715","B-3571","B-35715"),
       IF($G615=24,
          "B-386",
          IF($G615=12,
             CHOOSE(MATCH(RAND(),{0,0.32,0.49,0.66,0.74,0.82,0.9,1}),"B-386","B-347","B-357","B-3471","B-34715","B-3571","B-35715"),
             "")
)))</f>
        <v>B-357</v>
      </c>
      <c r="I615" s="8" t="str">
        <f t="shared" ca="1" si="48"/>
        <v/>
      </c>
      <c r="J615">
        <f t="shared" ca="1" si="45"/>
        <v>60</v>
      </c>
      <c r="K615">
        <f t="shared" ca="1" si="46"/>
        <v>59</v>
      </c>
      <c r="L615" s="14">
        <f t="shared" ca="1" si="47"/>
        <v>9</v>
      </c>
      <c r="M615" s="14">
        <f t="shared" ca="1" si="49"/>
        <v>6.625</v>
      </c>
    </row>
    <row r="616" spans="2:13">
      <c r="B616" s="14" t="s">
        <v>157</v>
      </c>
      <c r="C616" s="14">
        <v>1</v>
      </c>
      <c r="D616" s="14">
        <v>1</v>
      </c>
      <c r="E616" s="14">
        <v>1</v>
      </c>
      <c r="F616" s="14">
        <v>0</v>
      </c>
      <c r="G616" s="14">
        <v>24</v>
      </c>
      <c r="H616" s="8" t="str">
        <f ca="1">IF(RAND()&lt;0.25,
    "",
    IF($E616=0,
       CHOOSE(MATCH(RAND(),{0,0.2,0.4,0.6,0.7,0.8,0.85,0.9,0.95,1}),"B-354","B-386","B-4354","B-347","B-357","B-3471","B-34715","B-3571","B-35715"),
       IF($G616=24,
          "B-386",
          IF($G616=12,
             CHOOSE(MATCH(RAND(),{0,0.32,0.49,0.66,0.74,0.82,0.9,1}),"B-386","B-347","B-357","B-3471","B-34715","B-3571","B-35715"),
             "")
)))</f>
        <v>B-386</v>
      </c>
      <c r="I616" s="8" t="str">
        <f t="shared" ca="1" si="48"/>
        <v/>
      </c>
      <c r="J616">
        <f t="shared" ca="1" si="45"/>
        <v>60</v>
      </c>
      <c r="K616">
        <f t="shared" ca="1" si="46"/>
        <v>50.125</v>
      </c>
      <c r="L616" s="14">
        <f t="shared" ca="1" si="47"/>
        <v>12</v>
      </c>
      <c r="M616" s="14" t="str">
        <f t="shared" ca="1" si="49"/>
        <v/>
      </c>
    </row>
    <row r="617" spans="2:13" hidden="1">
      <c r="B617" s="14" t="s">
        <v>157</v>
      </c>
      <c r="C617" s="14">
        <v>1</v>
      </c>
      <c r="D617" s="14">
        <v>1</v>
      </c>
      <c r="E617" s="14">
        <v>1</v>
      </c>
      <c r="F617" s="14">
        <v>0</v>
      </c>
      <c r="G617" s="14"/>
      <c r="H617" s="8" t="str">
        <f ca="1">IF(RAND()&lt;0.25,
    "",
    IF($E617=0,
       CHOOSE(MATCH(RAND(),{0,0.2,0.4,0.6,0.7,0.8,0.85,0.9,0.95,1}),"B-354","B-386","B-4354","B-347","B-357","B-3471","B-34715","B-3571","B-35715"),
       IF($G617=24,
          "B-386",
          IF($G617=12,
             CHOOSE(MATCH(RAND(),{0,0.32,0.49,0.66,0.74,0.82,0.9,1}),"B-386","B-347","B-357","B-3471","B-34715","B-3571","B-35715"),
             "")
)))</f>
        <v/>
      </c>
      <c r="I617" s="8" t="str">
        <f t="shared" ca="1" si="48"/>
        <v/>
      </c>
      <c r="J617">
        <f t="shared" ca="1" si="45"/>
        <v>60</v>
      </c>
      <c r="K617">
        <f t="shared" ca="1" si="46"/>
        <v>6.625</v>
      </c>
      <c r="L617" s="14">
        <f t="shared" ca="1" si="47"/>
        <v>9</v>
      </c>
      <c r="M617" s="14">
        <f t="shared" ca="1" si="49"/>
        <v>1</v>
      </c>
    </row>
    <row r="618" spans="2:13" hidden="1">
      <c r="B618" s="14" t="s">
        <v>157</v>
      </c>
      <c r="C618" s="14">
        <v>1</v>
      </c>
      <c r="D618" s="14">
        <v>1</v>
      </c>
      <c r="E618" s="14">
        <v>1</v>
      </c>
      <c r="F618" s="14">
        <v>1</v>
      </c>
      <c r="G618" s="14"/>
      <c r="H618" s="8" t="str">
        <f ca="1">IF(RAND()&lt;0.25,
    "",
    IF($E618=0,
       CHOOSE(MATCH(RAND(),{0,0.2,0.4,0.6,0.7,0.8,0.85,0.9,0.95,1}),"B-354","B-386","B-4354","B-347","B-357","B-3471","B-34715","B-3571","B-35715"),
       IF($G618=24,
          "B-386",
          IF($G618=12,
             CHOOSE(MATCH(RAND(),{0,0.32,0.49,0.66,0.74,0.82,0.9,1}),"B-386","B-347","B-357","B-3471","B-34715","B-3571","B-35715"),
             "")
)))</f>
        <v/>
      </c>
      <c r="I618" s="8" t="str">
        <f t="shared" ca="1" si="48"/>
        <v/>
      </c>
      <c r="J618">
        <f t="shared" ca="1" si="45"/>
        <v>60</v>
      </c>
      <c r="K618">
        <f t="shared" ca="1" si="46"/>
        <v>50.5625</v>
      </c>
      <c r="L618" s="14">
        <f t="shared" ca="1" si="47"/>
        <v>12</v>
      </c>
      <c r="M618" s="14">
        <f t="shared" ca="1" si="49"/>
        <v>1.125</v>
      </c>
    </row>
    <row r="619" spans="2:13" hidden="1">
      <c r="B619" s="14" t="s">
        <v>21</v>
      </c>
      <c r="C619" s="14">
        <v>0</v>
      </c>
      <c r="D619" s="14"/>
      <c r="E619" s="14">
        <v>0</v>
      </c>
      <c r="F619" s="14"/>
      <c r="G619" s="14"/>
      <c r="H619" s="8" t="str">
        <f ca="1">IF(RAND()&lt;0.25,
    "",
    IF($E619=0,
       CHOOSE(MATCH(RAND(),{0,0.2,0.4,0.6,0.7,0.8,0.85,0.9,0.95,1}),"B-354","B-386","B-4354","B-347","B-357","B-3471","B-34715","B-3571","B-35715"),
       IF($G619=24,
          "B-386",
          IF($G619=12,
             CHOOSE(MATCH(RAND(),{0,0.32,0.49,0.66,0.74,0.82,0.9,1}),"B-386","B-347","B-357","B-3471","B-34715","B-3571","B-35715"),
             "")
)))</f>
        <v/>
      </c>
      <c r="I619" s="8" t="str">
        <f t="shared" ca="1" si="48"/>
        <v/>
      </c>
      <c r="J619">
        <f t="shared" ca="1" si="45"/>
        <v>51</v>
      </c>
      <c r="K619">
        <f t="shared" ca="1" si="46"/>
        <v>39.5625</v>
      </c>
      <c r="L619" s="14">
        <f t="shared" ca="1" si="47"/>
        <v>4.5</v>
      </c>
      <c r="M619" s="14">
        <f t="shared" ca="1" si="49"/>
        <v>1.75</v>
      </c>
    </row>
    <row r="620" spans="2:13">
      <c r="B620" s="14" t="s">
        <v>21</v>
      </c>
      <c r="C620" s="14">
        <v>0</v>
      </c>
      <c r="D620" s="14"/>
      <c r="E620" s="14">
        <v>1</v>
      </c>
      <c r="F620" s="14">
        <v>0</v>
      </c>
      <c r="G620" s="14">
        <v>12</v>
      </c>
      <c r="H620" s="8" t="str">
        <f ca="1">IF(RAND()&lt;0.25,
    "",
    IF($E620=0,
       CHOOSE(MATCH(RAND(),{0,0.2,0.4,0.6,0.7,0.8,0.85,0.9,0.95,1}),"B-354","B-386","B-4354","B-347","B-357","B-3471","B-34715","B-3571","B-35715"),
       IF($G620=24,
          "B-386",
          IF($G620=12,
             CHOOSE(MATCH(RAND(),{0,0.32,0.49,0.66,0.74,0.82,0.9,1}),"B-386","B-347","B-357","B-3471","B-34715","B-3571","B-35715"),
             "")
)))</f>
        <v/>
      </c>
      <c r="I620" s="8" t="str">
        <f t="shared" ca="1" si="48"/>
        <v/>
      </c>
      <c r="J620">
        <f t="shared" ca="1" si="45"/>
        <v>99.4375</v>
      </c>
      <c r="K620">
        <f t="shared" ca="1" si="46"/>
        <v>9.875</v>
      </c>
      <c r="L620" s="14">
        <f t="shared" ca="1" si="47"/>
        <v>7.4375</v>
      </c>
      <c r="M620" s="14">
        <f t="shared" ca="1" si="49"/>
        <v>8.5</v>
      </c>
    </row>
    <row r="621" spans="2:13" hidden="1">
      <c r="B621" s="14" t="s">
        <v>21</v>
      </c>
      <c r="C621" s="14">
        <v>0</v>
      </c>
      <c r="D621" s="14"/>
      <c r="E621" s="14">
        <v>1</v>
      </c>
      <c r="F621" s="14">
        <v>0</v>
      </c>
      <c r="G621" s="14">
        <v>24</v>
      </c>
      <c r="H621" s="8" t="str">
        <f ca="1">IF(RAND()&lt;0.25,
    "",
    IF($E621=0,
       CHOOSE(MATCH(RAND(),{0,0.2,0.4,0.6,0.7,0.8,0.85,0.9,0.95,1}),"B-354","B-386","B-4354","B-347","B-357","B-3471","B-34715","B-3571","B-35715"),
       IF($G621=24,
          "B-386",
          IF($G621=12,
             CHOOSE(MATCH(RAND(),{0,0.32,0.49,0.66,0.74,0.82,0.9,1}),"B-386","B-347","B-357","B-3471","B-34715","B-3571","B-35715"),
             "")
)))</f>
        <v>B-386</v>
      </c>
      <c r="I621" s="8" t="str">
        <f t="shared" ca="1" si="48"/>
        <v/>
      </c>
      <c r="J621">
        <f t="shared" ca="1" si="45"/>
        <v>99.3125</v>
      </c>
      <c r="K621">
        <f t="shared" ca="1" si="46"/>
        <v>42.375</v>
      </c>
      <c r="L621" s="14">
        <f t="shared" ca="1" si="47"/>
        <v>9.4375</v>
      </c>
      <c r="M621" s="14">
        <f t="shared" ca="1" si="49"/>
        <v>4</v>
      </c>
    </row>
    <row r="622" spans="2:13" hidden="1">
      <c r="B622" s="14" t="s">
        <v>21</v>
      </c>
      <c r="C622" s="14">
        <v>0</v>
      </c>
      <c r="D622" s="14"/>
      <c r="E622" s="14">
        <v>1</v>
      </c>
      <c r="F622" s="14">
        <v>0</v>
      </c>
      <c r="G622" s="14"/>
      <c r="H622" s="8" t="str">
        <f ca="1">IF(RAND()&lt;0.25,
    "",
    IF($E622=0,
       CHOOSE(MATCH(RAND(),{0,0.2,0.4,0.6,0.7,0.8,0.85,0.9,0.95,1}),"B-354","B-386","B-4354","B-347","B-357","B-3471","B-34715","B-3571","B-35715"),
       IF($G622=24,
          "B-386",
          IF($G622=12,
             CHOOSE(MATCH(RAND(),{0,0.32,0.49,0.66,0.74,0.82,0.9,1}),"B-386","B-347","B-357","B-3471","B-34715","B-3571","B-35715"),
             "")
)))</f>
        <v/>
      </c>
      <c r="I622" s="8" t="str">
        <f t="shared" ca="1" si="48"/>
        <v/>
      </c>
      <c r="J622">
        <f t="shared" ca="1" si="45"/>
        <v>64.125</v>
      </c>
      <c r="K622">
        <f t="shared" ca="1" si="46"/>
        <v>8.8125</v>
      </c>
      <c r="L622" s="14">
        <f t="shared" ca="1" si="47"/>
        <v>2.1875</v>
      </c>
      <c r="M622" s="14">
        <f t="shared" ca="1" si="49"/>
        <v>1</v>
      </c>
    </row>
    <row r="623" spans="2:13" hidden="1">
      <c r="B623" s="14" t="s">
        <v>21</v>
      </c>
      <c r="C623" s="14">
        <v>0</v>
      </c>
      <c r="D623" s="14"/>
      <c r="E623" s="14">
        <v>1</v>
      </c>
      <c r="F623" s="14">
        <v>1</v>
      </c>
      <c r="G623" s="14"/>
      <c r="H623" s="8" t="str">
        <f ca="1">IF(RAND()&lt;0.25,
    "",
    IF($E623=0,
       CHOOSE(MATCH(RAND(),{0,0.2,0.4,0.6,0.7,0.8,0.85,0.9,0.95,1}),"B-354","B-386","B-4354","B-347","B-357","B-3471","B-34715","B-3571","B-35715"),
       IF($G623=24,
          "B-386",
          IF($G623=12,
             CHOOSE(MATCH(RAND(),{0,0.32,0.49,0.66,0.74,0.82,0.9,1}),"B-386","B-347","B-357","B-3471","B-34715","B-3571","B-35715"),
             "")
)))</f>
        <v/>
      </c>
      <c r="I623" s="8" t="str">
        <f t="shared" ca="1" si="48"/>
        <v/>
      </c>
      <c r="J623">
        <f t="shared" ca="1" si="45"/>
        <v>75.625</v>
      </c>
      <c r="K623">
        <f t="shared" ca="1" si="46"/>
        <v>27.0625</v>
      </c>
      <c r="L623" s="14">
        <f t="shared" ca="1" si="47"/>
        <v>4.5625</v>
      </c>
      <c r="M623" s="14">
        <f t="shared" ca="1" si="49"/>
        <v>8.25</v>
      </c>
    </row>
    <row r="624" spans="2:13">
      <c r="B624" s="14" t="s">
        <v>21</v>
      </c>
      <c r="C624" s="14">
        <v>1</v>
      </c>
      <c r="D624" s="14">
        <v>0</v>
      </c>
      <c r="E624" s="14">
        <v>0</v>
      </c>
      <c r="F624" s="14"/>
      <c r="G624" s="14"/>
      <c r="H624" s="8" t="str">
        <f ca="1">IF(RAND()&lt;0.25,
    "",
    IF($E624=0,
       CHOOSE(MATCH(RAND(),{0,0.2,0.4,0.6,0.7,0.8,0.85,0.9,0.95,1}),"B-354","B-386","B-4354","B-347","B-357","B-3471","B-34715","B-3571","B-35715"),
       IF($G624=24,
          "B-386",
          IF($G624=12,
             CHOOSE(MATCH(RAND(),{0,0.32,0.49,0.66,0.74,0.82,0.9,1}),"B-386","B-347","B-357","B-3471","B-34715","B-3571","B-35715"),
             "")
)))</f>
        <v>B-354</v>
      </c>
      <c r="I624" s="8" t="str">
        <f t="shared" ca="1" si="48"/>
        <v/>
      </c>
      <c r="J624">
        <f t="shared" ca="1" si="45"/>
        <v>91.625</v>
      </c>
      <c r="K624">
        <f t="shared" ca="1" si="46"/>
        <v>67.3125</v>
      </c>
      <c r="L624" s="14">
        <f t="shared" ca="1" si="47"/>
        <v>9</v>
      </c>
      <c r="M624" s="14">
        <f t="shared" ca="1" si="49"/>
        <v>5.125</v>
      </c>
    </row>
    <row r="625" spans="2:13">
      <c r="B625" s="14" t="s">
        <v>21</v>
      </c>
      <c r="C625" s="14">
        <v>1</v>
      </c>
      <c r="D625" s="14">
        <v>0</v>
      </c>
      <c r="E625" s="14">
        <v>1</v>
      </c>
      <c r="F625" s="14">
        <v>0</v>
      </c>
      <c r="G625" s="14">
        <v>12</v>
      </c>
      <c r="H625" s="8" t="str">
        <f ca="1">IF(RAND()&lt;0.25,
    "",
    IF($E625=0,
       CHOOSE(MATCH(RAND(),{0,0.2,0.4,0.6,0.7,0.8,0.85,0.9,0.95,1}),"B-354","B-386","B-4354","B-347","B-357","B-3471","B-34715","B-3571","B-35715"),
       IF($G625=24,
          "B-386",
          IF($G625=12,
             CHOOSE(MATCH(RAND(),{0,0.32,0.49,0.66,0.74,0.82,0.9,1}),"B-386","B-347","B-357","B-3471","B-34715","B-3571","B-35715"),
             "")
)))</f>
        <v/>
      </c>
      <c r="I625" s="8" t="str">
        <f t="shared" ca="1" si="48"/>
        <v/>
      </c>
      <c r="J625">
        <f t="shared" ref="J625:J688" ca="1" si="50">IF(B625="BOTTOM",
   60,
   IF(B625="TOP",
      RANDBETWEEN(3*16,50*16)/16,
      IF(B625="WHOLE",
         IF(RAND()&lt;0.75,
            RANDBETWEEN(36*16,110*16)/16,
            96
         ),
         ""
      )
   )
)</f>
        <v>49.5625</v>
      </c>
      <c r="K625">
        <f t="shared" ref="K625:K688" ca="1" si="51">_xlfn.LET(
_xlpm.minVal, IF($H625&lt;&gt;"",40,5),
RANDBETWEEN(_xlpm.minVal*16,80*16)/16
)</f>
        <v>26.8125</v>
      </c>
      <c r="L625" s="14">
        <f t="shared" ca="1" si="47"/>
        <v>4.5</v>
      </c>
      <c r="M625" s="14">
        <f t="shared" ca="1" si="49"/>
        <v>6.375</v>
      </c>
    </row>
    <row r="626" spans="2:13">
      <c r="B626" s="14" t="s">
        <v>21</v>
      </c>
      <c r="C626" s="14">
        <v>1</v>
      </c>
      <c r="D626" s="14">
        <v>0</v>
      </c>
      <c r="E626" s="14">
        <v>1</v>
      </c>
      <c r="F626" s="14">
        <v>0</v>
      </c>
      <c r="G626" s="14">
        <v>24</v>
      </c>
      <c r="H626" s="8" t="str">
        <f ca="1">IF(RAND()&lt;0.25,
    "",
    IF($E626=0,
       CHOOSE(MATCH(RAND(),{0,0.2,0.4,0.6,0.7,0.8,0.85,0.9,0.95,1}),"B-354","B-386","B-4354","B-347","B-357","B-3471","B-34715","B-3571","B-35715"),
       IF($G626=24,
          "B-386",
          IF($G626=12,
             CHOOSE(MATCH(RAND(),{0,0.32,0.49,0.66,0.74,0.82,0.9,1}),"B-386","B-347","B-357","B-3471","B-34715","B-3571","B-35715"),
             "")
)))</f>
        <v>B-386</v>
      </c>
      <c r="I626" s="8" t="str">
        <f t="shared" ca="1" si="48"/>
        <v/>
      </c>
      <c r="J626">
        <f t="shared" ca="1" si="50"/>
        <v>96</v>
      </c>
      <c r="K626">
        <f t="shared" ca="1" si="51"/>
        <v>60.9375</v>
      </c>
      <c r="L626" s="14">
        <f t="shared" ca="1" si="47"/>
        <v>1</v>
      </c>
      <c r="M626" s="14">
        <f t="shared" ca="1" si="49"/>
        <v>5.375</v>
      </c>
    </row>
    <row r="627" spans="2:13" hidden="1">
      <c r="B627" s="14" t="s">
        <v>21</v>
      </c>
      <c r="C627" s="14">
        <v>1</v>
      </c>
      <c r="D627" s="14">
        <v>0</v>
      </c>
      <c r="E627" s="14">
        <v>1</v>
      </c>
      <c r="F627" s="14">
        <v>0</v>
      </c>
      <c r="G627" s="14"/>
      <c r="H627" s="8" t="str">
        <f ca="1">IF(RAND()&lt;0.25,
    "",
    IF($E627=0,
       CHOOSE(MATCH(RAND(),{0,0.2,0.4,0.6,0.7,0.8,0.85,0.9,0.95,1}),"B-354","B-386","B-4354","B-347","B-357","B-3471","B-34715","B-3571","B-35715"),
       IF($G627=24,
          "B-386",
          IF($G627=12,
             CHOOSE(MATCH(RAND(),{0,0.32,0.49,0.66,0.74,0.82,0.9,1}),"B-386","B-347","B-357","B-3471","B-34715","B-3571","B-35715"),
             "")
)))</f>
        <v/>
      </c>
      <c r="I627" s="8" t="str">
        <f t="shared" ca="1" si="48"/>
        <v/>
      </c>
      <c r="J627">
        <f t="shared" ca="1" si="50"/>
        <v>96</v>
      </c>
      <c r="K627">
        <f t="shared" ca="1" si="51"/>
        <v>27.5625</v>
      </c>
      <c r="L627" s="14">
        <f t="shared" ca="1" si="47"/>
        <v>9</v>
      </c>
      <c r="M627" s="14">
        <f t="shared" ca="1" si="49"/>
        <v>1</v>
      </c>
    </row>
    <row r="628" spans="2:13" hidden="1">
      <c r="B628" s="14" t="s">
        <v>21</v>
      </c>
      <c r="C628" s="14">
        <v>1</v>
      </c>
      <c r="D628" s="14">
        <v>0</v>
      </c>
      <c r="E628" s="14">
        <v>1</v>
      </c>
      <c r="F628" s="14">
        <v>1</v>
      </c>
      <c r="G628" s="14"/>
      <c r="H628" s="8" t="str">
        <f ca="1">IF(RAND()&lt;0.25,
    "",
    IF($E628=0,
       CHOOSE(MATCH(RAND(),{0,0.2,0.4,0.6,0.7,0.8,0.85,0.9,0.95,1}),"B-354","B-386","B-4354","B-347","B-357","B-3471","B-34715","B-3571","B-35715"),
       IF($G628=24,
          "B-386",
          IF($G628=12,
             CHOOSE(MATCH(RAND(),{0,0.32,0.49,0.66,0.74,0.82,0.9,1}),"B-386","B-347","B-357","B-3471","B-34715","B-3571","B-35715"),
             "")
)))</f>
        <v/>
      </c>
      <c r="I628" s="8" t="str">
        <f t="shared" ca="1" si="48"/>
        <v/>
      </c>
      <c r="J628">
        <f t="shared" ca="1" si="50"/>
        <v>83.5625</v>
      </c>
      <c r="K628">
        <f t="shared" ca="1" si="51"/>
        <v>69.8125</v>
      </c>
      <c r="L628" s="14">
        <f t="shared" ca="1" si="47"/>
        <v>4.5</v>
      </c>
      <c r="M628" s="14">
        <f t="shared" ca="1" si="49"/>
        <v>2.4375</v>
      </c>
    </row>
    <row r="629" spans="2:13" hidden="1">
      <c r="B629" s="14" t="s">
        <v>21</v>
      </c>
      <c r="C629" s="14">
        <v>1</v>
      </c>
      <c r="D629" s="14">
        <v>1</v>
      </c>
      <c r="E629" s="14">
        <v>0</v>
      </c>
      <c r="F629" s="14"/>
      <c r="G629" s="14"/>
      <c r="H629" s="8" t="str">
        <f ca="1">IF(RAND()&lt;0.25,
    "",
    IF($E629=0,
       CHOOSE(MATCH(RAND(),{0,0.2,0.4,0.6,0.7,0.8,0.85,0.9,0.95,1}),"B-354","B-386","B-4354","B-347","B-357","B-3471","B-34715","B-3571","B-35715"),
       IF($G629=24,
          "B-386",
          IF($G629=12,
             CHOOSE(MATCH(RAND(),{0,0.32,0.49,0.66,0.74,0.82,0.9,1}),"B-386","B-347","B-357","B-3471","B-34715","B-3571","B-35715"),
             "")
)))</f>
        <v>B-4354</v>
      </c>
      <c r="I629" s="8" t="str">
        <f t="shared" ca="1" si="48"/>
        <v/>
      </c>
      <c r="J629">
        <f t="shared" ca="1" si="50"/>
        <v>83.5625</v>
      </c>
      <c r="K629">
        <f t="shared" ca="1" si="51"/>
        <v>40.125</v>
      </c>
      <c r="L629" s="14">
        <f t="shared" ca="1" si="47"/>
        <v>9.5</v>
      </c>
      <c r="M629" s="14">
        <f t="shared" ca="1" si="49"/>
        <v>3.3125</v>
      </c>
    </row>
    <row r="630" spans="2:13">
      <c r="B630" s="14" t="s">
        <v>21</v>
      </c>
      <c r="C630" s="14">
        <v>1</v>
      </c>
      <c r="D630" s="14">
        <v>1</v>
      </c>
      <c r="E630" s="14">
        <v>1</v>
      </c>
      <c r="F630" s="14">
        <v>0</v>
      </c>
      <c r="G630" s="14">
        <v>12</v>
      </c>
      <c r="H630" s="8" t="str">
        <f ca="1">IF(RAND()&lt;0.25,
    "",
    IF($E630=0,
       CHOOSE(MATCH(RAND(),{0,0.2,0.4,0.6,0.7,0.8,0.85,0.9,0.95,1}),"B-354","B-386","B-4354","B-347","B-357","B-3471","B-34715","B-3571","B-35715"),
       IF($G630=24,
          "B-386",
          IF($G630=12,
             CHOOSE(MATCH(RAND(),{0,0.32,0.49,0.66,0.74,0.82,0.9,1}),"B-386","B-347","B-357","B-3471","B-34715","B-3571","B-35715"),
             "")
)))</f>
        <v>B-34715</v>
      </c>
      <c r="I630" s="8" t="str">
        <f t="shared" ca="1" si="48"/>
        <v/>
      </c>
      <c r="J630">
        <f t="shared" ca="1" si="50"/>
        <v>87.5</v>
      </c>
      <c r="K630">
        <f t="shared" ca="1" si="51"/>
        <v>42.25</v>
      </c>
      <c r="L630" s="14">
        <f t="shared" ca="1" si="47"/>
        <v>2.125</v>
      </c>
      <c r="M630" s="14">
        <f t="shared" ca="1" si="49"/>
        <v>5.5</v>
      </c>
    </row>
    <row r="631" spans="2:13" hidden="1">
      <c r="B631" s="14" t="s">
        <v>21</v>
      </c>
      <c r="C631" s="14">
        <v>1</v>
      </c>
      <c r="D631" s="14">
        <v>1</v>
      </c>
      <c r="E631" s="14">
        <v>1</v>
      </c>
      <c r="F631" s="14">
        <v>0</v>
      </c>
      <c r="G631" s="14">
        <v>24</v>
      </c>
      <c r="H631" s="8" t="str">
        <f ca="1">IF(RAND()&lt;0.25,
    "",
    IF($E631=0,
       CHOOSE(MATCH(RAND(),{0,0.2,0.4,0.6,0.7,0.8,0.85,0.9,0.95,1}),"B-354","B-386","B-4354","B-347","B-357","B-3471","B-34715","B-3571","B-35715"),
       IF($G631=24,
          "B-386",
          IF($G631=12,
             CHOOSE(MATCH(RAND(),{0,0.32,0.49,0.66,0.74,0.82,0.9,1}),"B-386","B-347","B-357","B-3471","B-34715","B-3571","B-35715"),
             "")
)))</f>
        <v>B-386</v>
      </c>
      <c r="I631" s="8" t="str">
        <f t="shared" ca="1" si="48"/>
        <v/>
      </c>
      <c r="J631">
        <f t="shared" ca="1" si="50"/>
        <v>104.5625</v>
      </c>
      <c r="K631">
        <f t="shared" ca="1" si="51"/>
        <v>41.5</v>
      </c>
      <c r="L631" s="14">
        <f t="shared" ca="1" si="47"/>
        <v>1</v>
      </c>
      <c r="M631" s="14">
        <f t="shared" ca="1" si="49"/>
        <v>1.4375</v>
      </c>
    </row>
    <row r="632" spans="2:13" hidden="1">
      <c r="B632" s="14" t="s">
        <v>21</v>
      </c>
      <c r="C632" s="14">
        <v>1</v>
      </c>
      <c r="D632" s="14">
        <v>1</v>
      </c>
      <c r="E632" s="14">
        <v>1</v>
      </c>
      <c r="F632" s="14">
        <v>0</v>
      </c>
      <c r="G632" s="14"/>
      <c r="H632" s="8" t="str">
        <f ca="1">IF(RAND()&lt;0.25,
    "",
    IF($E632=0,
       CHOOSE(MATCH(RAND(),{0,0.2,0.4,0.6,0.7,0.8,0.85,0.9,0.95,1}),"B-354","B-386","B-4354","B-347","B-357","B-3471","B-34715","B-3571","B-35715"),
       IF($G632=24,
          "B-386",
          IF($G632=12,
             CHOOSE(MATCH(RAND(),{0,0.32,0.49,0.66,0.74,0.82,0.9,1}),"B-386","B-347","B-357","B-3471","B-34715","B-3571","B-35715"),
             "")
)))</f>
        <v/>
      </c>
      <c r="I632" s="8" t="str">
        <f t="shared" ca="1" si="48"/>
        <v/>
      </c>
      <c r="J632">
        <f t="shared" ca="1" si="50"/>
        <v>98.9375</v>
      </c>
      <c r="K632">
        <f t="shared" ca="1" si="51"/>
        <v>12</v>
      </c>
      <c r="L632" s="14">
        <f t="shared" ca="1" si="47"/>
        <v>10.125</v>
      </c>
      <c r="M632" s="14">
        <f t="shared" ca="1" si="49"/>
        <v>8.3125</v>
      </c>
    </row>
    <row r="633" spans="2:13" ht="15" hidden="1" thickBot="1">
      <c r="B633" s="50" t="s">
        <v>21</v>
      </c>
      <c r="C633" s="50">
        <v>1</v>
      </c>
      <c r="D633" s="50">
        <v>1</v>
      </c>
      <c r="E633" s="50">
        <v>1</v>
      </c>
      <c r="F633" s="50">
        <v>1</v>
      </c>
      <c r="G633" s="50"/>
      <c r="H633" s="51" t="str">
        <f ca="1">IF(RAND()&lt;0.25,
    "",
    IF($E633=0,
       CHOOSE(MATCH(RAND(),{0,0.2,0.4,0.6,0.7,0.8,0.85,0.9,0.95,1}),"B-354","B-386","B-4354","B-347","B-357","B-3471","B-34715","B-3571","B-35715"),
       IF($G633=24,
          "B-386",
          IF($G633=12,
             CHOOSE(MATCH(RAND(),{0,0.32,0.49,0.66,0.74,0.82,0.9,1}),"B-386","B-347","B-357","B-3471","B-34715","B-3571","B-35715"),
             "")
)))</f>
        <v/>
      </c>
      <c r="I633" s="51" t="str">
        <f t="shared" ca="1" si="48"/>
        <v/>
      </c>
      <c r="J633" s="49">
        <f t="shared" ca="1" si="50"/>
        <v>42.625</v>
      </c>
      <c r="K633" s="49">
        <f t="shared" ca="1" si="51"/>
        <v>23.6875</v>
      </c>
      <c r="L633" s="50">
        <f t="shared" ca="1" si="47"/>
        <v>5.1875</v>
      </c>
      <c r="M633" s="14">
        <f t="shared" ca="1" si="49"/>
        <v>5.4375</v>
      </c>
    </row>
    <row r="634" spans="2:13" hidden="1">
      <c r="B634" s="14" t="s">
        <v>156</v>
      </c>
      <c r="C634" s="19">
        <v>0</v>
      </c>
      <c r="D634" s="19"/>
      <c r="E634" s="19">
        <v>0</v>
      </c>
      <c r="F634" s="19"/>
      <c r="G634" s="14"/>
      <c r="H634" s="8" t="str">
        <f ca="1">IF(RAND()&lt;0.25,
    "",
    IF($E634=0,
       CHOOSE(MATCH(RAND(),{0,0.2,0.4,0.6,0.7,0.8,0.85,0.9,0.95,1}),"B-354","B-386","B-4354","B-347","B-357","B-3471","B-34715","B-3571","B-35715"),
       IF($G634=24,
          "B-386",
          IF($G634=12,
             CHOOSE(MATCH(RAND(),{0,0.32,0.49,0.66,0.74,0.82,0.9,1}),"B-386","B-347","B-357","B-3471","B-34715","B-3571","B-35715"),
             "")
)))</f>
        <v>B-3471</v>
      </c>
      <c r="I634" s="8" t="str">
        <f t="shared" ca="1" si="48"/>
        <v/>
      </c>
      <c r="J634">
        <f t="shared" ca="1" si="50"/>
        <v>31.125</v>
      </c>
      <c r="K634">
        <f t="shared" ca="1" si="51"/>
        <v>73.0625</v>
      </c>
      <c r="L634" s="14">
        <f t="shared" ca="1" si="47"/>
        <v>12</v>
      </c>
      <c r="M634" s="14" t="str">
        <f t="shared" ca="1" si="49"/>
        <v/>
      </c>
    </row>
    <row r="635" spans="2:13">
      <c r="B635" s="14" t="s">
        <v>156</v>
      </c>
      <c r="C635" s="14">
        <v>0</v>
      </c>
      <c r="D635" s="14"/>
      <c r="E635" s="14">
        <v>1</v>
      </c>
      <c r="F635" s="14">
        <v>0</v>
      </c>
      <c r="G635" s="14">
        <v>12</v>
      </c>
      <c r="H635" s="8" t="str">
        <f ca="1">IF(RAND()&lt;0.25,
    "",
    IF($E635=0,
       CHOOSE(MATCH(RAND(),{0,0.2,0.4,0.6,0.7,0.8,0.85,0.9,0.95,1}),"B-354","B-386","B-4354","B-347","B-357","B-3471","B-34715","B-3571","B-35715"),
       IF($G635=24,
          "B-386",
          IF($G635=12,
             CHOOSE(MATCH(RAND(),{0,0.32,0.49,0.66,0.74,0.82,0.9,1}),"B-386","B-347","B-357","B-3471","B-34715","B-3571","B-35715"),
             "")
)))</f>
        <v/>
      </c>
      <c r="I635" s="8" t="str">
        <f t="shared" ca="1" si="48"/>
        <v/>
      </c>
      <c r="J635">
        <f t="shared" ca="1" si="50"/>
        <v>17.25</v>
      </c>
      <c r="K635">
        <f t="shared" ca="1" si="51"/>
        <v>57.125</v>
      </c>
      <c r="L635" s="14">
        <f t="shared" ca="1" si="47"/>
        <v>12</v>
      </c>
      <c r="M635" s="14">
        <f t="shared" ca="1" si="49"/>
        <v>7.25</v>
      </c>
    </row>
    <row r="636" spans="2:13">
      <c r="B636" s="14" t="s">
        <v>156</v>
      </c>
      <c r="C636" s="14">
        <v>0</v>
      </c>
      <c r="D636" s="14"/>
      <c r="E636" s="14">
        <v>1</v>
      </c>
      <c r="F636" s="14">
        <v>0</v>
      </c>
      <c r="G636" s="14">
        <v>24</v>
      </c>
      <c r="H636" s="8" t="str">
        <f ca="1">IF(RAND()&lt;0.25,
    "",
    IF($E636=0,
       CHOOSE(MATCH(RAND(),{0,0.2,0.4,0.6,0.7,0.8,0.85,0.9,0.95,1}),"B-354","B-386","B-4354","B-347","B-357","B-3471","B-34715","B-3571","B-35715"),
       IF($G636=24,
          "B-386",
          IF($G636=12,
             CHOOSE(MATCH(RAND(),{0,0.32,0.49,0.66,0.74,0.82,0.9,1}),"B-386","B-347","B-357","B-3471","B-34715","B-3571","B-35715"),
             "")
)))</f>
        <v>B-386</v>
      </c>
      <c r="I636" s="8" t="str">
        <f t="shared" ca="1" si="48"/>
        <v/>
      </c>
      <c r="J636">
        <f t="shared" ca="1" si="50"/>
        <v>5.3125</v>
      </c>
      <c r="K636">
        <f t="shared" ca="1" si="51"/>
        <v>44.1875</v>
      </c>
      <c r="L636" s="14">
        <f t="shared" ca="1" si="47"/>
        <v>12</v>
      </c>
      <c r="M636" s="14">
        <f t="shared" ca="1" si="49"/>
        <v>4.4375</v>
      </c>
    </row>
    <row r="637" spans="2:13" hidden="1">
      <c r="B637" s="14" t="s">
        <v>156</v>
      </c>
      <c r="C637" s="14">
        <v>0</v>
      </c>
      <c r="D637" s="14"/>
      <c r="E637" s="14">
        <v>1</v>
      </c>
      <c r="F637" s="14">
        <v>0</v>
      </c>
      <c r="G637" s="14"/>
      <c r="H637" s="8" t="str">
        <f ca="1">IF(RAND()&lt;0.25,
    "",
    IF($E637=0,
       CHOOSE(MATCH(RAND(),{0,0.2,0.4,0.6,0.7,0.8,0.85,0.9,0.95,1}),"B-354","B-386","B-4354","B-347","B-357","B-3471","B-34715","B-3571","B-35715"),
       IF($G637=24,
          "B-386",
          IF($G637=12,
             CHOOSE(MATCH(RAND(),{0,0.32,0.49,0.66,0.74,0.82,0.9,1}),"B-386","B-347","B-357","B-3471","B-34715","B-3571","B-35715"),
             "")
)))</f>
        <v/>
      </c>
      <c r="I637" s="8" t="str">
        <f t="shared" ca="1" si="48"/>
        <v/>
      </c>
      <c r="J637">
        <f t="shared" ca="1" si="50"/>
        <v>43.0625</v>
      </c>
      <c r="K637">
        <f t="shared" ca="1" si="51"/>
        <v>77.4375</v>
      </c>
      <c r="L637" s="14">
        <f t="shared" ca="1" si="47"/>
        <v>4.125</v>
      </c>
      <c r="M637" s="14">
        <f t="shared" ca="1" si="49"/>
        <v>7.875</v>
      </c>
    </row>
    <row r="638" spans="2:13" hidden="1">
      <c r="B638" s="14" t="s">
        <v>156</v>
      </c>
      <c r="C638" s="14">
        <v>0</v>
      </c>
      <c r="D638" s="14"/>
      <c r="E638" s="14">
        <v>1</v>
      </c>
      <c r="F638" s="14">
        <v>1</v>
      </c>
      <c r="G638" s="14"/>
      <c r="H638" s="8" t="str">
        <f ca="1">IF(RAND()&lt;0.25,
    "",
    IF($E638=0,
       CHOOSE(MATCH(RAND(),{0,0.2,0.4,0.6,0.7,0.8,0.85,0.9,0.95,1}),"B-354","B-386","B-4354","B-347","B-357","B-3471","B-34715","B-3571","B-35715"),
       IF($G638=24,
          "B-386",
          IF($G638=12,
             CHOOSE(MATCH(RAND(),{0,0.32,0.49,0.66,0.74,0.82,0.9,1}),"B-386","B-347","B-357","B-3471","B-34715","B-3571","B-35715"),
             "")
)))</f>
        <v/>
      </c>
      <c r="I638" s="8" t="str">
        <f t="shared" ca="1" si="48"/>
        <v/>
      </c>
      <c r="J638">
        <f t="shared" ca="1" si="50"/>
        <v>26.5</v>
      </c>
      <c r="K638">
        <f t="shared" ca="1" si="51"/>
        <v>62.75</v>
      </c>
      <c r="L638" s="14">
        <f t="shared" ca="1" si="47"/>
        <v>12</v>
      </c>
      <c r="M638" s="14" t="str">
        <f t="shared" ca="1" si="49"/>
        <v/>
      </c>
    </row>
    <row r="639" spans="2:13" hidden="1">
      <c r="B639" s="14" t="s">
        <v>156</v>
      </c>
      <c r="C639" s="14">
        <v>1</v>
      </c>
      <c r="D639" s="14">
        <v>0</v>
      </c>
      <c r="E639" s="14">
        <v>0</v>
      </c>
      <c r="F639" s="14"/>
      <c r="G639" s="14"/>
      <c r="H639" s="8" t="str">
        <f ca="1">IF(RAND()&lt;0.25,
    "",
    IF($E639=0,
       CHOOSE(MATCH(RAND(),{0,0.2,0.4,0.6,0.7,0.8,0.85,0.9,0.95,1}),"B-354","B-386","B-4354","B-347","B-357","B-3471","B-34715","B-3571","B-35715"),
       IF($G639=24,
          "B-386",
          IF($G639=12,
             CHOOSE(MATCH(RAND(),{0,0.32,0.49,0.66,0.74,0.82,0.9,1}),"B-386","B-347","B-357","B-3471","B-34715","B-3571","B-35715"),
             "")
)))</f>
        <v/>
      </c>
      <c r="I639" s="8" t="str">
        <f t="shared" ca="1" si="48"/>
        <v/>
      </c>
      <c r="J639">
        <f t="shared" ca="1" si="50"/>
        <v>14.0625</v>
      </c>
      <c r="K639">
        <f t="shared" ca="1" si="51"/>
        <v>37.6875</v>
      </c>
      <c r="L639" s="14">
        <f t="shared" ca="1" si="47"/>
        <v>1.5625</v>
      </c>
      <c r="M639" s="14">
        <f t="shared" ca="1" si="49"/>
        <v>6.875</v>
      </c>
    </row>
    <row r="640" spans="2:13">
      <c r="B640" s="14" t="s">
        <v>156</v>
      </c>
      <c r="C640" s="14">
        <v>1</v>
      </c>
      <c r="D640" s="14">
        <v>0</v>
      </c>
      <c r="E640" s="14">
        <v>1</v>
      </c>
      <c r="F640" s="14">
        <v>0</v>
      </c>
      <c r="G640" s="14">
        <v>12</v>
      </c>
      <c r="H640" s="8" t="str">
        <f ca="1">IF(RAND()&lt;0.25,
    "",
    IF($E640=0,
       CHOOSE(MATCH(RAND(),{0,0.2,0.4,0.6,0.7,0.8,0.85,0.9,0.95,1}),"B-354","B-386","B-4354","B-347","B-357","B-3471","B-34715","B-3571","B-35715"),
       IF($G640=24,
          "B-386",
          IF($G640=12,
             CHOOSE(MATCH(RAND(),{0,0.32,0.49,0.66,0.74,0.82,0.9,1}),"B-386","B-347","B-357","B-3471","B-34715","B-3571","B-35715"),
             "")
)))</f>
        <v/>
      </c>
      <c r="I640" s="8" t="str">
        <f t="shared" ca="1" si="48"/>
        <v/>
      </c>
      <c r="J640">
        <f t="shared" ca="1" si="50"/>
        <v>37.1875</v>
      </c>
      <c r="K640">
        <f t="shared" ca="1" si="51"/>
        <v>77.8125</v>
      </c>
      <c r="L640" s="14">
        <f t="shared" ca="1" si="47"/>
        <v>10.5</v>
      </c>
      <c r="M640" s="14">
        <f t="shared" ca="1" si="49"/>
        <v>2.625</v>
      </c>
    </row>
    <row r="641" spans="2:13" hidden="1">
      <c r="B641" s="14" t="s">
        <v>156</v>
      </c>
      <c r="C641" s="14">
        <v>1</v>
      </c>
      <c r="D641" s="14">
        <v>0</v>
      </c>
      <c r="E641" s="14">
        <v>1</v>
      </c>
      <c r="F641" s="14">
        <v>0</v>
      </c>
      <c r="G641" s="14">
        <v>24</v>
      </c>
      <c r="H641" s="8" t="str">
        <f ca="1">IF(RAND()&lt;0.25,
    "",
    IF($E641=0,
       CHOOSE(MATCH(RAND(),{0,0.2,0.4,0.6,0.7,0.8,0.85,0.9,0.95,1}),"B-354","B-386","B-4354","B-347","B-357","B-3471","B-34715","B-3571","B-35715"),
       IF($G641=24,
          "B-386",
          IF($G641=12,
             CHOOSE(MATCH(RAND(),{0,0.32,0.49,0.66,0.74,0.82,0.9,1}),"B-386","B-347","B-357","B-3471","B-34715","B-3571","B-35715"),
             "")
)))</f>
        <v>B-386</v>
      </c>
      <c r="I641" s="8" t="str">
        <f t="shared" ca="1" si="48"/>
        <v/>
      </c>
      <c r="J641">
        <f t="shared" ca="1" si="50"/>
        <v>13.875</v>
      </c>
      <c r="K641">
        <f t="shared" ca="1" si="51"/>
        <v>70.5</v>
      </c>
      <c r="L641" s="14">
        <f t="shared" ca="1" si="47"/>
        <v>9</v>
      </c>
      <c r="M641" s="14">
        <f t="shared" ca="1" si="49"/>
        <v>1</v>
      </c>
    </row>
    <row r="642" spans="2:13" hidden="1">
      <c r="B642" s="14" t="s">
        <v>156</v>
      </c>
      <c r="C642" s="14">
        <v>1</v>
      </c>
      <c r="D642" s="14">
        <v>0</v>
      </c>
      <c r="E642" s="14">
        <v>1</v>
      </c>
      <c r="F642" s="14">
        <v>0</v>
      </c>
      <c r="G642" s="14"/>
      <c r="H642" s="8" t="str">
        <f ca="1">IF(RAND()&lt;0.25,
    "",
    IF($E642=0,
       CHOOSE(MATCH(RAND(),{0,0.2,0.4,0.6,0.7,0.8,0.85,0.9,0.95,1}),"B-354","B-386","B-4354","B-347","B-357","B-3471","B-34715","B-3571","B-35715"),
       IF($G642=24,
          "B-386",
          IF($G642=12,
             CHOOSE(MATCH(RAND(),{0,0.32,0.49,0.66,0.74,0.82,0.9,1}),"B-386","B-347","B-357","B-3471","B-34715","B-3571","B-35715"),
             "")
)))</f>
        <v/>
      </c>
      <c r="I642" s="8" t="str">
        <f t="shared" ca="1" si="48"/>
        <v/>
      </c>
      <c r="J642">
        <f t="shared" ca="1" si="50"/>
        <v>41.375</v>
      </c>
      <c r="K642">
        <f t="shared" ca="1" si="51"/>
        <v>57.5625</v>
      </c>
      <c r="L642" s="14">
        <f t="shared" ca="1" si="47"/>
        <v>6.1875</v>
      </c>
      <c r="M642" s="14">
        <f t="shared" ca="1" si="49"/>
        <v>4.3125</v>
      </c>
    </row>
    <row r="643" spans="2:13" hidden="1">
      <c r="B643" s="14" t="s">
        <v>156</v>
      </c>
      <c r="C643" s="14">
        <v>1</v>
      </c>
      <c r="D643" s="14">
        <v>0</v>
      </c>
      <c r="E643" s="14">
        <v>1</v>
      </c>
      <c r="F643" s="14">
        <v>1</v>
      </c>
      <c r="G643" s="14"/>
      <c r="H643" s="8" t="str">
        <f ca="1">IF(RAND()&lt;0.25,
    "",
    IF($E643=0,
       CHOOSE(MATCH(RAND(),{0,0.2,0.4,0.6,0.7,0.8,0.85,0.9,0.95,1}),"B-354","B-386","B-4354","B-347","B-357","B-3471","B-34715","B-3571","B-35715"),
       IF($G643=24,
          "B-386",
          IF($G643=12,
             CHOOSE(MATCH(RAND(),{0,0.32,0.49,0.66,0.74,0.82,0.9,1}),"B-386","B-347","B-357","B-3471","B-34715","B-3571","B-35715"),
             "")
)))</f>
        <v/>
      </c>
      <c r="I643" s="8" t="str">
        <f t="shared" ca="1" si="48"/>
        <v/>
      </c>
      <c r="J643">
        <f t="shared" ca="1" si="50"/>
        <v>33.9375</v>
      </c>
      <c r="K643">
        <f t="shared" ca="1" si="51"/>
        <v>45.1875</v>
      </c>
      <c r="L643" s="14">
        <f t="shared" ca="1" si="47"/>
        <v>12</v>
      </c>
      <c r="M643" s="14" t="str">
        <f t="shared" ca="1" si="49"/>
        <v/>
      </c>
    </row>
    <row r="644" spans="2:13" hidden="1">
      <c r="B644" s="14" t="s">
        <v>156</v>
      </c>
      <c r="C644" s="14">
        <v>1</v>
      </c>
      <c r="D644" s="14">
        <v>1</v>
      </c>
      <c r="E644" s="14">
        <v>0</v>
      </c>
      <c r="F644" s="14"/>
      <c r="G644" s="14"/>
      <c r="H644" s="8" t="str">
        <f ca="1">IF(RAND()&lt;0.25,
    "",
    IF($E644=0,
       CHOOSE(MATCH(RAND(),{0,0.2,0.4,0.6,0.7,0.8,0.85,0.9,0.95,1}),"B-354","B-386","B-4354","B-347","B-357","B-3471","B-34715","B-3571","B-35715"),
       IF($G644=24,
          "B-386",
          IF($G644=12,
             CHOOSE(MATCH(RAND(),{0,0.32,0.49,0.66,0.74,0.82,0.9,1}),"B-386","B-347","B-357","B-3471","B-34715","B-3571","B-35715"),
             "")
)))</f>
        <v>B-347</v>
      </c>
      <c r="I644" s="8" t="str">
        <f t="shared" ca="1" si="48"/>
        <v/>
      </c>
      <c r="J644">
        <f t="shared" ca="1" si="50"/>
        <v>7.625</v>
      </c>
      <c r="K644">
        <f t="shared" ca="1" si="51"/>
        <v>45.4375</v>
      </c>
      <c r="L644" s="14">
        <f t="shared" ref="L644:L707" ca="1" si="52" xml:space="preserve">    _xlfn.LET(
      _xlpm.k, RANDBETWEEN(1,6),
      _xlpm.step, 1/16,
      IF(
        _xlpm.k=1, 1,
        IF(
          _xlpm.k=2, 4.5,
          IF(
            _xlpm.k=3, 9,
            IF(
              _xlpm.k=4, 12,
              IF(
                _xlpm.k=5,
                  1 + _xlpm.step*RANDBETWEEN(1, (4.5-1)/_xlpm.step - 1),
                  4.5 + _xlpm.step*RANDBETWEEN(1, (12-4.5)/_xlpm.step - 1)
              )
            )
          )
        )
      )
    )</f>
        <v>7.5</v>
      </c>
      <c r="M644" s="14">
        <f t="shared" ca="1" si="49"/>
        <v>4.625</v>
      </c>
    </row>
    <row r="645" spans="2:13">
      <c r="B645" s="14" t="s">
        <v>156</v>
      </c>
      <c r="C645" s="14">
        <v>1</v>
      </c>
      <c r="D645" s="14">
        <v>1</v>
      </c>
      <c r="E645" s="14">
        <v>1</v>
      </c>
      <c r="F645" s="14">
        <v>0</v>
      </c>
      <c r="G645" s="14">
        <v>12</v>
      </c>
      <c r="H645" s="8" t="str">
        <f ca="1">IF(RAND()&lt;0.25,
    "",
    IF($E645=0,
       CHOOSE(MATCH(RAND(),{0,0.2,0.4,0.6,0.7,0.8,0.85,0.9,0.95,1}),"B-354","B-386","B-4354","B-347","B-357","B-3471","B-34715","B-3571","B-35715"),
       IF($G645=24,
          "B-386",
          IF($G645=12,
             CHOOSE(MATCH(RAND(),{0,0.32,0.49,0.66,0.74,0.82,0.9,1}),"B-386","B-347","B-357","B-3471","B-34715","B-3571","B-35715"),
             "")
)))</f>
        <v/>
      </c>
      <c r="I645" s="8" t="str">
        <f t="shared" ref="I645:I708" ca="1" si="53">IF($H645="",
    "",
    IF(AND($E645=0,OR($H645="B-354",$H645="B-386",$H645="B-4354")),
       IF(RAND()&lt;0.5,
          "",
          IF($H645="B-354",
             "B-386",
             IF($H645="B-4354",
                "B-386",
                IF($H645="B-386",
                   IF(RAND()&lt;0.5,
                      "B-354",
                      "B-4354"),
                   "")
                 ))),
       ""))</f>
        <v/>
      </c>
      <c r="J645">
        <f t="shared" ca="1" si="50"/>
        <v>19.1875</v>
      </c>
      <c r="K645">
        <f t="shared" ca="1" si="51"/>
        <v>66.75</v>
      </c>
      <c r="L645" s="14">
        <f t="shared" ca="1" si="52"/>
        <v>1</v>
      </c>
      <c r="M645" s="14" t="str">
        <f t="shared" ref="M645:M708" ca="1" si="54">_xlfn.LET(
  _xlpm.r, RAND(),
  IF(
     _xlpm.r &lt; 0.25,
     1,
     IF(
        _xlpm.r &lt; 0.5,
        1 + RANDBETWEEN(0,16*4)/16,
        IF(
            _xlpm.r &lt; 0.75,
            4.5 + RANDBETWEEN(0,16*4)/16,
            ""
           )
        )
     )
)</f>
        <v/>
      </c>
    </row>
    <row r="646" spans="2:13">
      <c r="B646" s="14" t="s">
        <v>156</v>
      </c>
      <c r="C646" s="14">
        <v>1</v>
      </c>
      <c r="D646" s="14">
        <v>1</v>
      </c>
      <c r="E646" s="14">
        <v>1</v>
      </c>
      <c r="F646" s="14">
        <v>0</v>
      </c>
      <c r="G646" s="14">
        <v>24</v>
      </c>
      <c r="H646" s="8" t="str">
        <f ca="1">IF(RAND()&lt;0.25,
    "",
    IF($E646=0,
       CHOOSE(MATCH(RAND(),{0,0.2,0.4,0.6,0.7,0.8,0.85,0.9,0.95,1}),"B-354","B-386","B-4354","B-347","B-357","B-3471","B-34715","B-3571","B-35715"),
       IF($G646=24,
          "B-386",
          IF($G646=12,
             CHOOSE(MATCH(RAND(),{0,0.32,0.49,0.66,0.74,0.82,0.9,1}),"B-386","B-347","B-357","B-3471","B-34715","B-3571","B-35715"),
             "")
)))</f>
        <v>B-386</v>
      </c>
      <c r="I646" s="8" t="str">
        <f t="shared" ca="1" si="53"/>
        <v/>
      </c>
      <c r="J646">
        <f t="shared" ca="1" si="50"/>
        <v>36.4375</v>
      </c>
      <c r="K646">
        <f t="shared" ca="1" si="51"/>
        <v>54.5625</v>
      </c>
      <c r="L646" s="14">
        <f t="shared" ca="1" si="52"/>
        <v>12</v>
      </c>
      <c r="M646" s="14">
        <f t="shared" ca="1" si="54"/>
        <v>4.125</v>
      </c>
    </row>
    <row r="647" spans="2:13" hidden="1">
      <c r="B647" s="14" t="s">
        <v>156</v>
      </c>
      <c r="C647" s="14">
        <v>1</v>
      </c>
      <c r="D647" s="14">
        <v>1</v>
      </c>
      <c r="E647" s="14">
        <v>1</v>
      </c>
      <c r="F647" s="14">
        <v>0</v>
      </c>
      <c r="G647" s="14"/>
      <c r="H647" s="8" t="str">
        <f ca="1">IF(RAND()&lt;0.25,
    "",
    IF($E647=0,
       CHOOSE(MATCH(RAND(),{0,0.2,0.4,0.6,0.7,0.8,0.85,0.9,0.95,1}),"B-354","B-386","B-4354","B-347","B-357","B-3471","B-34715","B-3571","B-35715"),
       IF($G647=24,
          "B-386",
          IF($G647=12,
             CHOOSE(MATCH(RAND(),{0,0.32,0.49,0.66,0.74,0.82,0.9,1}),"B-386","B-347","B-357","B-3471","B-34715","B-3571","B-35715"),
             "")
)))</f>
        <v/>
      </c>
      <c r="I647" s="8" t="str">
        <f t="shared" ca="1" si="53"/>
        <v/>
      </c>
      <c r="J647">
        <f t="shared" ca="1" si="50"/>
        <v>9.6875</v>
      </c>
      <c r="K647">
        <f t="shared" ca="1" si="51"/>
        <v>31.4375</v>
      </c>
      <c r="L647" s="14">
        <f t="shared" ca="1" si="52"/>
        <v>2.5625</v>
      </c>
      <c r="M647" s="14">
        <f t="shared" ca="1" si="54"/>
        <v>3.5625</v>
      </c>
    </row>
    <row r="648" spans="2:13" hidden="1">
      <c r="B648" s="14" t="s">
        <v>156</v>
      </c>
      <c r="C648" s="14">
        <v>1</v>
      </c>
      <c r="D648" s="14">
        <v>1</v>
      </c>
      <c r="E648" s="14">
        <v>1</v>
      </c>
      <c r="F648" s="14">
        <v>1</v>
      </c>
      <c r="G648" s="14"/>
      <c r="H648" s="8" t="str">
        <f ca="1">IF(RAND()&lt;0.25,
    "",
    IF($E648=0,
       CHOOSE(MATCH(RAND(),{0,0.2,0.4,0.6,0.7,0.8,0.85,0.9,0.95,1}),"B-354","B-386","B-4354","B-347","B-357","B-3471","B-34715","B-3571","B-35715"),
       IF($G648=24,
          "B-386",
          IF($G648=12,
             CHOOSE(MATCH(RAND(),{0,0.32,0.49,0.66,0.74,0.82,0.9,1}),"B-386","B-347","B-357","B-3471","B-34715","B-3571","B-35715"),
             "")
)))</f>
        <v/>
      </c>
      <c r="I648" s="8" t="str">
        <f t="shared" ca="1" si="53"/>
        <v/>
      </c>
      <c r="J648">
        <f t="shared" ca="1" si="50"/>
        <v>29.6875</v>
      </c>
      <c r="K648">
        <f t="shared" ca="1" si="51"/>
        <v>22.5625</v>
      </c>
      <c r="L648" s="14">
        <f t="shared" ca="1" si="52"/>
        <v>4.25</v>
      </c>
      <c r="M648" s="14">
        <f t="shared" ca="1" si="54"/>
        <v>2.0625</v>
      </c>
    </row>
    <row r="649" spans="2:13">
      <c r="B649" s="14" t="s">
        <v>157</v>
      </c>
      <c r="C649" s="14">
        <v>0</v>
      </c>
      <c r="D649" s="14"/>
      <c r="E649" s="14">
        <v>0</v>
      </c>
      <c r="F649" s="14"/>
      <c r="G649" s="14"/>
      <c r="H649" s="8" t="str">
        <f ca="1">IF(RAND()&lt;0.25,
    "",
    IF($E649=0,
       CHOOSE(MATCH(RAND(),{0,0.2,0.4,0.6,0.7,0.8,0.85,0.9,0.95,1}),"B-354","B-386","B-4354","B-347","B-357","B-3471","B-34715","B-3571","B-35715"),
       IF($G649=24,
          "B-386",
          IF($G649=12,
             CHOOSE(MATCH(RAND(),{0,0.32,0.49,0.66,0.74,0.82,0.9,1}),"B-386","B-347","B-357","B-3471","B-34715","B-3571","B-35715"),
             "")
)))</f>
        <v>B-4354</v>
      </c>
      <c r="I649" s="8" t="str">
        <f t="shared" ca="1" si="53"/>
        <v/>
      </c>
      <c r="J649">
        <f t="shared" ca="1" si="50"/>
        <v>60</v>
      </c>
      <c r="K649">
        <f t="shared" ca="1" si="51"/>
        <v>41.4375</v>
      </c>
      <c r="L649" s="14">
        <f t="shared" ca="1" si="52"/>
        <v>4.5</v>
      </c>
      <c r="M649" s="14">
        <f t="shared" ca="1" si="54"/>
        <v>1.0625</v>
      </c>
    </row>
    <row r="650" spans="2:13">
      <c r="B650" s="14" t="s">
        <v>157</v>
      </c>
      <c r="C650" s="14">
        <v>0</v>
      </c>
      <c r="D650" s="14"/>
      <c r="E650" s="14">
        <v>1</v>
      </c>
      <c r="F650" s="14">
        <v>0</v>
      </c>
      <c r="G650" s="14">
        <v>12</v>
      </c>
      <c r="H650" s="8" t="str">
        <f ca="1">IF(RAND()&lt;0.25,
    "",
    IF($E650=0,
       CHOOSE(MATCH(RAND(),{0,0.2,0.4,0.6,0.7,0.8,0.85,0.9,0.95,1}),"B-354","B-386","B-4354","B-347","B-357","B-3471","B-34715","B-3571","B-35715"),
       IF($G650=24,
          "B-386",
          IF($G650=12,
             CHOOSE(MATCH(RAND(),{0,0.32,0.49,0.66,0.74,0.82,0.9,1}),"B-386","B-347","B-357","B-3471","B-34715","B-3571","B-35715"),
             "")
)))</f>
        <v>B-357</v>
      </c>
      <c r="I650" s="8" t="str">
        <f t="shared" ca="1" si="53"/>
        <v/>
      </c>
      <c r="J650">
        <f t="shared" ca="1" si="50"/>
        <v>60</v>
      </c>
      <c r="K650">
        <f t="shared" ca="1" si="51"/>
        <v>56.3125</v>
      </c>
      <c r="L650" s="14">
        <f t="shared" ca="1" si="52"/>
        <v>9</v>
      </c>
      <c r="M650" s="14" t="str">
        <f t="shared" ca="1" si="54"/>
        <v/>
      </c>
    </row>
    <row r="651" spans="2:13">
      <c r="B651" s="14" t="s">
        <v>157</v>
      </c>
      <c r="C651" s="14">
        <v>0</v>
      </c>
      <c r="D651" s="14"/>
      <c r="E651" s="14">
        <v>1</v>
      </c>
      <c r="F651" s="14">
        <v>0</v>
      </c>
      <c r="G651" s="14">
        <v>24</v>
      </c>
      <c r="H651" s="8" t="str">
        <f ca="1">IF(RAND()&lt;0.25,
    "",
    IF($E651=0,
       CHOOSE(MATCH(RAND(),{0,0.2,0.4,0.6,0.7,0.8,0.85,0.9,0.95,1}),"B-354","B-386","B-4354","B-347","B-357","B-3471","B-34715","B-3571","B-35715"),
       IF($G651=24,
          "B-386",
          IF($G651=12,
             CHOOSE(MATCH(RAND(),{0,0.32,0.49,0.66,0.74,0.82,0.9,1}),"B-386","B-347","B-357","B-3471","B-34715","B-3571","B-35715"),
             "")
)))</f>
        <v>B-386</v>
      </c>
      <c r="I651" s="8" t="str">
        <f t="shared" ca="1" si="53"/>
        <v/>
      </c>
      <c r="J651">
        <f t="shared" ca="1" si="50"/>
        <v>60</v>
      </c>
      <c r="K651">
        <f t="shared" ca="1" si="51"/>
        <v>56.125</v>
      </c>
      <c r="L651" s="14">
        <f t="shared" ca="1" si="52"/>
        <v>4.5</v>
      </c>
      <c r="M651" s="14">
        <f t="shared" ca="1" si="54"/>
        <v>1</v>
      </c>
    </row>
    <row r="652" spans="2:13" hidden="1">
      <c r="B652" s="14" t="s">
        <v>157</v>
      </c>
      <c r="C652" s="14">
        <v>0</v>
      </c>
      <c r="D652" s="14"/>
      <c r="E652" s="14">
        <v>1</v>
      </c>
      <c r="F652" s="14">
        <v>0</v>
      </c>
      <c r="G652" s="14"/>
      <c r="H652" s="8" t="str">
        <f ca="1">IF(RAND()&lt;0.25,
    "",
    IF($E652=0,
       CHOOSE(MATCH(RAND(),{0,0.2,0.4,0.6,0.7,0.8,0.85,0.9,0.95,1}),"B-354","B-386","B-4354","B-347","B-357","B-3471","B-34715","B-3571","B-35715"),
       IF($G652=24,
          "B-386",
          IF($G652=12,
             CHOOSE(MATCH(RAND(),{0,0.32,0.49,0.66,0.74,0.82,0.9,1}),"B-386","B-347","B-357","B-3471","B-34715","B-3571","B-35715"),
             "")
)))</f>
        <v/>
      </c>
      <c r="I652" s="8" t="str">
        <f t="shared" ca="1" si="53"/>
        <v/>
      </c>
      <c r="J652">
        <f t="shared" ca="1" si="50"/>
        <v>60</v>
      </c>
      <c r="K652">
        <f t="shared" ca="1" si="51"/>
        <v>73.8125</v>
      </c>
      <c r="L652" s="14">
        <f t="shared" ca="1" si="52"/>
        <v>1.5</v>
      </c>
      <c r="M652" s="14">
        <f t="shared" ca="1" si="54"/>
        <v>1</v>
      </c>
    </row>
    <row r="653" spans="2:13" hidden="1">
      <c r="B653" s="14" t="s">
        <v>157</v>
      </c>
      <c r="C653" s="14">
        <v>0</v>
      </c>
      <c r="D653" s="14"/>
      <c r="E653" s="14">
        <v>1</v>
      </c>
      <c r="F653" s="14">
        <v>1</v>
      </c>
      <c r="G653" s="14"/>
      <c r="H653" s="8" t="str">
        <f ca="1">IF(RAND()&lt;0.25,
    "",
    IF($E653=0,
       CHOOSE(MATCH(RAND(),{0,0.2,0.4,0.6,0.7,0.8,0.85,0.9,0.95,1}),"B-354","B-386","B-4354","B-347","B-357","B-3471","B-34715","B-3571","B-35715"),
       IF($G653=24,
          "B-386",
          IF($G653=12,
             CHOOSE(MATCH(RAND(),{0,0.32,0.49,0.66,0.74,0.82,0.9,1}),"B-386","B-347","B-357","B-3471","B-34715","B-3571","B-35715"),
             "")
)))</f>
        <v/>
      </c>
      <c r="I653" s="8" t="str">
        <f t="shared" ca="1" si="53"/>
        <v/>
      </c>
      <c r="J653">
        <f t="shared" ca="1" si="50"/>
        <v>60</v>
      </c>
      <c r="K653">
        <f t="shared" ca="1" si="51"/>
        <v>8.4375</v>
      </c>
      <c r="L653" s="14">
        <f t="shared" ca="1" si="52"/>
        <v>4.5</v>
      </c>
      <c r="M653" s="14" t="str">
        <f t="shared" ca="1" si="54"/>
        <v/>
      </c>
    </row>
    <row r="654" spans="2:13" hidden="1">
      <c r="B654" s="14" t="s">
        <v>157</v>
      </c>
      <c r="C654" s="14">
        <v>1</v>
      </c>
      <c r="D654" s="14">
        <v>0</v>
      </c>
      <c r="E654" s="14">
        <v>0</v>
      </c>
      <c r="F654" s="14"/>
      <c r="G654" s="14"/>
      <c r="H654" s="8" t="str">
        <f ca="1">IF(RAND()&lt;0.25,
    "",
    IF($E654=0,
       CHOOSE(MATCH(RAND(),{0,0.2,0.4,0.6,0.7,0.8,0.85,0.9,0.95,1}),"B-354","B-386","B-4354","B-347","B-357","B-3471","B-34715","B-3571","B-35715"),
       IF($G654=24,
          "B-386",
          IF($G654=12,
             CHOOSE(MATCH(RAND(),{0,0.32,0.49,0.66,0.74,0.82,0.9,1}),"B-386","B-347","B-357","B-3471","B-34715","B-3571","B-35715"),
             "")
)))</f>
        <v>B-386</v>
      </c>
      <c r="I654" s="8" t="str">
        <f t="shared" ca="1" si="53"/>
        <v/>
      </c>
      <c r="J654">
        <f t="shared" ca="1" si="50"/>
        <v>60</v>
      </c>
      <c r="K654">
        <f t="shared" ca="1" si="51"/>
        <v>70</v>
      </c>
      <c r="L654" s="14">
        <f t="shared" ca="1" si="52"/>
        <v>4.5</v>
      </c>
      <c r="M654" s="14">
        <f t="shared" ca="1" si="54"/>
        <v>2.625</v>
      </c>
    </row>
    <row r="655" spans="2:13">
      <c r="B655" s="14" t="s">
        <v>157</v>
      </c>
      <c r="C655" s="14">
        <v>1</v>
      </c>
      <c r="D655" s="14">
        <v>0</v>
      </c>
      <c r="E655" s="14">
        <v>1</v>
      </c>
      <c r="F655" s="14">
        <v>0</v>
      </c>
      <c r="G655" s="14">
        <v>12</v>
      </c>
      <c r="H655" s="8" t="str">
        <f ca="1">IF(RAND()&lt;0.25,
    "",
    IF($E655=0,
       CHOOSE(MATCH(RAND(),{0,0.2,0.4,0.6,0.7,0.8,0.85,0.9,0.95,1}),"B-354","B-386","B-4354","B-347","B-357","B-3471","B-34715","B-3571","B-35715"),
       IF($G655=24,
          "B-386",
          IF($G655=12,
             CHOOSE(MATCH(RAND(),{0,0.32,0.49,0.66,0.74,0.82,0.9,1}),"B-386","B-347","B-357","B-3471","B-34715","B-3571","B-35715"),
             "")
)))</f>
        <v>B-35715</v>
      </c>
      <c r="I655" s="8" t="str">
        <f t="shared" ca="1" si="53"/>
        <v/>
      </c>
      <c r="J655">
        <f t="shared" ca="1" si="50"/>
        <v>60</v>
      </c>
      <c r="K655">
        <f t="shared" ca="1" si="51"/>
        <v>76.125</v>
      </c>
      <c r="L655" s="14">
        <f t="shared" ca="1" si="52"/>
        <v>3.625</v>
      </c>
      <c r="M655" s="14" t="str">
        <f t="shared" ca="1" si="54"/>
        <v/>
      </c>
    </row>
    <row r="656" spans="2:13">
      <c r="B656" s="14" t="s">
        <v>157</v>
      </c>
      <c r="C656" s="14">
        <v>1</v>
      </c>
      <c r="D656" s="14">
        <v>0</v>
      </c>
      <c r="E656" s="14">
        <v>1</v>
      </c>
      <c r="F656" s="14">
        <v>0</v>
      </c>
      <c r="G656" s="14">
        <v>24</v>
      </c>
      <c r="H656" s="8" t="str">
        <f ca="1">IF(RAND()&lt;0.25,
    "",
    IF($E656=0,
       CHOOSE(MATCH(RAND(),{0,0.2,0.4,0.6,0.7,0.8,0.85,0.9,0.95,1}),"B-354","B-386","B-4354","B-347","B-357","B-3471","B-34715","B-3571","B-35715"),
       IF($G656=24,
          "B-386",
          IF($G656=12,
             CHOOSE(MATCH(RAND(),{0,0.32,0.49,0.66,0.74,0.82,0.9,1}),"B-386","B-347","B-357","B-3471","B-34715","B-3571","B-35715"),
             "")
)))</f>
        <v>B-386</v>
      </c>
      <c r="I656" s="8" t="str">
        <f t="shared" ca="1" si="53"/>
        <v/>
      </c>
      <c r="J656">
        <f t="shared" ca="1" si="50"/>
        <v>60</v>
      </c>
      <c r="K656">
        <f t="shared" ca="1" si="51"/>
        <v>77.4375</v>
      </c>
      <c r="L656" s="14">
        <f t="shared" ca="1" si="52"/>
        <v>9</v>
      </c>
      <c r="M656" s="14">
        <f t="shared" ca="1" si="54"/>
        <v>1</v>
      </c>
    </row>
    <row r="657" spans="2:13" hidden="1">
      <c r="B657" s="14" t="s">
        <v>157</v>
      </c>
      <c r="C657" s="14">
        <v>1</v>
      </c>
      <c r="D657" s="14">
        <v>0</v>
      </c>
      <c r="E657" s="14">
        <v>1</v>
      </c>
      <c r="F657" s="14">
        <v>0</v>
      </c>
      <c r="G657" s="14"/>
      <c r="H657" s="8" t="str">
        <f ca="1">IF(RAND()&lt;0.25,
    "",
    IF($E657=0,
       CHOOSE(MATCH(RAND(),{0,0.2,0.4,0.6,0.7,0.8,0.85,0.9,0.95,1}),"B-354","B-386","B-4354","B-347","B-357","B-3471","B-34715","B-3571","B-35715"),
       IF($G657=24,
          "B-386",
          IF($G657=12,
             CHOOSE(MATCH(RAND(),{0,0.32,0.49,0.66,0.74,0.82,0.9,1}),"B-386","B-347","B-357","B-3471","B-34715","B-3571","B-35715"),
             "")
)))</f>
        <v/>
      </c>
      <c r="I657" s="8" t="str">
        <f t="shared" ca="1" si="53"/>
        <v/>
      </c>
      <c r="J657">
        <f t="shared" ca="1" si="50"/>
        <v>60</v>
      </c>
      <c r="K657">
        <f t="shared" ca="1" si="51"/>
        <v>77.75</v>
      </c>
      <c r="L657" s="14">
        <f t="shared" ca="1" si="52"/>
        <v>9</v>
      </c>
      <c r="M657" s="14">
        <f t="shared" ca="1" si="54"/>
        <v>8.1875</v>
      </c>
    </row>
    <row r="658" spans="2:13" hidden="1">
      <c r="B658" s="14" t="s">
        <v>157</v>
      </c>
      <c r="C658" s="14">
        <v>1</v>
      </c>
      <c r="D658" s="14">
        <v>0</v>
      </c>
      <c r="E658" s="14">
        <v>1</v>
      </c>
      <c r="F658" s="14">
        <v>1</v>
      </c>
      <c r="G658" s="14"/>
      <c r="H658" s="8" t="str">
        <f ca="1">IF(RAND()&lt;0.25,
    "",
    IF($E658=0,
       CHOOSE(MATCH(RAND(),{0,0.2,0.4,0.6,0.7,0.8,0.85,0.9,0.95,1}),"B-354","B-386","B-4354","B-347","B-357","B-3471","B-34715","B-3571","B-35715"),
       IF($G658=24,
          "B-386",
          IF($G658=12,
             CHOOSE(MATCH(RAND(),{0,0.32,0.49,0.66,0.74,0.82,0.9,1}),"B-386","B-347","B-357","B-3471","B-34715","B-3571","B-35715"),
             "")
)))</f>
        <v/>
      </c>
      <c r="I658" s="8" t="str">
        <f t="shared" ca="1" si="53"/>
        <v/>
      </c>
      <c r="J658">
        <f t="shared" ca="1" si="50"/>
        <v>60</v>
      </c>
      <c r="K658">
        <f t="shared" ca="1" si="51"/>
        <v>61.5</v>
      </c>
      <c r="L658" s="14">
        <f t="shared" ca="1" si="52"/>
        <v>3.3125</v>
      </c>
      <c r="M658" s="14">
        <f t="shared" ca="1" si="54"/>
        <v>4.625</v>
      </c>
    </row>
    <row r="659" spans="2:13" hidden="1">
      <c r="B659" s="14" t="s">
        <v>157</v>
      </c>
      <c r="C659" s="14">
        <v>1</v>
      </c>
      <c r="D659" s="14">
        <v>1</v>
      </c>
      <c r="E659" s="14">
        <v>0</v>
      </c>
      <c r="F659" s="14"/>
      <c r="G659" s="14"/>
      <c r="H659" s="8" t="str">
        <f ca="1">IF(RAND()&lt;0.25,
    "",
    IF($E659=0,
       CHOOSE(MATCH(RAND(),{0,0.2,0.4,0.6,0.7,0.8,0.85,0.9,0.95,1}),"B-354","B-386","B-4354","B-347","B-357","B-3471","B-34715","B-3571","B-35715"),
       IF($G659=24,
          "B-386",
          IF($G659=12,
             CHOOSE(MATCH(RAND(),{0,0.32,0.49,0.66,0.74,0.82,0.9,1}),"B-386","B-347","B-357","B-3471","B-34715","B-3571","B-35715"),
             "")
)))</f>
        <v/>
      </c>
      <c r="I659" s="8" t="str">
        <f t="shared" ca="1" si="53"/>
        <v/>
      </c>
      <c r="J659">
        <f t="shared" ca="1" si="50"/>
        <v>60</v>
      </c>
      <c r="K659">
        <f t="shared" ca="1" si="51"/>
        <v>61.9375</v>
      </c>
      <c r="L659" s="14">
        <f t="shared" ca="1" si="52"/>
        <v>8.6875</v>
      </c>
      <c r="M659" s="14" t="str">
        <f t="shared" ca="1" si="54"/>
        <v/>
      </c>
    </row>
    <row r="660" spans="2:13">
      <c r="B660" s="14" t="s">
        <v>157</v>
      </c>
      <c r="C660" s="14">
        <v>1</v>
      </c>
      <c r="D660" s="14">
        <v>1</v>
      </c>
      <c r="E660" s="14">
        <v>1</v>
      </c>
      <c r="F660" s="14">
        <v>0</v>
      </c>
      <c r="G660" s="14">
        <v>12</v>
      </c>
      <c r="H660" s="8" t="str">
        <f ca="1">IF(RAND()&lt;0.25,
    "",
    IF($E660=0,
       CHOOSE(MATCH(RAND(),{0,0.2,0.4,0.6,0.7,0.8,0.85,0.9,0.95,1}),"B-354","B-386","B-4354","B-347","B-357","B-3471","B-34715","B-3571","B-35715"),
       IF($G660=24,
          "B-386",
          IF($G660=12,
             CHOOSE(MATCH(RAND(),{0,0.32,0.49,0.66,0.74,0.82,0.9,1}),"B-386","B-347","B-357","B-3471","B-34715","B-3571","B-35715"),
             "")
)))</f>
        <v>B-3471</v>
      </c>
      <c r="I660" s="8" t="str">
        <f t="shared" ca="1" si="53"/>
        <v/>
      </c>
      <c r="J660">
        <f t="shared" ca="1" si="50"/>
        <v>60</v>
      </c>
      <c r="K660">
        <f t="shared" ca="1" si="51"/>
        <v>72.4375</v>
      </c>
      <c r="L660" s="14">
        <f t="shared" ca="1" si="52"/>
        <v>5.5625</v>
      </c>
      <c r="M660" s="14">
        <f t="shared" ca="1" si="54"/>
        <v>1</v>
      </c>
    </row>
    <row r="661" spans="2:13">
      <c r="B661" s="14" t="s">
        <v>157</v>
      </c>
      <c r="C661" s="14">
        <v>1</v>
      </c>
      <c r="D661" s="14">
        <v>1</v>
      </c>
      <c r="E661" s="14">
        <v>1</v>
      </c>
      <c r="F661" s="14">
        <v>0</v>
      </c>
      <c r="G661" s="14">
        <v>24</v>
      </c>
      <c r="H661" s="8" t="str">
        <f ca="1">IF(RAND()&lt;0.25,
    "",
    IF($E661=0,
       CHOOSE(MATCH(RAND(),{0,0.2,0.4,0.6,0.7,0.8,0.85,0.9,0.95,1}),"B-354","B-386","B-4354","B-347","B-357","B-3471","B-34715","B-3571","B-35715"),
       IF($G661=24,
          "B-386",
          IF($G661=12,
             CHOOSE(MATCH(RAND(),{0,0.32,0.49,0.66,0.74,0.82,0.9,1}),"B-386","B-347","B-357","B-3471","B-34715","B-3571","B-35715"),
             "")
)))</f>
        <v>B-386</v>
      </c>
      <c r="I661" s="8" t="str">
        <f t="shared" ca="1" si="53"/>
        <v/>
      </c>
      <c r="J661">
        <f t="shared" ca="1" si="50"/>
        <v>60</v>
      </c>
      <c r="K661">
        <f t="shared" ca="1" si="51"/>
        <v>51.5625</v>
      </c>
      <c r="L661" s="14">
        <f t="shared" ca="1" si="52"/>
        <v>10.1875</v>
      </c>
      <c r="M661" s="14">
        <f t="shared" ca="1" si="54"/>
        <v>8.25</v>
      </c>
    </row>
    <row r="662" spans="2:13" hidden="1">
      <c r="B662" s="14" t="s">
        <v>157</v>
      </c>
      <c r="C662" s="14">
        <v>1</v>
      </c>
      <c r="D662" s="14">
        <v>1</v>
      </c>
      <c r="E662" s="14">
        <v>1</v>
      </c>
      <c r="F662" s="14">
        <v>0</v>
      </c>
      <c r="G662" s="14"/>
      <c r="H662" s="8" t="str">
        <f ca="1">IF(RAND()&lt;0.25,
    "",
    IF($E662=0,
       CHOOSE(MATCH(RAND(),{0,0.2,0.4,0.6,0.7,0.8,0.85,0.9,0.95,1}),"B-354","B-386","B-4354","B-347","B-357","B-3471","B-34715","B-3571","B-35715"),
       IF($G662=24,
          "B-386",
          IF($G662=12,
             CHOOSE(MATCH(RAND(),{0,0.32,0.49,0.66,0.74,0.82,0.9,1}),"B-386","B-347","B-357","B-3471","B-34715","B-3571","B-35715"),
             "")
)))</f>
        <v/>
      </c>
      <c r="I662" s="8" t="str">
        <f t="shared" ca="1" si="53"/>
        <v/>
      </c>
      <c r="J662">
        <f t="shared" ca="1" si="50"/>
        <v>60</v>
      </c>
      <c r="K662">
        <f t="shared" ca="1" si="51"/>
        <v>58.875</v>
      </c>
      <c r="L662" s="14">
        <f t="shared" ca="1" si="52"/>
        <v>4.5</v>
      </c>
      <c r="M662" s="14">
        <f t="shared" ca="1" si="54"/>
        <v>1</v>
      </c>
    </row>
    <row r="663" spans="2:13" hidden="1">
      <c r="B663" s="14" t="s">
        <v>157</v>
      </c>
      <c r="C663" s="14">
        <v>1</v>
      </c>
      <c r="D663" s="14">
        <v>1</v>
      </c>
      <c r="E663" s="14">
        <v>1</v>
      </c>
      <c r="F663" s="14">
        <v>1</v>
      </c>
      <c r="G663" s="14"/>
      <c r="H663" s="8" t="str">
        <f ca="1">IF(RAND()&lt;0.25,
    "",
    IF($E663=0,
       CHOOSE(MATCH(RAND(),{0,0.2,0.4,0.6,0.7,0.8,0.85,0.9,0.95,1}),"B-354","B-386","B-4354","B-347","B-357","B-3471","B-34715","B-3571","B-35715"),
       IF($G663=24,
          "B-386",
          IF($G663=12,
             CHOOSE(MATCH(RAND(),{0,0.32,0.49,0.66,0.74,0.82,0.9,1}),"B-386","B-347","B-357","B-3471","B-34715","B-3571","B-35715"),
             "")
)))</f>
        <v/>
      </c>
      <c r="I663" s="8" t="str">
        <f t="shared" ca="1" si="53"/>
        <v/>
      </c>
      <c r="J663">
        <f t="shared" ca="1" si="50"/>
        <v>60</v>
      </c>
      <c r="K663">
        <f t="shared" ca="1" si="51"/>
        <v>66.875</v>
      </c>
      <c r="L663" s="14">
        <f t="shared" ca="1" si="52"/>
        <v>1</v>
      </c>
      <c r="M663" s="14">
        <f t="shared" ca="1" si="54"/>
        <v>8.375</v>
      </c>
    </row>
    <row r="664" spans="2:13" hidden="1">
      <c r="B664" s="14" t="s">
        <v>21</v>
      </c>
      <c r="C664" s="14">
        <v>0</v>
      </c>
      <c r="D664" s="14"/>
      <c r="E664" s="14">
        <v>0</v>
      </c>
      <c r="F664" s="14"/>
      <c r="G664" s="14"/>
      <c r="H664" s="8" t="str">
        <f ca="1">IF(RAND()&lt;0.25,
    "",
    IF($E664=0,
       CHOOSE(MATCH(RAND(),{0,0.2,0.4,0.6,0.7,0.8,0.85,0.9,0.95,1}),"B-354","B-386","B-4354","B-347","B-357","B-3471","B-34715","B-3571","B-35715"),
       IF($G664=24,
          "B-386",
          IF($G664=12,
             CHOOSE(MATCH(RAND(),{0,0.32,0.49,0.66,0.74,0.82,0.9,1}),"B-386","B-347","B-357","B-3471","B-34715","B-3571","B-35715"),
             "")
)))</f>
        <v>B-4354</v>
      </c>
      <c r="I664" s="8" t="str">
        <f t="shared" ca="1" si="53"/>
        <v/>
      </c>
      <c r="J664">
        <f t="shared" ca="1" si="50"/>
        <v>100.3125</v>
      </c>
      <c r="K664">
        <f t="shared" ca="1" si="51"/>
        <v>52.375</v>
      </c>
      <c r="L664" s="14">
        <f t="shared" ca="1" si="52"/>
        <v>1</v>
      </c>
      <c r="M664" s="14">
        <f t="shared" ca="1" si="54"/>
        <v>5.625</v>
      </c>
    </row>
    <row r="665" spans="2:13">
      <c r="B665" s="14" t="s">
        <v>21</v>
      </c>
      <c r="C665" s="14">
        <v>0</v>
      </c>
      <c r="D665" s="14"/>
      <c r="E665" s="14">
        <v>1</v>
      </c>
      <c r="F665" s="14">
        <v>0</v>
      </c>
      <c r="G665" s="14">
        <v>12</v>
      </c>
      <c r="H665" s="8" t="str">
        <f ca="1">IF(RAND()&lt;0.25,
    "",
    IF($E665=0,
       CHOOSE(MATCH(RAND(),{0,0.2,0.4,0.6,0.7,0.8,0.85,0.9,0.95,1}),"B-354","B-386","B-4354","B-347","B-357","B-3471","B-34715","B-3571","B-35715"),
       IF($G665=24,
          "B-386",
          IF($G665=12,
             CHOOSE(MATCH(RAND(),{0,0.32,0.49,0.66,0.74,0.82,0.9,1}),"B-386","B-347","B-357","B-3471","B-34715","B-3571","B-35715"),
             "")
)))</f>
        <v>B-357</v>
      </c>
      <c r="I665" s="8" t="str">
        <f t="shared" ca="1" si="53"/>
        <v/>
      </c>
      <c r="J665">
        <f t="shared" ca="1" si="50"/>
        <v>47.625</v>
      </c>
      <c r="K665">
        <f t="shared" ca="1" si="51"/>
        <v>40.875</v>
      </c>
      <c r="L665" s="14">
        <f t="shared" ca="1" si="52"/>
        <v>9.25</v>
      </c>
      <c r="M665" s="14">
        <f t="shared" ca="1" si="54"/>
        <v>1</v>
      </c>
    </row>
    <row r="666" spans="2:13" hidden="1">
      <c r="B666" s="14" t="s">
        <v>21</v>
      </c>
      <c r="C666" s="14">
        <v>0</v>
      </c>
      <c r="D666" s="14"/>
      <c r="E666" s="14">
        <v>1</v>
      </c>
      <c r="F666" s="14">
        <v>0</v>
      </c>
      <c r="G666" s="14">
        <v>24</v>
      </c>
      <c r="H666" s="8" t="str">
        <f ca="1">IF(RAND()&lt;0.25,
    "",
    IF($E666=0,
       CHOOSE(MATCH(RAND(),{0,0.2,0.4,0.6,0.7,0.8,0.85,0.9,0.95,1}),"B-354","B-386","B-4354","B-347","B-357","B-3471","B-34715","B-3571","B-35715"),
       IF($G666=24,
          "B-386",
          IF($G666=12,
             CHOOSE(MATCH(RAND(),{0,0.32,0.49,0.66,0.74,0.82,0.9,1}),"B-386","B-347","B-357","B-3471","B-34715","B-3571","B-35715"),
             "")
)))</f>
        <v>B-386</v>
      </c>
      <c r="I666" s="8" t="str">
        <f t="shared" ca="1" si="53"/>
        <v/>
      </c>
      <c r="J666">
        <f t="shared" ca="1" si="50"/>
        <v>96</v>
      </c>
      <c r="K666">
        <f t="shared" ca="1" si="51"/>
        <v>78.1875</v>
      </c>
      <c r="L666" s="14">
        <f t="shared" ca="1" si="52"/>
        <v>4.5</v>
      </c>
      <c r="M666" s="14" t="str">
        <f t="shared" ca="1" si="54"/>
        <v/>
      </c>
    </row>
    <row r="667" spans="2:13" hidden="1">
      <c r="B667" s="14" t="s">
        <v>21</v>
      </c>
      <c r="C667" s="14">
        <v>0</v>
      </c>
      <c r="D667" s="14"/>
      <c r="E667" s="14">
        <v>1</v>
      </c>
      <c r="F667" s="14">
        <v>0</v>
      </c>
      <c r="G667" s="14"/>
      <c r="H667" s="8" t="str">
        <f ca="1">IF(RAND()&lt;0.25,
    "",
    IF($E667=0,
       CHOOSE(MATCH(RAND(),{0,0.2,0.4,0.6,0.7,0.8,0.85,0.9,0.95,1}),"B-354","B-386","B-4354","B-347","B-357","B-3471","B-34715","B-3571","B-35715"),
       IF($G667=24,
          "B-386",
          IF($G667=12,
             CHOOSE(MATCH(RAND(),{0,0.32,0.49,0.66,0.74,0.82,0.9,1}),"B-386","B-347","B-357","B-3471","B-34715","B-3571","B-35715"),
             "")
)))</f>
        <v/>
      </c>
      <c r="I667" s="8" t="str">
        <f t="shared" ca="1" si="53"/>
        <v/>
      </c>
      <c r="J667">
        <f t="shared" ca="1" si="50"/>
        <v>96</v>
      </c>
      <c r="K667">
        <f t="shared" ca="1" si="51"/>
        <v>23.75</v>
      </c>
      <c r="L667" s="14">
        <f t="shared" ca="1" si="52"/>
        <v>4.25</v>
      </c>
      <c r="M667" s="14">
        <f t="shared" ca="1" si="54"/>
        <v>1</v>
      </c>
    </row>
    <row r="668" spans="2:13" hidden="1">
      <c r="B668" s="14" t="s">
        <v>21</v>
      </c>
      <c r="C668" s="14">
        <v>0</v>
      </c>
      <c r="D668" s="14"/>
      <c r="E668" s="14">
        <v>1</v>
      </c>
      <c r="F668" s="14">
        <v>1</v>
      </c>
      <c r="G668" s="14"/>
      <c r="H668" s="8" t="str">
        <f ca="1">IF(RAND()&lt;0.25,
    "",
    IF($E668=0,
       CHOOSE(MATCH(RAND(),{0,0.2,0.4,0.6,0.7,0.8,0.85,0.9,0.95,1}),"B-354","B-386","B-4354","B-347","B-357","B-3471","B-34715","B-3571","B-35715"),
       IF($G668=24,
          "B-386",
          IF($G668=12,
             CHOOSE(MATCH(RAND(),{0,0.32,0.49,0.66,0.74,0.82,0.9,1}),"B-386","B-347","B-357","B-3471","B-34715","B-3571","B-35715"),
             "")
)))</f>
        <v/>
      </c>
      <c r="I668" s="8" t="str">
        <f t="shared" ca="1" si="53"/>
        <v/>
      </c>
      <c r="J668">
        <f t="shared" ca="1" si="50"/>
        <v>76</v>
      </c>
      <c r="K668">
        <f t="shared" ca="1" si="51"/>
        <v>72.5625</v>
      </c>
      <c r="L668" s="14">
        <f t="shared" ca="1" si="52"/>
        <v>4</v>
      </c>
      <c r="M668" s="14">
        <f t="shared" ca="1" si="54"/>
        <v>7.1875</v>
      </c>
    </row>
    <row r="669" spans="2:13">
      <c r="B669" s="14" t="s">
        <v>21</v>
      </c>
      <c r="C669" s="14">
        <v>1</v>
      </c>
      <c r="D669" s="14">
        <v>0</v>
      </c>
      <c r="E669" s="14">
        <v>0</v>
      </c>
      <c r="F669" s="14"/>
      <c r="G669" s="14"/>
      <c r="H669" s="8" t="str">
        <f ca="1">IF(RAND()&lt;0.25,
    "",
    IF($E669=0,
       CHOOSE(MATCH(RAND(),{0,0.2,0.4,0.6,0.7,0.8,0.85,0.9,0.95,1}),"B-354","B-386","B-4354","B-347","B-357","B-3471","B-34715","B-3571","B-35715"),
       IF($G669=24,
          "B-386",
          IF($G669=12,
             CHOOSE(MATCH(RAND(),{0,0.32,0.49,0.66,0.74,0.82,0.9,1}),"B-386","B-347","B-357","B-3471","B-34715","B-3571","B-35715"),
             "")
)))</f>
        <v/>
      </c>
      <c r="I669" s="8" t="str">
        <f t="shared" ca="1" si="53"/>
        <v/>
      </c>
      <c r="J669">
        <f t="shared" ca="1" si="50"/>
        <v>48.6875</v>
      </c>
      <c r="K669">
        <f t="shared" ca="1" si="51"/>
        <v>46.5</v>
      </c>
      <c r="L669" s="14">
        <f t="shared" ca="1" si="52"/>
        <v>12</v>
      </c>
      <c r="M669" s="14">
        <f t="shared" ca="1" si="54"/>
        <v>3.1875</v>
      </c>
    </row>
    <row r="670" spans="2:13">
      <c r="B670" s="14" t="s">
        <v>21</v>
      </c>
      <c r="C670" s="14">
        <v>1</v>
      </c>
      <c r="D670" s="14">
        <v>0</v>
      </c>
      <c r="E670" s="14">
        <v>1</v>
      </c>
      <c r="F670" s="14">
        <v>0</v>
      </c>
      <c r="G670" s="14">
        <v>12</v>
      </c>
      <c r="H670" s="8" t="str">
        <f ca="1">IF(RAND()&lt;0.25,
    "",
    IF($E670=0,
       CHOOSE(MATCH(RAND(),{0,0.2,0.4,0.6,0.7,0.8,0.85,0.9,0.95,1}),"B-354","B-386","B-4354","B-347","B-357","B-3471","B-34715","B-3571","B-35715"),
       IF($G670=24,
          "B-386",
          IF($G670=12,
             CHOOSE(MATCH(RAND(),{0,0.32,0.49,0.66,0.74,0.82,0.9,1}),"B-386","B-347","B-357","B-3471","B-34715","B-3571","B-35715"),
             "")
)))</f>
        <v/>
      </c>
      <c r="I670" s="8" t="str">
        <f t="shared" ca="1" si="53"/>
        <v/>
      </c>
      <c r="J670">
        <f t="shared" ca="1" si="50"/>
        <v>96</v>
      </c>
      <c r="K670">
        <f t="shared" ca="1" si="51"/>
        <v>79.625</v>
      </c>
      <c r="L670" s="14">
        <f t="shared" ca="1" si="52"/>
        <v>4.5</v>
      </c>
      <c r="M670" s="14">
        <f t="shared" ca="1" si="54"/>
        <v>5.5</v>
      </c>
    </row>
    <row r="671" spans="2:13" hidden="1">
      <c r="B671" s="14" t="s">
        <v>21</v>
      </c>
      <c r="C671" s="14">
        <v>1</v>
      </c>
      <c r="D671" s="14">
        <v>0</v>
      </c>
      <c r="E671" s="14">
        <v>1</v>
      </c>
      <c r="F671" s="14">
        <v>0</v>
      </c>
      <c r="G671" s="14">
        <v>24</v>
      </c>
      <c r="H671" s="8" t="str">
        <f ca="1">IF(RAND()&lt;0.25,
    "",
    IF($E671=0,
       CHOOSE(MATCH(RAND(),{0,0.2,0.4,0.6,0.7,0.8,0.85,0.9,0.95,1}),"B-354","B-386","B-4354","B-347","B-357","B-3471","B-34715","B-3571","B-35715"),
       IF($G671=24,
          "B-386",
          IF($G671=12,
             CHOOSE(MATCH(RAND(),{0,0.32,0.49,0.66,0.74,0.82,0.9,1}),"B-386","B-347","B-357","B-3471","B-34715","B-3571","B-35715"),
             "")
)))</f>
        <v>B-386</v>
      </c>
      <c r="I671" s="8" t="str">
        <f t="shared" ca="1" si="53"/>
        <v/>
      </c>
      <c r="J671">
        <f t="shared" ca="1" si="50"/>
        <v>47.9375</v>
      </c>
      <c r="K671">
        <f t="shared" ca="1" si="51"/>
        <v>69.3125</v>
      </c>
      <c r="L671" s="14">
        <f t="shared" ca="1" si="52"/>
        <v>1</v>
      </c>
      <c r="M671" s="14">
        <f t="shared" ca="1" si="54"/>
        <v>1</v>
      </c>
    </row>
    <row r="672" spans="2:13" hidden="1">
      <c r="B672" s="14" t="s">
        <v>21</v>
      </c>
      <c r="C672" s="14">
        <v>1</v>
      </c>
      <c r="D672" s="14">
        <v>0</v>
      </c>
      <c r="E672" s="14">
        <v>1</v>
      </c>
      <c r="F672" s="14">
        <v>0</v>
      </c>
      <c r="G672" s="14"/>
      <c r="H672" s="8" t="str">
        <f ca="1">IF(RAND()&lt;0.25,
    "",
    IF($E672=0,
       CHOOSE(MATCH(RAND(),{0,0.2,0.4,0.6,0.7,0.8,0.85,0.9,0.95,1}),"B-354","B-386","B-4354","B-347","B-357","B-3471","B-34715","B-3571","B-35715"),
       IF($G672=24,
          "B-386",
          IF($G672=12,
             CHOOSE(MATCH(RAND(),{0,0.32,0.49,0.66,0.74,0.82,0.9,1}),"B-386","B-347","B-357","B-3471","B-34715","B-3571","B-35715"),
             "")
)))</f>
        <v/>
      </c>
      <c r="I672" s="8" t="str">
        <f t="shared" ca="1" si="53"/>
        <v/>
      </c>
      <c r="J672">
        <f t="shared" ca="1" si="50"/>
        <v>63.9375</v>
      </c>
      <c r="K672">
        <f t="shared" ca="1" si="51"/>
        <v>69.5</v>
      </c>
      <c r="L672" s="14">
        <f t="shared" ca="1" si="52"/>
        <v>12</v>
      </c>
      <c r="M672" s="14">
        <f t="shared" ca="1" si="54"/>
        <v>1</v>
      </c>
    </row>
    <row r="673" spans="2:13" hidden="1">
      <c r="B673" s="14" t="s">
        <v>21</v>
      </c>
      <c r="C673" s="14">
        <v>1</v>
      </c>
      <c r="D673" s="14">
        <v>0</v>
      </c>
      <c r="E673" s="14">
        <v>1</v>
      </c>
      <c r="F673" s="14">
        <v>1</v>
      </c>
      <c r="G673" s="14"/>
      <c r="H673" s="8" t="str">
        <f ca="1">IF(RAND()&lt;0.25,
    "",
    IF($E673=0,
       CHOOSE(MATCH(RAND(),{0,0.2,0.4,0.6,0.7,0.8,0.85,0.9,0.95,1}),"B-354","B-386","B-4354","B-347","B-357","B-3471","B-34715","B-3571","B-35715"),
       IF($G673=24,
          "B-386",
          IF($G673=12,
             CHOOSE(MATCH(RAND(),{0,0.32,0.49,0.66,0.74,0.82,0.9,1}),"B-386","B-347","B-357","B-3471","B-34715","B-3571","B-35715"),
             "")
)))</f>
        <v/>
      </c>
      <c r="I673" s="8" t="str">
        <f t="shared" ca="1" si="53"/>
        <v/>
      </c>
      <c r="J673">
        <f t="shared" ca="1" si="50"/>
        <v>96</v>
      </c>
      <c r="K673">
        <f t="shared" ca="1" si="51"/>
        <v>16.9375</v>
      </c>
      <c r="L673" s="14">
        <f t="shared" ca="1" si="52"/>
        <v>9</v>
      </c>
      <c r="M673" s="14">
        <f t="shared" ca="1" si="54"/>
        <v>6.25</v>
      </c>
    </row>
    <row r="674" spans="2:13">
      <c r="B674" s="14" t="s">
        <v>21</v>
      </c>
      <c r="C674" s="14">
        <v>1</v>
      </c>
      <c r="D674" s="14">
        <v>1</v>
      </c>
      <c r="E674" s="14">
        <v>0</v>
      </c>
      <c r="F674" s="14"/>
      <c r="G674" s="14"/>
      <c r="H674" s="8" t="str">
        <f ca="1">IF(RAND()&lt;0.25,
    "",
    IF($E674=0,
       CHOOSE(MATCH(RAND(),{0,0.2,0.4,0.6,0.7,0.8,0.85,0.9,0.95,1}),"B-354","B-386","B-4354","B-347","B-357","B-3471","B-34715","B-3571","B-35715"),
       IF($G674=24,
          "B-386",
          IF($G674=12,
             CHOOSE(MATCH(RAND(),{0,0.32,0.49,0.66,0.74,0.82,0.9,1}),"B-386","B-347","B-357","B-3471","B-34715","B-3571","B-35715"),
             "")
)))</f>
        <v>B-4354</v>
      </c>
      <c r="I674" s="8" t="str">
        <f t="shared" ca="1" si="53"/>
        <v>B-386</v>
      </c>
      <c r="J674">
        <f t="shared" ca="1" si="50"/>
        <v>96</v>
      </c>
      <c r="K674">
        <f t="shared" ca="1" si="51"/>
        <v>56.4375</v>
      </c>
      <c r="L674" s="14">
        <f t="shared" ca="1" si="52"/>
        <v>1.5</v>
      </c>
      <c r="M674" s="14" t="str">
        <f t="shared" ca="1" si="54"/>
        <v/>
      </c>
    </row>
    <row r="675" spans="2:13">
      <c r="B675" s="14" t="s">
        <v>21</v>
      </c>
      <c r="C675" s="14">
        <v>1</v>
      </c>
      <c r="D675" s="14">
        <v>1</v>
      </c>
      <c r="E675" s="14">
        <v>1</v>
      </c>
      <c r="F675" s="14">
        <v>0</v>
      </c>
      <c r="G675" s="14">
        <v>12</v>
      </c>
      <c r="H675" s="8" t="str">
        <f ca="1">IF(RAND()&lt;0.25,
    "",
    IF($E675=0,
       CHOOSE(MATCH(RAND(),{0,0.2,0.4,0.6,0.7,0.8,0.85,0.9,0.95,1}),"B-354","B-386","B-4354","B-347","B-357","B-3471","B-34715","B-3571","B-35715"),
       IF($G675=24,
          "B-386",
          IF($G675=12,
             CHOOSE(MATCH(RAND(),{0,0.32,0.49,0.66,0.74,0.82,0.9,1}),"B-386","B-347","B-357","B-3471","B-34715","B-3571","B-35715"),
             "")
)))</f>
        <v>B-386</v>
      </c>
      <c r="I675" s="8" t="str">
        <f t="shared" ca="1" si="53"/>
        <v/>
      </c>
      <c r="J675">
        <f t="shared" ca="1" si="50"/>
        <v>46.0625</v>
      </c>
      <c r="K675">
        <f t="shared" ca="1" si="51"/>
        <v>64.3125</v>
      </c>
      <c r="L675" s="14">
        <f t="shared" ca="1" si="52"/>
        <v>3.5625</v>
      </c>
      <c r="M675" s="14">
        <f t="shared" ca="1" si="54"/>
        <v>8.25</v>
      </c>
    </row>
    <row r="676" spans="2:13">
      <c r="B676" s="14" t="s">
        <v>21</v>
      </c>
      <c r="C676" s="14">
        <v>1</v>
      </c>
      <c r="D676" s="14">
        <v>1</v>
      </c>
      <c r="E676" s="14">
        <v>1</v>
      </c>
      <c r="F676" s="14">
        <v>0</v>
      </c>
      <c r="G676" s="14">
        <v>24</v>
      </c>
      <c r="H676" s="8" t="str">
        <f ca="1">IF(RAND()&lt;0.25,
    "",
    IF($E676=0,
       CHOOSE(MATCH(RAND(),{0,0.2,0.4,0.6,0.7,0.8,0.85,0.9,0.95,1}),"B-354","B-386","B-4354","B-347","B-357","B-3471","B-34715","B-3571","B-35715"),
       IF($G676=24,
          "B-386",
          IF($G676=12,
             CHOOSE(MATCH(RAND(),{0,0.32,0.49,0.66,0.74,0.82,0.9,1}),"B-386","B-347","B-357","B-3471","B-34715","B-3571","B-35715"),
             "")
)))</f>
        <v>B-386</v>
      </c>
      <c r="I676" s="8" t="str">
        <f t="shared" ca="1" si="53"/>
        <v/>
      </c>
      <c r="J676">
        <f t="shared" ca="1" si="50"/>
        <v>40.625</v>
      </c>
      <c r="K676">
        <f t="shared" ca="1" si="51"/>
        <v>65.4375</v>
      </c>
      <c r="L676" s="14">
        <f t="shared" ca="1" si="52"/>
        <v>2.625</v>
      </c>
      <c r="M676" s="14">
        <f t="shared" ca="1" si="54"/>
        <v>6.5</v>
      </c>
    </row>
    <row r="677" spans="2:13" hidden="1">
      <c r="B677" s="14" t="s">
        <v>21</v>
      </c>
      <c r="C677" s="14">
        <v>1</v>
      </c>
      <c r="D677" s="14">
        <v>1</v>
      </c>
      <c r="E677" s="14">
        <v>1</v>
      </c>
      <c r="F677" s="14">
        <v>0</v>
      </c>
      <c r="G677" s="14"/>
      <c r="H677" s="8" t="str">
        <f ca="1">IF(RAND()&lt;0.25,
    "",
    IF($E677=0,
       CHOOSE(MATCH(RAND(),{0,0.2,0.4,0.6,0.7,0.8,0.85,0.9,0.95,1}),"B-354","B-386","B-4354","B-347","B-357","B-3471","B-34715","B-3571","B-35715"),
       IF($G677=24,
          "B-386",
          IF($G677=12,
             CHOOSE(MATCH(RAND(),{0,0.32,0.49,0.66,0.74,0.82,0.9,1}),"B-386","B-347","B-357","B-3471","B-34715","B-3571","B-35715"),
             "")
)))</f>
        <v/>
      </c>
      <c r="I677" s="8" t="str">
        <f t="shared" ca="1" si="53"/>
        <v/>
      </c>
      <c r="J677">
        <f t="shared" ca="1" si="50"/>
        <v>95.875</v>
      </c>
      <c r="K677">
        <f t="shared" ca="1" si="51"/>
        <v>7.25</v>
      </c>
      <c r="L677" s="14">
        <f t="shared" ca="1" si="52"/>
        <v>12</v>
      </c>
      <c r="M677" s="14" t="str">
        <f t="shared" ca="1" si="54"/>
        <v/>
      </c>
    </row>
    <row r="678" spans="2:13" ht="15" hidden="1" thickBot="1">
      <c r="B678" s="50" t="s">
        <v>21</v>
      </c>
      <c r="C678" s="50">
        <v>1</v>
      </c>
      <c r="D678" s="50">
        <v>1</v>
      </c>
      <c r="E678" s="50">
        <v>1</v>
      </c>
      <c r="F678" s="50">
        <v>1</v>
      </c>
      <c r="G678" s="50"/>
      <c r="H678" s="51" t="str">
        <f ca="1">IF(RAND()&lt;0.25,
    "",
    IF($E678=0,
       CHOOSE(MATCH(RAND(),{0,0.2,0.4,0.6,0.7,0.8,0.85,0.9,0.95,1}),"B-354","B-386","B-4354","B-347","B-357","B-3471","B-34715","B-3571","B-35715"),
       IF($G678=24,
          "B-386",
          IF($G678=12,
             CHOOSE(MATCH(RAND(),{0,0.32,0.49,0.66,0.74,0.82,0.9,1}),"B-386","B-347","B-357","B-3471","B-34715","B-3571","B-35715"),
             "")
)))</f>
        <v/>
      </c>
      <c r="I678" s="51" t="str">
        <f t="shared" ca="1" si="53"/>
        <v/>
      </c>
      <c r="J678" s="49">
        <f t="shared" ca="1" si="50"/>
        <v>82.0625</v>
      </c>
      <c r="K678" s="49">
        <f t="shared" ca="1" si="51"/>
        <v>62.6875</v>
      </c>
      <c r="L678" s="50">
        <f t="shared" ca="1" si="52"/>
        <v>4.5</v>
      </c>
      <c r="M678" s="14">
        <f t="shared" ca="1" si="54"/>
        <v>4.8125</v>
      </c>
    </row>
    <row r="679" spans="2:13">
      <c r="B679" s="14" t="s">
        <v>156</v>
      </c>
      <c r="C679" s="19">
        <v>0</v>
      </c>
      <c r="D679" s="19"/>
      <c r="E679" s="19">
        <v>0</v>
      </c>
      <c r="F679" s="19"/>
      <c r="G679" s="14"/>
      <c r="H679" s="8" t="str">
        <f ca="1">IF(RAND()&lt;0.25,
    "",
    IF($E679=0,
       CHOOSE(MATCH(RAND(),{0,0.2,0.4,0.6,0.7,0.8,0.85,0.9,0.95,1}),"B-354","B-386","B-4354","B-347","B-357","B-3471","B-34715","B-3571","B-35715"),
       IF($G679=24,
          "B-386",
          IF($G679=12,
             CHOOSE(MATCH(RAND(),{0,0.32,0.49,0.66,0.74,0.82,0.9,1}),"B-386","B-347","B-357","B-3471","B-34715","B-3571","B-35715"),
             "")
)))</f>
        <v>B-386</v>
      </c>
      <c r="I679" s="8" t="str">
        <f t="shared" ca="1" si="53"/>
        <v>B-4354</v>
      </c>
      <c r="J679">
        <f t="shared" ca="1" si="50"/>
        <v>15.8125</v>
      </c>
      <c r="K679">
        <f t="shared" ca="1" si="51"/>
        <v>68.4375</v>
      </c>
      <c r="L679" s="14">
        <f t="shared" ca="1" si="52"/>
        <v>11.75</v>
      </c>
      <c r="M679" s="14" t="str">
        <f t="shared" ca="1" si="54"/>
        <v/>
      </c>
    </row>
    <row r="680" spans="2:13">
      <c r="B680" s="14" t="s">
        <v>156</v>
      </c>
      <c r="C680" s="14">
        <v>0</v>
      </c>
      <c r="D680" s="14"/>
      <c r="E680" s="14">
        <v>1</v>
      </c>
      <c r="F680" s="14">
        <v>0</v>
      </c>
      <c r="G680" s="14">
        <v>12</v>
      </c>
      <c r="H680" s="8" t="str">
        <f ca="1">IF(RAND()&lt;0.25,
    "",
    IF($E680=0,
       CHOOSE(MATCH(RAND(),{0,0.2,0.4,0.6,0.7,0.8,0.85,0.9,0.95,1}),"B-354","B-386","B-4354","B-347","B-357","B-3471","B-34715","B-3571","B-35715"),
       IF($G680=24,
          "B-386",
          IF($G680=12,
             CHOOSE(MATCH(RAND(),{0,0.32,0.49,0.66,0.74,0.82,0.9,1}),"B-386","B-347","B-357","B-3471","B-34715","B-3571","B-35715"),
             "")
)))</f>
        <v>B-347</v>
      </c>
      <c r="I680" s="8" t="str">
        <f t="shared" ca="1" si="53"/>
        <v/>
      </c>
      <c r="J680">
        <f t="shared" ca="1" si="50"/>
        <v>33.25</v>
      </c>
      <c r="K680">
        <f t="shared" ca="1" si="51"/>
        <v>67.8125</v>
      </c>
      <c r="L680" s="14">
        <f t="shared" ca="1" si="52"/>
        <v>10.1875</v>
      </c>
      <c r="M680" s="14" t="str">
        <f t="shared" ca="1" si="54"/>
        <v/>
      </c>
    </row>
    <row r="681" spans="2:13">
      <c r="B681" s="14" t="s">
        <v>156</v>
      </c>
      <c r="C681" s="14">
        <v>0</v>
      </c>
      <c r="D681" s="14"/>
      <c r="E681" s="14">
        <v>1</v>
      </c>
      <c r="F681" s="14">
        <v>0</v>
      </c>
      <c r="G681" s="14">
        <v>24</v>
      </c>
      <c r="H681" s="8" t="str">
        <f ca="1">IF(RAND()&lt;0.25,
    "",
    IF($E681=0,
       CHOOSE(MATCH(RAND(),{0,0.2,0.4,0.6,0.7,0.8,0.85,0.9,0.95,1}),"B-354","B-386","B-4354","B-347","B-357","B-3471","B-34715","B-3571","B-35715"),
       IF($G681=24,
          "B-386",
          IF($G681=12,
             CHOOSE(MATCH(RAND(),{0,0.32,0.49,0.66,0.74,0.82,0.9,1}),"B-386","B-347","B-357","B-3471","B-34715","B-3571","B-35715"),
             "")
)))</f>
        <v>B-386</v>
      </c>
      <c r="I681" s="8" t="str">
        <f t="shared" ca="1" si="53"/>
        <v/>
      </c>
      <c r="J681">
        <f t="shared" ca="1" si="50"/>
        <v>3</v>
      </c>
      <c r="K681">
        <f t="shared" ca="1" si="51"/>
        <v>65.875</v>
      </c>
      <c r="L681" s="14">
        <f t="shared" ca="1" si="52"/>
        <v>2.875</v>
      </c>
      <c r="M681" s="14">
        <f t="shared" ca="1" si="54"/>
        <v>6</v>
      </c>
    </row>
    <row r="682" spans="2:13" hidden="1">
      <c r="B682" s="14" t="s">
        <v>156</v>
      </c>
      <c r="C682" s="14">
        <v>0</v>
      </c>
      <c r="D682" s="14"/>
      <c r="E682" s="14">
        <v>1</v>
      </c>
      <c r="F682" s="14">
        <v>0</v>
      </c>
      <c r="G682" s="14"/>
      <c r="H682" s="8" t="str">
        <f ca="1">IF(RAND()&lt;0.25,
    "",
    IF($E682=0,
       CHOOSE(MATCH(RAND(),{0,0.2,0.4,0.6,0.7,0.8,0.85,0.9,0.95,1}),"B-354","B-386","B-4354","B-347","B-357","B-3471","B-34715","B-3571","B-35715"),
       IF($G682=24,
          "B-386",
          IF($G682=12,
             CHOOSE(MATCH(RAND(),{0,0.32,0.49,0.66,0.74,0.82,0.9,1}),"B-386","B-347","B-357","B-3471","B-34715","B-3571","B-35715"),
             "")
)))</f>
        <v/>
      </c>
      <c r="I682" s="8" t="str">
        <f t="shared" ca="1" si="53"/>
        <v/>
      </c>
      <c r="J682">
        <f t="shared" ca="1" si="50"/>
        <v>29.4375</v>
      </c>
      <c r="K682">
        <f t="shared" ca="1" si="51"/>
        <v>11.625</v>
      </c>
      <c r="L682" s="14">
        <f t="shared" ca="1" si="52"/>
        <v>1</v>
      </c>
      <c r="M682" s="14">
        <f t="shared" ca="1" si="54"/>
        <v>4.625</v>
      </c>
    </row>
    <row r="683" spans="2:13" hidden="1">
      <c r="B683" s="14" t="s">
        <v>156</v>
      </c>
      <c r="C683" s="14">
        <v>0</v>
      </c>
      <c r="D683" s="14"/>
      <c r="E683" s="14">
        <v>1</v>
      </c>
      <c r="F683" s="14">
        <v>1</v>
      </c>
      <c r="G683" s="14"/>
      <c r="H683" s="8" t="str">
        <f ca="1">IF(RAND()&lt;0.25,
    "",
    IF($E683=0,
       CHOOSE(MATCH(RAND(),{0,0.2,0.4,0.6,0.7,0.8,0.85,0.9,0.95,1}),"B-354","B-386","B-4354","B-347","B-357","B-3471","B-34715","B-3571","B-35715"),
       IF($G683=24,
          "B-386",
          IF($G683=12,
             CHOOSE(MATCH(RAND(),{0,0.32,0.49,0.66,0.74,0.82,0.9,1}),"B-386","B-347","B-357","B-3471","B-34715","B-3571","B-35715"),
             "")
)))</f>
        <v/>
      </c>
      <c r="I683" s="8" t="str">
        <f t="shared" ca="1" si="53"/>
        <v/>
      </c>
      <c r="J683">
        <f t="shared" ca="1" si="50"/>
        <v>36.625</v>
      </c>
      <c r="K683">
        <f t="shared" ca="1" si="51"/>
        <v>35.75</v>
      </c>
      <c r="L683" s="14">
        <f t="shared" ca="1" si="52"/>
        <v>1.8125</v>
      </c>
      <c r="M683" s="14" t="str">
        <f t="shared" ca="1" si="54"/>
        <v/>
      </c>
    </row>
    <row r="684" spans="2:13">
      <c r="B684" s="14" t="s">
        <v>156</v>
      </c>
      <c r="C684" s="14">
        <v>1</v>
      </c>
      <c r="D684" s="14">
        <v>0</v>
      </c>
      <c r="E684" s="14">
        <v>0</v>
      </c>
      <c r="F684" s="14"/>
      <c r="G684" s="14"/>
      <c r="H684" s="8" t="str">
        <f ca="1">IF(RAND()&lt;0.25,
    "",
    IF($E684=0,
       CHOOSE(MATCH(RAND(),{0,0.2,0.4,0.6,0.7,0.8,0.85,0.9,0.95,1}),"B-354","B-386","B-4354","B-347","B-357","B-3471","B-34715","B-3571","B-35715"),
       IF($G684=24,
          "B-386",
          IF($G684=12,
             CHOOSE(MATCH(RAND(),{0,0.32,0.49,0.66,0.74,0.82,0.9,1}),"B-386","B-347","B-357","B-3471","B-34715","B-3571","B-35715"),
             "")
)))</f>
        <v>B-35715</v>
      </c>
      <c r="I684" s="8" t="str">
        <f t="shared" ca="1" si="53"/>
        <v/>
      </c>
      <c r="J684">
        <f t="shared" ca="1" si="50"/>
        <v>7.8125</v>
      </c>
      <c r="K684">
        <f t="shared" ca="1" si="51"/>
        <v>55.1875</v>
      </c>
      <c r="L684" s="14">
        <f t="shared" ca="1" si="52"/>
        <v>4.5</v>
      </c>
      <c r="M684" s="14">
        <f t="shared" ca="1" si="54"/>
        <v>1</v>
      </c>
    </row>
    <row r="685" spans="2:13">
      <c r="B685" s="14" t="s">
        <v>156</v>
      </c>
      <c r="C685" s="14">
        <v>1</v>
      </c>
      <c r="D685" s="14">
        <v>0</v>
      </c>
      <c r="E685" s="14">
        <v>1</v>
      </c>
      <c r="F685" s="14">
        <v>0</v>
      </c>
      <c r="G685" s="14">
        <v>12</v>
      </c>
      <c r="H685" s="8" t="str">
        <f ca="1">IF(RAND()&lt;0.25,
    "",
    IF($E685=0,
       CHOOSE(MATCH(RAND(),{0,0.2,0.4,0.6,0.7,0.8,0.85,0.9,0.95,1}),"B-354","B-386","B-4354","B-347","B-357","B-3471","B-34715","B-3571","B-35715"),
       IF($G685=24,
          "B-386",
          IF($G685=12,
             CHOOSE(MATCH(RAND(),{0,0.32,0.49,0.66,0.74,0.82,0.9,1}),"B-386","B-347","B-357","B-3471","B-34715","B-3571","B-35715"),
             "")
)))</f>
        <v>B-357</v>
      </c>
      <c r="I685" s="8" t="str">
        <f t="shared" ca="1" si="53"/>
        <v/>
      </c>
      <c r="J685">
        <f t="shared" ca="1" si="50"/>
        <v>26.25</v>
      </c>
      <c r="K685">
        <f t="shared" ca="1" si="51"/>
        <v>67.5625</v>
      </c>
      <c r="L685" s="14">
        <f t="shared" ca="1" si="52"/>
        <v>1.875</v>
      </c>
      <c r="M685" s="14" t="str">
        <f t="shared" ca="1" si="54"/>
        <v/>
      </c>
    </row>
    <row r="686" spans="2:13">
      <c r="B686" s="14" t="s">
        <v>156</v>
      </c>
      <c r="C686" s="14">
        <v>1</v>
      </c>
      <c r="D686" s="14">
        <v>0</v>
      </c>
      <c r="E686" s="14">
        <v>1</v>
      </c>
      <c r="F686" s="14">
        <v>0</v>
      </c>
      <c r="G686" s="14">
        <v>24</v>
      </c>
      <c r="H686" s="8" t="str">
        <f ca="1">IF(RAND()&lt;0.25,
    "",
    IF($E686=0,
       CHOOSE(MATCH(RAND(),{0,0.2,0.4,0.6,0.7,0.8,0.85,0.9,0.95,1}),"B-354","B-386","B-4354","B-347","B-357","B-3471","B-34715","B-3571","B-35715"),
       IF($G686=24,
          "B-386",
          IF($G686=12,
             CHOOSE(MATCH(RAND(),{0,0.32,0.49,0.66,0.74,0.82,0.9,1}),"B-386","B-347","B-357","B-3471","B-34715","B-3571","B-35715"),
             "")
)))</f>
        <v>B-386</v>
      </c>
      <c r="I686" s="8" t="str">
        <f t="shared" ca="1" si="53"/>
        <v/>
      </c>
      <c r="J686">
        <f t="shared" ca="1" si="50"/>
        <v>36.875</v>
      </c>
      <c r="K686">
        <f t="shared" ca="1" si="51"/>
        <v>76.125</v>
      </c>
      <c r="L686" s="14">
        <f t="shared" ca="1" si="52"/>
        <v>4.5</v>
      </c>
      <c r="M686" s="14">
        <f t="shared" ca="1" si="54"/>
        <v>1</v>
      </c>
    </row>
    <row r="687" spans="2:13" hidden="1">
      <c r="B687" s="14" t="s">
        <v>156</v>
      </c>
      <c r="C687" s="14">
        <v>1</v>
      </c>
      <c r="D687" s="14">
        <v>0</v>
      </c>
      <c r="E687" s="14">
        <v>1</v>
      </c>
      <c r="F687" s="14">
        <v>0</v>
      </c>
      <c r="G687" s="14"/>
      <c r="H687" s="8" t="str">
        <f ca="1">IF(RAND()&lt;0.25,
    "",
    IF($E687=0,
       CHOOSE(MATCH(RAND(),{0,0.2,0.4,0.6,0.7,0.8,0.85,0.9,0.95,1}),"B-354","B-386","B-4354","B-347","B-357","B-3471","B-34715","B-3571","B-35715"),
       IF($G687=24,
          "B-386",
          IF($G687=12,
             CHOOSE(MATCH(RAND(),{0,0.32,0.49,0.66,0.74,0.82,0.9,1}),"B-386","B-347","B-357","B-3471","B-34715","B-3571","B-35715"),
             "")
)))</f>
        <v/>
      </c>
      <c r="I687" s="8" t="str">
        <f t="shared" ca="1" si="53"/>
        <v/>
      </c>
      <c r="J687">
        <f t="shared" ca="1" si="50"/>
        <v>32.25</v>
      </c>
      <c r="K687">
        <f t="shared" ca="1" si="51"/>
        <v>36.5625</v>
      </c>
      <c r="L687" s="14">
        <f t="shared" ca="1" si="52"/>
        <v>5.25</v>
      </c>
      <c r="M687" s="14">
        <f t="shared" ca="1" si="54"/>
        <v>1</v>
      </c>
    </row>
    <row r="688" spans="2:13" hidden="1">
      <c r="B688" s="14" t="s">
        <v>156</v>
      </c>
      <c r="C688" s="14">
        <v>1</v>
      </c>
      <c r="D688" s="14">
        <v>0</v>
      </c>
      <c r="E688" s="14">
        <v>1</v>
      </c>
      <c r="F688" s="14">
        <v>1</v>
      </c>
      <c r="G688" s="14"/>
      <c r="H688" s="8" t="str">
        <f ca="1">IF(RAND()&lt;0.25,
    "",
    IF($E688=0,
       CHOOSE(MATCH(RAND(),{0,0.2,0.4,0.6,0.7,0.8,0.85,0.9,0.95,1}),"B-354","B-386","B-4354","B-347","B-357","B-3471","B-34715","B-3571","B-35715"),
       IF($G688=24,
          "B-386",
          IF($G688=12,
             CHOOSE(MATCH(RAND(),{0,0.32,0.49,0.66,0.74,0.82,0.9,1}),"B-386","B-347","B-357","B-3471","B-34715","B-3571","B-35715"),
             "")
)))</f>
        <v/>
      </c>
      <c r="I688" s="8" t="str">
        <f t="shared" ca="1" si="53"/>
        <v/>
      </c>
      <c r="J688">
        <f t="shared" ca="1" si="50"/>
        <v>45.0625</v>
      </c>
      <c r="K688">
        <f t="shared" ca="1" si="51"/>
        <v>44.5625</v>
      </c>
      <c r="L688" s="14">
        <f t="shared" ca="1" si="52"/>
        <v>1</v>
      </c>
      <c r="M688" s="14">
        <f t="shared" ca="1" si="54"/>
        <v>1</v>
      </c>
    </row>
    <row r="689" spans="2:13">
      <c r="B689" s="14" t="s">
        <v>156</v>
      </c>
      <c r="C689" s="14">
        <v>1</v>
      </c>
      <c r="D689" s="14">
        <v>1</v>
      </c>
      <c r="E689" s="14">
        <v>0</v>
      </c>
      <c r="F689" s="14"/>
      <c r="G689" s="14"/>
      <c r="H689" s="8" t="str">
        <f ca="1">IF(RAND()&lt;0.25,
    "",
    IF($E689=0,
       CHOOSE(MATCH(RAND(),{0,0.2,0.4,0.6,0.7,0.8,0.85,0.9,0.95,1}),"B-354","B-386","B-4354","B-347","B-357","B-3471","B-34715","B-3571","B-35715"),
       IF($G689=24,
          "B-386",
          IF($G689=12,
             CHOOSE(MATCH(RAND(),{0,0.32,0.49,0.66,0.74,0.82,0.9,1}),"B-386","B-347","B-357","B-3471","B-34715","B-3571","B-35715"),
             "")
)))</f>
        <v>B-354</v>
      </c>
      <c r="I689" s="8" t="str">
        <f t="shared" ca="1" si="53"/>
        <v>B-386</v>
      </c>
      <c r="J689">
        <f t="shared" ref="J689:J723" ca="1" si="55">IF(B689="BOTTOM",
   60,
   IF(B689="TOP",
      RANDBETWEEN(3*16,50*16)/16,
      IF(B689="WHOLE",
         IF(RAND()&lt;0.75,
            RANDBETWEEN(36*16,110*16)/16,
            96
         ),
         ""
      )
   )
)</f>
        <v>24.25</v>
      </c>
      <c r="K689">
        <f t="shared" ref="K689:K723" ca="1" si="56">_xlfn.LET(
_xlpm.minVal, IF($H689&lt;&gt;"",40,5),
RANDBETWEEN(_xlpm.minVal*16,80*16)/16
)</f>
        <v>44.5</v>
      </c>
      <c r="L689" s="14">
        <f t="shared" ca="1" si="52"/>
        <v>7</v>
      </c>
      <c r="M689" s="14">
        <f t="shared" ca="1" si="54"/>
        <v>1</v>
      </c>
    </row>
    <row r="690" spans="2:13">
      <c r="B690" s="14" t="s">
        <v>156</v>
      </c>
      <c r="C690" s="14">
        <v>1</v>
      </c>
      <c r="D690" s="14">
        <v>1</v>
      </c>
      <c r="E690" s="14">
        <v>1</v>
      </c>
      <c r="F690" s="14">
        <v>0</v>
      </c>
      <c r="G690" s="14">
        <v>12</v>
      </c>
      <c r="H690" s="8" t="str">
        <f ca="1">IF(RAND()&lt;0.25,
    "",
    IF($E690=0,
       CHOOSE(MATCH(RAND(),{0,0.2,0.4,0.6,0.7,0.8,0.85,0.9,0.95,1}),"B-354","B-386","B-4354","B-347","B-357","B-3471","B-34715","B-3571","B-35715"),
       IF($G690=24,
          "B-386",
          IF($G690=12,
             CHOOSE(MATCH(RAND(),{0,0.32,0.49,0.66,0.74,0.82,0.9,1}),"B-386","B-347","B-357","B-3471","B-34715","B-3571","B-35715"),
             "")
)))</f>
        <v>B-357</v>
      </c>
      <c r="I690" s="8" t="str">
        <f t="shared" ca="1" si="53"/>
        <v/>
      </c>
      <c r="J690">
        <f t="shared" ca="1" si="55"/>
        <v>15.1875</v>
      </c>
      <c r="K690">
        <f t="shared" ca="1" si="56"/>
        <v>72.8125</v>
      </c>
      <c r="L690" s="14">
        <f t="shared" ca="1" si="52"/>
        <v>9.6875</v>
      </c>
      <c r="M690" s="14">
        <f t="shared" ca="1" si="54"/>
        <v>1</v>
      </c>
    </row>
    <row r="691" spans="2:13">
      <c r="B691" s="14" t="s">
        <v>156</v>
      </c>
      <c r="C691" s="14">
        <v>1</v>
      </c>
      <c r="D691" s="14">
        <v>1</v>
      </c>
      <c r="E691" s="14">
        <v>1</v>
      </c>
      <c r="F691" s="14">
        <v>0</v>
      </c>
      <c r="G691" s="14">
        <v>24</v>
      </c>
      <c r="H691" s="8" t="str">
        <f ca="1">IF(RAND()&lt;0.25,
    "",
    IF($E691=0,
       CHOOSE(MATCH(RAND(),{0,0.2,0.4,0.6,0.7,0.8,0.85,0.9,0.95,1}),"B-354","B-386","B-4354","B-347","B-357","B-3471","B-34715","B-3571","B-35715"),
       IF($G691=24,
          "B-386",
          IF($G691=12,
             CHOOSE(MATCH(RAND(),{0,0.32,0.49,0.66,0.74,0.82,0.9,1}),"B-386","B-347","B-357","B-3471","B-34715","B-3571","B-35715"),
             "")
)))</f>
        <v>B-386</v>
      </c>
      <c r="I691" s="8" t="str">
        <f t="shared" ca="1" si="53"/>
        <v/>
      </c>
      <c r="J691">
        <f t="shared" ca="1" si="55"/>
        <v>12.4375</v>
      </c>
      <c r="K691">
        <f t="shared" ca="1" si="56"/>
        <v>52.375</v>
      </c>
      <c r="L691" s="14">
        <f t="shared" ca="1" si="52"/>
        <v>12</v>
      </c>
      <c r="M691" s="14">
        <f t="shared" ca="1" si="54"/>
        <v>6.3125</v>
      </c>
    </row>
    <row r="692" spans="2:13" hidden="1">
      <c r="B692" s="14" t="s">
        <v>156</v>
      </c>
      <c r="C692" s="14">
        <v>1</v>
      </c>
      <c r="D692" s="14">
        <v>1</v>
      </c>
      <c r="E692" s="14">
        <v>1</v>
      </c>
      <c r="F692" s="14">
        <v>0</v>
      </c>
      <c r="G692" s="14"/>
      <c r="H692" s="8" t="str">
        <f ca="1">IF(RAND()&lt;0.25,
    "",
    IF($E692=0,
       CHOOSE(MATCH(RAND(),{0,0.2,0.4,0.6,0.7,0.8,0.85,0.9,0.95,1}),"B-354","B-386","B-4354","B-347","B-357","B-3471","B-34715","B-3571","B-35715"),
       IF($G692=24,
          "B-386",
          IF($G692=12,
             CHOOSE(MATCH(RAND(),{0,0.32,0.49,0.66,0.74,0.82,0.9,1}),"B-386","B-347","B-357","B-3471","B-34715","B-3571","B-35715"),
             "")
)))</f>
        <v/>
      </c>
      <c r="I692" s="8" t="str">
        <f t="shared" ca="1" si="53"/>
        <v/>
      </c>
      <c r="J692">
        <f t="shared" ca="1" si="55"/>
        <v>47.625</v>
      </c>
      <c r="K692">
        <f t="shared" ca="1" si="56"/>
        <v>58.4375</v>
      </c>
      <c r="L692" s="14">
        <f t="shared" ca="1" si="52"/>
        <v>1</v>
      </c>
      <c r="M692" s="14" t="str">
        <f t="shared" ca="1" si="54"/>
        <v/>
      </c>
    </row>
    <row r="693" spans="2:13" hidden="1">
      <c r="B693" s="14" t="s">
        <v>156</v>
      </c>
      <c r="C693" s="14">
        <v>1</v>
      </c>
      <c r="D693" s="14">
        <v>1</v>
      </c>
      <c r="E693" s="14">
        <v>1</v>
      </c>
      <c r="F693" s="14">
        <v>1</v>
      </c>
      <c r="G693" s="14"/>
      <c r="H693" s="8" t="str">
        <f ca="1">IF(RAND()&lt;0.25,
    "",
    IF($E693=0,
       CHOOSE(MATCH(RAND(),{0,0.2,0.4,0.6,0.7,0.8,0.85,0.9,0.95,1}),"B-354","B-386","B-4354","B-347","B-357","B-3471","B-34715","B-3571","B-35715"),
       IF($G693=24,
          "B-386",
          IF($G693=12,
             CHOOSE(MATCH(RAND(),{0,0.32,0.49,0.66,0.74,0.82,0.9,1}),"B-386","B-347","B-357","B-3471","B-34715","B-3571","B-35715"),
             "")
)))</f>
        <v/>
      </c>
      <c r="I693" s="8" t="str">
        <f t="shared" ca="1" si="53"/>
        <v/>
      </c>
      <c r="J693">
        <f t="shared" ca="1" si="55"/>
        <v>44.5</v>
      </c>
      <c r="K693">
        <f t="shared" ca="1" si="56"/>
        <v>11.3125</v>
      </c>
      <c r="L693" s="14">
        <f t="shared" ca="1" si="52"/>
        <v>1</v>
      </c>
      <c r="M693" s="14">
        <f t="shared" ca="1" si="54"/>
        <v>4.125</v>
      </c>
    </row>
    <row r="694" spans="2:13" hidden="1">
      <c r="B694" s="14" t="s">
        <v>157</v>
      </c>
      <c r="C694" s="14">
        <v>0</v>
      </c>
      <c r="D694" s="14"/>
      <c r="E694" s="14">
        <v>0</v>
      </c>
      <c r="F694" s="14"/>
      <c r="G694" s="14"/>
      <c r="H694" s="8" t="str">
        <f ca="1">IF(RAND()&lt;0.25,
    "",
    IF($E694=0,
       CHOOSE(MATCH(RAND(),{0,0.2,0.4,0.6,0.7,0.8,0.85,0.9,0.95,1}),"B-354","B-386","B-4354","B-347","B-357","B-3471","B-34715","B-3571","B-35715"),
       IF($G694=24,
          "B-386",
          IF($G694=12,
             CHOOSE(MATCH(RAND(),{0,0.32,0.49,0.66,0.74,0.82,0.9,1}),"B-386","B-347","B-357","B-3471","B-34715","B-3571","B-35715"),
             "")
)))</f>
        <v/>
      </c>
      <c r="I694" s="8" t="str">
        <f t="shared" ca="1" si="53"/>
        <v/>
      </c>
      <c r="J694">
        <f t="shared" ca="1" si="55"/>
        <v>60</v>
      </c>
      <c r="K694">
        <f t="shared" ca="1" si="56"/>
        <v>75.5625</v>
      </c>
      <c r="L694" s="14">
        <f t="shared" ca="1" si="52"/>
        <v>4.5</v>
      </c>
      <c r="M694" s="14">
        <f t="shared" ca="1" si="54"/>
        <v>1</v>
      </c>
    </row>
    <row r="695" spans="2:13">
      <c r="B695" s="14" t="s">
        <v>157</v>
      </c>
      <c r="C695" s="14">
        <v>0</v>
      </c>
      <c r="D695" s="14"/>
      <c r="E695" s="14">
        <v>1</v>
      </c>
      <c r="F695" s="14">
        <v>0</v>
      </c>
      <c r="G695" s="14">
        <v>12</v>
      </c>
      <c r="H695" s="8" t="str">
        <f ca="1">IF(RAND()&lt;0.25,
    "",
    IF($E695=0,
       CHOOSE(MATCH(RAND(),{0,0.2,0.4,0.6,0.7,0.8,0.85,0.9,0.95,1}),"B-354","B-386","B-4354","B-347","B-357","B-3471","B-34715","B-3571","B-35715"),
       IF($G695=24,
          "B-386",
          IF($G695=12,
             CHOOSE(MATCH(RAND(),{0,0.32,0.49,0.66,0.74,0.82,0.9,1}),"B-386","B-347","B-357","B-3471","B-34715","B-3571","B-35715"),
             "")
)))</f>
        <v>B-386</v>
      </c>
      <c r="I695" s="8" t="str">
        <f t="shared" ca="1" si="53"/>
        <v/>
      </c>
      <c r="J695">
        <f t="shared" ca="1" si="55"/>
        <v>60</v>
      </c>
      <c r="K695">
        <f t="shared" ca="1" si="56"/>
        <v>68.5625</v>
      </c>
      <c r="L695" s="14">
        <f t="shared" ca="1" si="52"/>
        <v>1.25</v>
      </c>
      <c r="M695" s="14">
        <f t="shared" ca="1" si="54"/>
        <v>1.125</v>
      </c>
    </row>
    <row r="696" spans="2:13">
      <c r="B696" s="14" t="s">
        <v>157</v>
      </c>
      <c r="C696" s="14">
        <v>0</v>
      </c>
      <c r="D696" s="14"/>
      <c r="E696" s="14">
        <v>1</v>
      </c>
      <c r="F696" s="14">
        <v>0</v>
      </c>
      <c r="G696" s="14">
        <v>24</v>
      </c>
      <c r="H696" s="8" t="str">
        <f ca="1">IF(RAND()&lt;0.25,
    "",
    IF($E696=0,
       CHOOSE(MATCH(RAND(),{0,0.2,0.4,0.6,0.7,0.8,0.85,0.9,0.95,1}),"B-354","B-386","B-4354","B-347","B-357","B-3471","B-34715","B-3571","B-35715"),
       IF($G696=24,
          "B-386",
          IF($G696=12,
             CHOOSE(MATCH(RAND(),{0,0.32,0.49,0.66,0.74,0.82,0.9,1}),"B-386","B-347","B-357","B-3471","B-34715","B-3571","B-35715"),
             "")
)))</f>
        <v>B-386</v>
      </c>
      <c r="I696" s="8" t="str">
        <f t="shared" ca="1" si="53"/>
        <v/>
      </c>
      <c r="J696">
        <f t="shared" ca="1" si="55"/>
        <v>60</v>
      </c>
      <c r="K696">
        <f t="shared" ca="1" si="56"/>
        <v>62.125</v>
      </c>
      <c r="L696" s="14">
        <f t="shared" ca="1" si="52"/>
        <v>4.5</v>
      </c>
      <c r="M696" s="14">
        <f t="shared" ca="1" si="54"/>
        <v>1</v>
      </c>
    </row>
    <row r="697" spans="2:13" hidden="1">
      <c r="B697" s="14" t="s">
        <v>157</v>
      </c>
      <c r="C697" s="14">
        <v>0</v>
      </c>
      <c r="D697" s="14"/>
      <c r="E697" s="14">
        <v>1</v>
      </c>
      <c r="F697" s="14">
        <v>0</v>
      </c>
      <c r="G697" s="14"/>
      <c r="H697" s="8" t="str">
        <f ca="1">IF(RAND()&lt;0.25,
    "",
    IF($E697=0,
       CHOOSE(MATCH(RAND(),{0,0.2,0.4,0.6,0.7,0.8,0.85,0.9,0.95,1}),"B-354","B-386","B-4354","B-347","B-357","B-3471","B-34715","B-3571","B-35715"),
       IF($G697=24,
          "B-386",
          IF($G697=12,
             CHOOSE(MATCH(RAND(),{0,0.32,0.49,0.66,0.74,0.82,0.9,1}),"B-386","B-347","B-357","B-3471","B-34715","B-3571","B-35715"),
             "")
)))</f>
        <v/>
      </c>
      <c r="I697" s="8" t="str">
        <f t="shared" ca="1" si="53"/>
        <v/>
      </c>
      <c r="J697">
        <f t="shared" ca="1" si="55"/>
        <v>60</v>
      </c>
      <c r="K697">
        <f t="shared" ca="1" si="56"/>
        <v>68.25</v>
      </c>
      <c r="L697" s="14">
        <f t="shared" ca="1" si="52"/>
        <v>3.1875</v>
      </c>
      <c r="M697" s="14">
        <f t="shared" ca="1" si="54"/>
        <v>1</v>
      </c>
    </row>
    <row r="698" spans="2:13" hidden="1">
      <c r="B698" s="14" t="s">
        <v>157</v>
      </c>
      <c r="C698" s="14">
        <v>0</v>
      </c>
      <c r="D698" s="14"/>
      <c r="E698" s="14">
        <v>1</v>
      </c>
      <c r="F698" s="14">
        <v>1</v>
      </c>
      <c r="G698" s="14"/>
      <c r="H698" s="8" t="str">
        <f ca="1">IF(RAND()&lt;0.25,
    "",
    IF($E698=0,
       CHOOSE(MATCH(RAND(),{0,0.2,0.4,0.6,0.7,0.8,0.85,0.9,0.95,1}),"B-354","B-386","B-4354","B-347","B-357","B-3471","B-34715","B-3571","B-35715"),
       IF($G698=24,
          "B-386",
          IF($G698=12,
             CHOOSE(MATCH(RAND(),{0,0.32,0.49,0.66,0.74,0.82,0.9,1}),"B-386","B-347","B-357","B-3471","B-34715","B-3571","B-35715"),
             "")
)))</f>
        <v/>
      </c>
      <c r="I698" s="8" t="str">
        <f t="shared" ca="1" si="53"/>
        <v/>
      </c>
      <c r="J698">
        <f t="shared" ca="1" si="55"/>
        <v>60</v>
      </c>
      <c r="K698">
        <f t="shared" ca="1" si="56"/>
        <v>78.9375</v>
      </c>
      <c r="L698" s="14">
        <f t="shared" ca="1" si="52"/>
        <v>9</v>
      </c>
      <c r="M698" s="14">
        <f t="shared" ca="1" si="54"/>
        <v>1</v>
      </c>
    </row>
    <row r="699" spans="2:13">
      <c r="B699" s="14" t="s">
        <v>157</v>
      </c>
      <c r="C699" s="14">
        <v>1</v>
      </c>
      <c r="D699" s="14">
        <v>0</v>
      </c>
      <c r="E699" s="14">
        <v>0</v>
      </c>
      <c r="F699" s="14"/>
      <c r="G699" s="14"/>
      <c r="H699" s="8" t="str">
        <f ca="1">IF(RAND()&lt;0.25,
    "",
    IF($E699=0,
       CHOOSE(MATCH(RAND(),{0,0.2,0.4,0.6,0.7,0.8,0.85,0.9,0.95,1}),"B-354","B-386","B-4354","B-347","B-357","B-3471","B-34715","B-3571","B-35715"),
       IF($G699=24,
          "B-386",
          IF($G699=12,
             CHOOSE(MATCH(RAND(),{0,0.32,0.49,0.66,0.74,0.82,0.9,1}),"B-386","B-347","B-357","B-3471","B-34715","B-3571","B-35715"),
             "")
)))</f>
        <v>B-386</v>
      </c>
      <c r="I699" s="8" t="str">
        <f t="shared" ca="1" si="53"/>
        <v>B-4354</v>
      </c>
      <c r="J699">
        <f t="shared" ca="1" si="55"/>
        <v>60</v>
      </c>
      <c r="K699">
        <f t="shared" ca="1" si="56"/>
        <v>41.1875</v>
      </c>
      <c r="L699" s="14">
        <f t="shared" ca="1" si="52"/>
        <v>1</v>
      </c>
      <c r="M699" s="14">
        <f t="shared" ca="1" si="54"/>
        <v>2.8125</v>
      </c>
    </row>
    <row r="700" spans="2:13" hidden="1">
      <c r="B700" s="14" t="s">
        <v>157</v>
      </c>
      <c r="C700" s="14">
        <v>1</v>
      </c>
      <c r="D700" s="14">
        <v>0</v>
      </c>
      <c r="E700" s="14">
        <v>1</v>
      </c>
      <c r="F700" s="14">
        <v>0</v>
      </c>
      <c r="G700" s="14">
        <v>12</v>
      </c>
      <c r="H700" s="8" t="str">
        <f ca="1">IF(RAND()&lt;0.25,
    "",
    IF($E700=0,
       CHOOSE(MATCH(RAND(),{0,0.2,0.4,0.6,0.7,0.8,0.85,0.9,0.95,1}),"B-354","B-386","B-4354","B-347","B-357","B-3471","B-34715","B-3571","B-35715"),
       IF($G700=24,
          "B-386",
          IF($G700=12,
             CHOOSE(MATCH(RAND(),{0,0.32,0.49,0.66,0.74,0.82,0.9,1}),"B-386","B-347","B-357","B-3471","B-34715","B-3571","B-35715"),
             "")
)))</f>
        <v>B-34715</v>
      </c>
      <c r="I700" s="8" t="str">
        <f t="shared" ca="1" si="53"/>
        <v/>
      </c>
      <c r="J700">
        <f t="shared" ca="1" si="55"/>
        <v>60</v>
      </c>
      <c r="K700">
        <f t="shared" ca="1" si="56"/>
        <v>69.3125</v>
      </c>
      <c r="L700" s="14">
        <f t="shared" ca="1" si="52"/>
        <v>12</v>
      </c>
      <c r="M700" s="14" t="str">
        <f t="shared" ca="1" si="54"/>
        <v/>
      </c>
    </row>
    <row r="701" spans="2:13" hidden="1">
      <c r="B701" s="14" t="s">
        <v>157</v>
      </c>
      <c r="C701" s="14">
        <v>1</v>
      </c>
      <c r="D701" s="14">
        <v>0</v>
      </c>
      <c r="E701" s="14">
        <v>1</v>
      </c>
      <c r="F701" s="14">
        <v>0</v>
      </c>
      <c r="G701" s="14">
        <v>24</v>
      </c>
      <c r="H701" s="8" t="str">
        <f ca="1">IF(RAND()&lt;0.25,
    "",
    IF($E701=0,
       CHOOSE(MATCH(RAND(),{0,0.2,0.4,0.6,0.7,0.8,0.85,0.9,0.95,1}),"B-354","B-386","B-4354","B-347","B-357","B-3471","B-34715","B-3571","B-35715"),
       IF($G701=24,
          "B-386",
          IF($G701=12,
             CHOOSE(MATCH(RAND(),{0,0.32,0.49,0.66,0.74,0.82,0.9,1}),"B-386","B-347","B-357","B-3471","B-34715","B-3571","B-35715"),
             "")
)))</f>
        <v>B-386</v>
      </c>
      <c r="I701" s="8" t="str">
        <f t="shared" ca="1" si="53"/>
        <v/>
      </c>
      <c r="J701">
        <f t="shared" ca="1" si="55"/>
        <v>60</v>
      </c>
      <c r="K701">
        <f t="shared" ca="1" si="56"/>
        <v>79.625</v>
      </c>
      <c r="L701" s="14">
        <f t="shared" ca="1" si="52"/>
        <v>7.0625</v>
      </c>
      <c r="M701" s="14">
        <f t="shared" ca="1" si="54"/>
        <v>4.5</v>
      </c>
    </row>
    <row r="702" spans="2:13" hidden="1">
      <c r="B702" s="14" t="s">
        <v>157</v>
      </c>
      <c r="C702" s="14">
        <v>1</v>
      </c>
      <c r="D702" s="14">
        <v>0</v>
      </c>
      <c r="E702" s="14">
        <v>1</v>
      </c>
      <c r="F702" s="14">
        <v>0</v>
      </c>
      <c r="G702" s="14"/>
      <c r="H702" s="8" t="str">
        <f ca="1">IF(RAND()&lt;0.25,
    "",
    IF($E702=0,
       CHOOSE(MATCH(RAND(),{0,0.2,0.4,0.6,0.7,0.8,0.85,0.9,0.95,1}),"B-354","B-386","B-4354","B-347","B-357","B-3471","B-34715","B-3571","B-35715"),
       IF($G702=24,
          "B-386",
          IF($G702=12,
             CHOOSE(MATCH(RAND(),{0,0.32,0.49,0.66,0.74,0.82,0.9,1}),"B-386","B-347","B-357","B-3471","B-34715","B-3571","B-35715"),
             "")
)))</f>
        <v/>
      </c>
      <c r="I702" s="8" t="str">
        <f t="shared" ca="1" si="53"/>
        <v/>
      </c>
      <c r="J702">
        <f t="shared" ca="1" si="55"/>
        <v>60</v>
      </c>
      <c r="K702">
        <f t="shared" ca="1" si="56"/>
        <v>64.125</v>
      </c>
      <c r="L702" s="14">
        <f t="shared" ca="1" si="52"/>
        <v>1</v>
      </c>
      <c r="M702" s="14">
        <f t="shared" ca="1" si="54"/>
        <v>1</v>
      </c>
    </row>
    <row r="703" spans="2:13" hidden="1">
      <c r="B703" s="14" t="s">
        <v>157</v>
      </c>
      <c r="C703" s="14">
        <v>1</v>
      </c>
      <c r="D703" s="14">
        <v>0</v>
      </c>
      <c r="E703" s="14">
        <v>1</v>
      </c>
      <c r="F703" s="14">
        <v>1</v>
      </c>
      <c r="G703" s="14"/>
      <c r="H703" s="8" t="str">
        <f ca="1">IF(RAND()&lt;0.25,
    "",
    IF($E703=0,
       CHOOSE(MATCH(RAND(),{0,0.2,0.4,0.6,0.7,0.8,0.85,0.9,0.95,1}),"B-354","B-386","B-4354","B-347","B-357","B-3471","B-34715","B-3571","B-35715"),
       IF($G703=24,
          "B-386",
          IF($G703=12,
             CHOOSE(MATCH(RAND(),{0,0.32,0.49,0.66,0.74,0.82,0.9,1}),"B-386","B-347","B-357","B-3471","B-34715","B-3571","B-35715"),
             "")
)))</f>
        <v/>
      </c>
      <c r="I703" s="8" t="str">
        <f t="shared" ca="1" si="53"/>
        <v/>
      </c>
      <c r="J703">
        <f t="shared" ca="1" si="55"/>
        <v>60</v>
      </c>
      <c r="K703">
        <f t="shared" ca="1" si="56"/>
        <v>22.375</v>
      </c>
      <c r="L703" s="14">
        <f t="shared" ca="1" si="52"/>
        <v>1</v>
      </c>
      <c r="M703" s="14" t="str">
        <f t="shared" ca="1" si="54"/>
        <v/>
      </c>
    </row>
    <row r="704" spans="2:13" hidden="1">
      <c r="B704" s="14" t="s">
        <v>157</v>
      </c>
      <c r="C704" s="14">
        <v>1</v>
      </c>
      <c r="D704" s="14">
        <v>1</v>
      </c>
      <c r="E704" s="14">
        <v>0</v>
      </c>
      <c r="F704" s="14"/>
      <c r="G704" s="14"/>
      <c r="H704" s="8" t="str">
        <f ca="1">IF(RAND()&lt;0.25,
    "",
    IF($E704=0,
       CHOOSE(MATCH(RAND(),{0,0.2,0.4,0.6,0.7,0.8,0.85,0.9,0.95,1}),"B-354","B-386","B-4354","B-347","B-357","B-3471","B-34715","B-3571","B-35715"),
       IF($G704=24,
          "B-386",
          IF($G704=12,
             CHOOSE(MATCH(RAND(),{0,0.32,0.49,0.66,0.74,0.82,0.9,1}),"B-386","B-347","B-357","B-3471","B-34715","B-3571","B-35715"),
             "")
)))</f>
        <v>B-4354</v>
      </c>
      <c r="I704" s="8" t="str">
        <f t="shared" ca="1" si="53"/>
        <v>B-386</v>
      </c>
      <c r="J704">
        <f t="shared" ca="1" si="55"/>
        <v>60</v>
      </c>
      <c r="K704">
        <f t="shared" ca="1" si="56"/>
        <v>73.6875</v>
      </c>
      <c r="L704" s="14">
        <f t="shared" ca="1" si="52"/>
        <v>2</v>
      </c>
      <c r="M704" s="14">
        <f t="shared" ca="1" si="54"/>
        <v>4.8125</v>
      </c>
    </row>
    <row r="705" spans="2:13">
      <c r="B705" s="14" t="s">
        <v>157</v>
      </c>
      <c r="C705" s="14">
        <v>1</v>
      </c>
      <c r="D705" s="14">
        <v>1</v>
      </c>
      <c r="E705" s="14">
        <v>1</v>
      </c>
      <c r="F705" s="14">
        <v>0</v>
      </c>
      <c r="G705" s="14">
        <v>12</v>
      </c>
      <c r="H705" s="8" t="str">
        <f ca="1">IF(RAND()&lt;0.25,
    "",
    IF($E705=0,
       CHOOSE(MATCH(RAND(),{0,0.2,0.4,0.6,0.7,0.8,0.85,0.9,0.95,1}),"B-354","B-386","B-4354","B-347","B-357","B-3471","B-34715","B-3571","B-35715"),
       IF($G705=24,
          "B-386",
          IF($G705=12,
             CHOOSE(MATCH(RAND(),{0,0.32,0.49,0.66,0.74,0.82,0.9,1}),"B-386","B-347","B-357","B-3471","B-34715","B-3571","B-35715"),
             "")
)))</f>
        <v>B-34715</v>
      </c>
      <c r="I705" s="8" t="str">
        <f t="shared" ca="1" si="53"/>
        <v/>
      </c>
      <c r="J705">
        <f t="shared" ca="1" si="55"/>
        <v>60</v>
      </c>
      <c r="K705">
        <f t="shared" ca="1" si="56"/>
        <v>67.5</v>
      </c>
      <c r="L705" s="14">
        <f t="shared" ca="1" si="52"/>
        <v>9</v>
      </c>
      <c r="M705" s="14">
        <f t="shared" ca="1" si="54"/>
        <v>1</v>
      </c>
    </row>
    <row r="706" spans="2:13">
      <c r="B706" s="14" t="s">
        <v>157</v>
      </c>
      <c r="C706" s="14">
        <v>1</v>
      </c>
      <c r="D706" s="14">
        <v>1</v>
      </c>
      <c r="E706" s="14">
        <v>1</v>
      </c>
      <c r="F706" s="14">
        <v>0</v>
      </c>
      <c r="G706" s="14">
        <v>24</v>
      </c>
      <c r="H706" s="8" t="str">
        <f ca="1">IF(RAND()&lt;0.25,
    "",
    IF($E706=0,
       CHOOSE(MATCH(RAND(),{0,0.2,0.4,0.6,0.7,0.8,0.85,0.9,0.95,1}),"B-354","B-386","B-4354","B-347","B-357","B-3471","B-34715","B-3571","B-35715"),
       IF($G706=24,
          "B-386",
          IF($G706=12,
             CHOOSE(MATCH(RAND(),{0,0.32,0.49,0.66,0.74,0.82,0.9,1}),"B-386","B-347","B-357","B-3471","B-34715","B-3571","B-35715"),
             "")
)))</f>
        <v>B-386</v>
      </c>
      <c r="I706" s="8" t="str">
        <f t="shared" ca="1" si="53"/>
        <v/>
      </c>
      <c r="J706">
        <f t="shared" ca="1" si="55"/>
        <v>60</v>
      </c>
      <c r="K706">
        <f t="shared" ca="1" si="56"/>
        <v>47.375</v>
      </c>
      <c r="L706" s="14">
        <f t="shared" ca="1" si="52"/>
        <v>3.3125</v>
      </c>
      <c r="M706" s="14" t="str">
        <f t="shared" ca="1" si="54"/>
        <v/>
      </c>
    </row>
    <row r="707" spans="2:13" hidden="1">
      <c r="B707" s="14" t="s">
        <v>157</v>
      </c>
      <c r="C707" s="14">
        <v>1</v>
      </c>
      <c r="D707" s="14">
        <v>1</v>
      </c>
      <c r="E707" s="14">
        <v>1</v>
      </c>
      <c r="F707" s="14">
        <v>0</v>
      </c>
      <c r="G707" s="14"/>
      <c r="H707" s="8" t="str">
        <f ca="1">IF(RAND()&lt;0.25,
    "",
    IF($E707=0,
       CHOOSE(MATCH(RAND(),{0,0.2,0.4,0.6,0.7,0.8,0.85,0.9,0.95,1}),"B-354","B-386","B-4354","B-347","B-357","B-3471","B-34715","B-3571","B-35715"),
       IF($G707=24,
          "B-386",
          IF($G707=12,
             CHOOSE(MATCH(RAND(),{0,0.32,0.49,0.66,0.74,0.82,0.9,1}),"B-386","B-347","B-357","B-3471","B-34715","B-3571","B-35715"),
             "")
)))</f>
        <v/>
      </c>
      <c r="I707" s="8" t="str">
        <f t="shared" ca="1" si="53"/>
        <v/>
      </c>
      <c r="J707">
        <f t="shared" ca="1" si="55"/>
        <v>60</v>
      </c>
      <c r="K707">
        <f t="shared" ca="1" si="56"/>
        <v>78.4375</v>
      </c>
      <c r="L707" s="14">
        <f t="shared" ca="1" si="52"/>
        <v>3.25</v>
      </c>
      <c r="M707" s="14">
        <f t="shared" ca="1" si="54"/>
        <v>4.625</v>
      </c>
    </row>
    <row r="708" spans="2:13" hidden="1">
      <c r="B708" s="14" t="s">
        <v>157</v>
      </c>
      <c r="C708" s="14">
        <v>1</v>
      </c>
      <c r="D708" s="14">
        <v>1</v>
      </c>
      <c r="E708" s="14">
        <v>1</v>
      </c>
      <c r="F708" s="14">
        <v>1</v>
      </c>
      <c r="G708" s="14"/>
      <c r="H708" s="8" t="str">
        <f ca="1">IF(RAND()&lt;0.25,
    "",
    IF($E708=0,
       CHOOSE(MATCH(RAND(),{0,0.2,0.4,0.6,0.7,0.8,0.85,0.9,0.95,1}),"B-354","B-386","B-4354","B-347","B-357","B-3471","B-34715","B-3571","B-35715"),
       IF($G708=24,
          "B-386",
          IF($G708=12,
             CHOOSE(MATCH(RAND(),{0,0.32,0.49,0.66,0.74,0.82,0.9,1}),"B-386","B-347","B-357","B-3471","B-34715","B-3571","B-35715"),
             "")
)))</f>
        <v/>
      </c>
      <c r="I708" s="8" t="str">
        <f t="shared" ca="1" si="53"/>
        <v/>
      </c>
      <c r="J708">
        <f t="shared" ca="1" si="55"/>
        <v>60</v>
      </c>
      <c r="K708">
        <f t="shared" ca="1" si="56"/>
        <v>8.8125</v>
      </c>
      <c r="L708" s="14">
        <f t="shared" ref="L708:L723" ca="1" si="57" xml:space="preserve">    _xlfn.LET(
      _xlpm.k, RANDBETWEEN(1,6),
      _xlpm.step, 1/16,
      IF(
        _xlpm.k=1, 1,
        IF(
          _xlpm.k=2, 4.5,
          IF(
            _xlpm.k=3, 9,
            IF(
              _xlpm.k=4, 12,
              IF(
                _xlpm.k=5,
                  1 + _xlpm.step*RANDBETWEEN(1, (4.5-1)/_xlpm.step - 1),
                  4.5 + _xlpm.step*RANDBETWEEN(1, (12-4.5)/_xlpm.step - 1)
              )
            )
          )
        )
      )
    )</f>
        <v>2.8125</v>
      </c>
      <c r="M708" s="14">
        <f t="shared" ca="1" si="54"/>
        <v>1</v>
      </c>
    </row>
    <row r="709" spans="2:13" hidden="1">
      <c r="B709" s="14" t="s">
        <v>21</v>
      </c>
      <c r="C709" s="14">
        <v>0</v>
      </c>
      <c r="D709" s="14"/>
      <c r="E709" s="14">
        <v>0</v>
      </c>
      <c r="F709" s="14"/>
      <c r="G709" s="14"/>
      <c r="H709" s="8" t="str">
        <f ca="1">IF(RAND()&lt;0.25,
    "",
    IF($E709=0,
       CHOOSE(MATCH(RAND(),{0,0.2,0.4,0.6,0.7,0.8,0.85,0.9,0.95,1}),"B-354","B-386","B-4354","B-347","B-357","B-3471","B-34715","B-3571","B-35715"),
       IF($G709=24,
          "B-386",
          IF($G709=12,
             CHOOSE(MATCH(RAND(),{0,0.32,0.49,0.66,0.74,0.82,0.9,1}),"B-386","B-347","B-357","B-3471","B-34715","B-3571","B-35715"),
             "")
)))</f>
        <v>B-347</v>
      </c>
      <c r="I709" s="8" t="str">
        <f t="shared" ref="I709:I723" ca="1" si="58">IF($H709="",
    "",
    IF(AND($E709=0,OR($H709="B-354",$H709="B-386",$H709="B-4354")),
       IF(RAND()&lt;0.5,
          "",
          IF($H709="B-354",
             "B-386",
             IF($H709="B-4354",
                "B-386",
                IF($H709="B-386",
                   IF(RAND()&lt;0.5,
                      "B-354",
                      "B-4354"),
                   "")
                 ))),
       ""))</f>
        <v/>
      </c>
      <c r="J709">
        <f t="shared" ca="1" si="55"/>
        <v>96</v>
      </c>
      <c r="K709">
        <f t="shared" ca="1" si="56"/>
        <v>52.5</v>
      </c>
      <c r="L709" s="14">
        <f t="shared" ca="1" si="57"/>
        <v>4.5</v>
      </c>
      <c r="M709" s="14">
        <f t="shared" ref="M709:M723" ca="1" si="59">_xlfn.LET(
  _xlpm.r, RAND(),
  IF(
     _xlpm.r &lt; 0.25,
     1,
     IF(
        _xlpm.r &lt; 0.5,
        1 + RANDBETWEEN(0,16*4)/16,
        IF(
            _xlpm.r &lt; 0.75,
            4.5 + RANDBETWEEN(0,16*4)/16,
            ""
           )
        )
     )
)</f>
        <v>7.1875</v>
      </c>
    </row>
    <row r="710" spans="2:13">
      <c r="B710" s="14" t="s">
        <v>21</v>
      </c>
      <c r="C710" s="14">
        <v>0</v>
      </c>
      <c r="D710" s="14"/>
      <c r="E710" s="14">
        <v>1</v>
      </c>
      <c r="F710" s="14">
        <v>0</v>
      </c>
      <c r="G710" s="14">
        <v>12</v>
      </c>
      <c r="H710" s="8" t="str">
        <f ca="1">IF(RAND()&lt;0.25,
    "",
    IF($E710=0,
       CHOOSE(MATCH(RAND(),{0,0.2,0.4,0.6,0.7,0.8,0.85,0.9,0.95,1}),"B-354","B-386","B-4354","B-347","B-357","B-3471","B-34715","B-3571","B-35715"),
       IF($G710=24,
          "B-386",
          IF($G710=12,
             CHOOSE(MATCH(RAND(),{0,0.32,0.49,0.66,0.74,0.82,0.9,1}),"B-386","B-347","B-357","B-3471","B-34715","B-3571","B-35715"),
             "")
)))</f>
        <v>B-347</v>
      </c>
      <c r="I710" s="8" t="str">
        <f t="shared" ca="1" si="58"/>
        <v/>
      </c>
      <c r="J710">
        <f t="shared" ca="1" si="55"/>
        <v>72.3125</v>
      </c>
      <c r="K710">
        <f t="shared" ca="1" si="56"/>
        <v>50.75</v>
      </c>
      <c r="L710" s="14">
        <f t="shared" ca="1" si="57"/>
        <v>1</v>
      </c>
      <c r="M710" s="14">
        <f t="shared" ca="1" si="59"/>
        <v>1.25</v>
      </c>
    </row>
    <row r="711" spans="2:13">
      <c r="B711" s="14" t="s">
        <v>21</v>
      </c>
      <c r="C711" s="14">
        <v>0</v>
      </c>
      <c r="D711" s="14"/>
      <c r="E711" s="14">
        <v>1</v>
      </c>
      <c r="F711" s="14">
        <v>0</v>
      </c>
      <c r="G711" s="14">
        <v>24</v>
      </c>
      <c r="H711" s="8" t="str">
        <f ca="1">IF(RAND()&lt;0.25,
    "",
    IF($E711=0,
       CHOOSE(MATCH(RAND(),{0,0.2,0.4,0.6,0.7,0.8,0.85,0.9,0.95,1}),"B-354","B-386","B-4354","B-347","B-357","B-3471","B-34715","B-3571","B-35715"),
       IF($G711=24,
          "B-386",
          IF($G711=12,
             CHOOSE(MATCH(RAND(),{0,0.32,0.49,0.66,0.74,0.82,0.9,1}),"B-386","B-347","B-357","B-3471","B-34715","B-3571","B-35715"),
             "")
)))</f>
        <v>B-386</v>
      </c>
      <c r="I711" s="8" t="str">
        <f t="shared" ca="1" si="58"/>
        <v/>
      </c>
      <c r="J711">
        <f t="shared" ca="1" si="55"/>
        <v>64.9375</v>
      </c>
      <c r="K711">
        <f t="shared" ca="1" si="56"/>
        <v>70.625</v>
      </c>
      <c r="L711" s="14">
        <f t="shared" ca="1" si="57"/>
        <v>1</v>
      </c>
      <c r="M711" s="14">
        <f t="shared" ca="1" si="59"/>
        <v>7.5</v>
      </c>
    </row>
    <row r="712" spans="2:13" hidden="1">
      <c r="B712" s="14" t="s">
        <v>21</v>
      </c>
      <c r="C712" s="14">
        <v>0</v>
      </c>
      <c r="D712" s="14"/>
      <c r="E712" s="14">
        <v>1</v>
      </c>
      <c r="F712" s="14">
        <v>0</v>
      </c>
      <c r="G712" s="14"/>
      <c r="H712" s="8" t="str">
        <f ca="1">IF(RAND()&lt;0.25,
    "",
    IF($E712=0,
       CHOOSE(MATCH(RAND(),{0,0.2,0.4,0.6,0.7,0.8,0.85,0.9,0.95,1}),"B-354","B-386","B-4354","B-347","B-357","B-3471","B-34715","B-3571","B-35715"),
       IF($G712=24,
          "B-386",
          IF($G712=12,
             CHOOSE(MATCH(RAND(),{0,0.32,0.49,0.66,0.74,0.82,0.9,1}),"B-386","B-347","B-357","B-3471","B-34715","B-3571","B-35715"),
             "")
)))</f>
        <v/>
      </c>
      <c r="I712" s="8" t="str">
        <f t="shared" ca="1" si="58"/>
        <v/>
      </c>
      <c r="J712">
        <f t="shared" ca="1" si="55"/>
        <v>100.625</v>
      </c>
      <c r="K712">
        <f t="shared" ca="1" si="56"/>
        <v>25.1875</v>
      </c>
      <c r="L712" s="14">
        <f t="shared" ca="1" si="57"/>
        <v>12</v>
      </c>
      <c r="M712" s="14">
        <f t="shared" ca="1" si="59"/>
        <v>1.625</v>
      </c>
    </row>
    <row r="713" spans="2:13" hidden="1">
      <c r="B713" s="14" t="s">
        <v>21</v>
      </c>
      <c r="C713" s="14">
        <v>0</v>
      </c>
      <c r="D713" s="14"/>
      <c r="E713" s="14">
        <v>1</v>
      </c>
      <c r="F713" s="14">
        <v>1</v>
      </c>
      <c r="G713" s="14"/>
      <c r="H713" s="8" t="str">
        <f ca="1">IF(RAND()&lt;0.25,
    "",
    IF($E713=0,
       CHOOSE(MATCH(RAND(),{0,0.2,0.4,0.6,0.7,0.8,0.85,0.9,0.95,1}),"B-354","B-386","B-4354","B-347","B-357","B-3471","B-34715","B-3571","B-35715"),
       IF($G713=24,
          "B-386",
          IF($G713=12,
             CHOOSE(MATCH(RAND(),{0,0.32,0.49,0.66,0.74,0.82,0.9,1}),"B-386","B-347","B-357","B-3471","B-34715","B-3571","B-35715"),
             "")
)))</f>
        <v/>
      </c>
      <c r="I713" s="8" t="str">
        <f t="shared" ca="1" si="58"/>
        <v/>
      </c>
      <c r="J713">
        <f t="shared" ca="1" si="55"/>
        <v>54.1875</v>
      </c>
      <c r="K713">
        <f t="shared" ca="1" si="56"/>
        <v>57.9375</v>
      </c>
      <c r="L713" s="14">
        <f t="shared" ca="1" si="57"/>
        <v>12</v>
      </c>
      <c r="M713" s="14">
        <f t="shared" ca="1" si="59"/>
        <v>1</v>
      </c>
    </row>
    <row r="714" spans="2:13" hidden="1">
      <c r="B714" s="14" t="s">
        <v>21</v>
      </c>
      <c r="C714" s="14">
        <v>1</v>
      </c>
      <c r="D714" s="14">
        <v>0</v>
      </c>
      <c r="E714" s="14">
        <v>0</v>
      </c>
      <c r="F714" s="14"/>
      <c r="G714" s="14"/>
      <c r="H714" s="8" t="str">
        <f ca="1">IF(RAND()&lt;0.25,
    "",
    IF($E714=0,
       CHOOSE(MATCH(RAND(),{0,0.2,0.4,0.6,0.7,0.8,0.85,0.9,0.95,1}),"B-354","B-386","B-4354","B-347","B-357","B-3471","B-34715","B-3571","B-35715"),
       IF($G714=24,
          "B-386",
          IF($G714=12,
             CHOOSE(MATCH(RAND(),{0,0.32,0.49,0.66,0.74,0.82,0.9,1}),"B-386","B-347","B-357","B-3471","B-34715","B-3571","B-35715"),
             "")
)))</f>
        <v>B-34715</v>
      </c>
      <c r="I714" s="8" t="str">
        <f t="shared" ca="1" si="58"/>
        <v/>
      </c>
      <c r="J714">
        <f t="shared" ca="1" si="55"/>
        <v>54.8125</v>
      </c>
      <c r="K714">
        <f t="shared" ca="1" si="56"/>
        <v>64.3125</v>
      </c>
      <c r="L714" s="14">
        <f t="shared" ca="1" si="57"/>
        <v>9</v>
      </c>
      <c r="M714" s="14">
        <f t="shared" ca="1" si="59"/>
        <v>4.9375</v>
      </c>
    </row>
    <row r="715" spans="2:13" hidden="1">
      <c r="B715" s="14" t="s">
        <v>21</v>
      </c>
      <c r="C715" s="14">
        <v>1</v>
      </c>
      <c r="D715" s="14">
        <v>0</v>
      </c>
      <c r="E715" s="14">
        <v>1</v>
      </c>
      <c r="F715" s="14">
        <v>0</v>
      </c>
      <c r="G715" s="14">
        <v>12</v>
      </c>
      <c r="H715" s="8" t="str">
        <f ca="1">IF(RAND()&lt;0.25,
    "",
    IF($E715=0,
       CHOOSE(MATCH(RAND(),{0,0.2,0.4,0.6,0.7,0.8,0.85,0.9,0.95,1}),"B-354","B-386","B-4354","B-347","B-357","B-3471","B-34715","B-3571","B-35715"),
       IF($G715=24,
          "B-386",
          IF($G715=12,
             CHOOSE(MATCH(RAND(),{0,0.32,0.49,0.66,0.74,0.82,0.9,1}),"B-386","B-347","B-357","B-3471","B-34715","B-3571","B-35715"),
             "")
)))</f>
        <v>B-34715</v>
      </c>
      <c r="I715" s="8" t="str">
        <f t="shared" ca="1" si="58"/>
        <v/>
      </c>
      <c r="J715">
        <f t="shared" ca="1" si="55"/>
        <v>51.4375</v>
      </c>
      <c r="K715">
        <f t="shared" ca="1" si="56"/>
        <v>63.625</v>
      </c>
      <c r="L715" s="14">
        <f t="shared" ca="1" si="57"/>
        <v>1</v>
      </c>
      <c r="M715" s="14">
        <f t="shared" ca="1" si="59"/>
        <v>8.3125</v>
      </c>
    </row>
    <row r="716" spans="2:13" hidden="1">
      <c r="B716" s="14" t="s">
        <v>21</v>
      </c>
      <c r="C716" s="14">
        <v>1</v>
      </c>
      <c r="D716" s="14">
        <v>0</v>
      </c>
      <c r="E716" s="14">
        <v>1</v>
      </c>
      <c r="F716" s="14">
        <v>0</v>
      </c>
      <c r="G716" s="14">
        <v>24</v>
      </c>
      <c r="H716" s="8" t="str">
        <f ca="1">IF(RAND()&lt;0.25,
    "",
    IF($E716=0,
       CHOOSE(MATCH(RAND(),{0,0.2,0.4,0.6,0.7,0.8,0.85,0.9,0.95,1}),"B-354","B-386","B-4354","B-347","B-357","B-3471","B-34715","B-3571","B-35715"),
       IF($G716=24,
          "B-386",
          IF($G716=12,
             CHOOSE(MATCH(RAND(),{0,0.32,0.49,0.66,0.74,0.82,0.9,1}),"B-386","B-347","B-357","B-3471","B-34715","B-3571","B-35715"),
             "")
)))</f>
        <v>B-386</v>
      </c>
      <c r="I716" s="8" t="str">
        <f t="shared" ca="1" si="58"/>
        <v/>
      </c>
      <c r="J716">
        <f t="shared" ca="1" si="55"/>
        <v>69.3125</v>
      </c>
      <c r="K716">
        <f t="shared" ca="1" si="56"/>
        <v>56.0625</v>
      </c>
      <c r="L716" s="14">
        <f t="shared" ca="1" si="57"/>
        <v>7.125</v>
      </c>
      <c r="M716" s="14" t="str">
        <f t="shared" ca="1" si="59"/>
        <v/>
      </c>
    </row>
    <row r="717" spans="2:13" hidden="1">
      <c r="B717" s="14" t="s">
        <v>21</v>
      </c>
      <c r="C717" s="14">
        <v>1</v>
      </c>
      <c r="D717" s="14">
        <v>0</v>
      </c>
      <c r="E717" s="14">
        <v>1</v>
      </c>
      <c r="F717" s="14">
        <v>0</v>
      </c>
      <c r="G717" s="14"/>
      <c r="H717" s="8" t="str">
        <f ca="1">IF(RAND()&lt;0.25,
    "",
    IF($E717=0,
       CHOOSE(MATCH(RAND(),{0,0.2,0.4,0.6,0.7,0.8,0.85,0.9,0.95,1}),"B-354","B-386","B-4354","B-347","B-357","B-3471","B-34715","B-3571","B-35715"),
       IF($G717=24,
          "B-386",
          IF($G717=12,
             CHOOSE(MATCH(RAND(),{0,0.32,0.49,0.66,0.74,0.82,0.9,1}),"B-386","B-347","B-357","B-3471","B-34715","B-3571","B-35715"),
             "")
)))</f>
        <v/>
      </c>
      <c r="I717" s="8" t="str">
        <f t="shared" ca="1" si="58"/>
        <v/>
      </c>
      <c r="J717">
        <f t="shared" ca="1" si="55"/>
        <v>57</v>
      </c>
      <c r="K717">
        <f t="shared" ca="1" si="56"/>
        <v>49.4375</v>
      </c>
      <c r="L717" s="14">
        <f t="shared" ca="1" si="57"/>
        <v>1</v>
      </c>
      <c r="M717" s="14" t="str">
        <f t="shared" ca="1" si="59"/>
        <v/>
      </c>
    </row>
    <row r="718" spans="2:13" hidden="1">
      <c r="B718" s="14" t="s">
        <v>21</v>
      </c>
      <c r="C718" s="14">
        <v>1</v>
      </c>
      <c r="D718" s="14">
        <v>0</v>
      </c>
      <c r="E718" s="14">
        <v>1</v>
      </c>
      <c r="F718" s="14">
        <v>1</v>
      </c>
      <c r="G718" s="14"/>
      <c r="H718" s="8" t="str">
        <f ca="1">IF(RAND()&lt;0.25,
    "",
    IF($E718=0,
       CHOOSE(MATCH(RAND(),{0,0.2,0.4,0.6,0.7,0.8,0.85,0.9,0.95,1}),"B-354","B-386","B-4354","B-347","B-357","B-3471","B-34715","B-3571","B-35715"),
       IF($G718=24,
          "B-386",
          IF($G718=12,
             CHOOSE(MATCH(RAND(),{0,0.32,0.49,0.66,0.74,0.82,0.9,1}),"B-386","B-347","B-357","B-3471","B-34715","B-3571","B-35715"),
             "")
)))</f>
        <v/>
      </c>
      <c r="I718" s="8" t="str">
        <f t="shared" ca="1" si="58"/>
        <v/>
      </c>
      <c r="J718">
        <f t="shared" ca="1" si="55"/>
        <v>54.125</v>
      </c>
      <c r="K718">
        <f t="shared" ca="1" si="56"/>
        <v>25.5</v>
      </c>
      <c r="L718" s="14">
        <f t="shared" ca="1" si="57"/>
        <v>9</v>
      </c>
      <c r="M718" s="14">
        <f t="shared" ca="1" si="59"/>
        <v>1</v>
      </c>
    </row>
    <row r="719" spans="2:13">
      <c r="B719" s="14" t="s">
        <v>21</v>
      </c>
      <c r="C719" s="14">
        <v>1</v>
      </c>
      <c r="D719" s="14">
        <v>1</v>
      </c>
      <c r="E719" s="14">
        <v>0</v>
      </c>
      <c r="F719" s="14"/>
      <c r="G719" s="14"/>
      <c r="H719" s="8" t="str">
        <f ca="1">IF(RAND()&lt;0.25,
    "",
    IF($E719=0,
       CHOOSE(MATCH(RAND(),{0,0.2,0.4,0.6,0.7,0.8,0.85,0.9,0.95,1}),"B-354","B-386","B-4354","B-347","B-357","B-3471","B-34715","B-3571","B-35715"),
       IF($G719=24,
          "B-386",
          IF($G719=12,
             CHOOSE(MATCH(RAND(),{0,0.32,0.49,0.66,0.74,0.82,0.9,1}),"B-386","B-347","B-357","B-3471","B-34715","B-3571","B-35715"),
             "")
)))</f>
        <v>B-354</v>
      </c>
      <c r="I719" s="8" t="str">
        <f t="shared" ca="1" si="58"/>
        <v/>
      </c>
      <c r="J719">
        <f t="shared" ca="1" si="55"/>
        <v>84.3125</v>
      </c>
      <c r="K719">
        <f t="shared" ca="1" si="56"/>
        <v>57.4375</v>
      </c>
      <c r="L719" s="14">
        <f t="shared" ca="1" si="57"/>
        <v>9</v>
      </c>
      <c r="M719" s="14">
        <f t="shared" ca="1" si="59"/>
        <v>1</v>
      </c>
    </row>
    <row r="720" spans="2:13">
      <c r="B720" s="14" t="s">
        <v>21</v>
      </c>
      <c r="C720" s="14">
        <v>1</v>
      </c>
      <c r="D720" s="14">
        <v>1</v>
      </c>
      <c r="E720" s="14">
        <v>1</v>
      </c>
      <c r="F720" s="14">
        <v>0</v>
      </c>
      <c r="G720" s="14">
        <v>12</v>
      </c>
      <c r="H720" s="8" t="str">
        <f ca="1">IF(RAND()&lt;0.25,
    "",
    IF($E720=0,
       CHOOSE(MATCH(RAND(),{0,0.2,0.4,0.6,0.7,0.8,0.85,0.9,0.95,1}),"B-354","B-386","B-4354","B-347","B-357","B-3471","B-34715","B-3571","B-35715"),
       IF($G720=24,
          "B-386",
          IF($G720=12,
             CHOOSE(MATCH(RAND(),{0,0.32,0.49,0.66,0.74,0.82,0.9,1}),"B-386","B-347","B-357","B-3471","B-34715","B-3571","B-35715"),
             "")
)))</f>
        <v>B-3571</v>
      </c>
      <c r="I720" s="8" t="str">
        <f t="shared" ca="1" si="58"/>
        <v/>
      </c>
      <c r="J720">
        <f t="shared" ca="1" si="55"/>
        <v>83.75</v>
      </c>
      <c r="K720">
        <f t="shared" ca="1" si="56"/>
        <v>59.125</v>
      </c>
      <c r="L720" s="14">
        <f t="shared" ca="1" si="57"/>
        <v>4.5</v>
      </c>
      <c r="M720" s="14">
        <f t="shared" ca="1" si="59"/>
        <v>1</v>
      </c>
    </row>
    <row r="721" spans="2:13">
      <c r="B721" s="14" t="s">
        <v>21</v>
      </c>
      <c r="C721" s="14">
        <v>1</v>
      </c>
      <c r="D721" s="14">
        <v>1</v>
      </c>
      <c r="E721" s="14">
        <v>1</v>
      </c>
      <c r="F721" s="14">
        <v>0</v>
      </c>
      <c r="G721" s="14">
        <v>24</v>
      </c>
      <c r="H721" s="8" t="str">
        <f ca="1">IF(RAND()&lt;0.25,
    "",
    IF($E721=0,
       CHOOSE(MATCH(RAND(),{0,0.2,0.4,0.6,0.7,0.8,0.85,0.9,0.95,1}),"B-354","B-386","B-4354","B-347","B-357","B-3471","B-34715","B-3571","B-35715"),
       IF($G721=24,
          "B-386",
          IF($G721=12,
             CHOOSE(MATCH(RAND(),{0,0.32,0.49,0.66,0.74,0.82,0.9,1}),"B-386","B-347","B-357","B-3471","B-34715","B-3571","B-35715"),
             "")
)))</f>
        <v>B-386</v>
      </c>
      <c r="I721" s="8" t="str">
        <f t="shared" ca="1" si="58"/>
        <v/>
      </c>
      <c r="J721">
        <f t="shared" ca="1" si="55"/>
        <v>96</v>
      </c>
      <c r="K721">
        <f t="shared" ca="1" si="56"/>
        <v>59.5625</v>
      </c>
      <c r="L721" s="14">
        <f t="shared" ca="1" si="57"/>
        <v>1</v>
      </c>
      <c r="M721" s="14" t="str">
        <f t="shared" ca="1" si="59"/>
        <v/>
      </c>
    </row>
    <row r="722" spans="2:13" hidden="1">
      <c r="B722" s="14" t="s">
        <v>21</v>
      </c>
      <c r="C722" s="14">
        <v>1</v>
      </c>
      <c r="D722" s="14">
        <v>1</v>
      </c>
      <c r="E722" s="14">
        <v>1</v>
      </c>
      <c r="F722" s="14">
        <v>0</v>
      </c>
      <c r="G722" s="14"/>
      <c r="H722" s="8" t="str">
        <f ca="1">IF(RAND()&lt;0.25,
    "",
    IF($E722=0,
       CHOOSE(MATCH(RAND(),{0,0.2,0.4,0.6,0.7,0.8,0.85,0.9,0.95,1}),"B-354","B-386","B-4354","B-347","B-357","B-3471","B-34715","B-3571","B-35715"),
       IF($G722=24,
          "B-386",
          IF($G722=12,
             CHOOSE(MATCH(RAND(),{0,0.32,0.49,0.66,0.74,0.82,0.9,1}),"B-386","B-347","B-357","B-3471","B-34715","B-3571","B-35715"),
             "")
)))</f>
        <v/>
      </c>
      <c r="I722" s="8" t="str">
        <f t="shared" ca="1" si="58"/>
        <v/>
      </c>
      <c r="J722">
        <f t="shared" ca="1" si="55"/>
        <v>85.25</v>
      </c>
      <c r="K722">
        <f t="shared" ca="1" si="56"/>
        <v>70.375</v>
      </c>
      <c r="L722" s="14">
        <f t="shared" ca="1" si="57"/>
        <v>12</v>
      </c>
      <c r="M722" s="14">
        <f t="shared" ca="1" si="59"/>
        <v>4.8125</v>
      </c>
    </row>
    <row r="723" spans="2:13" ht="15" hidden="1" thickBot="1">
      <c r="B723" s="50" t="s">
        <v>21</v>
      </c>
      <c r="C723" s="50">
        <v>1</v>
      </c>
      <c r="D723" s="50">
        <v>1</v>
      </c>
      <c r="E723" s="50">
        <v>1</v>
      </c>
      <c r="F723" s="50">
        <v>1</v>
      </c>
      <c r="G723" s="50"/>
      <c r="H723" s="51" t="str">
        <f ca="1">IF(RAND()&lt;0.25,
    "",
    IF($E723=0,
       CHOOSE(MATCH(RAND(),{0,0.2,0.4,0.6,0.7,0.8,0.85,0.9,0.95,1}),"B-354","B-386","B-4354","B-347","B-357","B-3471","B-34715","B-3571","B-35715"),
       IF($G723=24,
          "B-386",
          IF($G723=12,
             CHOOSE(MATCH(RAND(),{0,0.32,0.49,0.66,0.74,0.82,0.9,1}),"B-386","B-347","B-357","B-3471","B-34715","B-3571","B-35715"),
             "")
)))</f>
        <v/>
      </c>
      <c r="I723" s="51" t="str">
        <f t="shared" ca="1" si="58"/>
        <v/>
      </c>
      <c r="J723" s="49">
        <f t="shared" ca="1" si="55"/>
        <v>50.6875</v>
      </c>
      <c r="K723" s="49">
        <f t="shared" ca="1" si="56"/>
        <v>57</v>
      </c>
      <c r="L723" s="50">
        <f t="shared" ca="1" si="57"/>
        <v>1</v>
      </c>
      <c r="M723" s="14">
        <f t="shared" ca="1" si="59"/>
        <v>2.8125</v>
      </c>
    </row>
  </sheetData>
  <sheetProtection algorithmName="SHA-512" hashValue="pkCkquI/yD1U7Q1eJZ4OXyup+gDw9pn2v8SEjfz8zEJGZtP7nIeF4QMqnUvdGUXplNllOJ5NXBTIeTW8MURVXg==" saltValue="Zyh31APOCPKlzH/3Nd6Y3w==" spinCount="100000" sheet="1" objects="1" scenarios="1"/>
  <autoFilter ref="B3:M723" xr:uid="{1F9EC4F4-2EDF-45EE-894B-9E8FD7A90BE6}">
    <filterColumn colId="6">
      <customFilters>
        <customFilter operator="notEqual" val=" "/>
      </customFilters>
    </filterColumn>
  </autoFilter>
  <conditionalFormatting sqref="N4:N723">
    <cfRule type="duplicateValues" dxfId="2" priority="50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9106A-13DD-4325-A544-45F415BC929C}">
  <sheetPr codeName="Sheet4"/>
  <dimension ref="A1:T1489"/>
  <sheetViews>
    <sheetView showGridLines="0" tabSelected="1" zoomScale="90" zoomScaleNormal="90" workbookViewId="0">
      <pane ySplit="3" topLeftCell="A4" activePane="bottomLeft" state="frozen"/>
      <selection pane="bottomLeft"/>
    </sheetView>
  </sheetViews>
  <sheetFormatPr defaultRowHeight="14.45"/>
  <cols>
    <col min="1" max="1" width="16.140625" customWidth="1"/>
    <col min="2" max="2" width="8.7109375" style="14"/>
    <col min="3" max="4" width="13.5703125" customWidth="1"/>
    <col min="5" max="5" width="11.42578125" customWidth="1"/>
    <col min="6" max="6" width="11.5703125" customWidth="1"/>
    <col min="7" max="7" width="11.7109375" customWidth="1"/>
    <col min="8" max="8" width="8.5703125" customWidth="1"/>
    <col min="9" max="9" width="7.5703125" bestFit="1" customWidth="1"/>
    <col min="10" max="10" width="9.5703125" customWidth="1"/>
    <col min="11" max="11" width="9" bestFit="1" customWidth="1"/>
    <col min="12" max="12" width="8.7109375" customWidth="1"/>
    <col min="18" max="18" width="165.85546875" bestFit="1" customWidth="1"/>
    <col min="19" max="19" width="14.85546875" bestFit="1" customWidth="1"/>
  </cols>
  <sheetData>
    <row r="1" spans="1:20">
      <c r="A1" s="20" t="s">
        <v>158</v>
      </c>
      <c r="B1" s="20"/>
    </row>
    <row r="2" spans="1:20">
      <c r="B2">
        <f>COUNTIF(B4:B768,"Yes")</f>
        <v>52</v>
      </c>
      <c r="D2" s="14"/>
      <c r="E2" s="14"/>
      <c r="F2" s="14"/>
      <c r="G2" s="14"/>
      <c r="H2" s="14"/>
      <c r="I2" s="14"/>
      <c r="J2" s="14"/>
    </row>
    <row r="3" spans="1:20" ht="135.94999999999999">
      <c r="A3" t="s">
        <v>159</v>
      </c>
      <c r="B3" s="21" t="s">
        <v>160</v>
      </c>
      <c r="C3" s="18" t="s">
        <v>19</v>
      </c>
      <c r="D3" s="17" t="s">
        <v>22</v>
      </c>
      <c r="E3" s="17" t="s">
        <v>25</v>
      </c>
      <c r="F3" s="18" t="s">
        <v>27</v>
      </c>
      <c r="G3" s="17" t="s">
        <v>29</v>
      </c>
      <c r="H3" s="18" t="s">
        <v>31</v>
      </c>
      <c r="I3" s="52" t="s">
        <v>33</v>
      </c>
      <c r="J3" s="52" t="s">
        <v>36</v>
      </c>
      <c r="K3" s="53" t="s">
        <v>9</v>
      </c>
      <c r="L3" s="53" t="s">
        <v>13</v>
      </c>
      <c r="M3" s="53" t="s">
        <v>15</v>
      </c>
      <c r="N3" s="54" t="s">
        <v>17</v>
      </c>
      <c r="R3" s="20" t="s">
        <v>161</v>
      </c>
      <c r="S3" t="s">
        <v>162</v>
      </c>
      <c r="T3" t="s">
        <v>163</v>
      </c>
    </row>
    <row r="4" spans="1:20">
      <c r="A4" t="s">
        <v>164</v>
      </c>
      <c r="B4" s="14" t="s">
        <v>143</v>
      </c>
      <c r="C4" s="14" t="s">
        <v>156</v>
      </c>
      <c r="D4" s="19">
        <v>0</v>
      </c>
      <c r="E4" s="19"/>
      <c r="F4" s="19">
        <v>0</v>
      </c>
      <c r="G4" s="19"/>
      <c r="H4" s="14"/>
      <c r="I4" s="8" t="s">
        <v>120</v>
      </c>
      <c r="J4" s="8" t="s">
        <v>119</v>
      </c>
      <c r="K4">
        <v>7.875</v>
      </c>
      <c r="L4">
        <v>6</v>
      </c>
      <c r="M4" s="14">
        <v>1</v>
      </c>
      <c r="N4" s="14">
        <v>12</v>
      </c>
      <c r="R4" t="e">
        <f>A4&amp;": "&amp;#REF!&amp;"    Front abutts stile:"&amp;S4&amp;"       Back abutts stile:"&amp;T4&amp;"          Panel Section: "&amp;C4&amp;"           Stile in the back Width: "&amp;H4&amp;"           Cutout A: "&amp;I4&amp;"          Cutout B:"&amp;J4&amp;"      F.C.:"&amp;M4&amp;" in. "&amp;"        C.C.:"&amp;N4&amp;" in. "&amp;"  "</f>
        <v>#REF!</v>
      </c>
      <c r="S4" t="str">
        <f t="shared" ref="S4:S67" si="0">IF(D4=1, "TRUE", "FALSE")</f>
        <v>FALSE</v>
      </c>
      <c r="T4" t="str">
        <f t="shared" ref="T4:T16" si="1">IF(F4=1, "TRUE", "FALSE")</f>
        <v>FALSE</v>
      </c>
    </row>
    <row r="5" spans="1:20">
      <c r="A5" t="s">
        <v>165</v>
      </c>
      <c r="B5" s="14" t="s">
        <v>144</v>
      </c>
      <c r="C5" s="14" t="s">
        <v>156</v>
      </c>
      <c r="D5" s="14">
        <v>0</v>
      </c>
      <c r="E5" s="14"/>
      <c r="F5" s="14">
        <v>1</v>
      </c>
      <c r="G5" s="14">
        <v>0</v>
      </c>
      <c r="H5" s="14">
        <v>12</v>
      </c>
      <c r="I5" s="8" t="s">
        <v>120</v>
      </c>
      <c r="J5" s="8" t="s">
        <v>38</v>
      </c>
      <c r="K5">
        <v>28.0625</v>
      </c>
      <c r="L5">
        <v>54.25</v>
      </c>
      <c r="M5" s="14">
        <v>2.0625</v>
      </c>
      <c r="N5" s="14">
        <v>1</v>
      </c>
      <c r="R5" t="e">
        <f>A5&amp;": "&amp;#REF!&amp;"    Front abutts stile:"&amp;S5&amp;"       Back abutts stile:"&amp;T5&amp;"          Panel Section: "&amp;C5&amp;"           Stile in the back Width: "&amp;H5&amp;"           Cutout A: "&amp;I5&amp;"          Cutout B:"&amp;J5&amp;"      F.C.:"&amp;M5&amp;" in. "&amp;"        C.C.:"&amp;N5&amp;" in. "&amp;"  "</f>
        <v>#REF!</v>
      </c>
      <c r="S5" t="str">
        <f t="shared" si="0"/>
        <v>FALSE</v>
      </c>
      <c r="T5" t="str">
        <f t="shared" si="1"/>
        <v>TRUE</v>
      </c>
    </row>
    <row r="6" spans="1:20">
      <c r="A6" t="s">
        <v>166</v>
      </c>
      <c r="B6" s="14" t="s">
        <v>144</v>
      </c>
      <c r="C6" s="14" t="s">
        <v>156</v>
      </c>
      <c r="D6" s="14">
        <v>0</v>
      </c>
      <c r="E6" s="14"/>
      <c r="F6" s="14">
        <v>1</v>
      </c>
      <c r="G6" s="14">
        <v>0</v>
      </c>
      <c r="H6" s="14">
        <v>24</v>
      </c>
      <c r="I6" s="8" t="s">
        <v>120</v>
      </c>
      <c r="J6" s="8" t="s">
        <v>38</v>
      </c>
      <c r="K6">
        <v>38.1875</v>
      </c>
      <c r="L6">
        <v>56</v>
      </c>
      <c r="M6" s="14">
        <v>1</v>
      </c>
      <c r="N6" s="14">
        <v>3.75</v>
      </c>
      <c r="R6" t="str">
        <f>A6&amp;":    Front abuts stile:"&amp;S6&amp;"       Back abuts stile:"&amp;T6&amp;"          Panel Section: "&amp;C6&amp;"           Stile in the back Width: "&amp;H6&amp;"           Cutout A: "&amp;I6&amp;"          Cutout B:"&amp;J6&amp;"      F.C.:"&amp;M6&amp;" in. "&amp;"        C.C.:"&amp;N6&amp;" in. "&amp;"  "</f>
        <v xml:space="preserve">XX8X_PV_0003:    Front abuts stile:FALSE       Back abuts stile:TRUE          Panel Section: TOP           Stile in the back Width: 24           Cutout A: B-386          Cutout B:      F.C.:1 in.         C.C.:3.75 in.   </v>
      </c>
      <c r="S6" t="str">
        <f t="shared" si="0"/>
        <v>FALSE</v>
      </c>
      <c r="T6" t="str">
        <f t="shared" si="1"/>
        <v>TRUE</v>
      </c>
    </row>
    <row r="7" spans="1:20">
      <c r="A7" t="s">
        <v>167</v>
      </c>
      <c r="B7" s="14" t="s">
        <v>144</v>
      </c>
      <c r="C7" s="14" t="s">
        <v>156</v>
      </c>
      <c r="D7" s="14">
        <v>0</v>
      </c>
      <c r="E7" s="14"/>
      <c r="F7" s="14">
        <v>1</v>
      </c>
      <c r="G7" s="14">
        <v>0</v>
      </c>
      <c r="H7" s="14"/>
      <c r="I7" s="8" t="s">
        <v>38</v>
      </c>
      <c r="J7" s="8" t="s">
        <v>38</v>
      </c>
      <c r="K7">
        <v>28.1875</v>
      </c>
      <c r="L7">
        <v>74.75</v>
      </c>
      <c r="M7" s="14">
        <v>9</v>
      </c>
      <c r="N7" s="14">
        <v>1.6875</v>
      </c>
      <c r="R7" t="str">
        <f t="shared" ref="R7:R70" si="2">A7&amp;":    Front abuts stile:"&amp;S7&amp;"       Back abuts stile:"&amp;T7&amp;"          Panel Section: "&amp;C7&amp;"           Stile in the back Width: "&amp;H7&amp;"           Cutout A: "&amp;I7&amp;"          Cutout B:"&amp;J7&amp;"      F.C.:"&amp;M7&amp;" in. "&amp;"        C.C.:"&amp;N7&amp;" in. "&amp;"  "</f>
        <v xml:space="preserve">XX8X_PV_0004:    Front abuts stile:FALSE       Back abuts stile:TRUE          Panel Section: TOP           Stile in the back Width:            Cutout A:           Cutout B:      F.C.:9 in.         C.C.:1.6875 in.   </v>
      </c>
      <c r="S7" t="str">
        <f t="shared" si="0"/>
        <v>FALSE</v>
      </c>
      <c r="T7" t="str">
        <f t="shared" si="1"/>
        <v>TRUE</v>
      </c>
    </row>
    <row r="8" spans="1:20">
      <c r="A8" t="s">
        <v>168</v>
      </c>
      <c r="B8" s="14" t="s">
        <v>144</v>
      </c>
      <c r="C8" s="14" t="s">
        <v>156</v>
      </c>
      <c r="D8" s="14">
        <v>0</v>
      </c>
      <c r="E8" s="14"/>
      <c r="F8" s="14">
        <v>1</v>
      </c>
      <c r="G8" s="14">
        <v>1</v>
      </c>
      <c r="H8" s="14"/>
      <c r="I8" s="8" t="s">
        <v>38</v>
      </c>
      <c r="J8" s="8" t="s">
        <v>38</v>
      </c>
      <c r="K8">
        <v>20.1875</v>
      </c>
      <c r="L8">
        <v>62</v>
      </c>
      <c r="M8" s="14">
        <v>4.5</v>
      </c>
      <c r="N8" s="14">
        <v>4.875</v>
      </c>
      <c r="R8" t="str">
        <f t="shared" si="2"/>
        <v xml:space="preserve">XX8X_PV_0005:    Front abuts stile:FALSE       Back abuts stile:TRUE          Panel Section: TOP           Stile in the back Width:            Cutout A:           Cutout B:      F.C.:4.5 in.         C.C.:4.875 in.   </v>
      </c>
      <c r="S8" t="str">
        <f t="shared" si="0"/>
        <v>FALSE</v>
      </c>
      <c r="T8" t="str">
        <f t="shared" si="1"/>
        <v>TRUE</v>
      </c>
    </row>
    <row r="9" spans="1:20">
      <c r="A9" t="s">
        <v>169</v>
      </c>
      <c r="B9" s="14" t="s">
        <v>144</v>
      </c>
      <c r="C9" s="14" t="s">
        <v>156</v>
      </c>
      <c r="D9" s="14">
        <v>1</v>
      </c>
      <c r="E9" s="14">
        <v>0</v>
      </c>
      <c r="F9" s="14">
        <v>0</v>
      </c>
      <c r="G9" s="14"/>
      <c r="H9" s="14"/>
      <c r="I9" s="8" t="s">
        <v>119</v>
      </c>
      <c r="J9" s="8" t="s">
        <v>38</v>
      </c>
      <c r="K9">
        <v>19.125</v>
      </c>
      <c r="L9">
        <v>25.5625</v>
      </c>
      <c r="M9" s="14">
        <v>1</v>
      </c>
      <c r="N9" s="14">
        <v>1</v>
      </c>
      <c r="R9" t="str">
        <f t="shared" si="2"/>
        <v xml:space="preserve">XX8X_PV_0006:    Front abuts stile:TRUE       Back abuts stile:FALSE          Panel Section: TOP           Stile in the back Width:            Cutout A: B-354          Cutout B:      F.C.:1 in.         C.C.:1 in.   </v>
      </c>
      <c r="S9" t="str">
        <f t="shared" si="0"/>
        <v>TRUE</v>
      </c>
      <c r="T9" t="str">
        <f t="shared" si="1"/>
        <v>FALSE</v>
      </c>
    </row>
    <row r="10" spans="1:20">
      <c r="A10" t="s">
        <v>170</v>
      </c>
      <c r="B10" s="14" t="s">
        <v>143</v>
      </c>
      <c r="C10" s="14" t="s">
        <v>156</v>
      </c>
      <c r="D10" s="14">
        <v>1</v>
      </c>
      <c r="E10" s="14">
        <v>0</v>
      </c>
      <c r="F10" s="14">
        <v>1</v>
      </c>
      <c r="G10" s="14">
        <v>0</v>
      </c>
      <c r="H10" s="14">
        <v>12</v>
      </c>
      <c r="I10" s="8" t="s">
        <v>38</v>
      </c>
      <c r="J10" s="8" t="s">
        <v>38</v>
      </c>
      <c r="K10">
        <v>36.8125</v>
      </c>
      <c r="L10">
        <v>48.5625</v>
      </c>
      <c r="M10" s="14">
        <v>1.8125</v>
      </c>
      <c r="N10" s="14">
        <v>11.9375</v>
      </c>
      <c r="R10" t="str">
        <f t="shared" si="2"/>
        <v xml:space="preserve">XX8X_PV_0007:    Front abuts stile:TRUE       Back abuts stile:TRUE          Panel Section: TOP           Stile in the back Width: 12           Cutout A:           Cutout B:      F.C.:1.8125 in.         C.C.:11.9375 in.   </v>
      </c>
      <c r="S10" t="str">
        <f t="shared" si="0"/>
        <v>TRUE</v>
      </c>
      <c r="T10" t="str">
        <f t="shared" si="1"/>
        <v>TRUE</v>
      </c>
    </row>
    <row r="11" spans="1:20">
      <c r="A11" t="s">
        <v>171</v>
      </c>
      <c r="B11" s="14" t="s">
        <v>144</v>
      </c>
      <c r="C11" s="14" t="s">
        <v>156</v>
      </c>
      <c r="D11" s="14">
        <v>1</v>
      </c>
      <c r="E11" s="14">
        <v>0</v>
      </c>
      <c r="F11" s="14">
        <v>1</v>
      </c>
      <c r="G11" s="14">
        <v>0</v>
      </c>
      <c r="H11" s="14">
        <v>24</v>
      </c>
      <c r="I11" s="8" t="s">
        <v>120</v>
      </c>
      <c r="J11" s="8" t="s">
        <v>38</v>
      </c>
      <c r="K11">
        <v>7.6875</v>
      </c>
      <c r="L11">
        <v>56.875</v>
      </c>
      <c r="M11" s="14">
        <v>6.375</v>
      </c>
      <c r="N11" s="14">
        <v>2.625</v>
      </c>
      <c r="R11" t="str">
        <f t="shared" si="2"/>
        <v xml:space="preserve">XX8X_PV_0008:    Front abuts stile:TRUE       Back abuts stile:TRUE          Panel Section: TOP           Stile in the back Width: 24           Cutout A: B-386          Cutout B:      F.C.:6.375 in.         C.C.:2.625 in.   </v>
      </c>
      <c r="S11" t="str">
        <f t="shared" si="0"/>
        <v>TRUE</v>
      </c>
      <c r="T11" t="str">
        <f t="shared" si="1"/>
        <v>TRUE</v>
      </c>
    </row>
    <row r="12" spans="1:20">
      <c r="A12" t="s">
        <v>172</v>
      </c>
      <c r="B12" s="14" t="s">
        <v>144</v>
      </c>
      <c r="C12" s="14" t="s">
        <v>156</v>
      </c>
      <c r="D12" s="14">
        <v>1</v>
      </c>
      <c r="E12" s="14">
        <v>0</v>
      </c>
      <c r="F12" s="14">
        <v>1</v>
      </c>
      <c r="G12" s="14">
        <v>0</v>
      </c>
      <c r="H12" s="14"/>
      <c r="I12" s="8" t="s">
        <v>38</v>
      </c>
      <c r="J12" s="8" t="s">
        <v>38</v>
      </c>
      <c r="K12">
        <v>7.875</v>
      </c>
      <c r="L12">
        <v>51.125</v>
      </c>
      <c r="M12" s="14">
        <v>12</v>
      </c>
      <c r="N12" s="14">
        <v>2.9375</v>
      </c>
      <c r="R12" t="str">
        <f t="shared" si="2"/>
        <v xml:space="preserve">XX8X_PV_0009:    Front abuts stile:TRUE       Back abuts stile:TRUE          Panel Section: TOP           Stile in the back Width:            Cutout A:           Cutout B:      F.C.:12 in.         C.C.:2.9375 in.   </v>
      </c>
      <c r="S12" t="str">
        <f t="shared" si="0"/>
        <v>TRUE</v>
      </c>
      <c r="T12" t="str">
        <f t="shared" si="1"/>
        <v>TRUE</v>
      </c>
    </row>
    <row r="13" spans="1:20">
      <c r="A13" t="s">
        <v>173</v>
      </c>
      <c r="B13" s="14" t="s">
        <v>144</v>
      </c>
      <c r="C13" s="14" t="s">
        <v>156</v>
      </c>
      <c r="D13" s="14">
        <v>1</v>
      </c>
      <c r="E13" s="14">
        <v>0</v>
      </c>
      <c r="F13" s="14">
        <v>1</v>
      </c>
      <c r="G13" s="14">
        <v>1</v>
      </c>
      <c r="H13" s="14"/>
      <c r="I13" s="8" t="s">
        <v>38</v>
      </c>
      <c r="J13" s="8" t="s">
        <v>38</v>
      </c>
      <c r="K13">
        <v>36.9375</v>
      </c>
      <c r="L13">
        <v>54.25</v>
      </c>
      <c r="M13" s="14">
        <v>7.6875</v>
      </c>
      <c r="N13" s="14">
        <v>4</v>
      </c>
      <c r="R13" t="str">
        <f t="shared" si="2"/>
        <v xml:space="preserve">XX8X_PV_0010:    Front abuts stile:TRUE       Back abuts stile:TRUE          Panel Section: TOP           Stile in the back Width:            Cutout A:           Cutout B:      F.C.:7.6875 in.         C.C.:4 in.   </v>
      </c>
      <c r="S13" t="str">
        <f t="shared" si="0"/>
        <v>TRUE</v>
      </c>
      <c r="T13" t="str">
        <f t="shared" si="1"/>
        <v>TRUE</v>
      </c>
    </row>
    <row r="14" spans="1:20">
      <c r="A14" t="s">
        <v>174</v>
      </c>
      <c r="B14" s="14" t="s">
        <v>144</v>
      </c>
      <c r="C14" s="14" t="s">
        <v>156</v>
      </c>
      <c r="D14" s="14">
        <v>1</v>
      </c>
      <c r="E14" s="14">
        <v>1</v>
      </c>
      <c r="F14" s="14">
        <v>0</v>
      </c>
      <c r="G14" s="14"/>
      <c r="H14" s="14"/>
      <c r="I14" s="8" t="s">
        <v>38</v>
      </c>
      <c r="J14" s="8" t="s">
        <v>38</v>
      </c>
      <c r="K14">
        <v>24.1875</v>
      </c>
      <c r="L14">
        <v>63.0625</v>
      </c>
      <c r="M14" s="14">
        <v>9</v>
      </c>
      <c r="N14" s="14">
        <v>1</v>
      </c>
      <c r="R14" t="str">
        <f t="shared" si="2"/>
        <v xml:space="preserve">XX8X_PV_0011:    Front abuts stile:TRUE       Back abuts stile:FALSE          Panel Section: TOP           Stile in the back Width:            Cutout A:           Cutout B:      F.C.:9 in.         C.C.:1 in.   </v>
      </c>
      <c r="S14" t="str">
        <f t="shared" si="0"/>
        <v>TRUE</v>
      </c>
      <c r="T14" t="str">
        <f t="shared" si="1"/>
        <v>FALSE</v>
      </c>
    </row>
    <row r="15" spans="1:20">
      <c r="A15" t="s">
        <v>175</v>
      </c>
      <c r="B15" s="14" t="s">
        <v>144</v>
      </c>
      <c r="C15" s="14" t="s">
        <v>156</v>
      </c>
      <c r="D15" s="14">
        <v>1</v>
      </c>
      <c r="E15" s="14">
        <v>1</v>
      </c>
      <c r="F15" s="14">
        <v>1</v>
      </c>
      <c r="G15" s="14">
        <v>0</v>
      </c>
      <c r="H15" s="14">
        <v>12</v>
      </c>
      <c r="I15" s="8" t="s">
        <v>35</v>
      </c>
      <c r="J15" s="8" t="s">
        <v>38</v>
      </c>
      <c r="K15">
        <v>32.3125</v>
      </c>
      <c r="L15">
        <v>29.4375</v>
      </c>
      <c r="M15" s="14">
        <v>9</v>
      </c>
      <c r="N15" s="14">
        <v>1</v>
      </c>
      <c r="R15" t="str">
        <f t="shared" si="2"/>
        <v xml:space="preserve">XX8X_PV_0012:    Front abuts stile:TRUE       Back abuts stile:TRUE          Panel Section: TOP           Stile in the back Width: 12           Cutout A: B-357          Cutout B:      F.C.:9 in.         C.C.:1 in.   </v>
      </c>
      <c r="S15" t="str">
        <f t="shared" si="0"/>
        <v>TRUE</v>
      </c>
      <c r="T15" t="str">
        <f t="shared" si="1"/>
        <v>TRUE</v>
      </c>
    </row>
    <row r="16" spans="1:20">
      <c r="A16" t="s">
        <v>176</v>
      </c>
      <c r="B16" s="14" t="s">
        <v>144</v>
      </c>
      <c r="C16" s="14" t="s">
        <v>156</v>
      </c>
      <c r="D16" s="14">
        <v>1</v>
      </c>
      <c r="E16" s="14">
        <v>1</v>
      </c>
      <c r="F16" s="14">
        <v>1</v>
      </c>
      <c r="G16" s="14">
        <v>0</v>
      </c>
      <c r="H16" s="14">
        <v>24</v>
      </c>
      <c r="I16" s="8" t="s">
        <v>120</v>
      </c>
      <c r="J16" s="8" t="s">
        <v>38</v>
      </c>
      <c r="K16">
        <v>18.125</v>
      </c>
      <c r="L16">
        <v>47.6875</v>
      </c>
      <c r="M16" s="14">
        <v>9.375</v>
      </c>
      <c r="N16" s="14">
        <v>4.9375</v>
      </c>
      <c r="R16" t="str">
        <f t="shared" si="2"/>
        <v xml:space="preserve">XX8X_PV_0013:    Front abuts stile:TRUE       Back abuts stile:TRUE          Panel Section: TOP           Stile in the back Width: 24           Cutout A: B-386          Cutout B:      F.C.:9.375 in.         C.C.:4.9375 in.   </v>
      </c>
      <c r="S16" t="str">
        <f t="shared" si="0"/>
        <v>TRUE</v>
      </c>
      <c r="T16" t="str">
        <f t="shared" si="1"/>
        <v>TRUE</v>
      </c>
    </row>
    <row r="17" spans="1:20">
      <c r="A17" t="s">
        <v>177</v>
      </c>
      <c r="B17" s="14" t="s">
        <v>143</v>
      </c>
      <c r="C17" s="14" t="s">
        <v>156</v>
      </c>
      <c r="D17" s="14">
        <v>1</v>
      </c>
      <c r="E17" s="14">
        <v>1</v>
      </c>
      <c r="F17" s="14">
        <v>1</v>
      </c>
      <c r="G17" s="14">
        <v>0</v>
      </c>
      <c r="H17" s="14"/>
      <c r="I17" s="8" t="s">
        <v>38</v>
      </c>
      <c r="J17" s="8" t="s">
        <v>38</v>
      </c>
      <c r="K17">
        <v>18.125</v>
      </c>
      <c r="L17">
        <v>76.1875</v>
      </c>
      <c r="M17" s="14">
        <v>1</v>
      </c>
      <c r="N17" s="14">
        <v>1</v>
      </c>
      <c r="R17" t="str">
        <f t="shared" si="2"/>
        <v xml:space="preserve">XX8X_PV_0014:    Front abuts stile:TRUE       Back abuts stile:TRUE          Panel Section: TOP           Stile in the back Width:            Cutout A:           Cutout B:      F.C.:1 in.         C.C.:1 in.   </v>
      </c>
      <c r="S17" t="str">
        <f t="shared" si="0"/>
        <v>TRUE</v>
      </c>
      <c r="T17" t="str">
        <f t="shared" ref="T17" si="3">IF(F17=1, "TRUE", "FALSE")</f>
        <v>TRUE</v>
      </c>
    </row>
    <row r="18" spans="1:20">
      <c r="A18" t="s">
        <v>178</v>
      </c>
      <c r="B18" s="14" t="s">
        <v>144</v>
      </c>
      <c r="C18" s="14" t="s">
        <v>156</v>
      </c>
      <c r="D18" s="14">
        <v>1</v>
      </c>
      <c r="E18" s="14">
        <v>1</v>
      </c>
      <c r="F18" s="14">
        <v>1</v>
      </c>
      <c r="G18" s="14">
        <v>1</v>
      </c>
      <c r="H18" s="14"/>
      <c r="I18" s="8" t="s">
        <v>38</v>
      </c>
      <c r="J18" s="8" t="s">
        <v>38</v>
      </c>
      <c r="K18">
        <v>48.5625</v>
      </c>
      <c r="L18">
        <v>24.875</v>
      </c>
      <c r="M18" s="14">
        <v>4.625</v>
      </c>
      <c r="N18" s="14">
        <v>4.875</v>
      </c>
      <c r="R18" t="str">
        <f t="shared" si="2"/>
        <v xml:space="preserve">XX8X_PV_0015:    Front abuts stile:TRUE       Back abuts stile:TRUE          Panel Section: TOP           Stile in the back Width:            Cutout A:           Cutout B:      F.C.:4.625 in.         C.C.:4.875 in.   </v>
      </c>
      <c r="S18" t="str">
        <f t="shared" si="0"/>
        <v>TRUE</v>
      </c>
      <c r="T18" t="str">
        <f t="shared" ref="T18:T81" si="4">IF(F18=1, "TRUE", "FALSE")</f>
        <v>TRUE</v>
      </c>
    </row>
    <row r="19" spans="1:20">
      <c r="A19" t="s">
        <v>179</v>
      </c>
      <c r="B19" s="14" t="s">
        <v>144</v>
      </c>
      <c r="C19" s="14" t="s">
        <v>156</v>
      </c>
      <c r="D19" s="14">
        <v>0</v>
      </c>
      <c r="E19" s="14"/>
      <c r="F19" s="14">
        <v>0</v>
      </c>
      <c r="G19" s="14"/>
      <c r="H19" s="14"/>
      <c r="I19" s="8" t="s">
        <v>148</v>
      </c>
      <c r="J19" s="8" t="s">
        <v>38</v>
      </c>
      <c r="K19">
        <v>19.375</v>
      </c>
      <c r="L19">
        <v>57.0625</v>
      </c>
      <c r="M19" s="14">
        <v>4.5</v>
      </c>
      <c r="N19" s="14">
        <v>6.5</v>
      </c>
      <c r="R19" t="str">
        <f t="shared" si="2"/>
        <v xml:space="preserve">XX8X_PV_0016:    Front abuts stile:FALSE       Back abuts stile:FALSE          Panel Section: TOP           Stile in the back Width:            Cutout A: B-3471          Cutout B:      F.C.:4.5 in.         C.C.:6.5 in.   </v>
      </c>
      <c r="S19" t="str">
        <f t="shared" si="0"/>
        <v>FALSE</v>
      </c>
      <c r="T19" t="str">
        <f t="shared" si="4"/>
        <v>FALSE</v>
      </c>
    </row>
    <row r="20" spans="1:20">
      <c r="A20" t="s">
        <v>180</v>
      </c>
      <c r="B20" s="14" t="s">
        <v>144</v>
      </c>
      <c r="C20" s="14" t="s">
        <v>156</v>
      </c>
      <c r="D20" s="14">
        <v>0</v>
      </c>
      <c r="E20" s="14"/>
      <c r="F20" s="14">
        <v>1</v>
      </c>
      <c r="G20" s="14">
        <v>0</v>
      </c>
      <c r="H20" s="14">
        <v>12</v>
      </c>
      <c r="I20" s="8" t="s">
        <v>145</v>
      </c>
      <c r="J20" s="8" t="s">
        <v>38</v>
      </c>
      <c r="K20">
        <v>48.375</v>
      </c>
      <c r="L20">
        <v>39.125</v>
      </c>
      <c r="M20" s="14">
        <v>1</v>
      </c>
      <c r="N20" s="14">
        <v>1.75</v>
      </c>
      <c r="R20" t="str">
        <f t="shared" si="2"/>
        <v xml:space="preserve">XX8X_PV_0017:    Front abuts stile:FALSE       Back abuts stile:TRUE          Panel Section: TOP           Stile in the back Width: 12           Cutout A: B-347          Cutout B:      F.C.:1 in.         C.C.:1.75 in.   </v>
      </c>
      <c r="S20" t="str">
        <f t="shared" si="0"/>
        <v>FALSE</v>
      </c>
      <c r="T20" t="str">
        <f t="shared" si="4"/>
        <v>TRUE</v>
      </c>
    </row>
    <row r="21" spans="1:20">
      <c r="A21" t="s">
        <v>181</v>
      </c>
      <c r="B21" s="14" t="s">
        <v>144</v>
      </c>
      <c r="C21" s="14" t="s">
        <v>156</v>
      </c>
      <c r="D21" s="14">
        <v>0</v>
      </c>
      <c r="E21" s="14"/>
      <c r="F21" s="14">
        <v>1</v>
      </c>
      <c r="G21" s="14">
        <v>0</v>
      </c>
      <c r="H21" s="14">
        <v>24</v>
      </c>
      <c r="I21" s="8" t="s">
        <v>120</v>
      </c>
      <c r="J21" s="8" t="s">
        <v>38</v>
      </c>
      <c r="K21">
        <v>43</v>
      </c>
      <c r="L21">
        <v>63.6875</v>
      </c>
      <c r="M21" s="14">
        <v>2.6875</v>
      </c>
      <c r="N21" s="14">
        <v>1</v>
      </c>
      <c r="R21" t="str">
        <f t="shared" si="2"/>
        <v xml:space="preserve">XX8X_PV_0018:    Front abuts stile:FALSE       Back abuts stile:TRUE          Panel Section: TOP           Stile in the back Width: 24           Cutout A: B-386          Cutout B:      F.C.:2.6875 in.         C.C.:1 in.   </v>
      </c>
      <c r="S21" t="str">
        <f t="shared" si="0"/>
        <v>FALSE</v>
      </c>
      <c r="T21" t="str">
        <f t="shared" si="4"/>
        <v>TRUE</v>
      </c>
    </row>
    <row r="22" spans="1:20">
      <c r="A22" t="s">
        <v>182</v>
      </c>
      <c r="B22" s="14" t="s">
        <v>144</v>
      </c>
      <c r="C22" s="14" t="s">
        <v>156</v>
      </c>
      <c r="D22" s="14">
        <v>0</v>
      </c>
      <c r="E22" s="14"/>
      <c r="F22" s="14">
        <v>1</v>
      </c>
      <c r="G22" s="14">
        <v>0</v>
      </c>
      <c r="H22" s="14"/>
      <c r="I22" s="8" t="s">
        <v>38</v>
      </c>
      <c r="J22" s="8" t="s">
        <v>38</v>
      </c>
      <c r="K22">
        <v>37.5625</v>
      </c>
      <c r="L22">
        <v>62.75</v>
      </c>
      <c r="M22" s="14">
        <v>12</v>
      </c>
      <c r="N22" s="14">
        <v>2.125</v>
      </c>
      <c r="R22" t="str">
        <f t="shared" si="2"/>
        <v xml:space="preserve">XX8X_PV_0019:    Front abuts stile:FALSE       Back abuts stile:TRUE          Panel Section: TOP           Stile in the back Width:            Cutout A:           Cutout B:      F.C.:12 in.         C.C.:2.125 in.   </v>
      </c>
      <c r="S22" t="str">
        <f t="shared" si="0"/>
        <v>FALSE</v>
      </c>
      <c r="T22" t="str">
        <f t="shared" si="4"/>
        <v>TRUE</v>
      </c>
    </row>
    <row r="23" spans="1:20">
      <c r="A23" t="s">
        <v>183</v>
      </c>
      <c r="B23" s="14" t="s">
        <v>143</v>
      </c>
      <c r="C23" s="14" t="s">
        <v>156</v>
      </c>
      <c r="D23" s="14">
        <v>0</v>
      </c>
      <c r="E23" s="14"/>
      <c r="F23" s="14">
        <v>1</v>
      </c>
      <c r="G23" s="14">
        <v>1</v>
      </c>
      <c r="H23" s="14"/>
      <c r="I23" s="8" t="s">
        <v>38</v>
      </c>
      <c r="J23" s="8" t="s">
        <v>38</v>
      </c>
      <c r="K23">
        <v>16.625</v>
      </c>
      <c r="L23">
        <v>61.6875</v>
      </c>
      <c r="M23" s="14">
        <v>1</v>
      </c>
      <c r="N23" s="14">
        <v>4.5</v>
      </c>
      <c r="R23" t="str">
        <f t="shared" si="2"/>
        <v xml:space="preserve">XX8X_PV_0020:    Front abuts stile:FALSE       Back abuts stile:TRUE          Panel Section: TOP           Stile in the back Width:            Cutout A:           Cutout B:      F.C.:1 in.         C.C.:4.5 in.   </v>
      </c>
      <c r="S23" t="str">
        <f t="shared" si="0"/>
        <v>FALSE</v>
      </c>
      <c r="T23" t="str">
        <f t="shared" si="4"/>
        <v>TRUE</v>
      </c>
    </row>
    <row r="24" spans="1:20">
      <c r="A24" t="s">
        <v>184</v>
      </c>
      <c r="B24" s="14" t="s">
        <v>144</v>
      </c>
      <c r="C24" s="14" t="s">
        <v>156</v>
      </c>
      <c r="D24" s="14">
        <v>1</v>
      </c>
      <c r="E24" s="14">
        <v>0</v>
      </c>
      <c r="F24" s="14">
        <v>0</v>
      </c>
      <c r="G24" s="14"/>
      <c r="H24" s="14"/>
      <c r="I24" s="8" t="s">
        <v>35</v>
      </c>
      <c r="J24" s="8" t="s">
        <v>38</v>
      </c>
      <c r="K24">
        <v>14.8125</v>
      </c>
      <c r="L24">
        <v>52.9375</v>
      </c>
      <c r="M24" s="14">
        <v>12</v>
      </c>
      <c r="N24" s="14">
        <v>3.8125</v>
      </c>
      <c r="R24" t="str">
        <f t="shared" si="2"/>
        <v xml:space="preserve">XX8X_PV_0021:    Front abuts stile:TRUE       Back abuts stile:FALSE          Panel Section: TOP           Stile in the back Width:            Cutout A: B-357          Cutout B:      F.C.:12 in.         C.C.:3.8125 in.   </v>
      </c>
      <c r="S24" t="str">
        <f t="shared" si="0"/>
        <v>TRUE</v>
      </c>
      <c r="T24" t="str">
        <f t="shared" si="4"/>
        <v>FALSE</v>
      </c>
    </row>
    <row r="25" spans="1:20">
      <c r="A25" t="s">
        <v>185</v>
      </c>
      <c r="B25" s="14" t="s">
        <v>144</v>
      </c>
      <c r="C25" s="14" t="s">
        <v>156</v>
      </c>
      <c r="D25" s="14">
        <v>1</v>
      </c>
      <c r="E25" s="14">
        <v>0</v>
      </c>
      <c r="F25" s="14">
        <v>1</v>
      </c>
      <c r="G25" s="14">
        <v>0</v>
      </c>
      <c r="H25" s="14">
        <v>12</v>
      </c>
      <c r="I25" s="8" t="s">
        <v>151</v>
      </c>
      <c r="J25" s="8" t="s">
        <v>38</v>
      </c>
      <c r="K25">
        <v>40.0625</v>
      </c>
      <c r="L25">
        <v>70.1875</v>
      </c>
      <c r="M25" s="14">
        <v>1</v>
      </c>
      <c r="N25" s="14">
        <v>1.25</v>
      </c>
      <c r="R25" t="str">
        <f t="shared" si="2"/>
        <v xml:space="preserve">XX8X_PV_0022:    Front abuts stile:TRUE       Back abuts stile:TRUE          Panel Section: TOP           Stile in the back Width: 12           Cutout A: B-35715          Cutout B:      F.C.:1 in.         C.C.:1.25 in.   </v>
      </c>
      <c r="S25" t="str">
        <f t="shared" si="0"/>
        <v>TRUE</v>
      </c>
      <c r="T25" t="str">
        <f t="shared" si="4"/>
        <v>TRUE</v>
      </c>
    </row>
    <row r="26" spans="1:20">
      <c r="A26" t="s">
        <v>186</v>
      </c>
      <c r="B26" s="14" t="s">
        <v>143</v>
      </c>
      <c r="C26" s="14" t="s">
        <v>156</v>
      </c>
      <c r="D26" s="14">
        <v>1</v>
      </c>
      <c r="E26" s="14">
        <v>0</v>
      </c>
      <c r="F26" s="14">
        <v>1</v>
      </c>
      <c r="G26" s="14">
        <v>0</v>
      </c>
      <c r="H26" s="14">
        <v>24</v>
      </c>
      <c r="I26" s="8" t="s">
        <v>120</v>
      </c>
      <c r="J26" s="8" t="s">
        <v>38</v>
      </c>
      <c r="K26">
        <v>8.875</v>
      </c>
      <c r="L26">
        <v>44.5</v>
      </c>
      <c r="M26" s="14">
        <v>1.6875</v>
      </c>
      <c r="N26" s="14">
        <v>3.3125</v>
      </c>
      <c r="R26" t="str">
        <f t="shared" si="2"/>
        <v xml:space="preserve">XX8X_PV_0023:    Front abuts stile:TRUE       Back abuts stile:TRUE          Panel Section: TOP           Stile in the back Width: 24           Cutout A: B-386          Cutout B:      F.C.:1.6875 in.         C.C.:3.3125 in.   </v>
      </c>
      <c r="S26" t="str">
        <f t="shared" si="0"/>
        <v>TRUE</v>
      </c>
      <c r="T26" t="str">
        <f t="shared" si="4"/>
        <v>TRUE</v>
      </c>
    </row>
    <row r="27" spans="1:20">
      <c r="A27" t="s">
        <v>187</v>
      </c>
      <c r="B27" s="14" t="s">
        <v>144</v>
      </c>
      <c r="C27" s="14" t="s">
        <v>156</v>
      </c>
      <c r="D27" s="14">
        <v>1</v>
      </c>
      <c r="E27" s="14">
        <v>0</v>
      </c>
      <c r="F27" s="14">
        <v>1</v>
      </c>
      <c r="G27" s="14">
        <v>0</v>
      </c>
      <c r="H27" s="14"/>
      <c r="I27" s="8" t="s">
        <v>38</v>
      </c>
      <c r="J27" s="8" t="s">
        <v>38</v>
      </c>
      <c r="K27">
        <v>22.4375</v>
      </c>
      <c r="L27">
        <v>43.0625</v>
      </c>
      <c r="M27" s="14">
        <v>9</v>
      </c>
      <c r="N27" s="14">
        <v>7.3125</v>
      </c>
      <c r="R27" t="str">
        <f t="shared" si="2"/>
        <v xml:space="preserve">XX8X_PV_0024:    Front abuts stile:TRUE       Back abuts stile:TRUE          Panel Section: TOP           Stile in the back Width:            Cutout A:           Cutout B:      F.C.:9 in.         C.C.:7.3125 in.   </v>
      </c>
      <c r="S27" t="str">
        <f t="shared" si="0"/>
        <v>TRUE</v>
      </c>
      <c r="T27" t="str">
        <f t="shared" si="4"/>
        <v>TRUE</v>
      </c>
    </row>
    <row r="28" spans="1:20">
      <c r="A28" t="s">
        <v>188</v>
      </c>
      <c r="B28" s="14" t="s">
        <v>144</v>
      </c>
      <c r="C28" s="14" t="s">
        <v>156</v>
      </c>
      <c r="D28" s="14">
        <v>1</v>
      </c>
      <c r="E28" s="14">
        <v>0</v>
      </c>
      <c r="F28" s="14">
        <v>1</v>
      </c>
      <c r="G28" s="14">
        <v>1</v>
      </c>
      <c r="H28" s="14"/>
      <c r="I28" s="8" t="s">
        <v>38</v>
      </c>
      <c r="J28" s="8" t="s">
        <v>38</v>
      </c>
      <c r="K28">
        <v>24.375</v>
      </c>
      <c r="L28">
        <v>55.1875</v>
      </c>
      <c r="M28" s="14">
        <v>1</v>
      </c>
      <c r="N28" s="14">
        <v>2.4375</v>
      </c>
      <c r="R28" t="str">
        <f t="shared" si="2"/>
        <v xml:space="preserve">XX8X_PV_0025:    Front abuts stile:TRUE       Back abuts stile:TRUE          Panel Section: TOP           Stile in the back Width:            Cutout A:           Cutout B:      F.C.:1 in.         C.C.:2.4375 in.   </v>
      </c>
      <c r="S28" t="str">
        <f t="shared" si="0"/>
        <v>TRUE</v>
      </c>
      <c r="T28" t="str">
        <f t="shared" si="4"/>
        <v>TRUE</v>
      </c>
    </row>
    <row r="29" spans="1:20">
      <c r="A29" t="s">
        <v>189</v>
      </c>
      <c r="B29" s="14" t="s">
        <v>144</v>
      </c>
      <c r="C29" s="14" t="s">
        <v>156</v>
      </c>
      <c r="D29" s="14">
        <v>1</v>
      </c>
      <c r="E29" s="14">
        <v>1</v>
      </c>
      <c r="F29" s="14">
        <v>0</v>
      </c>
      <c r="G29" s="14"/>
      <c r="H29" s="14"/>
      <c r="I29" s="8" t="s">
        <v>35</v>
      </c>
      <c r="J29" s="8" t="s">
        <v>38</v>
      </c>
      <c r="K29">
        <v>35</v>
      </c>
      <c r="L29">
        <v>28.1875</v>
      </c>
      <c r="M29" s="14">
        <v>4.5</v>
      </c>
      <c r="N29" s="14">
        <v>1</v>
      </c>
      <c r="R29" t="str">
        <f t="shared" si="2"/>
        <v xml:space="preserve">XX8X_PV_0026:    Front abuts stile:TRUE       Back abuts stile:FALSE          Panel Section: TOP           Stile in the back Width:            Cutout A: B-357          Cutout B:      F.C.:4.5 in.         C.C.:1 in.   </v>
      </c>
      <c r="S29" t="str">
        <f t="shared" si="0"/>
        <v>TRUE</v>
      </c>
      <c r="T29" t="str">
        <f t="shared" si="4"/>
        <v>FALSE</v>
      </c>
    </row>
    <row r="30" spans="1:20">
      <c r="A30" t="s">
        <v>190</v>
      </c>
      <c r="B30" s="14" t="s">
        <v>144</v>
      </c>
      <c r="C30" s="14" t="s">
        <v>156</v>
      </c>
      <c r="D30" s="14">
        <v>1</v>
      </c>
      <c r="E30" s="14">
        <v>1</v>
      </c>
      <c r="F30" s="14">
        <v>1</v>
      </c>
      <c r="G30" s="14">
        <v>0</v>
      </c>
      <c r="H30" s="14">
        <v>12</v>
      </c>
      <c r="I30" s="8" t="s">
        <v>145</v>
      </c>
      <c r="J30" s="8" t="s">
        <v>38</v>
      </c>
      <c r="K30">
        <v>43.75</v>
      </c>
      <c r="L30">
        <v>60</v>
      </c>
      <c r="M30" s="14">
        <v>4.5</v>
      </c>
      <c r="N30" s="14">
        <v>1.875</v>
      </c>
      <c r="R30" t="str">
        <f t="shared" si="2"/>
        <v xml:space="preserve">XX8X_PV_0027:    Front abuts stile:TRUE       Back abuts stile:TRUE          Panel Section: TOP           Stile in the back Width: 12           Cutout A: B-347          Cutout B:      F.C.:4.5 in.         C.C.:1.875 in.   </v>
      </c>
      <c r="S30" t="str">
        <f t="shared" si="0"/>
        <v>TRUE</v>
      </c>
      <c r="T30" t="str">
        <f t="shared" si="4"/>
        <v>TRUE</v>
      </c>
    </row>
    <row r="31" spans="1:20">
      <c r="A31" t="s">
        <v>191</v>
      </c>
      <c r="B31" s="14" t="s">
        <v>144</v>
      </c>
      <c r="C31" s="14" t="s">
        <v>156</v>
      </c>
      <c r="D31" s="14">
        <v>1</v>
      </c>
      <c r="E31" s="14">
        <v>1</v>
      </c>
      <c r="F31" s="14">
        <v>1</v>
      </c>
      <c r="G31" s="14">
        <v>0</v>
      </c>
      <c r="H31" s="14">
        <v>24</v>
      </c>
      <c r="I31" s="8" t="s">
        <v>120</v>
      </c>
      <c r="J31" s="8" t="s">
        <v>38</v>
      </c>
      <c r="K31">
        <v>8.5</v>
      </c>
      <c r="L31">
        <v>48.875</v>
      </c>
      <c r="M31" s="14">
        <v>1</v>
      </c>
      <c r="N31" s="14">
        <v>1</v>
      </c>
      <c r="R31" t="str">
        <f t="shared" si="2"/>
        <v xml:space="preserve">XX8X_PV_0028:    Front abuts stile:TRUE       Back abuts stile:TRUE          Panel Section: TOP           Stile in the back Width: 24           Cutout A: B-386          Cutout B:      F.C.:1 in.         C.C.:1 in.   </v>
      </c>
      <c r="S31" t="str">
        <f t="shared" si="0"/>
        <v>TRUE</v>
      </c>
      <c r="T31" t="str">
        <f t="shared" si="4"/>
        <v>TRUE</v>
      </c>
    </row>
    <row r="32" spans="1:20">
      <c r="A32" t="s">
        <v>192</v>
      </c>
      <c r="B32" s="14" t="s">
        <v>144</v>
      </c>
      <c r="C32" s="14" t="s">
        <v>156</v>
      </c>
      <c r="D32" s="14">
        <v>1</v>
      </c>
      <c r="E32" s="14">
        <v>1</v>
      </c>
      <c r="F32" s="14">
        <v>1</v>
      </c>
      <c r="G32" s="14">
        <v>0</v>
      </c>
      <c r="H32" s="14"/>
      <c r="I32" s="8" t="s">
        <v>38</v>
      </c>
      <c r="J32" s="8" t="s">
        <v>38</v>
      </c>
      <c r="K32">
        <v>42.5625</v>
      </c>
      <c r="L32">
        <v>21</v>
      </c>
      <c r="M32" s="14">
        <v>1</v>
      </c>
      <c r="N32" s="14">
        <v>6.8125</v>
      </c>
      <c r="R32" t="str">
        <f t="shared" si="2"/>
        <v xml:space="preserve">XX8X_PV_0029:    Front abuts stile:TRUE       Back abuts stile:TRUE          Panel Section: TOP           Stile in the back Width:            Cutout A:           Cutout B:      F.C.:1 in.         C.C.:6.8125 in.   </v>
      </c>
      <c r="S32" t="str">
        <f t="shared" si="0"/>
        <v>TRUE</v>
      </c>
      <c r="T32" t="str">
        <f t="shared" si="4"/>
        <v>TRUE</v>
      </c>
    </row>
    <row r="33" spans="1:20">
      <c r="A33" t="s">
        <v>193</v>
      </c>
      <c r="B33" s="14" t="s">
        <v>144</v>
      </c>
      <c r="C33" s="14" t="s">
        <v>156</v>
      </c>
      <c r="D33" s="14">
        <v>1</v>
      </c>
      <c r="E33" s="14">
        <v>1</v>
      </c>
      <c r="F33" s="14">
        <v>1</v>
      </c>
      <c r="G33" s="14">
        <v>1</v>
      </c>
      <c r="H33" s="14"/>
      <c r="I33" s="8" t="s">
        <v>38</v>
      </c>
      <c r="J33" s="8" t="s">
        <v>38</v>
      </c>
      <c r="K33">
        <v>8.6875</v>
      </c>
      <c r="L33">
        <v>6.5625</v>
      </c>
      <c r="M33" s="14">
        <v>12</v>
      </c>
      <c r="N33" s="14">
        <v>2.5</v>
      </c>
      <c r="R33" t="str">
        <f t="shared" si="2"/>
        <v xml:space="preserve">XX8X_PV_0030:    Front abuts stile:TRUE       Back abuts stile:TRUE          Panel Section: TOP           Stile in the back Width:            Cutout A:           Cutout B:      F.C.:12 in.         C.C.:2.5 in.   </v>
      </c>
      <c r="S33" t="str">
        <f t="shared" si="0"/>
        <v>TRUE</v>
      </c>
      <c r="T33" t="str">
        <f t="shared" si="4"/>
        <v>TRUE</v>
      </c>
    </row>
    <row r="34" spans="1:20">
      <c r="A34" t="s">
        <v>194</v>
      </c>
      <c r="B34" s="14" t="s">
        <v>144</v>
      </c>
      <c r="C34" s="14" t="s">
        <v>157</v>
      </c>
      <c r="D34" s="14">
        <v>0</v>
      </c>
      <c r="E34" s="14"/>
      <c r="F34" s="14">
        <v>0</v>
      </c>
      <c r="G34" s="14"/>
      <c r="H34" s="14"/>
      <c r="I34" s="8" t="s">
        <v>38</v>
      </c>
      <c r="J34" s="8" t="s">
        <v>38</v>
      </c>
      <c r="K34">
        <v>60</v>
      </c>
      <c r="L34">
        <v>28.6875</v>
      </c>
      <c r="M34" s="14">
        <v>9</v>
      </c>
      <c r="N34" s="14">
        <v>7.9375</v>
      </c>
      <c r="R34" t="str">
        <f t="shared" si="2"/>
        <v xml:space="preserve">XX8X_PV_0031:    Front abuts stile:FALSE       Back abuts stile:FALSE          Panel Section: BOTTOM           Stile in the back Width:            Cutout A:           Cutout B:      F.C.:9 in.         C.C.:7.9375 in.   </v>
      </c>
      <c r="S34" t="str">
        <f t="shared" si="0"/>
        <v>FALSE</v>
      </c>
      <c r="T34" t="str">
        <f t="shared" si="4"/>
        <v>FALSE</v>
      </c>
    </row>
    <row r="35" spans="1:20">
      <c r="A35" t="s">
        <v>195</v>
      </c>
      <c r="B35" s="14" t="s">
        <v>144</v>
      </c>
      <c r="C35" s="14" t="s">
        <v>157</v>
      </c>
      <c r="D35" s="14">
        <v>0</v>
      </c>
      <c r="E35" s="14"/>
      <c r="F35" s="14">
        <v>1</v>
      </c>
      <c r="G35" s="14">
        <v>0</v>
      </c>
      <c r="H35" s="14">
        <v>12</v>
      </c>
      <c r="I35" s="8" t="s">
        <v>151</v>
      </c>
      <c r="J35" s="8" t="s">
        <v>38</v>
      </c>
      <c r="K35">
        <v>60</v>
      </c>
      <c r="L35">
        <v>70.5</v>
      </c>
      <c r="M35" s="14">
        <v>4.5</v>
      </c>
      <c r="N35" s="14">
        <v>1</v>
      </c>
      <c r="R35" t="str">
        <f t="shared" si="2"/>
        <v xml:space="preserve">XX8X_PV_0032:    Front abuts stile:FALSE       Back abuts stile:TRUE          Panel Section: BOTTOM           Stile in the back Width: 12           Cutout A: B-35715          Cutout B:      F.C.:4.5 in.         C.C.:1 in.   </v>
      </c>
      <c r="S35" t="str">
        <f t="shared" si="0"/>
        <v>FALSE</v>
      </c>
      <c r="T35" t="str">
        <f t="shared" si="4"/>
        <v>TRUE</v>
      </c>
    </row>
    <row r="36" spans="1:20">
      <c r="A36" t="s">
        <v>196</v>
      </c>
      <c r="B36" s="14" t="s">
        <v>144</v>
      </c>
      <c r="C36" s="14" t="s">
        <v>157</v>
      </c>
      <c r="D36" s="14">
        <v>0</v>
      </c>
      <c r="E36" s="14"/>
      <c r="F36" s="14">
        <v>1</v>
      </c>
      <c r="G36" s="14">
        <v>0</v>
      </c>
      <c r="H36" s="14">
        <v>24</v>
      </c>
      <c r="I36" s="8" t="s">
        <v>38</v>
      </c>
      <c r="J36" s="8" t="s">
        <v>38</v>
      </c>
      <c r="K36">
        <v>60</v>
      </c>
      <c r="L36">
        <v>33.6875</v>
      </c>
      <c r="M36" s="14">
        <v>8.8125</v>
      </c>
      <c r="N36" s="14">
        <v>1</v>
      </c>
      <c r="R36" t="str">
        <f t="shared" si="2"/>
        <v xml:space="preserve">XX8X_PV_0033:    Front abuts stile:FALSE       Back abuts stile:TRUE          Panel Section: BOTTOM           Stile in the back Width: 24           Cutout A:           Cutout B:      F.C.:8.8125 in.         C.C.:1 in.   </v>
      </c>
      <c r="S36" t="str">
        <f t="shared" si="0"/>
        <v>FALSE</v>
      </c>
      <c r="T36" t="str">
        <f t="shared" si="4"/>
        <v>TRUE</v>
      </c>
    </row>
    <row r="37" spans="1:20">
      <c r="A37" t="s">
        <v>197</v>
      </c>
      <c r="B37" s="14" t="s">
        <v>144</v>
      </c>
      <c r="C37" s="14" t="s">
        <v>157</v>
      </c>
      <c r="D37" s="14">
        <v>0</v>
      </c>
      <c r="E37" s="14"/>
      <c r="F37" s="14">
        <v>1</v>
      </c>
      <c r="G37" s="14">
        <v>0</v>
      </c>
      <c r="H37" s="14"/>
      <c r="I37" s="8" t="s">
        <v>38</v>
      </c>
      <c r="J37" s="8" t="s">
        <v>38</v>
      </c>
      <c r="K37">
        <v>60</v>
      </c>
      <c r="L37">
        <v>72.5625</v>
      </c>
      <c r="M37" s="14">
        <v>5.5</v>
      </c>
      <c r="N37" s="14">
        <v>7.8125</v>
      </c>
      <c r="R37" t="str">
        <f t="shared" si="2"/>
        <v xml:space="preserve">XX8X_PV_0034:    Front abuts stile:FALSE       Back abuts stile:TRUE          Panel Section: BOTTOM           Stile in the back Width:            Cutout A:           Cutout B:      F.C.:5.5 in.         C.C.:7.8125 in.   </v>
      </c>
      <c r="S37" t="str">
        <f t="shared" si="0"/>
        <v>FALSE</v>
      </c>
      <c r="T37" t="str">
        <f t="shared" si="4"/>
        <v>TRUE</v>
      </c>
    </row>
    <row r="38" spans="1:20">
      <c r="A38" t="s">
        <v>198</v>
      </c>
      <c r="B38" s="14" t="s">
        <v>144</v>
      </c>
      <c r="C38" s="14" t="s">
        <v>157</v>
      </c>
      <c r="D38" s="14">
        <v>0</v>
      </c>
      <c r="E38" s="14"/>
      <c r="F38" s="14">
        <v>1</v>
      </c>
      <c r="G38" s="14">
        <v>1</v>
      </c>
      <c r="H38" s="14"/>
      <c r="I38" s="8" t="s">
        <v>38</v>
      </c>
      <c r="J38" s="8" t="s">
        <v>38</v>
      </c>
      <c r="K38">
        <v>60</v>
      </c>
      <c r="L38">
        <v>79</v>
      </c>
      <c r="M38" s="14">
        <v>7.125</v>
      </c>
      <c r="N38" s="14">
        <v>4.125</v>
      </c>
      <c r="R38" t="str">
        <f t="shared" si="2"/>
        <v xml:space="preserve">XX8X_PV_0035:    Front abuts stile:FALSE       Back abuts stile:TRUE          Panel Section: BOTTOM           Stile in the back Width:            Cutout A:           Cutout B:      F.C.:7.125 in.         C.C.:4.125 in.   </v>
      </c>
      <c r="S38" t="str">
        <f t="shared" si="0"/>
        <v>FALSE</v>
      </c>
      <c r="T38" t="str">
        <f t="shared" si="4"/>
        <v>TRUE</v>
      </c>
    </row>
    <row r="39" spans="1:20">
      <c r="A39" t="s">
        <v>199</v>
      </c>
      <c r="B39" s="14" t="s">
        <v>144</v>
      </c>
      <c r="C39" s="14" t="s">
        <v>157</v>
      </c>
      <c r="D39" s="14">
        <v>1</v>
      </c>
      <c r="E39" s="14">
        <v>0</v>
      </c>
      <c r="F39" s="14">
        <v>0</v>
      </c>
      <c r="G39" s="14"/>
      <c r="H39" s="14"/>
      <c r="I39" s="8" t="s">
        <v>119</v>
      </c>
      <c r="J39" s="8" t="s">
        <v>120</v>
      </c>
      <c r="K39">
        <v>60</v>
      </c>
      <c r="L39">
        <v>26.5</v>
      </c>
      <c r="M39" s="14">
        <v>12</v>
      </c>
      <c r="N39" s="14">
        <v>2.375</v>
      </c>
      <c r="R39" t="str">
        <f t="shared" si="2"/>
        <v xml:space="preserve">XX8X_PV_0036:    Front abuts stile:TRUE       Back abuts stile:FALSE          Panel Section: BOTTOM           Stile in the back Width:            Cutout A: B-354          Cutout B:B-386      F.C.:12 in.         C.C.:2.375 in.   </v>
      </c>
      <c r="S39" t="str">
        <f t="shared" si="0"/>
        <v>TRUE</v>
      </c>
      <c r="T39" t="str">
        <f t="shared" si="4"/>
        <v>FALSE</v>
      </c>
    </row>
    <row r="40" spans="1:20">
      <c r="A40" t="s">
        <v>200</v>
      </c>
      <c r="B40" s="14" t="s">
        <v>144</v>
      </c>
      <c r="C40" s="14" t="s">
        <v>157</v>
      </c>
      <c r="D40" s="14">
        <v>1</v>
      </c>
      <c r="E40" s="14">
        <v>0</v>
      </c>
      <c r="F40" s="14">
        <v>1</v>
      </c>
      <c r="G40" s="14">
        <v>0</v>
      </c>
      <c r="H40" s="14">
        <v>12</v>
      </c>
      <c r="I40" s="8" t="s">
        <v>145</v>
      </c>
      <c r="J40" s="8" t="s">
        <v>38</v>
      </c>
      <c r="K40">
        <v>60</v>
      </c>
      <c r="L40">
        <v>55.4375</v>
      </c>
      <c r="M40" s="14">
        <v>4.5</v>
      </c>
      <c r="N40" s="14">
        <v>1.125</v>
      </c>
      <c r="R40" t="str">
        <f t="shared" si="2"/>
        <v xml:space="preserve">XX8X_PV_0037:    Front abuts stile:TRUE       Back abuts stile:TRUE          Panel Section: BOTTOM           Stile in the back Width: 12           Cutout A: B-347          Cutout B:      F.C.:4.5 in.         C.C.:1.125 in.   </v>
      </c>
      <c r="S40" t="str">
        <f t="shared" si="0"/>
        <v>TRUE</v>
      </c>
      <c r="T40" t="str">
        <f t="shared" si="4"/>
        <v>TRUE</v>
      </c>
    </row>
    <row r="41" spans="1:20">
      <c r="A41" t="s">
        <v>201</v>
      </c>
      <c r="B41" s="14" t="s">
        <v>144</v>
      </c>
      <c r="C41" s="14" t="s">
        <v>157</v>
      </c>
      <c r="D41" s="14">
        <v>1</v>
      </c>
      <c r="E41" s="14">
        <v>0</v>
      </c>
      <c r="F41" s="14">
        <v>1</v>
      </c>
      <c r="G41" s="14">
        <v>0</v>
      </c>
      <c r="H41" s="14">
        <v>24</v>
      </c>
      <c r="I41" s="8" t="s">
        <v>120</v>
      </c>
      <c r="J41" s="8" t="s">
        <v>38</v>
      </c>
      <c r="K41">
        <v>60</v>
      </c>
      <c r="L41">
        <v>79.875</v>
      </c>
      <c r="M41" s="14">
        <v>1</v>
      </c>
      <c r="N41" s="14">
        <v>4.125</v>
      </c>
      <c r="R41" t="str">
        <f t="shared" si="2"/>
        <v xml:space="preserve">XX8X_PV_0038:    Front abuts stile:TRUE       Back abuts stile:TRUE          Panel Section: BOTTOM           Stile in the back Width: 24           Cutout A: B-386          Cutout B:      F.C.:1 in.         C.C.:4.125 in.   </v>
      </c>
      <c r="S41" t="str">
        <f t="shared" si="0"/>
        <v>TRUE</v>
      </c>
      <c r="T41" t="str">
        <f t="shared" si="4"/>
        <v>TRUE</v>
      </c>
    </row>
    <row r="42" spans="1:20">
      <c r="A42" t="s">
        <v>202</v>
      </c>
      <c r="B42" s="14" t="s">
        <v>143</v>
      </c>
      <c r="C42" s="14" t="s">
        <v>157</v>
      </c>
      <c r="D42" s="14">
        <v>1</v>
      </c>
      <c r="E42" s="14">
        <v>0</v>
      </c>
      <c r="F42" s="14">
        <v>1</v>
      </c>
      <c r="G42" s="14">
        <v>0</v>
      </c>
      <c r="H42" s="14"/>
      <c r="I42" s="8" t="s">
        <v>38</v>
      </c>
      <c r="J42" s="8" t="s">
        <v>38</v>
      </c>
      <c r="K42">
        <v>60</v>
      </c>
      <c r="L42">
        <v>63.6875</v>
      </c>
      <c r="M42" s="14">
        <v>1</v>
      </c>
      <c r="N42" s="14">
        <v>6.625</v>
      </c>
      <c r="R42" t="str">
        <f t="shared" si="2"/>
        <v xml:space="preserve">XX8X_PV_0039:    Front abuts stile:TRUE       Back abuts stile:TRUE          Panel Section: BOTTOM           Stile in the back Width:            Cutout A:           Cutout B:      F.C.:1 in.         C.C.:6.625 in.   </v>
      </c>
      <c r="S42" t="str">
        <f t="shared" si="0"/>
        <v>TRUE</v>
      </c>
      <c r="T42" t="str">
        <f t="shared" si="4"/>
        <v>TRUE</v>
      </c>
    </row>
    <row r="43" spans="1:20">
      <c r="A43" t="s">
        <v>203</v>
      </c>
      <c r="B43" s="14" t="s">
        <v>144</v>
      </c>
      <c r="C43" s="14" t="s">
        <v>157</v>
      </c>
      <c r="D43" s="14">
        <v>1</v>
      </c>
      <c r="E43" s="14">
        <v>0</v>
      </c>
      <c r="F43" s="14">
        <v>1</v>
      </c>
      <c r="G43" s="14">
        <v>1</v>
      </c>
      <c r="H43" s="14"/>
      <c r="I43" s="8" t="s">
        <v>38</v>
      </c>
      <c r="J43" s="8" t="s">
        <v>38</v>
      </c>
      <c r="K43">
        <v>60</v>
      </c>
      <c r="L43">
        <v>26.5625</v>
      </c>
      <c r="M43" s="14">
        <v>9</v>
      </c>
      <c r="N43" s="14">
        <v>1</v>
      </c>
      <c r="R43" t="str">
        <f t="shared" si="2"/>
        <v xml:space="preserve">XX8X_PV_0040:    Front abuts stile:TRUE       Back abuts stile:TRUE          Panel Section: BOTTOM           Stile in the back Width:            Cutout A:           Cutout B:      F.C.:9 in.         C.C.:1 in.   </v>
      </c>
      <c r="S43" t="str">
        <f t="shared" si="0"/>
        <v>TRUE</v>
      </c>
      <c r="T43" t="str">
        <f t="shared" si="4"/>
        <v>TRUE</v>
      </c>
    </row>
    <row r="44" spans="1:20">
      <c r="A44" t="s">
        <v>204</v>
      </c>
      <c r="B44" s="14" t="s">
        <v>144</v>
      </c>
      <c r="C44" s="14" t="s">
        <v>157</v>
      </c>
      <c r="D44" s="14">
        <v>1</v>
      </c>
      <c r="E44" s="14">
        <v>1</v>
      </c>
      <c r="F44" s="14">
        <v>0</v>
      </c>
      <c r="G44" s="14"/>
      <c r="H44" s="14"/>
      <c r="I44" s="8" t="s">
        <v>150</v>
      </c>
      <c r="J44" s="8" t="s">
        <v>38</v>
      </c>
      <c r="K44">
        <v>60</v>
      </c>
      <c r="L44">
        <v>45.75</v>
      </c>
      <c r="M44" s="14">
        <v>12</v>
      </c>
      <c r="N44" s="14">
        <v>1.25</v>
      </c>
      <c r="R44" t="str">
        <f t="shared" si="2"/>
        <v xml:space="preserve">XX8X_PV_0041:    Front abuts stile:TRUE       Back abuts stile:FALSE          Panel Section: BOTTOM           Stile in the back Width:            Cutout A: B-3571          Cutout B:      F.C.:12 in.         C.C.:1.25 in.   </v>
      </c>
      <c r="S44" t="str">
        <f t="shared" si="0"/>
        <v>TRUE</v>
      </c>
      <c r="T44" t="str">
        <f t="shared" si="4"/>
        <v>FALSE</v>
      </c>
    </row>
    <row r="45" spans="1:20">
      <c r="A45" t="s">
        <v>205</v>
      </c>
      <c r="B45" s="14" t="s">
        <v>144</v>
      </c>
      <c r="C45" s="14" t="s">
        <v>157</v>
      </c>
      <c r="D45" s="14">
        <v>1</v>
      </c>
      <c r="E45" s="14">
        <v>1</v>
      </c>
      <c r="F45" s="14">
        <v>1</v>
      </c>
      <c r="G45" s="14">
        <v>0</v>
      </c>
      <c r="H45" s="14">
        <v>12</v>
      </c>
      <c r="I45" s="8" t="s">
        <v>149</v>
      </c>
      <c r="J45" s="8" t="s">
        <v>38</v>
      </c>
      <c r="K45">
        <v>60</v>
      </c>
      <c r="L45">
        <v>6.75</v>
      </c>
      <c r="M45" s="14">
        <v>2.5</v>
      </c>
      <c r="N45" s="14">
        <v>3.375</v>
      </c>
      <c r="R45" t="str">
        <f t="shared" si="2"/>
        <v xml:space="preserve">XX8X_PV_0042:    Front abuts stile:TRUE       Back abuts stile:TRUE          Panel Section: BOTTOM           Stile in the back Width: 12           Cutout A: B-34715          Cutout B:      F.C.:2.5 in.         C.C.:3.375 in.   </v>
      </c>
      <c r="S45" t="str">
        <f t="shared" si="0"/>
        <v>TRUE</v>
      </c>
      <c r="T45" t="str">
        <f t="shared" si="4"/>
        <v>TRUE</v>
      </c>
    </row>
    <row r="46" spans="1:20">
      <c r="A46" t="s">
        <v>206</v>
      </c>
      <c r="B46" s="14" t="s">
        <v>143</v>
      </c>
      <c r="C46" s="14" t="s">
        <v>157</v>
      </c>
      <c r="D46" s="14">
        <v>1</v>
      </c>
      <c r="E46" s="14">
        <v>1</v>
      </c>
      <c r="F46" s="14">
        <v>1</v>
      </c>
      <c r="G46" s="14">
        <v>0</v>
      </c>
      <c r="H46" s="14">
        <v>24</v>
      </c>
      <c r="I46" s="8" t="s">
        <v>120</v>
      </c>
      <c r="J46" s="8" t="s">
        <v>38</v>
      </c>
      <c r="K46">
        <v>60</v>
      </c>
      <c r="L46">
        <v>32.875</v>
      </c>
      <c r="M46" s="14">
        <v>12</v>
      </c>
      <c r="N46" s="14">
        <v>2.8125</v>
      </c>
      <c r="R46" t="str">
        <f t="shared" si="2"/>
        <v xml:space="preserve">XX8X_PV_0043:    Front abuts stile:TRUE       Back abuts stile:TRUE          Panel Section: BOTTOM           Stile in the back Width: 24           Cutout A: B-386          Cutout B:      F.C.:12 in.         C.C.:2.8125 in.   </v>
      </c>
      <c r="S46" t="str">
        <f t="shared" si="0"/>
        <v>TRUE</v>
      </c>
      <c r="T46" t="str">
        <f t="shared" si="4"/>
        <v>TRUE</v>
      </c>
    </row>
    <row r="47" spans="1:20">
      <c r="A47" t="s">
        <v>207</v>
      </c>
      <c r="B47" s="14" t="s">
        <v>144</v>
      </c>
      <c r="C47" s="14" t="s">
        <v>157</v>
      </c>
      <c r="D47" s="14">
        <v>1</v>
      </c>
      <c r="E47" s="14">
        <v>1</v>
      </c>
      <c r="F47" s="14">
        <v>1</v>
      </c>
      <c r="G47" s="14">
        <v>0</v>
      </c>
      <c r="H47" s="14"/>
      <c r="I47" s="8" t="s">
        <v>38</v>
      </c>
      <c r="J47" s="8" t="s">
        <v>38</v>
      </c>
      <c r="K47">
        <v>60</v>
      </c>
      <c r="L47">
        <v>12.125</v>
      </c>
      <c r="M47" s="14">
        <v>4.5</v>
      </c>
      <c r="N47" s="14">
        <v>4.6875</v>
      </c>
      <c r="R47" t="str">
        <f t="shared" si="2"/>
        <v xml:space="preserve">XX8X_PV_0044:    Front abuts stile:TRUE       Back abuts stile:TRUE          Panel Section: BOTTOM           Stile in the back Width:            Cutout A:           Cutout B:      F.C.:4.5 in.         C.C.:4.6875 in.   </v>
      </c>
      <c r="S47" t="str">
        <f t="shared" si="0"/>
        <v>TRUE</v>
      </c>
      <c r="T47" t="str">
        <f t="shared" si="4"/>
        <v>TRUE</v>
      </c>
    </row>
    <row r="48" spans="1:20">
      <c r="A48" t="s">
        <v>208</v>
      </c>
      <c r="B48" s="14" t="s">
        <v>144</v>
      </c>
      <c r="C48" s="14" t="s">
        <v>157</v>
      </c>
      <c r="D48" s="14">
        <v>1</v>
      </c>
      <c r="E48" s="14">
        <v>1</v>
      </c>
      <c r="F48" s="14">
        <v>1</v>
      </c>
      <c r="G48" s="14">
        <v>1</v>
      </c>
      <c r="H48" s="14"/>
      <c r="I48" s="8" t="s">
        <v>38</v>
      </c>
      <c r="J48" s="8" t="s">
        <v>38</v>
      </c>
      <c r="K48">
        <v>60</v>
      </c>
      <c r="L48">
        <v>62.6875</v>
      </c>
      <c r="M48" s="14">
        <v>1</v>
      </c>
      <c r="N48" s="14">
        <v>5.5625</v>
      </c>
      <c r="R48" t="str">
        <f t="shared" si="2"/>
        <v xml:space="preserve">XX8X_PV_0045:    Front abuts stile:TRUE       Back abuts stile:TRUE          Panel Section: BOTTOM           Stile in the back Width:            Cutout A:           Cutout B:      F.C.:1 in.         C.C.:5.5625 in.   </v>
      </c>
      <c r="S48" t="str">
        <f t="shared" si="0"/>
        <v>TRUE</v>
      </c>
      <c r="T48" t="str">
        <f t="shared" si="4"/>
        <v>TRUE</v>
      </c>
    </row>
    <row r="49" spans="1:20">
      <c r="A49" t="s">
        <v>209</v>
      </c>
      <c r="B49" s="14" t="s">
        <v>143</v>
      </c>
      <c r="C49" s="14" t="s">
        <v>157</v>
      </c>
      <c r="D49" s="14">
        <v>0</v>
      </c>
      <c r="E49" s="14"/>
      <c r="F49" s="14">
        <v>0</v>
      </c>
      <c r="G49" s="14"/>
      <c r="H49" s="14"/>
      <c r="I49" s="8" t="s">
        <v>120</v>
      </c>
      <c r="J49" s="8" t="s">
        <v>119</v>
      </c>
      <c r="K49">
        <v>60</v>
      </c>
      <c r="L49">
        <v>44.3125</v>
      </c>
      <c r="M49" s="14">
        <v>12</v>
      </c>
      <c r="N49" s="14">
        <v>3.8125</v>
      </c>
      <c r="R49" t="str">
        <f t="shared" si="2"/>
        <v xml:space="preserve">XX8X_PV_0046:    Front abuts stile:FALSE       Back abuts stile:FALSE          Panel Section: BOTTOM           Stile in the back Width:            Cutout A: B-386          Cutout B:B-354      F.C.:12 in.         C.C.:3.8125 in.   </v>
      </c>
      <c r="S49" t="str">
        <f t="shared" si="0"/>
        <v>FALSE</v>
      </c>
      <c r="T49" t="str">
        <f t="shared" si="4"/>
        <v>FALSE</v>
      </c>
    </row>
    <row r="50" spans="1:20">
      <c r="A50" t="s">
        <v>210</v>
      </c>
      <c r="B50" s="14" t="s">
        <v>144</v>
      </c>
      <c r="C50" s="14" t="s">
        <v>157</v>
      </c>
      <c r="D50" s="14">
        <v>0</v>
      </c>
      <c r="E50" s="14"/>
      <c r="F50" s="14">
        <v>1</v>
      </c>
      <c r="G50" s="14">
        <v>0</v>
      </c>
      <c r="H50" s="14">
        <v>12</v>
      </c>
      <c r="I50" s="8" t="s">
        <v>38</v>
      </c>
      <c r="J50" s="8" t="s">
        <v>38</v>
      </c>
      <c r="K50">
        <v>60</v>
      </c>
      <c r="L50">
        <v>42.125</v>
      </c>
      <c r="M50" s="14">
        <v>9.9375</v>
      </c>
      <c r="N50" s="14">
        <v>3.125</v>
      </c>
      <c r="R50" t="str">
        <f t="shared" si="2"/>
        <v xml:space="preserve">XX8X_PV_0047:    Front abuts stile:FALSE       Back abuts stile:TRUE          Panel Section: BOTTOM           Stile in the back Width: 12           Cutout A:           Cutout B:      F.C.:9.9375 in.         C.C.:3.125 in.   </v>
      </c>
      <c r="S50" t="str">
        <f t="shared" si="0"/>
        <v>FALSE</v>
      </c>
      <c r="T50" t="str">
        <f t="shared" si="4"/>
        <v>TRUE</v>
      </c>
    </row>
    <row r="51" spans="1:20">
      <c r="A51" t="s">
        <v>211</v>
      </c>
      <c r="B51" s="14" t="s">
        <v>144</v>
      </c>
      <c r="C51" s="14" t="s">
        <v>157</v>
      </c>
      <c r="D51" s="14">
        <v>0</v>
      </c>
      <c r="E51" s="14"/>
      <c r="F51" s="14">
        <v>1</v>
      </c>
      <c r="G51" s="14">
        <v>0</v>
      </c>
      <c r="H51" s="14">
        <v>24</v>
      </c>
      <c r="I51" s="8" t="s">
        <v>38</v>
      </c>
      <c r="J51" s="8" t="s">
        <v>38</v>
      </c>
      <c r="K51">
        <v>60</v>
      </c>
      <c r="L51">
        <v>60.8125</v>
      </c>
      <c r="M51" s="14">
        <v>5.875</v>
      </c>
      <c r="N51" s="14">
        <v>2.625</v>
      </c>
      <c r="R51" t="str">
        <f t="shared" si="2"/>
        <v xml:space="preserve">XX8X_PV_0048:    Front abuts stile:FALSE       Back abuts stile:TRUE          Panel Section: BOTTOM           Stile in the back Width: 24           Cutout A:           Cutout B:      F.C.:5.875 in.         C.C.:2.625 in.   </v>
      </c>
      <c r="S51" t="str">
        <f t="shared" si="0"/>
        <v>FALSE</v>
      </c>
      <c r="T51" t="str">
        <f t="shared" si="4"/>
        <v>TRUE</v>
      </c>
    </row>
    <row r="52" spans="1:20">
      <c r="A52" t="s">
        <v>212</v>
      </c>
      <c r="B52" s="14" t="s">
        <v>144</v>
      </c>
      <c r="C52" s="14" t="s">
        <v>157</v>
      </c>
      <c r="D52" s="14">
        <v>0</v>
      </c>
      <c r="E52" s="14"/>
      <c r="F52" s="14">
        <v>1</v>
      </c>
      <c r="G52" s="14">
        <v>0</v>
      </c>
      <c r="H52" s="14"/>
      <c r="I52" s="8" t="s">
        <v>38</v>
      </c>
      <c r="J52" s="8" t="s">
        <v>38</v>
      </c>
      <c r="K52">
        <v>60</v>
      </c>
      <c r="L52">
        <v>53.5625</v>
      </c>
      <c r="M52" s="14">
        <v>9.75</v>
      </c>
      <c r="N52" s="14">
        <v>1.6875</v>
      </c>
      <c r="R52" t="str">
        <f t="shared" si="2"/>
        <v xml:space="preserve">XX8X_PV_0049:    Front abuts stile:FALSE       Back abuts stile:TRUE          Panel Section: BOTTOM           Stile in the back Width:            Cutout A:           Cutout B:      F.C.:9.75 in.         C.C.:1.6875 in.   </v>
      </c>
      <c r="S52" t="str">
        <f t="shared" si="0"/>
        <v>FALSE</v>
      </c>
      <c r="T52" t="str">
        <f t="shared" si="4"/>
        <v>TRUE</v>
      </c>
    </row>
    <row r="53" spans="1:20">
      <c r="A53" t="s">
        <v>213</v>
      </c>
      <c r="B53" s="14" t="s">
        <v>144</v>
      </c>
      <c r="C53" s="14" t="s">
        <v>157</v>
      </c>
      <c r="D53" s="14">
        <v>0</v>
      </c>
      <c r="E53" s="14"/>
      <c r="F53" s="14">
        <v>1</v>
      </c>
      <c r="G53" s="14">
        <v>1</v>
      </c>
      <c r="H53" s="14"/>
      <c r="I53" s="8" t="s">
        <v>38</v>
      </c>
      <c r="J53" s="8" t="s">
        <v>38</v>
      </c>
      <c r="K53">
        <v>60</v>
      </c>
      <c r="L53">
        <v>72.375</v>
      </c>
      <c r="M53" s="14">
        <v>4.5</v>
      </c>
      <c r="N53" s="14">
        <v>4.9375</v>
      </c>
      <c r="R53" t="str">
        <f t="shared" si="2"/>
        <v xml:space="preserve">XX8X_PV_0050:    Front abuts stile:FALSE       Back abuts stile:TRUE          Panel Section: BOTTOM           Stile in the back Width:            Cutout A:           Cutout B:      F.C.:4.5 in.         C.C.:4.9375 in.   </v>
      </c>
      <c r="S53" t="str">
        <f t="shared" si="0"/>
        <v>FALSE</v>
      </c>
      <c r="T53" t="str">
        <f t="shared" si="4"/>
        <v>TRUE</v>
      </c>
    </row>
    <row r="54" spans="1:20">
      <c r="A54" t="s">
        <v>214</v>
      </c>
      <c r="B54" s="14" t="s">
        <v>144</v>
      </c>
      <c r="C54" s="14" t="s">
        <v>157</v>
      </c>
      <c r="D54" s="14">
        <v>1</v>
      </c>
      <c r="E54" s="14">
        <v>0</v>
      </c>
      <c r="F54" s="14">
        <v>0</v>
      </c>
      <c r="G54" s="14"/>
      <c r="H54" s="14"/>
      <c r="I54" s="8" t="s">
        <v>119</v>
      </c>
      <c r="J54" s="8" t="s">
        <v>120</v>
      </c>
      <c r="K54">
        <v>60</v>
      </c>
      <c r="L54">
        <v>64.5625</v>
      </c>
      <c r="M54" s="14">
        <v>12</v>
      </c>
      <c r="N54" s="14">
        <v>4.3125</v>
      </c>
      <c r="R54" t="str">
        <f t="shared" si="2"/>
        <v xml:space="preserve">XX8X_PV_0051:    Front abuts stile:TRUE       Back abuts stile:FALSE          Panel Section: BOTTOM           Stile in the back Width:            Cutout A: B-354          Cutout B:B-386      F.C.:12 in.         C.C.:4.3125 in.   </v>
      </c>
      <c r="S54" t="str">
        <f t="shared" si="0"/>
        <v>TRUE</v>
      </c>
      <c r="T54" t="str">
        <f t="shared" si="4"/>
        <v>FALSE</v>
      </c>
    </row>
    <row r="55" spans="1:20">
      <c r="A55" t="s">
        <v>215</v>
      </c>
      <c r="B55" s="14" t="s">
        <v>143</v>
      </c>
      <c r="C55" s="14" t="s">
        <v>157</v>
      </c>
      <c r="D55" s="14">
        <v>1</v>
      </c>
      <c r="E55" s="14">
        <v>0</v>
      </c>
      <c r="F55" s="14">
        <v>1</v>
      </c>
      <c r="G55" s="14">
        <v>0</v>
      </c>
      <c r="H55" s="14">
        <v>12</v>
      </c>
      <c r="I55" s="8" t="s">
        <v>38</v>
      </c>
      <c r="J55" s="8" t="s">
        <v>38</v>
      </c>
      <c r="K55">
        <v>60</v>
      </c>
      <c r="L55">
        <v>10.0625</v>
      </c>
      <c r="M55" s="14">
        <v>10.8125</v>
      </c>
      <c r="N55" s="14">
        <v>2.5625</v>
      </c>
      <c r="R55" t="str">
        <f t="shared" si="2"/>
        <v xml:space="preserve">XX8X_PV_0052:    Front abuts stile:TRUE       Back abuts stile:TRUE          Panel Section: BOTTOM           Stile in the back Width: 12           Cutout A:           Cutout B:      F.C.:10.8125 in.         C.C.:2.5625 in.   </v>
      </c>
      <c r="S55" t="str">
        <f t="shared" si="0"/>
        <v>TRUE</v>
      </c>
      <c r="T55" t="str">
        <f t="shared" si="4"/>
        <v>TRUE</v>
      </c>
    </row>
    <row r="56" spans="1:20">
      <c r="A56" t="s">
        <v>216</v>
      </c>
      <c r="B56" s="14" t="s">
        <v>144</v>
      </c>
      <c r="C56" s="14" t="s">
        <v>157</v>
      </c>
      <c r="D56" s="14">
        <v>1</v>
      </c>
      <c r="E56" s="14">
        <v>0</v>
      </c>
      <c r="F56" s="14">
        <v>1</v>
      </c>
      <c r="G56" s="14">
        <v>0</v>
      </c>
      <c r="H56" s="14">
        <v>24</v>
      </c>
      <c r="I56" s="8" t="s">
        <v>120</v>
      </c>
      <c r="J56" s="8" t="s">
        <v>38</v>
      </c>
      <c r="K56">
        <v>60</v>
      </c>
      <c r="L56">
        <v>43.875</v>
      </c>
      <c r="M56" s="14">
        <v>1</v>
      </c>
      <c r="N56" s="14">
        <v>4.6875</v>
      </c>
      <c r="R56" t="str">
        <f t="shared" si="2"/>
        <v xml:space="preserve">XX8X_PV_0053:    Front abuts stile:TRUE       Back abuts stile:TRUE          Panel Section: BOTTOM           Stile in the back Width: 24           Cutout A: B-386          Cutout B:      F.C.:1 in.         C.C.:4.6875 in.   </v>
      </c>
      <c r="S56" t="str">
        <f t="shared" si="0"/>
        <v>TRUE</v>
      </c>
      <c r="T56" t="str">
        <f t="shared" si="4"/>
        <v>TRUE</v>
      </c>
    </row>
    <row r="57" spans="1:20">
      <c r="A57" t="s">
        <v>217</v>
      </c>
      <c r="B57" s="14" t="s">
        <v>144</v>
      </c>
      <c r="C57" s="14" t="s">
        <v>157</v>
      </c>
      <c r="D57" s="14">
        <v>1</v>
      </c>
      <c r="E57" s="14">
        <v>0</v>
      </c>
      <c r="F57" s="14">
        <v>1</v>
      </c>
      <c r="G57" s="14">
        <v>0</v>
      </c>
      <c r="H57" s="14"/>
      <c r="I57" s="8" t="s">
        <v>38</v>
      </c>
      <c r="J57" s="8" t="s">
        <v>38</v>
      </c>
      <c r="K57">
        <v>60</v>
      </c>
      <c r="L57">
        <v>46.5625</v>
      </c>
      <c r="M57" s="14">
        <v>9</v>
      </c>
      <c r="N57" s="14">
        <v>1</v>
      </c>
      <c r="R57" t="str">
        <f t="shared" si="2"/>
        <v xml:space="preserve">XX8X_PV_0054:    Front abuts stile:TRUE       Back abuts stile:TRUE          Panel Section: BOTTOM           Stile in the back Width:            Cutout A:           Cutout B:      F.C.:9 in.         C.C.:1 in.   </v>
      </c>
      <c r="S57" t="str">
        <f t="shared" si="0"/>
        <v>TRUE</v>
      </c>
      <c r="T57" t="str">
        <f t="shared" si="4"/>
        <v>TRUE</v>
      </c>
    </row>
    <row r="58" spans="1:20">
      <c r="A58" t="s">
        <v>218</v>
      </c>
      <c r="B58" s="14" t="s">
        <v>143</v>
      </c>
      <c r="C58" s="14" t="s">
        <v>157</v>
      </c>
      <c r="D58" s="14">
        <v>1</v>
      </c>
      <c r="E58" s="14">
        <v>0</v>
      </c>
      <c r="F58" s="14">
        <v>1</v>
      </c>
      <c r="G58" s="14">
        <v>1</v>
      </c>
      <c r="H58" s="14"/>
      <c r="I58" s="8" t="s">
        <v>38</v>
      </c>
      <c r="J58" s="8" t="s">
        <v>38</v>
      </c>
      <c r="K58">
        <v>60</v>
      </c>
      <c r="L58">
        <v>42.625</v>
      </c>
      <c r="M58" s="14">
        <v>1</v>
      </c>
      <c r="N58" s="14">
        <v>2.625</v>
      </c>
      <c r="R58" t="str">
        <f t="shared" si="2"/>
        <v xml:space="preserve">XX8X_PV_0055:    Front abuts stile:TRUE       Back abuts stile:TRUE          Panel Section: BOTTOM           Stile in the back Width:            Cutout A:           Cutout B:      F.C.:1 in.         C.C.:2.625 in.   </v>
      </c>
      <c r="S58" t="str">
        <f t="shared" si="0"/>
        <v>TRUE</v>
      </c>
      <c r="T58" t="str">
        <f t="shared" si="4"/>
        <v>TRUE</v>
      </c>
    </row>
    <row r="59" spans="1:20">
      <c r="A59" t="s">
        <v>219</v>
      </c>
      <c r="B59" s="14" t="s">
        <v>144</v>
      </c>
      <c r="C59" s="14" t="s">
        <v>157</v>
      </c>
      <c r="D59" s="14">
        <v>1</v>
      </c>
      <c r="E59" s="14">
        <v>1</v>
      </c>
      <c r="F59" s="14">
        <v>0</v>
      </c>
      <c r="G59" s="14"/>
      <c r="H59" s="14"/>
      <c r="I59" s="8" t="s">
        <v>119</v>
      </c>
      <c r="J59" s="8" t="s">
        <v>38</v>
      </c>
      <c r="K59">
        <v>60</v>
      </c>
      <c r="L59">
        <v>41.1875</v>
      </c>
      <c r="M59" s="14">
        <v>4.5</v>
      </c>
      <c r="N59" s="14">
        <v>5.375</v>
      </c>
      <c r="R59" t="str">
        <f t="shared" si="2"/>
        <v xml:space="preserve">XX8X_PV_0056:    Front abuts stile:TRUE       Back abuts stile:FALSE          Panel Section: BOTTOM           Stile in the back Width:            Cutout A: B-354          Cutout B:      F.C.:4.5 in.         C.C.:5.375 in.   </v>
      </c>
      <c r="S59" t="str">
        <f t="shared" si="0"/>
        <v>TRUE</v>
      </c>
      <c r="T59" t="str">
        <f t="shared" si="4"/>
        <v>FALSE</v>
      </c>
    </row>
    <row r="60" spans="1:20">
      <c r="A60" t="s">
        <v>220</v>
      </c>
      <c r="B60" s="14" t="s">
        <v>144</v>
      </c>
      <c r="C60" s="14" t="s">
        <v>157</v>
      </c>
      <c r="D60" s="14">
        <v>1</v>
      </c>
      <c r="E60" s="14">
        <v>1</v>
      </c>
      <c r="F60" s="14">
        <v>1</v>
      </c>
      <c r="G60" s="14">
        <v>0</v>
      </c>
      <c r="H60" s="14">
        <v>12</v>
      </c>
      <c r="I60" s="8" t="s">
        <v>150</v>
      </c>
      <c r="J60" s="8" t="s">
        <v>38</v>
      </c>
      <c r="K60">
        <v>60</v>
      </c>
      <c r="L60">
        <v>48.125</v>
      </c>
      <c r="M60" s="14">
        <v>4.375</v>
      </c>
      <c r="N60" s="14">
        <v>1</v>
      </c>
      <c r="R60" t="str">
        <f t="shared" si="2"/>
        <v xml:space="preserve">XX8X_PV_0057:    Front abuts stile:TRUE       Back abuts stile:TRUE          Panel Section: BOTTOM           Stile in the back Width: 12           Cutout A: B-3571          Cutout B:      F.C.:4.375 in.         C.C.:1 in.   </v>
      </c>
      <c r="S60" t="str">
        <f t="shared" si="0"/>
        <v>TRUE</v>
      </c>
      <c r="T60" t="str">
        <f t="shared" si="4"/>
        <v>TRUE</v>
      </c>
    </row>
    <row r="61" spans="1:20">
      <c r="A61" t="s">
        <v>221</v>
      </c>
      <c r="B61" s="14" t="s">
        <v>144</v>
      </c>
      <c r="C61" s="14" t="s">
        <v>157</v>
      </c>
      <c r="D61" s="14">
        <v>1</v>
      </c>
      <c r="E61" s="14">
        <v>1</v>
      </c>
      <c r="F61" s="14">
        <v>1</v>
      </c>
      <c r="G61" s="14">
        <v>0</v>
      </c>
      <c r="H61" s="14">
        <v>24</v>
      </c>
      <c r="I61" s="8" t="s">
        <v>38</v>
      </c>
      <c r="J61" s="8" t="s">
        <v>38</v>
      </c>
      <c r="K61">
        <v>60</v>
      </c>
      <c r="L61">
        <v>17.25</v>
      </c>
      <c r="M61" s="14">
        <v>1</v>
      </c>
      <c r="N61" s="14">
        <v>4.875</v>
      </c>
      <c r="R61" t="str">
        <f t="shared" si="2"/>
        <v xml:space="preserve">XX8X_PV_0058:    Front abuts stile:TRUE       Back abuts stile:TRUE          Panel Section: BOTTOM           Stile in the back Width: 24           Cutout A:           Cutout B:      F.C.:1 in.         C.C.:4.875 in.   </v>
      </c>
      <c r="S61" t="str">
        <f t="shared" si="0"/>
        <v>TRUE</v>
      </c>
      <c r="T61" t="str">
        <f t="shared" si="4"/>
        <v>TRUE</v>
      </c>
    </row>
    <row r="62" spans="1:20">
      <c r="A62" t="s">
        <v>222</v>
      </c>
      <c r="B62" s="14" t="s">
        <v>144</v>
      </c>
      <c r="C62" s="14" t="s">
        <v>157</v>
      </c>
      <c r="D62" s="14">
        <v>1</v>
      </c>
      <c r="E62" s="14">
        <v>1</v>
      </c>
      <c r="F62" s="14">
        <v>1</v>
      </c>
      <c r="G62" s="14">
        <v>0</v>
      </c>
      <c r="H62" s="14"/>
      <c r="I62" s="8" t="s">
        <v>38</v>
      </c>
      <c r="J62" s="8" t="s">
        <v>38</v>
      </c>
      <c r="K62">
        <v>60</v>
      </c>
      <c r="L62">
        <v>35.125</v>
      </c>
      <c r="M62" s="14">
        <v>3.875</v>
      </c>
      <c r="N62" s="14">
        <v>1.875</v>
      </c>
      <c r="R62" t="str">
        <f t="shared" si="2"/>
        <v xml:space="preserve">XX8X_PV_0059:    Front abuts stile:TRUE       Back abuts stile:TRUE          Panel Section: BOTTOM           Stile in the back Width:            Cutout A:           Cutout B:      F.C.:3.875 in.         C.C.:1.875 in.   </v>
      </c>
      <c r="S62" t="str">
        <f t="shared" si="0"/>
        <v>TRUE</v>
      </c>
      <c r="T62" t="str">
        <f t="shared" si="4"/>
        <v>TRUE</v>
      </c>
    </row>
    <row r="63" spans="1:20">
      <c r="A63" t="s">
        <v>223</v>
      </c>
      <c r="B63" s="14" t="s">
        <v>144</v>
      </c>
      <c r="C63" s="14" t="s">
        <v>157</v>
      </c>
      <c r="D63" s="14">
        <v>1</v>
      </c>
      <c r="E63" s="14">
        <v>1</v>
      </c>
      <c r="F63" s="14">
        <v>1</v>
      </c>
      <c r="G63" s="14">
        <v>1</v>
      </c>
      <c r="H63" s="14"/>
      <c r="I63" s="8" t="s">
        <v>38</v>
      </c>
      <c r="J63" s="8" t="s">
        <v>38</v>
      </c>
      <c r="K63">
        <v>60</v>
      </c>
      <c r="L63">
        <v>77.875</v>
      </c>
      <c r="M63" s="14">
        <v>1</v>
      </c>
      <c r="N63" s="14">
        <v>1.625</v>
      </c>
      <c r="R63" t="str">
        <f t="shared" si="2"/>
        <v xml:space="preserve">XX8X_PV_0060:    Front abuts stile:TRUE       Back abuts stile:TRUE          Panel Section: BOTTOM           Stile in the back Width:            Cutout A:           Cutout B:      F.C.:1 in.         C.C.:1.625 in.   </v>
      </c>
      <c r="S63" t="str">
        <f t="shared" si="0"/>
        <v>TRUE</v>
      </c>
      <c r="T63" t="str">
        <f t="shared" si="4"/>
        <v>TRUE</v>
      </c>
    </row>
    <row r="64" spans="1:20">
      <c r="A64" t="s">
        <v>224</v>
      </c>
      <c r="B64" s="14" t="s">
        <v>144</v>
      </c>
      <c r="C64" s="14" t="s">
        <v>21</v>
      </c>
      <c r="D64" s="14">
        <v>0</v>
      </c>
      <c r="E64" s="14"/>
      <c r="F64" s="14">
        <v>0</v>
      </c>
      <c r="G64" s="14"/>
      <c r="H64" s="14"/>
      <c r="I64" s="8" t="s">
        <v>38</v>
      </c>
      <c r="J64" s="8" t="s">
        <v>38</v>
      </c>
      <c r="K64">
        <v>37.1875</v>
      </c>
      <c r="L64">
        <v>52.8125</v>
      </c>
      <c r="M64" s="14">
        <v>4.4375</v>
      </c>
      <c r="N64" s="14">
        <v>5.6875</v>
      </c>
      <c r="R64" t="str">
        <f t="shared" si="2"/>
        <v xml:space="preserve">XX8X_PV_0061:    Front abuts stile:FALSE       Back abuts stile:FALSE          Panel Section: WHOLE           Stile in the back Width:            Cutout A:           Cutout B:      F.C.:4.4375 in.         C.C.:5.6875 in.   </v>
      </c>
      <c r="S64" t="str">
        <f t="shared" si="0"/>
        <v>FALSE</v>
      </c>
      <c r="T64" t="str">
        <f t="shared" si="4"/>
        <v>FALSE</v>
      </c>
    </row>
    <row r="65" spans="1:20">
      <c r="A65" t="s">
        <v>225</v>
      </c>
      <c r="B65" s="14" t="s">
        <v>143</v>
      </c>
      <c r="C65" s="14" t="s">
        <v>21</v>
      </c>
      <c r="D65" s="14">
        <v>0</v>
      </c>
      <c r="E65" s="14"/>
      <c r="F65" s="14">
        <v>1</v>
      </c>
      <c r="G65" s="14">
        <v>0</v>
      </c>
      <c r="H65" s="14">
        <v>12</v>
      </c>
      <c r="I65" s="8" t="s">
        <v>35</v>
      </c>
      <c r="J65" s="8" t="s">
        <v>38</v>
      </c>
      <c r="K65">
        <v>96</v>
      </c>
      <c r="L65">
        <v>71.125</v>
      </c>
      <c r="M65" s="14">
        <v>1.25</v>
      </c>
      <c r="N65" s="14">
        <v>1</v>
      </c>
      <c r="R65" t="str">
        <f t="shared" si="2"/>
        <v xml:space="preserve">XX8X_PV_0062:    Front abuts stile:FALSE       Back abuts stile:TRUE          Panel Section: WHOLE           Stile in the back Width: 12           Cutout A: B-357          Cutout B:      F.C.:1.25 in.         C.C.:1 in.   </v>
      </c>
      <c r="S65" t="str">
        <f t="shared" si="0"/>
        <v>FALSE</v>
      </c>
      <c r="T65" t="str">
        <f t="shared" si="4"/>
        <v>TRUE</v>
      </c>
    </row>
    <row r="66" spans="1:20">
      <c r="A66" t="s">
        <v>226</v>
      </c>
      <c r="B66" s="14" t="s">
        <v>143</v>
      </c>
      <c r="C66" s="14" t="s">
        <v>21</v>
      </c>
      <c r="D66" s="14">
        <v>0</v>
      </c>
      <c r="E66" s="14"/>
      <c r="F66" s="14">
        <v>1</v>
      </c>
      <c r="G66" s="14">
        <v>0</v>
      </c>
      <c r="H66" s="14">
        <v>24</v>
      </c>
      <c r="I66" s="8" t="s">
        <v>38</v>
      </c>
      <c r="J66" s="8" t="s">
        <v>38</v>
      </c>
      <c r="K66">
        <v>96</v>
      </c>
      <c r="L66">
        <v>9.3125</v>
      </c>
      <c r="M66" s="14">
        <v>6.1875</v>
      </c>
      <c r="N66" s="14">
        <v>3.375</v>
      </c>
      <c r="R66" t="str">
        <f t="shared" si="2"/>
        <v xml:space="preserve">XX8X_PV_0063:    Front abuts stile:FALSE       Back abuts stile:TRUE          Panel Section: WHOLE           Stile in the back Width: 24           Cutout A:           Cutout B:      F.C.:6.1875 in.         C.C.:3.375 in.   </v>
      </c>
      <c r="S66" t="str">
        <f t="shared" si="0"/>
        <v>FALSE</v>
      </c>
      <c r="T66" t="str">
        <f t="shared" si="4"/>
        <v>TRUE</v>
      </c>
    </row>
    <row r="67" spans="1:20">
      <c r="A67" t="s">
        <v>227</v>
      </c>
      <c r="B67" s="14" t="s">
        <v>143</v>
      </c>
      <c r="C67" s="14" t="s">
        <v>21</v>
      </c>
      <c r="D67" s="14">
        <v>0</v>
      </c>
      <c r="E67" s="14"/>
      <c r="F67" s="14">
        <v>1</v>
      </c>
      <c r="G67" s="14">
        <v>0</v>
      </c>
      <c r="H67" s="14"/>
      <c r="I67" s="8" t="s">
        <v>38</v>
      </c>
      <c r="J67" s="8" t="s">
        <v>38</v>
      </c>
      <c r="K67">
        <v>82.6875</v>
      </c>
      <c r="L67">
        <v>47.125</v>
      </c>
      <c r="M67" s="14">
        <v>6.5625</v>
      </c>
      <c r="N67" s="14">
        <v>4.9375</v>
      </c>
      <c r="R67" t="str">
        <f t="shared" si="2"/>
        <v xml:space="preserve">XX8X_PV_0064:    Front abuts stile:FALSE       Back abuts stile:TRUE          Panel Section: WHOLE           Stile in the back Width:            Cutout A:           Cutout B:      F.C.:6.5625 in.         C.C.:4.9375 in.   </v>
      </c>
      <c r="S67" t="str">
        <f t="shared" si="0"/>
        <v>FALSE</v>
      </c>
      <c r="T67" t="str">
        <f t="shared" si="4"/>
        <v>TRUE</v>
      </c>
    </row>
    <row r="68" spans="1:20">
      <c r="A68" t="s">
        <v>228</v>
      </c>
      <c r="B68" s="14" t="s">
        <v>143</v>
      </c>
      <c r="C68" s="14" t="s">
        <v>21</v>
      </c>
      <c r="D68" s="14">
        <v>0</v>
      </c>
      <c r="E68" s="14"/>
      <c r="F68" s="14">
        <v>1</v>
      </c>
      <c r="G68" s="14">
        <v>1</v>
      </c>
      <c r="H68" s="14"/>
      <c r="I68" s="8" t="s">
        <v>38</v>
      </c>
      <c r="J68" s="8" t="s">
        <v>38</v>
      </c>
      <c r="K68">
        <v>82.75</v>
      </c>
      <c r="L68">
        <v>40.75</v>
      </c>
      <c r="M68" s="14">
        <v>1</v>
      </c>
      <c r="N68" s="14">
        <v>8.3125</v>
      </c>
      <c r="R68" t="str">
        <f t="shared" si="2"/>
        <v xml:space="preserve">XX8X_PV_0065:    Front abuts stile:FALSE       Back abuts stile:TRUE          Panel Section: WHOLE           Stile in the back Width:            Cutout A:           Cutout B:      F.C.:1 in.         C.C.:8.3125 in.   </v>
      </c>
      <c r="S68" t="str">
        <f t="shared" ref="S68:S131" si="5">IF(D68=1, "TRUE", "FALSE")</f>
        <v>FALSE</v>
      </c>
      <c r="T68" t="str">
        <f t="shared" si="4"/>
        <v>TRUE</v>
      </c>
    </row>
    <row r="69" spans="1:20">
      <c r="A69" t="s">
        <v>229</v>
      </c>
      <c r="B69" s="14" t="s">
        <v>143</v>
      </c>
      <c r="C69" s="14" t="s">
        <v>21</v>
      </c>
      <c r="D69" s="14">
        <v>1</v>
      </c>
      <c r="E69" s="14">
        <v>0</v>
      </c>
      <c r="F69" s="14">
        <v>0</v>
      </c>
      <c r="G69" s="14"/>
      <c r="H69" s="14"/>
      <c r="I69" s="8" t="s">
        <v>38</v>
      </c>
      <c r="J69" s="8" t="s">
        <v>38</v>
      </c>
      <c r="K69">
        <v>78.5625</v>
      </c>
      <c r="L69">
        <v>25.625</v>
      </c>
      <c r="M69" s="14">
        <v>2.0625</v>
      </c>
      <c r="N69" s="14">
        <v>4.3125</v>
      </c>
      <c r="R69" t="str">
        <f t="shared" si="2"/>
        <v xml:space="preserve">XX8X_PV_0066:    Front abuts stile:TRUE       Back abuts stile:FALSE          Panel Section: WHOLE           Stile in the back Width:            Cutout A:           Cutout B:      F.C.:2.0625 in.         C.C.:4.3125 in.   </v>
      </c>
      <c r="S69" t="str">
        <f t="shared" si="5"/>
        <v>TRUE</v>
      </c>
      <c r="T69" t="str">
        <f t="shared" si="4"/>
        <v>FALSE</v>
      </c>
    </row>
    <row r="70" spans="1:20">
      <c r="A70" t="s">
        <v>230</v>
      </c>
      <c r="B70" s="14" t="s">
        <v>144</v>
      </c>
      <c r="C70" s="14" t="s">
        <v>21</v>
      </c>
      <c r="D70" s="14">
        <v>1</v>
      </c>
      <c r="E70" s="14">
        <v>0</v>
      </c>
      <c r="F70" s="14">
        <v>1</v>
      </c>
      <c r="G70" s="14">
        <v>0</v>
      </c>
      <c r="H70" s="14">
        <v>12</v>
      </c>
      <c r="I70" s="8" t="s">
        <v>149</v>
      </c>
      <c r="J70" s="8" t="s">
        <v>38</v>
      </c>
      <c r="K70">
        <v>60.75</v>
      </c>
      <c r="L70">
        <v>35.5625</v>
      </c>
      <c r="M70" s="14">
        <v>4.5</v>
      </c>
      <c r="N70" s="14">
        <v>1.25</v>
      </c>
      <c r="R70" t="str">
        <f t="shared" si="2"/>
        <v xml:space="preserve">XX8X_PV_0067:    Front abuts stile:TRUE       Back abuts stile:TRUE          Panel Section: WHOLE           Stile in the back Width: 12           Cutout A: B-34715          Cutout B:      F.C.:4.5 in.         C.C.:1.25 in.   </v>
      </c>
      <c r="S70" t="str">
        <f t="shared" si="5"/>
        <v>TRUE</v>
      </c>
      <c r="T70" t="str">
        <f t="shared" si="4"/>
        <v>TRUE</v>
      </c>
    </row>
    <row r="71" spans="1:20">
      <c r="A71" t="s">
        <v>231</v>
      </c>
      <c r="B71" s="14" t="s">
        <v>143</v>
      </c>
      <c r="C71" s="14" t="s">
        <v>21</v>
      </c>
      <c r="D71" s="14">
        <v>1</v>
      </c>
      <c r="E71" s="14">
        <v>0</v>
      </c>
      <c r="F71" s="14">
        <v>1</v>
      </c>
      <c r="G71" s="14">
        <v>0</v>
      </c>
      <c r="H71" s="14">
        <v>24</v>
      </c>
      <c r="I71" s="8" t="s">
        <v>120</v>
      </c>
      <c r="J71" s="8" t="s">
        <v>38</v>
      </c>
      <c r="K71">
        <v>69.4375</v>
      </c>
      <c r="L71">
        <v>55.625</v>
      </c>
      <c r="M71" s="14">
        <v>1</v>
      </c>
      <c r="N71" s="14">
        <v>7</v>
      </c>
      <c r="R71" t="str">
        <f t="shared" ref="R71:R134" si="6">A71&amp;":    Front abuts stile:"&amp;S71&amp;"       Back abuts stile:"&amp;T71&amp;"          Panel Section: "&amp;C71&amp;"           Stile in the back Width: "&amp;H71&amp;"           Cutout A: "&amp;I71&amp;"          Cutout B:"&amp;J71&amp;"      F.C.:"&amp;M71&amp;" in. "&amp;"        C.C.:"&amp;N71&amp;" in. "&amp;"  "</f>
        <v xml:space="preserve">XX8X_PV_0068:    Front abuts stile:TRUE       Back abuts stile:TRUE          Panel Section: WHOLE           Stile in the back Width: 24           Cutout A: B-386          Cutout B:      F.C.:1 in.         C.C.:7 in.   </v>
      </c>
      <c r="S71" t="str">
        <f t="shared" si="5"/>
        <v>TRUE</v>
      </c>
      <c r="T71" t="str">
        <f t="shared" si="4"/>
        <v>TRUE</v>
      </c>
    </row>
    <row r="72" spans="1:20">
      <c r="A72" t="s">
        <v>232</v>
      </c>
      <c r="B72" s="14" t="s">
        <v>144</v>
      </c>
      <c r="C72" s="14" t="s">
        <v>21</v>
      </c>
      <c r="D72" s="14">
        <v>1</v>
      </c>
      <c r="E72" s="14">
        <v>0</v>
      </c>
      <c r="F72" s="14">
        <v>1</v>
      </c>
      <c r="G72" s="14">
        <v>0</v>
      </c>
      <c r="H72" s="14"/>
      <c r="I72" s="8" t="s">
        <v>38</v>
      </c>
      <c r="J72" s="8" t="s">
        <v>38</v>
      </c>
      <c r="K72">
        <v>96</v>
      </c>
      <c r="L72">
        <v>63.5</v>
      </c>
      <c r="M72" s="14">
        <v>12</v>
      </c>
      <c r="N72" s="14">
        <v>8.375</v>
      </c>
      <c r="R72" t="str">
        <f t="shared" si="6"/>
        <v xml:space="preserve">XX8X_PV_0069:    Front abuts stile:TRUE       Back abuts stile:TRUE          Panel Section: WHOLE           Stile in the back Width:            Cutout A:           Cutout B:      F.C.:12 in.         C.C.:8.375 in.   </v>
      </c>
      <c r="S72" t="str">
        <f t="shared" si="5"/>
        <v>TRUE</v>
      </c>
      <c r="T72" t="str">
        <f t="shared" si="4"/>
        <v>TRUE</v>
      </c>
    </row>
    <row r="73" spans="1:20">
      <c r="A73" t="s">
        <v>233</v>
      </c>
      <c r="B73" s="14" t="s">
        <v>143</v>
      </c>
      <c r="C73" s="14" t="s">
        <v>21</v>
      </c>
      <c r="D73" s="14">
        <v>1</v>
      </c>
      <c r="E73" s="14">
        <v>0</v>
      </c>
      <c r="F73" s="14">
        <v>1</v>
      </c>
      <c r="G73" s="14">
        <v>1</v>
      </c>
      <c r="H73" s="14"/>
      <c r="I73" s="8" t="s">
        <v>38</v>
      </c>
      <c r="J73" s="8" t="s">
        <v>38</v>
      </c>
      <c r="K73">
        <v>96</v>
      </c>
      <c r="L73">
        <v>75.75</v>
      </c>
      <c r="M73" s="14">
        <v>1</v>
      </c>
      <c r="N73" s="14">
        <v>1.3125</v>
      </c>
      <c r="R73" t="str">
        <f t="shared" si="6"/>
        <v xml:space="preserve">XX8X_PV_0070:    Front abuts stile:TRUE       Back abuts stile:TRUE          Panel Section: WHOLE           Stile in the back Width:            Cutout A:           Cutout B:      F.C.:1 in.         C.C.:1.3125 in.   </v>
      </c>
      <c r="S73" t="str">
        <f t="shared" si="5"/>
        <v>TRUE</v>
      </c>
      <c r="T73" t="str">
        <f t="shared" si="4"/>
        <v>TRUE</v>
      </c>
    </row>
    <row r="74" spans="1:20">
      <c r="A74" t="s">
        <v>234</v>
      </c>
      <c r="B74" s="14" t="s">
        <v>143</v>
      </c>
      <c r="C74" s="14" t="s">
        <v>21</v>
      </c>
      <c r="D74" s="14">
        <v>1</v>
      </c>
      <c r="E74" s="14">
        <v>1</v>
      </c>
      <c r="F74" s="14">
        <v>0</v>
      </c>
      <c r="G74" s="14"/>
      <c r="H74" s="14"/>
      <c r="I74" s="8" t="s">
        <v>119</v>
      </c>
      <c r="J74" s="8" t="s">
        <v>120</v>
      </c>
      <c r="K74">
        <v>108.4375</v>
      </c>
      <c r="L74">
        <v>49.0625</v>
      </c>
      <c r="M74" s="14">
        <v>9</v>
      </c>
      <c r="N74" s="14">
        <v>1</v>
      </c>
      <c r="R74" t="str">
        <f t="shared" si="6"/>
        <v xml:space="preserve">XX8X_PV_0071:    Front abuts stile:TRUE       Back abuts stile:FALSE          Panel Section: WHOLE           Stile in the back Width:            Cutout A: B-354          Cutout B:B-386      F.C.:9 in.         C.C.:1 in.   </v>
      </c>
      <c r="S74" t="str">
        <f t="shared" si="5"/>
        <v>TRUE</v>
      </c>
      <c r="T74" t="str">
        <f t="shared" si="4"/>
        <v>FALSE</v>
      </c>
    </row>
    <row r="75" spans="1:20">
      <c r="A75" t="s">
        <v>235</v>
      </c>
      <c r="B75" s="14" t="s">
        <v>143</v>
      </c>
      <c r="C75" s="14" t="s">
        <v>21</v>
      </c>
      <c r="D75" s="14">
        <v>1</v>
      </c>
      <c r="E75" s="14">
        <v>1</v>
      </c>
      <c r="F75" s="14">
        <v>1</v>
      </c>
      <c r="G75" s="14">
        <v>0</v>
      </c>
      <c r="H75" s="14">
        <v>12</v>
      </c>
      <c r="I75" s="8" t="s">
        <v>38</v>
      </c>
      <c r="J75" s="8" t="s">
        <v>38</v>
      </c>
      <c r="K75">
        <v>96</v>
      </c>
      <c r="L75">
        <v>10.75</v>
      </c>
      <c r="M75" s="14">
        <v>12</v>
      </c>
      <c r="N75" s="14">
        <v>1.0625</v>
      </c>
      <c r="R75" t="str">
        <f t="shared" si="6"/>
        <v xml:space="preserve">XX8X_PV_0072:    Front abuts stile:TRUE       Back abuts stile:TRUE          Panel Section: WHOLE           Stile in the back Width: 12           Cutout A:           Cutout B:      F.C.:12 in.         C.C.:1.0625 in.   </v>
      </c>
      <c r="S75" t="str">
        <f t="shared" si="5"/>
        <v>TRUE</v>
      </c>
      <c r="T75" t="str">
        <f t="shared" si="4"/>
        <v>TRUE</v>
      </c>
    </row>
    <row r="76" spans="1:20">
      <c r="A76" t="s">
        <v>236</v>
      </c>
      <c r="B76" s="14" t="s">
        <v>144</v>
      </c>
      <c r="C76" s="14" t="s">
        <v>21</v>
      </c>
      <c r="D76" s="14">
        <v>1</v>
      </c>
      <c r="E76" s="14">
        <v>1</v>
      </c>
      <c r="F76" s="14">
        <v>1</v>
      </c>
      <c r="G76" s="14">
        <v>0</v>
      </c>
      <c r="H76" s="14">
        <v>24</v>
      </c>
      <c r="I76" s="8" t="s">
        <v>120</v>
      </c>
      <c r="J76" s="8" t="s">
        <v>38</v>
      </c>
      <c r="K76">
        <v>96</v>
      </c>
      <c r="L76">
        <v>58.625</v>
      </c>
      <c r="M76" s="14">
        <v>1</v>
      </c>
      <c r="N76" s="14">
        <v>1.375</v>
      </c>
      <c r="R76" t="str">
        <f t="shared" si="6"/>
        <v xml:space="preserve">XX8X_PV_0073:    Front abuts stile:TRUE       Back abuts stile:TRUE          Panel Section: WHOLE           Stile in the back Width: 24           Cutout A: B-386          Cutout B:      F.C.:1 in.         C.C.:1.375 in.   </v>
      </c>
      <c r="S76" t="str">
        <f t="shared" si="5"/>
        <v>TRUE</v>
      </c>
      <c r="T76" t="str">
        <f t="shared" si="4"/>
        <v>TRUE</v>
      </c>
    </row>
    <row r="77" spans="1:20">
      <c r="A77" t="s">
        <v>237</v>
      </c>
      <c r="B77" s="14" t="s">
        <v>144</v>
      </c>
      <c r="C77" s="14" t="s">
        <v>21</v>
      </c>
      <c r="D77" s="14">
        <v>1</v>
      </c>
      <c r="E77" s="14">
        <v>1</v>
      </c>
      <c r="F77" s="14">
        <v>1</v>
      </c>
      <c r="G77" s="14">
        <v>0</v>
      </c>
      <c r="H77" s="14"/>
      <c r="I77" s="8" t="s">
        <v>38</v>
      </c>
      <c r="J77" s="8" t="s">
        <v>38</v>
      </c>
      <c r="K77">
        <v>76.5</v>
      </c>
      <c r="L77">
        <v>30.875</v>
      </c>
      <c r="M77" s="14">
        <v>9.4375</v>
      </c>
      <c r="N77" s="14">
        <v>2.4375</v>
      </c>
      <c r="R77" t="str">
        <f t="shared" si="6"/>
        <v xml:space="preserve">XX8X_PV_0074:    Front abuts stile:TRUE       Back abuts stile:TRUE          Panel Section: WHOLE           Stile in the back Width:            Cutout A:           Cutout B:      F.C.:9.4375 in.         C.C.:2.4375 in.   </v>
      </c>
      <c r="S77" t="str">
        <f t="shared" si="5"/>
        <v>TRUE</v>
      </c>
      <c r="T77" t="str">
        <f t="shared" si="4"/>
        <v>TRUE</v>
      </c>
    </row>
    <row r="78" spans="1:20">
      <c r="A78" t="s">
        <v>238</v>
      </c>
      <c r="B78" s="14" t="s">
        <v>143</v>
      </c>
      <c r="C78" s="14" t="s">
        <v>21</v>
      </c>
      <c r="D78" s="14">
        <v>1</v>
      </c>
      <c r="E78" s="14">
        <v>1</v>
      </c>
      <c r="F78" s="14">
        <v>1</v>
      </c>
      <c r="G78" s="14">
        <v>1</v>
      </c>
      <c r="H78" s="14"/>
      <c r="I78" s="8" t="s">
        <v>38</v>
      </c>
      <c r="J78" s="8" t="s">
        <v>38</v>
      </c>
      <c r="K78">
        <v>51.125</v>
      </c>
      <c r="L78">
        <v>39.6875</v>
      </c>
      <c r="M78" s="14">
        <v>1</v>
      </c>
      <c r="N78" s="14">
        <v>1.3125</v>
      </c>
      <c r="R78" t="str">
        <f t="shared" si="6"/>
        <v xml:space="preserve">XX8X_PV_0075:    Front abuts stile:TRUE       Back abuts stile:TRUE          Panel Section: WHOLE           Stile in the back Width:            Cutout A:           Cutout B:      F.C.:1 in.         C.C.:1.3125 in.   </v>
      </c>
      <c r="S78" t="str">
        <f t="shared" si="5"/>
        <v>TRUE</v>
      </c>
      <c r="T78" t="str">
        <f t="shared" si="4"/>
        <v>TRUE</v>
      </c>
    </row>
    <row r="79" spans="1:20">
      <c r="A79" t="s">
        <v>239</v>
      </c>
      <c r="B79" s="14" t="s">
        <v>144</v>
      </c>
      <c r="C79" s="14" t="s">
        <v>21</v>
      </c>
      <c r="D79" s="14">
        <v>0</v>
      </c>
      <c r="E79" s="14"/>
      <c r="F79" s="14">
        <v>0</v>
      </c>
      <c r="G79" s="14"/>
      <c r="H79" s="14"/>
      <c r="I79" s="8" t="s">
        <v>120</v>
      </c>
      <c r="J79" s="8" t="s">
        <v>119</v>
      </c>
      <c r="K79">
        <v>49.9375</v>
      </c>
      <c r="L79">
        <v>66.375</v>
      </c>
      <c r="M79" s="14">
        <v>4.625</v>
      </c>
      <c r="N79" s="14">
        <v>1</v>
      </c>
      <c r="R79" t="str">
        <f t="shared" si="6"/>
        <v xml:space="preserve">XX8X_PV_0076:    Front abuts stile:FALSE       Back abuts stile:FALSE          Panel Section: WHOLE           Stile in the back Width:            Cutout A: B-386          Cutout B:B-354      F.C.:4.625 in.         C.C.:1 in.   </v>
      </c>
      <c r="S79" t="str">
        <f t="shared" si="5"/>
        <v>FALSE</v>
      </c>
      <c r="T79" t="str">
        <f t="shared" si="4"/>
        <v>FALSE</v>
      </c>
    </row>
    <row r="80" spans="1:20">
      <c r="A80" t="s">
        <v>240</v>
      </c>
      <c r="B80" s="14" t="s">
        <v>143</v>
      </c>
      <c r="C80" s="14" t="s">
        <v>21</v>
      </c>
      <c r="D80" s="14">
        <v>0</v>
      </c>
      <c r="E80" s="14"/>
      <c r="F80" s="14">
        <v>1</v>
      </c>
      <c r="G80" s="14">
        <v>0</v>
      </c>
      <c r="H80" s="14">
        <v>12</v>
      </c>
      <c r="I80" s="8" t="s">
        <v>38</v>
      </c>
      <c r="J80" s="8" t="s">
        <v>38</v>
      </c>
      <c r="K80">
        <v>96</v>
      </c>
      <c r="L80">
        <v>79.3125</v>
      </c>
      <c r="M80" s="14">
        <v>10.375</v>
      </c>
      <c r="N80" s="14">
        <v>2.25</v>
      </c>
      <c r="R80" t="str">
        <f t="shared" si="6"/>
        <v xml:space="preserve">XX8X_PV_0077:    Front abuts stile:FALSE       Back abuts stile:TRUE          Panel Section: WHOLE           Stile in the back Width: 12           Cutout A:           Cutout B:      F.C.:10.375 in.         C.C.:2.25 in.   </v>
      </c>
      <c r="S80" t="str">
        <f t="shared" si="5"/>
        <v>FALSE</v>
      </c>
      <c r="T80" t="str">
        <f t="shared" si="4"/>
        <v>TRUE</v>
      </c>
    </row>
    <row r="81" spans="1:20">
      <c r="A81" t="s">
        <v>241</v>
      </c>
      <c r="B81" s="14" t="s">
        <v>143</v>
      </c>
      <c r="C81" s="14" t="s">
        <v>21</v>
      </c>
      <c r="D81" s="14">
        <v>0</v>
      </c>
      <c r="E81" s="14"/>
      <c r="F81" s="14">
        <v>1</v>
      </c>
      <c r="G81" s="14">
        <v>0</v>
      </c>
      <c r="H81" s="14">
        <v>24</v>
      </c>
      <c r="I81" s="8" t="s">
        <v>120</v>
      </c>
      <c r="J81" s="8" t="s">
        <v>38</v>
      </c>
      <c r="K81">
        <v>96</v>
      </c>
      <c r="L81">
        <v>57.1875</v>
      </c>
      <c r="M81" s="14">
        <v>4.5</v>
      </c>
      <c r="N81" s="14">
        <v>6.5</v>
      </c>
      <c r="R81" t="str">
        <f t="shared" si="6"/>
        <v xml:space="preserve">XX8X_PV_0078:    Front abuts stile:FALSE       Back abuts stile:TRUE          Panel Section: WHOLE           Stile in the back Width: 24           Cutout A: B-386          Cutout B:      F.C.:4.5 in.         C.C.:6.5 in.   </v>
      </c>
      <c r="S81" t="str">
        <f t="shared" si="5"/>
        <v>FALSE</v>
      </c>
      <c r="T81" t="str">
        <f t="shared" si="4"/>
        <v>TRUE</v>
      </c>
    </row>
    <row r="82" spans="1:20">
      <c r="A82" t="s">
        <v>242</v>
      </c>
      <c r="B82" s="14" t="s">
        <v>143</v>
      </c>
      <c r="C82" s="14" t="s">
        <v>21</v>
      </c>
      <c r="D82" s="14">
        <v>0</v>
      </c>
      <c r="E82" s="14"/>
      <c r="F82" s="14">
        <v>1</v>
      </c>
      <c r="G82" s="14">
        <v>0</v>
      </c>
      <c r="H82" s="14"/>
      <c r="I82" s="8" t="s">
        <v>38</v>
      </c>
      <c r="J82" s="8" t="s">
        <v>38</v>
      </c>
      <c r="K82">
        <v>37.6875</v>
      </c>
      <c r="L82">
        <v>70.375</v>
      </c>
      <c r="M82" s="14">
        <v>1</v>
      </c>
      <c r="N82" s="14">
        <v>5</v>
      </c>
      <c r="R82" t="str">
        <f t="shared" si="6"/>
        <v xml:space="preserve">XX8X_PV_0079:    Front abuts stile:FALSE       Back abuts stile:TRUE          Panel Section: WHOLE           Stile in the back Width:            Cutout A:           Cutout B:      F.C.:1 in.         C.C.:5 in.   </v>
      </c>
      <c r="S82" t="str">
        <f t="shared" si="5"/>
        <v>FALSE</v>
      </c>
      <c r="T82" t="str">
        <f t="shared" ref="T82:T145" si="7">IF(F82=1, "TRUE", "FALSE")</f>
        <v>TRUE</v>
      </c>
    </row>
    <row r="83" spans="1:20">
      <c r="A83" t="s">
        <v>243</v>
      </c>
      <c r="B83" s="14" t="s">
        <v>144</v>
      </c>
      <c r="C83" s="14" t="s">
        <v>21</v>
      </c>
      <c r="D83" s="14">
        <v>0</v>
      </c>
      <c r="E83" s="14"/>
      <c r="F83" s="14">
        <v>1</v>
      </c>
      <c r="G83" s="14">
        <v>1</v>
      </c>
      <c r="H83" s="14"/>
      <c r="I83" s="8" t="s">
        <v>38</v>
      </c>
      <c r="J83" s="8" t="s">
        <v>38</v>
      </c>
      <c r="K83">
        <v>76.5</v>
      </c>
      <c r="L83">
        <v>5.5</v>
      </c>
      <c r="M83" s="14">
        <v>4.4375</v>
      </c>
      <c r="N83" s="14">
        <v>8.25</v>
      </c>
      <c r="R83" t="str">
        <f t="shared" si="6"/>
        <v xml:space="preserve">XX8X_PV_0080:    Front abuts stile:FALSE       Back abuts stile:TRUE          Panel Section: WHOLE           Stile in the back Width:            Cutout A:           Cutout B:      F.C.:4.4375 in.         C.C.:8.25 in.   </v>
      </c>
      <c r="S83" t="str">
        <f t="shared" si="5"/>
        <v>FALSE</v>
      </c>
      <c r="T83" t="str">
        <f t="shared" si="7"/>
        <v>TRUE</v>
      </c>
    </row>
    <row r="84" spans="1:20">
      <c r="A84" t="s">
        <v>244</v>
      </c>
      <c r="B84" s="14" t="s">
        <v>143</v>
      </c>
      <c r="C84" s="14" t="s">
        <v>21</v>
      </c>
      <c r="D84" s="14">
        <v>1</v>
      </c>
      <c r="E84" s="14">
        <v>0</v>
      </c>
      <c r="F84" s="14">
        <v>0</v>
      </c>
      <c r="G84" s="14"/>
      <c r="H84" s="14"/>
      <c r="I84" s="8" t="s">
        <v>151</v>
      </c>
      <c r="J84" s="8" t="s">
        <v>38</v>
      </c>
      <c r="K84">
        <v>96</v>
      </c>
      <c r="L84">
        <v>46.5</v>
      </c>
      <c r="M84" s="14">
        <v>4.5</v>
      </c>
      <c r="N84" s="14">
        <v>2.9375</v>
      </c>
      <c r="R84" t="str">
        <f t="shared" si="6"/>
        <v xml:space="preserve">XX8X_PV_0081:    Front abuts stile:TRUE       Back abuts stile:FALSE          Panel Section: WHOLE           Stile in the back Width:            Cutout A: B-35715          Cutout B:      F.C.:4.5 in.         C.C.:2.9375 in.   </v>
      </c>
      <c r="S84" t="str">
        <f t="shared" si="5"/>
        <v>TRUE</v>
      </c>
      <c r="T84" t="str">
        <f t="shared" si="7"/>
        <v>FALSE</v>
      </c>
    </row>
    <row r="85" spans="1:20">
      <c r="A85" t="s">
        <v>245</v>
      </c>
      <c r="B85" s="14" t="s">
        <v>144</v>
      </c>
      <c r="C85" s="14" t="s">
        <v>21</v>
      </c>
      <c r="D85" s="14">
        <v>1</v>
      </c>
      <c r="E85" s="14">
        <v>0</v>
      </c>
      <c r="F85" s="14">
        <v>1</v>
      </c>
      <c r="G85" s="14">
        <v>0</v>
      </c>
      <c r="H85" s="14">
        <v>12</v>
      </c>
      <c r="I85" s="8" t="s">
        <v>120</v>
      </c>
      <c r="J85" s="8" t="s">
        <v>38</v>
      </c>
      <c r="K85">
        <v>67.5</v>
      </c>
      <c r="L85">
        <v>6.625</v>
      </c>
      <c r="M85" s="14">
        <v>12</v>
      </c>
      <c r="N85" s="14">
        <v>4.8125</v>
      </c>
      <c r="R85" t="str">
        <f t="shared" si="6"/>
        <v xml:space="preserve">XX8X_PV_0082:    Front abuts stile:TRUE       Back abuts stile:TRUE          Panel Section: WHOLE           Stile in the back Width: 12           Cutout A: B-386          Cutout B:      F.C.:12 in.         C.C.:4.8125 in.   </v>
      </c>
      <c r="S85" t="str">
        <f t="shared" si="5"/>
        <v>TRUE</v>
      </c>
      <c r="T85" t="str">
        <f t="shared" si="7"/>
        <v>TRUE</v>
      </c>
    </row>
    <row r="86" spans="1:20">
      <c r="A86" t="s">
        <v>246</v>
      </c>
      <c r="B86" s="14" t="s">
        <v>144</v>
      </c>
      <c r="C86" s="14" t="s">
        <v>21</v>
      </c>
      <c r="D86" s="14">
        <v>1</v>
      </c>
      <c r="E86" s="14">
        <v>0</v>
      </c>
      <c r="F86" s="14">
        <v>1</v>
      </c>
      <c r="G86" s="14">
        <v>0</v>
      </c>
      <c r="H86" s="14">
        <v>24</v>
      </c>
      <c r="I86" s="8" t="s">
        <v>120</v>
      </c>
      <c r="J86" s="8" t="s">
        <v>38</v>
      </c>
      <c r="K86">
        <v>56.5625</v>
      </c>
      <c r="L86">
        <v>54.375</v>
      </c>
      <c r="M86" s="14">
        <v>1</v>
      </c>
      <c r="N86" s="14">
        <v>5.0625</v>
      </c>
      <c r="R86" t="str">
        <f t="shared" si="6"/>
        <v xml:space="preserve">XX8X_PV_0083:    Front abuts stile:TRUE       Back abuts stile:TRUE          Panel Section: WHOLE           Stile in the back Width: 24           Cutout A: B-386          Cutout B:      F.C.:1 in.         C.C.:5.0625 in.   </v>
      </c>
      <c r="S86" t="str">
        <f t="shared" si="5"/>
        <v>TRUE</v>
      </c>
      <c r="T86" t="str">
        <f t="shared" si="7"/>
        <v>TRUE</v>
      </c>
    </row>
    <row r="87" spans="1:20">
      <c r="A87" t="s">
        <v>247</v>
      </c>
      <c r="B87" s="14" t="s">
        <v>143</v>
      </c>
      <c r="C87" s="14" t="s">
        <v>21</v>
      </c>
      <c r="D87" s="14">
        <v>1</v>
      </c>
      <c r="E87" s="14">
        <v>0</v>
      </c>
      <c r="F87" s="14">
        <v>1</v>
      </c>
      <c r="G87" s="14">
        <v>0</v>
      </c>
      <c r="H87" s="14"/>
      <c r="I87" s="8" t="s">
        <v>38</v>
      </c>
      <c r="J87" s="8" t="s">
        <v>38</v>
      </c>
      <c r="K87">
        <v>74.375</v>
      </c>
      <c r="L87">
        <v>52.6875</v>
      </c>
      <c r="M87" s="14">
        <v>9</v>
      </c>
      <c r="N87" s="14">
        <v>4.25</v>
      </c>
      <c r="R87" t="str">
        <f t="shared" si="6"/>
        <v xml:space="preserve">XX8X_PV_0084:    Front abuts stile:TRUE       Back abuts stile:TRUE          Panel Section: WHOLE           Stile in the back Width:            Cutout A:           Cutout B:      F.C.:9 in.         C.C.:4.25 in.   </v>
      </c>
      <c r="S87" t="str">
        <f t="shared" si="5"/>
        <v>TRUE</v>
      </c>
      <c r="T87" t="str">
        <f t="shared" si="7"/>
        <v>TRUE</v>
      </c>
    </row>
    <row r="88" spans="1:20">
      <c r="A88" t="s">
        <v>248</v>
      </c>
      <c r="B88" s="14" t="s">
        <v>143</v>
      </c>
      <c r="C88" s="14" t="s">
        <v>21</v>
      </c>
      <c r="D88" s="14">
        <v>1</v>
      </c>
      <c r="E88" s="14">
        <v>0</v>
      </c>
      <c r="F88" s="14">
        <v>1</v>
      </c>
      <c r="G88" s="14">
        <v>1</v>
      </c>
      <c r="H88" s="14"/>
      <c r="I88" s="8" t="s">
        <v>38</v>
      </c>
      <c r="J88" s="8" t="s">
        <v>38</v>
      </c>
      <c r="K88">
        <v>43.4375</v>
      </c>
      <c r="L88">
        <v>34.4375</v>
      </c>
      <c r="M88" s="14">
        <v>12</v>
      </c>
      <c r="N88" s="14">
        <v>1.0625</v>
      </c>
      <c r="R88" t="str">
        <f t="shared" si="6"/>
        <v xml:space="preserve">XX8X_PV_0085:    Front abuts stile:TRUE       Back abuts stile:TRUE          Panel Section: WHOLE           Stile in the back Width:            Cutout A:           Cutout B:      F.C.:12 in.         C.C.:1.0625 in.   </v>
      </c>
      <c r="S88" t="str">
        <f t="shared" si="5"/>
        <v>TRUE</v>
      </c>
      <c r="T88" t="str">
        <f t="shared" si="7"/>
        <v>TRUE</v>
      </c>
    </row>
    <row r="89" spans="1:20">
      <c r="A89" t="s">
        <v>249</v>
      </c>
      <c r="B89" s="14" t="s">
        <v>143</v>
      </c>
      <c r="C89" s="14" t="s">
        <v>21</v>
      </c>
      <c r="D89" s="14">
        <v>1</v>
      </c>
      <c r="E89" s="14">
        <v>1</v>
      </c>
      <c r="F89" s="14">
        <v>0</v>
      </c>
      <c r="G89" s="14"/>
      <c r="H89" s="14"/>
      <c r="I89" s="8" t="s">
        <v>121</v>
      </c>
      <c r="J89" s="8" t="s">
        <v>120</v>
      </c>
      <c r="K89">
        <v>96</v>
      </c>
      <c r="L89">
        <v>43.1875</v>
      </c>
      <c r="M89" s="14">
        <v>1.5625</v>
      </c>
      <c r="N89" s="14">
        <v>1</v>
      </c>
      <c r="R89" t="str">
        <f t="shared" si="6"/>
        <v xml:space="preserve">XX8X_PV_0086:    Front abuts stile:TRUE       Back abuts stile:FALSE          Panel Section: WHOLE           Stile in the back Width:            Cutout A: B-4354          Cutout B:B-386      F.C.:1.5625 in.         C.C.:1 in.   </v>
      </c>
      <c r="S89" t="str">
        <f t="shared" si="5"/>
        <v>TRUE</v>
      </c>
      <c r="T89" t="str">
        <f t="shared" si="7"/>
        <v>FALSE</v>
      </c>
    </row>
    <row r="90" spans="1:20">
      <c r="A90" t="s">
        <v>250</v>
      </c>
      <c r="B90" s="14" t="s">
        <v>143</v>
      </c>
      <c r="C90" s="14" t="s">
        <v>21</v>
      </c>
      <c r="D90" s="14">
        <v>1</v>
      </c>
      <c r="E90" s="14">
        <v>1</v>
      </c>
      <c r="F90" s="14">
        <v>1</v>
      </c>
      <c r="G90" s="14">
        <v>0</v>
      </c>
      <c r="H90" s="14">
        <v>12</v>
      </c>
      <c r="I90" s="8" t="s">
        <v>150</v>
      </c>
      <c r="J90" s="8" t="s">
        <v>38</v>
      </c>
      <c r="K90">
        <v>94.125</v>
      </c>
      <c r="L90">
        <v>53.9375</v>
      </c>
      <c r="M90" s="14">
        <v>9</v>
      </c>
      <c r="N90" s="14">
        <v>1</v>
      </c>
      <c r="R90" t="str">
        <f t="shared" si="6"/>
        <v xml:space="preserve">XX8X_PV_0087:    Front abuts stile:TRUE       Back abuts stile:TRUE          Panel Section: WHOLE           Stile in the back Width: 12           Cutout A: B-3571          Cutout B:      F.C.:9 in.         C.C.:1 in.   </v>
      </c>
      <c r="S90" t="str">
        <f t="shared" si="5"/>
        <v>TRUE</v>
      </c>
      <c r="T90" t="str">
        <f t="shared" si="7"/>
        <v>TRUE</v>
      </c>
    </row>
    <row r="91" spans="1:20">
      <c r="A91" t="s">
        <v>251</v>
      </c>
      <c r="B91" s="14" t="s">
        <v>143</v>
      </c>
      <c r="C91" s="14" t="s">
        <v>21</v>
      </c>
      <c r="D91" s="14">
        <v>1</v>
      </c>
      <c r="E91" s="14">
        <v>1</v>
      </c>
      <c r="F91" s="14">
        <v>1</v>
      </c>
      <c r="G91" s="14">
        <v>0</v>
      </c>
      <c r="H91" s="14">
        <v>24</v>
      </c>
      <c r="I91" s="8" t="s">
        <v>120</v>
      </c>
      <c r="J91" s="8" t="s">
        <v>38</v>
      </c>
      <c r="K91">
        <v>109.3125</v>
      </c>
      <c r="L91">
        <v>66.9375</v>
      </c>
      <c r="M91" s="14">
        <v>12</v>
      </c>
      <c r="N91" s="14">
        <v>3.875</v>
      </c>
      <c r="R91" t="str">
        <f t="shared" si="6"/>
        <v xml:space="preserve">XX8X_PV_0088:    Front abuts stile:TRUE       Back abuts stile:TRUE          Panel Section: WHOLE           Stile in the back Width: 24           Cutout A: B-386          Cutout B:      F.C.:12 in.         C.C.:3.875 in.   </v>
      </c>
      <c r="S91" t="str">
        <f t="shared" si="5"/>
        <v>TRUE</v>
      </c>
      <c r="T91" t="str">
        <f t="shared" si="7"/>
        <v>TRUE</v>
      </c>
    </row>
    <row r="92" spans="1:20">
      <c r="A92" t="s">
        <v>252</v>
      </c>
      <c r="B92" s="14" t="s">
        <v>143</v>
      </c>
      <c r="C92" s="14" t="s">
        <v>21</v>
      </c>
      <c r="D92" s="14">
        <v>1</v>
      </c>
      <c r="E92" s="14">
        <v>1</v>
      </c>
      <c r="F92" s="14">
        <v>1</v>
      </c>
      <c r="G92" s="14">
        <v>0</v>
      </c>
      <c r="H92" s="14"/>
      <c r="I92" s="8" t="s">
        <v>38</v>
      </c>
      <c r="J92" s="8" t="s">
        <v>38</v>
      </c>
      <c r="K92">
        <v>83.1875</v>
      </c>
      <c r="L92">
        <v>42.625</v>
      </c>
      <c r="M92" s="14">
        <v>1.0625</v>
      </c>
      <c r="N92" s="14">
        <v>3.75</v>
      </c>
      <c r="R92" t="str">
        <f t="shared" si="6"/>
        <v xml:space="preserve">XX8X_PV_0089:    Front abuts stile:TRUE       Back abuts stile:TRUE          Panel Section: WHOLE           Stile in the back Width:            Cutout A:           Cutout B:      F.C.:1.0625 in.         C.C.:3.75 in.   </v>
      </c>
      <c r="S92" t="str">
        <f t="shared" si="5"/>
        <v>TRUE</v>
      </c>
      <c r="T92" t="str">
        <f t="shared" si="7"/>
        <v>TRUE</v>
      </c>
    </row>
    <row r="93" spans="1:20" ht="15" thickBot="1">
      <c r="A93" s="49" t="s">
        <v>253</v>
      </c>
      <c r="B93" s="50" t="s">
        <v>143</v>
      </c>
      <c r="C93" s="50" t="s">
        <v>21</v>
      </c>
      <c r="D93" s="50">
        <v>1</v>
      </c>
      <c r="E93" s="50">
        <v>1</v>
      </c>
      <c r="F93" s="50">
        <v>1</v>
      </c>
      <c r="G93" s="50">
        <v>1</v>
      </c>
      <c r="H93" s="50"/>
      <c r="I93" s="51" t="s">
        <v>38</v>
      </c>
      <c r="J93" s="51" t="s">
        <v>38</v>
      </c>
      <c r="K93" s="49">
        <v>38.375</v>
      </c>
      <c r="L93" s="49">
        <v>73.9375</v>
      </c>
      <c r="M93" s="50">
        <v>1</v>
      </c>
      <c r="N93" s="50">
        <v>2.1875</v>
      </c>
      <c r="R93" t="str">
        <f t="shared" si="6"/>
        <v xml:space="preserve">XX8X_PV_0090:    Front abuts stile:TRUE       Back abuts stile:TRUE          Panel Section: WHOLE           Stile in the back Width:            Cutout A:           Cutout B:      F.C.:1 in.         C.C.:2.1875 in.   </v>
      </c>
      <c r="S93" t="str">
        <f t="shared" si="5"/>
        <v>TRUE</v>
      </c>
      <c r="T93" t="str">
        <f t="shared" si="7"/>
        <v>TRUE</v>
      </c>
    </row>
    <row r="94" spans="1:20" ht="15" thickTop="1">
      <c r="A94" t="s">
        <v>254</v>
      </c>
      <c r="B94" s="14" t="s">
        <v>144</v>
      </c>
      <c r="C94" s="14" t="s">
        <v>156</v>
      </c>
      <c r="D94" s="19">
        <v>0</v>
      </c>
      <c r="E94" s="19"/>
      <c r="F94" s="19">
        <v>0</v>
      </c>
      <c r="G94" s="19"/>
      <c r="H94" s="14"/>
      <c r="I94" s="8" t="s">
        <v>119</v>
      </c>
      <c r="J94" s="8" t="s">
        <v>120</v>
      </c>
      <c r="K94">
        <v>34.5</v>
      </c>
      <c r="L94">
        <v>43.9375</v>
      </c>
      <c r="M94" s="14">
        <v>2.75</v>
      </c>
      <c r="N94" s="14">
        <v>4.8125</v>
      </c>
      <c r="R94" t="str">
        <f t="shared" si="6"/>
        <v xml:space="preserve">XX8X_PV_0091:    Front abuts stile:FALSE       Back abuts stile:FALSE          Panel Section: TOP           Stile in the back Width:            Cutout A: B-354          Cutout B:B-386      F.C.:2.75 in.         C.C.:4.8125 in.   </v>
      </c>
      <c r="S94" t="str">
        <f t="shared" si="5"/>
        <v>FALSE</v>
      </c>
      <c r="T94" t="str">
        <f t="shared" si="7"/>
        <v>FALSE</v>
      </c>
    </row>
    <row r="95" spans="1:20">
      <c r="A95" t="s">
        <v>255</v>
      </c>
      <c r="B95" s="14" t="s">
        <v>144</v>
      </c>
      <c r="C95" s="14" t="s">
        <v>156</v>
      </c>
      <c r="D95" s="14">
        <v>0</v>
      </c>
      <c r="E95" s="14"/>
      <c r="F95" s="14">
        <v>1</v>
      </c>
      <c r="G95" s="14">
        <v>0</v>
      </c>
      <c r="H95" s="14">
        <v>12</v>
      </c>
      <c r="I95" s="8" t="s">
        <v>38</v>
      </c>
      <c r="J95" s="8" t="s">
        <v>38</v>
      </c>
      <c r="K95">
        <v>26.75</v>
      </c>
      <c r="L95">
        <v>65</v>
      </c>
      <c r="M95" s="14">
        <v>9</v>
      </c>
      <c r="N95" s="14">
        <v>4.5625</v>
      </c>
      <c r="R95" t="str">
        <f t="shared" si="6"/>
        <v xml:space="preserve">XX8X_PV_0092:    Front abuts stile:FALSE       Back abuts stile:TRUE          Panel Section: TOP           Stile in the back Width: 12           Cutout A:           Cutout B:      F.C.:9 in.         C.C.:4.5625 in.   </v>
      </c>
      <c r="S95" t="str">
        <f t="shared" si="5"/>
        <v>FALSE</v>
      </c>
      <c r="T95" t="str">
        <f t="shared" si="7"/>
        <v>TRUE</v>
      </c>
    </row>
    <row r="96" spans="1:20">
      <c r="A96" t="s">
        <v>256</v>
      </c>
      <c r="B96" s="14" t="s">
        <v>144</v>
      </c>
      <c r="C96" s="14" t="s">
        <v>156</v>
      </c>
      <c r="D96" s="14">
        <v>0</v>
      </c>
      <c r="E96" s="14"/>
      <c r="F96" s="14">
        <v>1</v>
      </c>
      <c r="G96" s="14">
        <v>0</v>
      </c>
      <c r="H96" s="14">
        <v>24</v>
      </c>
      <c r="I96" s="8" t="s">
        <v>120</v>
      </c>
      <c r="J96" s="8" t="s">
        <v>38</v>
      </c>
      <c r="K96">
        <v>44.6875</v>
      </c>
      <c r="L96">
        <v>55.25</v>
      </c>
      <c r="M96" s="14">
        <v>1</v>
      </c>
      <c r="N96" s="14">
        <v>6.875</v>
      </c>
      <c r="R96" t="str">
        <f t="shared" si="6"/>
        <v xml:space="preserve">XX8X_PV_0093:    Front abuts stile:FALSE       Back abuts stile:TRUE          Panel Section: TOP           Stile in the back Width: 24           Cutout A: B-386          Cutout B:      F.C.:1 in.         C.C.:6.875 in.   </v>
      </c>
      <c r="S96" t="str">
        <f t="shared" si="5"/>
        <v>FALSE</v>
      </c>
      <c r="T96" t="str">
        <f t="shared" si="7"/>
        <v>TRUE</v>
      </c>
    </row>
    <row r="97" spans="1:20">
      <c r="A97" t="s">
        <v>257</v>
      </c>
      <c r="B97" s="14" t="s">
        <v>144</v>
      </c>
      <c r="C97" s="14" t="s">
        <v>156</v>
      </c>
      <c r="D97" s="14">
        <v>0</v>
      </c>
      <c r="E97" s="14"/>
      <c r="F97" s="14">
        <v>1</v>
      </c>
      <c r="G97" s="14">
        <v>0</v>
      </c>
      <c r="H97" s="14"/>
      <c r="I97" s="8" t="s">
        <v>38</v>
      </c>
      <c r="J97" s="8" t="s">
        <v>38</v>
      </c>
      <c r="K97">
        <v>16.875</v>
      </c>
      <c r="L97">
        <v>46.5</v>
      </c>
      <c r="M97" s="14">
        <v>1.625</v>
      </c>
      <c r="N97" s="14">
        <v>1.3125</v>
      </c>
      <c r="R97" t="str">
        <f t="shared" si="6"/>
        <v xml:space="preserve">XX8X_PV_0094:    Front abuts stile:FALSE       Back abuts stile:TRUE          Panel Section: TOP           Stile in the back Width:            Cutout A:           Cutout B:      F.C.:1.625 in.         C.C.:1.3125 in.   </v>
      </c>
      <c r="S97" t="str">
        <f t="shared" si="5"/>
        <v>FALSE</v>
      </c>
      <c r="T97" t="str">
        <f t="shared" si="7"/>
        <v>TRUE</v>
      </c>
    </row>
    <row r="98" spans="1:20">
      <c r="A98" t="s">
        <v>258</v>
      </c>
      <c r="B98" s="14" t="s">
        <v>144</v>
      </c>
      <c r="C98" s="14" t="s">
        <v>156</v>
      </c>
      <c r="D98" s="14">
        <v>0</v>
      </c>
      <c r="E98" s="14"/>
      <c r="F98" s="14">
        <v>1</v>
      </c>
      <c r="G98" s="14">
        <v>1</v>
      </c>
      <c r="H98" s="14"/>
      <c r="I98" s="8" t="s">
        <v>38</v>
      </c>
      <c r="J98" s="8" t="s">
        <v>38</v>
      </c>
      <c r="K98">
        <v>25</v>
      </c>
      <c r="L98">
        <v>75.3125</v>
      </c>
      <c r="M98" s="14">
        <v>1</v>
      </c>
      <c r="N98" s="14">
        <v>1</v>
      </c>
      <c r="R98" t="str">
        <f t="shared" si="6"/>
        <v xml:space="preserve">XX8X_PV_0095:    Front abuts stile:FALSE       Back abuts stile:TRUE          Panel Section: TOP           Stile in the back Width:            Cutout A:           Cutout B:      F.C.:1 in.         C.C.:1 in.   </v>
      </c>
      <c r="S98" t="str">
        <f t="shared" si="5"/>
        <v>FALSE</v>
      </c>
      <c r="T98" t="str">
        <f t="shared" si="7"/>
        <v>TRUE</v>
      </c>
    </row>
    <row r="99" spans="1:20">
      <c r="A99" t="s">
        <v>259</v>
      </c>
      <c r="B99" s="14" t="s">
        <v>144</v>
      </c>
      <c r="C99" s="14" t="s">
        <v>156</v>
      </c>
      <c r="D99" s="14">
        <v>1</v>
      </c>
      <c r="E99" s="14">
        <v>0</v>
      </c>
      <c r="F99" s="14">
        <v>0</v>
      </c>
      <c r="G99" s="14"/>
      <c r="H99" s="14"/>
      <c r="I99" s="8" t="s">
        <v>38</v>
      </c>
      <c r="J99" s="8" t="s">
        <v>38</v>
      </c>
      <c r="K99">
        <v>25.9375</v>
      </c>
      <c r="L99">
        <v>18.9375</v>
      </c>
      <c r="M99" s="14">
        <v>8.375</v>
      </c>
      <c r="N99" s="14">
        <v>4.4375</v>
      </c>
      <c r="R99" t="str">
        <f t="shared" si="6"/>
        <v xml:space="preserve">XX8X_PV_0096:    Front abuts stile:TRUE       Back abuts stile:FALSE          Panel Section: TOP           Stile in the back Width:            Cutout A:           Cutout B:      F.C.:8.375 in.         C.C.:4.4375 in.   </v>
      </c>
      <c r="S99" t="str">
        <f t="shared" si="5"/>
        <v>TRUE</v>
      </c>
      <c r="T99" t="str">
        <f t="shared" si="7"/>
        <v>FALSE</v>
      </c>
    </row>
    <row r="100" spans="1:20">
      <c r="A100" t="s">
        <v>260</v>
      </c>
      <c r="B100" s="14" t="s">
        <v>144</v>
      </c>
      <c r="C100" s="14" t="s">
        <v>156</v>
      </c>
      <c r="D100" s="14">
        <v>1</v>
      </c>
      <c r="E100" s="14">
        <v>0</v>
      </c>
      <c r="F100" s="14">
        <v>1</v>
      </c>
      <c r="G100" s="14">
        <v>0</v>
      </c>
      <c r="H100" s="14">
        <v>12</v>
      </c>
      <c r="I100" s="8" t="s">
        <v>148</v>
      </c>
      <c r="J100" s="8" t="s">
        <v>38</v>
      </c>
      <c r="K100">
        <v>16.0625</v>
      </c>
      <c r="L100">
        <v>46.5</v>
      </c>
      <c r="M100" s="14">
        <v>4.5</v>
      </c>
      <c r="N100" s="14">
        <v>3.1875</v>
      </c>
      <c r="R100" t="str">
        <f t="shared" si="6"/>
        <v xml:space="preserve">XX8X_PV_0097:    Front abuts stile:TRUE       Back abuts stile:TRUE          Panel Section: TOP           Stile in the back Width: 12           Cutout A: B-3471          Cutout B:      F.C.:4.5 in.         C.C.:3.1875 in.   </v>
      </c>
      <c r="S100" t="str">
        <f t="shared" si="5"/>
        <v>TRUE</v>
      </c>
      <c r="T100" t="str">
        <f t="shared" si="7"/>
        <v>TRUE</v>
      </c>
    </row>
    <row r="101" spans="1:20">
      <c r="A101" t="s">
        <v>261</v>
      </c>
      <c r="B101" s="14" t="s">
        <v>144</v>
      </c>
      <c r="C101" s="14" t="s">
        <v>156</v>
      </c>
      <c r="D101" s="14">
        <v>1</v>
      </c>
      <c r="E101" s="14">
        <v>0</v>
      </c>
      <c r="F101" s="14">
        <v>1</v>
      </c>
      <c r="G101" s="14">
        <v>0</v>
      </c>
      <c r="H101" s="14">
        <v>24</v>
      </c>
      <c r="I101" s="8" t="s">
        <v>120</v>
      </c>
      <c r="J101" s="8" t="s">
        <v>38</v>
      </c>
      <c r="K101">
        <v>38.8125</v>
      </c>
      <c r="L101">
        <v>70.9375</v>
      </c>
      <c r="M101" s="14">
        <v>4.5</v>
      </c>
      <c r="N101" s="14">
        <v>5.875</v>
      </c>
      <c r="R101" t="str">
        <f t="shared" si="6"/>
        <v xml:space="preserve">XX8X_PV_0098:    Front abuts stile:TRUE       Back abuts stile:TRUE          Panel Section: TOP           Stile in the back Width: 24           Cutout A: B-386          Cutout B:      F.C.:4.5 in.         C.C.:5.875 in.   </v>
      </c>
      <c r="S101" t="str">
        <f t="shared" si="5"/>
        <v>TRUE</v>
      </c>
      <c r="T101" t="str">
        <f t="shared" si="7"/>
        <v>TRUE</v>
      </c>
    </row>
    <row r="102" spans="1:20">
      <c r="A102" t="s">
        <v>262</v>
      </c>
      <c r="B102" s="14" t="s">
        <v>144</v>
      </c>
      <c r="C102" s="14" t="s">
        <v>156</v>
      </c>
      <c r="D102" s="14">
        <v>1</v>
      </c>
      <c r="E102" s="14">
        <v>0</v>
      </c>
      <c r="F102" s="14">
        <v>1</v>
      </c>
      <c r="G102" s="14">
        <v>0</v>
      </c>
      <c r="H102" s="14"/>
      <c r="I102" s="8" t="s">
        <v>38</v>
      </c>
      <c r="J102" s="8" t="s">
        <v>38</v>
      </c>
      <c r="K102">
        <v>47</v>
      </c>
      <c r="L102">
        <v>18.75</v>
      </c>
      <c r="M102" s="14">
        <v>1</v>
      </c>
      <c r="N102" s="14">
        <v>4.1875</v>
      </c>
      <c r="R102" t="str">
        <f t="shared" si="6"/>
        <v xml:space="preserve">XX8X_PV_0099:    Front abuts stile:TRUE       Back abuts stile:TRUE          Panel Section: TOP           Stile in the back Width:            Cutout A:           Cutout B:      F.C.:1 in.         C.C.:4.1875 in.   </v>
      </c>
      <c r="S102" t="str">
        <f t="shared" si="5"/>
        <v>TRUE</v>
      </c>
      <c r="T102" t="str">
        <f t="shared" si="7"/>
        <v>TRUE</v>
      </c>
    </row>
    <row r="103" spans="1:20">
      <c r="A103" t="s">
        <v>263</v>
      </c>
      <c r="B103" s="14" t="s">
        <v>144</v>
      </c>
      <c r="C103" s="14" t="s">
        <v>156</v>
      </c>
      <c r="D103" s="14">
        <v>1</v>
      </c>
      <c r="E103" s="14">
        <v>0</v>
      </c>
      <c r="F103" s="14">
        <v>1</v>
      </c>
      <c r="G103" s="14">
        <v>1</v>
      </c>
      <c r="H103" s="14"/>
      <c r="I103" s="8" t="s">
        <v>38</v>
      </c>
      <c r="J103" s="8" t="s">
        <v>38</v>
      </c>
      <c r="K103">
        <v>6.4375</v>
      </c>
      <c r="L103">
        <v>58.75</v>
      </c>
      <c r="M103" s="14">
        <v>1</v>
      </c>
      <c r="N103" s="14">
        <v>3.1875</v>
      </c>
      <c r="R103" t="str">
        <f t="shared" si="6"/>
        <v xml:space="preserve">XX8X_PV_0100:    Front abuts stile:TRUE       Back abuts stile:TRUE          Panel Section: TOP           Stile in the back Width:            Cutout A:           Cutout B:      F.C.:1 in.         C.C.:3.1875 in.   </v>
      </c>
      <c r="S103" t="str">
        <f t="shared" si="5"/>
        <v>TRUE</v>
      </c>
      <c r="T103" t="str">
        <f t="shared" si="7"/>
        <v>TRUE</v>
      </c>
    </row>
    <row r="104" spans="1:20">
      <c r="A104" t="s">
        <v>264</v>
      </c>
      <c r="B104" s="14" t="s">
        <v>144</v>
      </c>
      <c r="C104" s="14" t="s">
        <v>156</v>
      </c>
      <c r="D104" s="14">
        <v>1</v>
      </c>
      <c r="E104" s="14">
        <v>1</v>
      </c>
      <c r="F104" s="14">
        <v>0</v>
      </c>
      <c r="G104" s="14"/>
      <c r="H104" s="14"/>
      <c r="I104" s="8" t="s">
        <v>148</v>
      </c>
      <c r="J104" s="8" t="s">
        <v>38</v>
      </c>
      <c r="K104">
        <v>13.4375</v>
      </c>
      <c r="L104">
        <v>51.6875</v>
      </c>
      <c r="M104" s="14">
        <v>4.5</v>
      </c>
      <c r="N104" s="14">
        <v>1</v>
      </c>
      <c r="R104" t="str">
        <f t="shared" si="6"/>
        <v xml:space="preserve">XX8X_PV_0101:    Front abuts stile:TRUE       Back abuts stile:FALSE          Panel Section: TOP           Stile in the back Width:            Cutout A: B-3471          Cutout B:      F.C.:4.5 in.         C.C.:1 in.   </v>
      </c>
      <c r="S104" t="str">
        <f t="shared" si="5"/>
        <v>TRUE</v>
      </c>
      <c r="T104" t="str">
        <f t="shared" si="7"/>
        <v>FALSE</v>
      </c>
    </row>
    <row r="105" spans="1:20">
      <c r="A105" t="s">
        <v>265</v>
      </c>
      <c r="B105" s="14" t="s">
        <v>144</v>
      </c>
      <c r="C105" s="14" t="s">
        <v>156</v>
      </c>
      <c r="D105" s="14">
        <v>1</v>
      </c>
      <c r="E105" s="14">
        <v>1</v>
      </c>
      <c r="F105" s="14">
        <v>1</v>
      </c>
      <c r="G105" s="14">
        <v>0</v>
      </c>
      <c r="H105" s="14">
        <v>12</v>
      </c>
      <c r="I105" s="8" t="s">
        <v>150</v>
      </c>
      <c r="J105" s="8" t="s">
        <v>38</v>
      </c>
      <c r="K105">
        <v>12.6875</v>
      </c>
      <c r="L105">
        <v>76.6875</v>
      </c>
      <c r="M105" s="14">
        <v>1</v>
      </c>
      <c r="N105" s="14">
        <v>4.5625</v>
      </c>
      <c r="R105" t="str">
        <f t="shared" si="6"/>
        <v xml:space="preserve">XX8X_PV_0102:    Front abuts stile:TRUE       Back abuts stile:TRUE          Panel Section: TOP           Stile in the back Width: 12           Cutout A: B-3571          Cutout B:      F.C.:1 in.         C.C.:4.5625 in.   </v>
      </c>
      <c r="S105" t="str">
        <f t="shared" si="5"/>
        <v>TRUE</v>
      </c>
      <c r="T105" t="str">
        <f t="shared" si="7"/>
        <v>TRUE</v>
      </c>
    </row>
    <row r="106" spans="1:20">
      <c r="A106" t="s">
        <v>266</v>
      </c>
      <c r="B106" s="14" t="s">
        <v>144</v>
      </c>
      <c r="C106" s="14" t="s">
        <v>156</v>
      </c>
      <c r="D106" s="14">
        <v>1</v>
      </c>
      <c r="E106" s="14">
        <v>1</v>
      </c>
      <c r="F106" s="14">
        <v>1</v>
      </c>
      <c r="G106" s="14">
        <v>0</v>
      </c>
      <c r="H106" s="14">
        <v>24</v>
      </c>
      <c r="I106" s="8" t="s">
        <v>120</v>
      </c>
      <c r="J106" s="8" t="s">
        <v>38</v>
      </c>
      <c r="K106">
        <v>24.75</v>
      </c>
      <c r="L106">
        <v>58.375</v>
      </c>
      <c r="M106" s="14">
        <v>8.1875</v>
      </c>
      <c r="N106" s="14">
        <v>3.125</v>
      </c>
      <c r="R106" t="str">
        <f t="shared" si="6"/>
        <v xml:space="preserve">XX8X_PV_0103:    Front abuts stile:TRUE       Back abuts stile:TRUE          Panel Section: TOP           Stile in the back Width: 24           Cutout A: B-386          Cutout B:      F.C.:8.1875 in.         C.C.:3.125 in.   </v>
      </c>
      <c r="S106" t="str">
        <f t="shared" si="5"/>
        <v>TRUE</v>
      </c>
      <c r="T106" t="str">
        <f t="shared" si="7"/>
        <v>TRUE</v>
      </c>
    </row>
    <row r="107" spans="1:20">
      <c r="A107" t="s">
        <v>267</v>
      </c>
      <c r="B107" s="14" t="s">
        <v>144</v>
      </c>
      <c r="C107" s="14" t="s">
        <v>156</v>
      </c>
      <c r="D107" s="14">
        <v>1</v>
      </c>
      <c r="E107" s="14">
        <v>1</v>
      </c>
      <c r="F107" s="14">
        <v>1</v>
      </c>
      <c r="G107" s="14">
        <v>0</v>
      </c>
      <c r="H107" s="14"/>
      <c r="I107" s="8" t="s">
        <v>38</v>
      </c>
      <c r="J107" s="8" t="s">
        <v>38</v>
      </c>
      <c r="K107">
        <v>21.4375</v>
      </c>
      <c r="L107">
        <v>55</v>
      </c>
      <c r="M107" s="14">
        <v>8.75</v>
      </c>
      <c r="N107" s="14">
        <v>4.0625</v>
      </c>
      <c r="R107" t="str">
        <f t="shared" si="6"/>
        <v xml:space="preserve">XX8X_PV_0104:    Front abuts stile:TRUE       Back abuts stile:TRUE          Panel Section: TOP           Stile in the back Width:            Cutout A:           Cutout B:      F.C.:8.75 in.         C.C.:4.0625 in.   </v>
      </c>
      <c r="S107" t="str">
        <f t="shared" si="5"/>
        <v>TRUE</v>
      </c>
      <c r="T107" t="str">
        <f t="shared" si="7"/>
        <v>TRUE</v>
      </c>
    </row>
    <row r="108" spans="1:20">
      <c r="A108" t="s">
        <v>268</v>
      </c>
      <c r="B108" s="14" t="s">
        <v>144</v>
      </c>
      <c r="C108" s="14" t="s">
        <v>156</v>
      </c>
      <c r="D108" s="14">
        <v>1</v>
      </c>
      <c r="E108" s="14">
        <v>1</v>
      </c>
      <c r="F108" s="14">
        <v>1</v>
      </c>
      <c r="G108" s="14">
        <v>1</v>
      </c>
      <c r="H108" s="14"/>
      <c r="I108" s="8" t="s">
        <v>38</v>
      </c>
      <c r="J108" s="8" t="s">
        <v>38</v>
      </c>
      <c r="K108">
        <v>9.4375</v>
      </c>
      <c r="L108">
        <v>64.9375</v>
      </c>
      <c r="M108" s="14">
        <v>4.9375</v>
      </c>
      <c r="N108" s="14">
        <v>4.625</v>
      </c>
      <c r="R108" t="str">
        <f t="shared" si="6"/>
        <v xml:space="preserve">XX8X_PV_0105:    Front abuts stile:TRUE       Back abuts stile:TRUE          Panel Section: TOP           Stile in the back Width:            Cutout A:           Cutout B:      F.C.:4.9375 in.         C.C.:4.625 in.   </v>
      </c>
      <c r="S108" t="str">
        <f t="shared" si="5"/>
        <v>TRUE</v>
      </c>
      <c r="T108" t="str">
        <f t="shared" si="7"/>
        <v>TRUE</v>
      </c>
    </row>
    <row r="109" spans="1:20">
      <c r="A109" t="s">
        <v>269</v>
      </c>
      <c r="B109" s="14" t="s">
        <v>143</v>
      </c>
      <c r="C109" s="14" t="s">
        <v>157</v>
      </c>
      <c r="D109" s="14">
        <v>0</v>
      </c>
      <c r="E109" s="14"/>
      <c r="F109" s="14">
        <v>0</v>
      </c>
      <c r="G109" s="14"/>
      <c r="H109" s="14"/>
      <c r="I109" s="8" t="s">
        <v>119</v>
      </c>
      <c r="J109" s="8" t="s">
        <v>38</v>
      </c>
      <c r="K109">
        <v>60</v>
      </c>
      <c r="L109">
        <v>67.75</v>
      </c>
      <c r="M109" s="14">
        <v>8.8125</v>
      </c>
      <c r="N109" s="14">
        <v>4.5625</v>
      </c>
      <c r="R109" t="str">
        <f t="shared" si="6"/>
        <v xml:space="preserve">XX8X_PV_0121:    Front abuts stile:FALSE       Back abuts stile:FALSE          Panel Section: BOTTOM           Stile in the back Width:            Cutout A: B-354          Cutout B:      F.C.:8.8125 in.         C.C.:4.5625 in.   </v>
      </c>
      <c r="S109" t="str">
        <f t="shared" si="5"/>
        <v>FALSE</v>
      </c>
      <c r="T109" t="str">
        <f t="shared" si="7"/>
        <v>FALSE</v>
      </c>
    </row>
    <row r="110" spans="1:20">
      <c r="A110" t="s">
        <v>270</v>
      </c>
      <c r="B110" s="14" t="s">
        <v>144</v>
      </c>
      <c r="C110" s="14" t="s">
        <v>157</v>
      </c>
      <c r="D110" s="14">
        <v>0</v>
      </c>
      <c r="E110" s="14"/>
      <c r="F110" s="14">
        <v>1</v>
      </c>
      <c r="G110" s="14">
        <v>0</v>
      </c>
      <c r="H110" s="14">
        <v>12</v>
      </c>
      <c r="I110" s="8" t="s">
        <v>35</v>
      </c>
      <c r="J110" s="8" t="s">
        <v>38</v>
      </c>
      <c r="K110">
        <v>60</v>
      </c>
      <c r="L110">
        <v>73.125</v>
      </c>
      <c r="M110" s="14">
        <v>3.9375</v>
      </c>
      <c r="N110" s="14">
        <v>1.8125</v>
      </c>
      <c r="R110" t="str">
        <f t="shared" si="6"/>
        <v xml:space="preserve">XX8X_PV_0122:    Front abuts stile:FALSE       Back abuts stile:TRUE          Panel Section: BOTTOM           Stile in the back Width: 12           Cutout A: B-357          Cutout B:      F.C.:3.9375 in.         C.C.:1.8125 in.   </v>
      </c>
      <c r="S110" t="str">
        <f t="shared" si="5"/>
        <v>FALSE</v>
      </c>
      <c r="T110" t="str">
        <f t="shared" si="7"/>
        <v>TRUE</v>
      </c>
    </row>
    <row r="111" spans="1:20">
      <c r="A111" t="s">
        <v>271</v>
      </c>
      <c r="B111" s="14" t="s">
        <v>144</v>
      </c>
      <c r="C111" s="14" t="s">
        <v>157</v>
      </c>
      <c r="D111" s="14">
        <v>0</v>
      </c>
      <c r="E111" s="14"/>
      <c r="F111" s="14">
        <v>1</v>
      </c>
      <c r="G111" s="14">
        <v>0</v>
      </c>
      <c r="H111" s="14">
        <v>24</v>
      </c>
      <c r="I111" s="8" t="s">
        <v>120</v>
      </c>
      <c r="J111" s="8" t="s">
        <v>38</v>
      </c>
      <c r="K111">
        <v>60</v>
      </c>
      <c r="L111">
        <v>61.3125</v>
      </c>
      <c r="M111" s="14">
        <v>9.375</v>
      </c>
      <c r="N111" s="14">
        <v>1</v>
      </c>
      <c r="R111" t="str">
        <f t="shared" si="6"/>
        <v xml:space="preserve">XX8X_PV_0123:    Front abuts stile:FALSE       Back abuts stile:TRUE          Panel Section: BOTTOM           Stile in the back Width: 24           Cutout A: B-386          Cutout B:      F.C.:9.375 in.         C.C.:1 in.   </v>
      </c>
      <c r="S111" t="str">
        <f t="shared" si="5"/>
        <v>FALSE</v>
      </c>
      <c r="T111" t="str">
        <f t="shared" si="7"/>
        <v>TRUE</v>
      </c>
    </row>
    <row r="112" spans="1:20">
      <c r="A112" t="s">
        <v>272</v>
      </c>
      <c r="B112" s="14" t="s">
        <v>143</v>
      </c>
      <c r="C112" s="14" t="s">
        <v>157</v>
      </c>
      <c r="D112" s="14">
        <v>0</v>
      </c>
      <c r="E112" s="14"/>
      <c r="F112" s="14">
        <v>1</v>
      </c>
      <c r="G112" s="14">
        <v>0</v>
      </c>
      <c r="H112" s="14"/>
      <c r="I112" s="8" t="s">
        <v>38</v>
      </c>
      <c r="J112" s="8" t="s">
        <v>38</v>
      </c>
      <c r="K112">
        <v>60</v>
      </c>
      <c r="L112">
        <v>38</v>
      </c>
      <c r="M112" s="14">
        <v>3.875</v>
      </c>
      <c r="N112" s="14">
        <v>5.5</v>
      </c>
      <c r="R112" t="str">
        <f t="shared" si="6"/>
        <v xml:space="preserve">XX8X_PV_0124:    Front abuts stile:FALSE       Back abuts stile:TRUE          Panel Section: BOTTOM           Stile in the back Width:            Cutout A:           Cutout B:      F.C.:3.875 in.         C.C.:5.5 in.   </v>
      </c>
      <c r="S112" t="str">
        <f t="shared" si="5"/>
        <v>FALSE</v>
      </c>
      <c r="T112" t="str">
        <f t="shared" si="7"/>
        <v>TRUE</v>
      </c>
    </row>
    <row r="113" spans="1:20">
      <c r="A113" t="s">
        <v>273</v>
      </c>
      <c r="B113" s="14" t="s">
        <v>143</v>
      </c>
      <c r="C113" s="14" t="s">
        <v>157</v>
      </c>
      <c r="D113" s="14">
        <v>0</v>
      </c>
      <c r="E113" s="14"/>
      <c r="F113" s="14">
        <v>1</v>
      </c>
      <c r="G113" s="14">
        <v>1</v>
      </c>
      <c r="H113" s="14"/>
      <c r="I113" s="8" t="s">
        <v>38</v>
      </c>
      <c r="J113" s="8" t="s">
        <v>38</v>
      </c>
      <c r="K113">
        <v>60</v>
      </c>
      <c r="L113">
        <v>45.5625</v>
      </c>
      <c r="M113" s="14">
        <v>1.125</v>
      </c>
      <c r="N113" s="14">
        <v>1.9375</v>
      </c>
      <c r="R113" t="str">
        <f t="shared" si="6"/>
        <v xml:space="preserve">XX8X_PV_0125:    Front abuts stile:FALSE       Back abuts stile:TRUE          Panel Section: BOTTOM           Stile in the back Width:            Cutout A:           Cutout B:      F.C.:1.125 in.         C.C.:1.9375 in.   </v>
      </c>
      <c r="S113" t="str">
        <f t="shared" si="5"/>
        <v>FALSE</v>
      </c>
      <c r="T113" t="str">
        <f t="shared" si="7"/>
        <v>TRUE</v>
      </c>
    </row>
    <row r="114" spans="1:20">
      <c r="A114" t="s">
        <v>274</v>
      </c>
      <c r="B114" s="14" t="s">
        <v>143</v>
      </c>
      <c r="C114" s="14" t="s">
        <v>157</v>
      </c>
      <c r="D114" s="14">
        <v>1</v>
      </c>
      <c r="E114" s="14">
        <v>0</v>
      </c>
      <c r="F114" s="14">
        <v>0</v>
      </c>
      <c r="G114" s="14"/>
      <c r="H114" s="14"/>
      <c r="I114" s="8" t="s">
        <v>145</v>
      </c>
      <c r="J114" s="8" t="s">
        <v>38</v>
      </c>
      <c r="K114">
        <v>60</v>
      </c>
      <c r="L114">
        <v>53.4375</v>
      </c>
      <c r="M114" s="14">
        <v>4.5</v>
      </c>
      <c r="N114" s="14">
        <v>2.125</v>
      </c>
      <c r="R114" t="str">
        <f t="shared" si="6"/>
        <v xml:space="preserve">XX8X_PV_0126:    Front abuts stile:TRUE       Back abuts stile:FALSE          Panel Section: BOTTOM           Stile in the back Width:            Cutout A: B-347          Cutout B:      F.C.:4.5 in.         C.C.:2.125 in.   </v>
      </c>
      <c r="S114" t="str">
        <f t="shared" si="5"/>
        <v>TRUE</v>
      </c>
      <c r="T114" t="str">
        <f t="shared" si="7"/>
        <v>FALSE</v>
      </c>
    </row>
    <row r="115" spans="1:20">
      <c r="A115" t="s">
        <v>275</v>
      </c>
      <c r="B115" s="14" t="s">
        <v>143</v>
      </c>
      <c r="C115" s="14" t="s">
        <v>157</v>
      </c>
      <c r="D115" s="14">
        <v>1</v>
      </c>
      <c r="E115" s="14">
        <v>0</v>
      </c>
      <c r="F115" s="14">
        <v>1</v>
      </c>
      <c r="G115" s="14">
        <v>0</v>
      </c>
      <c r="H115" s="14">
        <v>12</v>
      </c>
      <c r="I115" s="8" t="s">
        <v>145</v>
      </c>
      <c r="J115" s="8" t="s">
        <v>38</v>
      </c>
      <c r="K115">
        <v>60</v>
      </c>
      <c r="L115">
        <v>64.0625</v>
      </c>
      <c r="M115" s="14">
        <v>3.125</v>
      </c>
      <c r="N115" s="14">
        <v>4.625</v>
      </c>
      <c r="R115" t="str">
        <f t="shared" si="6"/>
        <v xml:space="preserve">XX8X_PV_0127:    Front abuts stile:TRUE       Back abuts stile:TRUE          Panel Section: BOTTOM           Stile in the back Width: 12           Cutout A: B-347          Cutout B:      F.C.:3.125 in.         C.C.:4.625 in.   </v>
      </c>
      <c r="S115" t="str">
        <f t="shared" si="5"/>
        <v>TRUE</v>
      </c>
      <c r="T115" t="str">
        <f t="shared" si="7"/>
        <v>TRUE</v>
      </c>
    </row>
    <row r="116" spans="1:20">
      <c r="A116" t="s">
        <v>276</v>
      </c>
      <c r="B116" s="14" t="s">
        <v>144</v>
      </c>
      <c r="C116" s="14" t="s">
        <v>157</v>
      </c>
      <c r="D116" s="14">
        <v>1</v>
      </c>
      <c r="E116" s="14">
        <v>0</v>
      </c>
      <c r="F116" s="14">
        <v>1</v>
      </c>
      <c r="G116" s="14">
        <v>0</v>
      </c>
      <c r="H116" s="14">
        <v>24</v>
      </c>
      <c r="I116" s="8" t="s">
        <v>120</v>
      </c>
      <c r="J116" s="8" t="s">
        <v>38</v>
      </c>
      <c r="K116">
        <v>60</v>
      </c>
      <c r="L116">
        <v>59.75</v>
      </c>
      <c r="M116" s="14">
        <v>11.6875</v>
      </c>
      <c r="N116" s="14">
        <v>1</v>
      </c>
      <c r="R116" t="str">
        <f t="shared" si="6"/>
        <v xml:space="preserve">XX8X_PV_0128:    Front abuts stile:TRUE       Back abuts stile:TRUE          Panel Section: BOTTOM           Stile in the back Width: 24           Cutout A: B-386          Cutout B:      F.C.:11.6875 in.         C.C.:1 in.   </v>
      </c>
      <c r="S116" t="str">
        <f t="shared" si="5"/>
        <v>TRUE</v>
      </c>
      <c r="T116" t="str">
        <f t="shared" si="7"/>
        <v>TRUE</v>
      </c>
    </row>
    <row r="117" spans="1:20">
      <c r="A117" t="s">
        <v>277</v>
      </c>
      <c r="B117" s="14" t="s">
        <v>143</v>
      </c>
      <c r="C117" s="14" t="s">
        <v>157</v>
      </c>
      <c r="D117" s="14">
        <v>1</v>
      </c>
      <c r="E117" s="14">
        <v>0</v>
      </c>
      <c r="F117" s="14">
        <v>1</v>
      </c>
      <c r="G117" s="14">
        <v>0</v>
      </c>
      <c r="H117" s="14"/>
      <c r="I117" s="8" t="s">
        <v>38</v>
      </c>
      <c r="J117" s="8" t="s">
        <v>38</v>
      </c>
      <c r="K117">
        <v>60</v>
      </c>
      <c r="L117">
        <v>58.75</v>
      </c>
      <c r="M117" s="14">
        <v>6.875</v>
      </c>
      <c r="N117" s="14">
        <v>2.1875</v>
      </c>
      <c r="R117" t="str">
        <f t="shared" si="6"/>
        <v xml:space="preserve">XX8X_PV_0129:    Front abuts stile:TRUE       Back abuts stile:TRUE          Panel Section: BOTTOM           Stile in the back Width:            Cutout A:           Cutout B:      F.C.:6.875 in.         C.C.:2.1875 in.   </v>
      </c>
      <c r="S117" t="str">
        <f t="shared" si="5"/>
        <v>TRUE</v>
      </c>
      <c r="T117" t="str">
        <f t="shared" si="7"/>
        <v>TRUE</v>
      </c>
    </row>
    <row r="118" spans="1:20">
      <c r="A118" t="s">
        <v>278</v>
      </c>
      <c r="B118" s="14" t="s">
        <v>144</v>
      </c>
      <c r="C118" s="14" t="s">
        <v>157</v>
      </c>
      <c r="D118" s="14">
        <v>1</v>
      </c>
      <c r="E118" s="14">
        <v>0</v>
      </c>
      <c r="F118" s="14">
        <v>1</v>
      </c>
      <c r="G118" s="14">
        <v>1</v>
      </c>
      <c r="H118" s="14"/>
      <c r="I118" s="8" t="s">
        <v>38</v>
      </c>
      <c r="J118" s="8" t="s">
        <v>38</v>
      </c>
      <c r="K118">
        <v>60</v>
      </c>
      <c r="L118">
        <v>72.5625</v>
      </c>
      <c r="M118" s="14">
        <v>9</v>
      </c>
      <c r="N118" s="14">
        <v>1</v>
      </c>
      <c r="R118" t="str">
        <f t="shared" si="6"/>
        <v xml:space="preserve">XX8X_PV_0130:    Front abuts stile:TRUE       Back abuts stile:TRUE          Panel Section: BOTTOM           Stile in the back Width:            Cutout A:           Cutout B:      F.C.:9 in.         C.C.:1 in.   </v>
      </c>
      <c r="S118" t="str">
        <f t="shared" si="5"/>
        <v>TRUE</v>
      </c>
      <c r="T118" t="str">
        <f t="shared" si="7"/>
        <v>TRUE</v>
      </c>
    </row>
    <row r="119" spans="1:20">
      <c r="A119" t="s">
        <v>279</v>
      </c>
      <c r="B119" s="14" t="s">
        <v>143</v>
      </c>
      <c r="C119" s="14" t="s">
        <v>157</v>
      </c>
      <c r="D119" s="14">
        <v>1</v>
      </c>
      <c r="E119" s="14">
        <v>1</v>
      </c>
      <c r="F119" s="14">
        <v>0</v>
      </c>
      <c r="G119" s="14"/>
      <c r="H119" s="14"/>
      <c r="I119" s="8" t="s">
        <v>121</v>
      </c>
      <c r="J119" s="8" t="s">
        <v>38</v>
      </c>
      <c r="K119">
        <v>60</v>
      </c>
      <c r="L119">
        <v>72.0625</v>
      </c>
      <c r="M119" s="14">
        <v>12</v>
      </c>
      <c r="N119" s="14">
        <v>3.375</v>
      </c>
      <c r="R119" t="str">
        <f t="shared" si="6"/>
        <v xml:space="preserve">XX8X_PV_0131:    Front abuts stile:TRUE       Back abuts stile:FALSE          Panel Section: BOTTOM           Stile in the back Width:            Cutout A: B-4354          Cutout B:      F.C.:12 in.         C.C.:3.375 in.   </v>
      </c>
      <c r="S119" t="str">
        <f t="shared" si="5"/>
        <v>TRUE</v>
      </c>
      <c r="T119" t="str">
        <f t="shared" si="7"/>
        <v>FALSE</v>
      </c>
    </row>
    <row r="120" spans="1:20">
      <c r="A120" t="s">
        <v>280</v>
      </c>
      <c r="B120" s="14" t="s">
        <v>144</v>
      </c>
      <c r="C120" s="14" t="s">
        <v>157</v>
      </c>
      <c r="D120" s="14">
        <v>1</v>
      </c>
      <c r="E120" s="14">
        <v>1</v>
      </c>
      <c r="F120" s="14">
        <v>1</v>
      </c>
      <c r="G120" s="14">
        <v>0</v>
      </c>
      <c r="H120" s="14">
        <v>12</v>
      </c>
      <c r="I120" s="8" t="s">
        <v>35</v>
      </c>
      <c r="J120" s="8" t="s">
        <v>38</v>
      </c>
      <c r="K120">
        <v>60</v>
      </c>
      <c r="L120">
        <v>45.6875</v>
      </c>
      <c r="M120" s="14">
        <v>5.875</v>
      </c>
      <c r="N120" s="14">
        <v>3.8125</v>
      </c>
      <c r="R120" t="str">
        <f t="shared" si="6"/>
        <v xml:space="preserve">XX8X_PV_0132:    Front abuts stile:TRUE       Back abuts stile:TRUE          Panel Section: BOTTOM           Stile in the back Width: 12           Cutout A: B-357          Cutout B:      F.C.:5.875 in.         C.C.:3.8125 in.   </v>
      </c>
      <c r="S120" t="str">
        <f t="shared" si="5"/>
        <v>TRUE</v>
      </c>
      <c r="T120" t="str">
        <f t="shared" si="7"/>
        <v>TRUE</v>
      </c>
    </row>
    <row r="121" spans="1:20">
      <c r="A121" t="s">
        <v>281</v>
      </c>
      <c r="B121" s="14" t="s">
        <v>144</v>
      </c>
      <c r="C121" s="14" t="s">
        <v>157</v>
      </c>
      <c r="D121" s="14">
        <v>1</v>
      </c>
      <c r="E121" s="14">
        <v>1</v>
      </c>
      <c r="F121" s="14">
        <v>1</v>
      </c>
      <c r="G121" s="14">
        <v>0</v>
      </c>
      <c r="H121" s="14">
        <v>24</v>
      </c>
      <c r="I121" s="8" t="s">
        <v>120</v>
      </c>
      <c r="J121" s="8" t="s">
        <v>38</v>
      </c>
      <c r="K121">
        <v>60</v>
      </c>
      <c r="L121">
        <v>60.4375</v>
      </c>
      <c r="M121" s="14">
        <v>12</v>
      </c>
      <c r="N121" s="14">
        <v>1</v>
      </c>
      <c r="R121" t="str">
        <f t="shared" si="6"/>
        <v xml:space="preserve">XX8X_PV_0133:    Front abuts stile:TRUE       Back abuts stile:TRUE          Panel Section: BOTTOM           Stile in the back Width: 24           Cutout A: B-386          Cutout B:      F.C.:12 in.         C.C.:1 in.   </v>
      </c>
      <c r="S121" t="str">
        <f t="shared" si="5"/>
        <v>TRUE</v>
      </c>
      <c r="T121" t="str">
        <f t="shared" si="7"/>
        <v>TRUE</v>
      </c>
    </row>
    <row r="122" spans="1:20">
      <c r="A122" t="s">
        <v>282</v>
      </c>
      <c r="B122" s="14" t="s">
        <v>143</v>
      </c>
      <c r="C122" s="14" t="s">
        <v>157</v>
      </c>
      <c r="D122" s="14">
        <v>1</v>
      </c>
      <c r="E122" s="14">
        <v>1</v>
      </c>
      <c r="F122" s="14">
        <v>1</v>
      </c>
      <c r="G122" s="14">
        <v>0</v>
      </c>
      <c r="H122" s="14"/>
      <c r="I122" s="8" t="s">
        <v>38</v>
      </c>
      <c r="J122" s="8" t="s">
        <v>38</v>
      </c>
      <c r="K122">
        <v>60</v>
      </c>
      <c r="L122">
        <v>54.1875</v>
      </c>
      <c r="M122" s="14">
        <v>2.875</v>
      </c>
      <c r="N122" s="14">
        <v>3.4375</v>
      </c>
      <c r="R122" t="str">
        <f t="shared" si="6"/>
        <v xml:space="preserve">XX8X_PV_0134:    Front abuts stile:TRUE       Back abuts stile:TRUE          Panel Section: BOTTOM           Stile in the back Width:            Cutout A:           Cutout B:      F.C.:2.875 in.         C.C.:3.4375 in.   </v>
      </c>
      <c r="S122" t="str">
        <f t="shared" si="5"/>
        <v>TRUE</v>
      </c>
      <c r="T122" t="str">
        <f t="shared" si="7"/>
        <v>TRUE</v>
      </c>
    </row>
    <row r="123" spans="1:20">
      <c r="A123" t="s">
        <v>283</v>
      </c>
      <c r="B123" s="14" t="s">
        <v>144</v>
      </c>
      <c r="C123" s="14" t="s">
        <v>157</v>
      </c>
      <c r="D123" s="14">
        <v>1</v>
      </c>
      <c r="E123" s="14">
        <v>1</v>
      </c>
      <c r="F123" s="14">
        <v>1</v>
      </c>
      <c r="G123" s="14">
        <v>1</v>
      </c>
      <c r="H123" s="14"/>
      <c r="I123" s="8" t="s">
        <v>38</v>
      </c>
      <c r="J123" s="8" t="s">
        <v>38</v>
      </c>
      <c r="K123">
        <v>60</v>
      </c>
      <c r="L123">
        <v>67.25</v>
      </c>
      <c r="M123" s="14">
        <v>9</v>
      </c>
      <c r="N123" s="14">
        <v>6.9375</v>
      </c>
      <c r="R123" t="str">
        <f t="shared" si="6"/>
        <v xml:space="preserve">XX8X_PV_0135:    Front abuts stile:TRUE       Back abuts stile:TRUE          Panel Section: BOTTOM           Stile in the back Width:            Cutout A:           Cutout B:      F.C.:9 in.         C.C.:6.9375 in.   </v>
      </c>
      <c r="S123" t="str">
        <f t="shared" si="5"/>
        <v>TRUE</v>
      </c>
      <c r="T123" t="str">
        <f t="shared" si="7"/>
        <v>TRUE</v>
      </c>
    </row>
    <row r="124" spans="1:20">
      <c r="A124" t="s">
        <v>284</v>
      </c>
      <c r="B124" s="14" t="s">
        <v>143</v>
      </c>
      <c r="C124" s="14" t="s">
        <v>21</v>
      </c>
      <c r="D124" s="14">
        <v>0</v>
      </c>
      <c r="E124" s="14"/>
      <c r="F124" s="14">
        <v>0</v>
      </c>
      <c r="G124" s="14"/>
      <c r="H124" s="14"/>
      <c r="I124" s="8" t="s">
        <v>150</v>
      </c>
      <c r="J124" s="8" t="s">
        <v>38</v>
      </c>
      <c r="K124">
        <v>95.25</v>
      </c>
      <c r="L124">
        <v>67.25</v>
      </c>
      <c r="M124" s="14">
        <v>3.3125</v>
      </c>
      <c r="N124" s="14">
        <v>3.25</v>
      </c>
      <c r="R124" t="str">
        <f t="shared" si="6"/>
        <v xml:space="preserve">XX8X_PV_0151:    Front abuts stile:FALSE       Back abuts stile:FALSE          Panel Section: WHOLE           Stile in the back Width:            Cutout A: B-3571          Cutout B:      F.C.:3.3125 in.         C.C.:3.25 in.   </v>
      </c>
      <c r="S124" t="str">
        <f t="shared" si="5"/>
        <v>FALSE</v>
      </c>
      <c r="T124" t="str">
        <f t="shared" si="7"/>
        <v>FALSE</v>
      </c>
    </row>
    <row r="125" spans="1:20">
      <c r="A125" t="s">
        <v>285</v>
      </c>
      <c r="B125" s="14" t="s">
        <v>144</v>
      </c>
      <c r="C125" s="14" t="s">
        <v>21</v>
      </c>
      <c r="D125" s="14">
        <v>0</v>
      </c>
      <c r="E125" s="14"/>
      <c r="F125" s="14">
        <v>1</v>
      </c>
      <c r="G125" s="14">
        <v>0</v>
      </c>
      <c r="H125" s="14">
        <v>12</v>
      </c>
      <c r="I125" s="8" t="s">
        <v>38</v>
      </c>
      <c r="J125" s="8" t="s">
        <v>38</v>
      </c>
      <c r="K125">
        <v>86.625</v>
      </c>
      <c r="L125">
        <v>45.0625</v>
      </c>
      <c r="M125" s="14">
        <v>4.5</v>
      </c>
      <c r="N125" s="14">
        <v>1</v>
      </c>
      <c r="R125" t="str">
        <f t="shared" si="6"/>
        <v xml:space="preserve">XX8X_PV_0152:    Front abuts stile:FALSE       Back abuts stile:TRUE          Panel Section: WHOLE           Stile in the back Width: 12           Cutout A:           Cutout B:      F.C.:4.5 in.         C.C.:1 in.   </v>
      </c>
      <c r="S125" t="str">
        <f t="shared" si="5"/>
        <v>FALSE</v>
      </c>
      <c r="T125" t="str">
        <f t="shared" si="7"/>
        <v>TRUE</v>
      </c>
    </row>
    <row r="126" spans="1:20">
      <c r="A126" t="s">
        <v>286</v>
      </c>
      <c r="B126" s="14" t="s">
        <v>144</v>
      </c>
      <c r="C126" s="14" t="s">
        <v>21</v>
      </c>
      <c r="D126" s="14">
        <v>0</v>
      </c>
      <c r="E126" s="14"/>
      <c r="F126" s="14">
        <v>1</v>
      </c>
      <c r="G126" s="14">
        <v>0</v>
      </c>
      <c r="H126" s="14">
        <v>24</v>
      </c>
      <c r="I126" s="8" t="s">
        <v>120</v>
      </c>
      <c r="J126" s="8" t="s">
        <v>38</v>
      </c>
      <c r="K126">
        <v>109.5</v>
      </c>
      <c r="L126">
        <v>45.125</v>
      </c>
      <c r="M126" s="14">
        <v>1</v>
      </c>
      <c r="N126" s="14">
        <v>1</v>
      </c>
      <c r="R126" t="str">
        <f t="shared" si="6"/>
        <v xml:space="preserve">XX8X_PV_0153:    Front abuts stile:FALSE       Back abuts stile:TRUE          Panel Section: WHOLE           Stile in the back Width: 24           Cutout A: B-386          Cutout B:      F.C.:1 in.         C.C.:1 in.   </v>
      </c>
      <c r="S126" t="str">
        <f t="shared" si="5"/>
        <v>FALSE</v>
      </c>
      <c r="T126" t="str">
        <f t="shared" si="7"/>
        <v>TRUE</v>
      </c>
    </row>
    <row r="127" spans="1:20">
      <c r="A127" t="s">
        <v>287</v>
      </c>
      <c r="B127" s="14" t="s">
        <v>143</v>
      </c>
      <c r="C127" s="14" t="s">
        <v>21</v>
      </c>
      <c r="D127" s="14">
        <v>0</v>
      </c>
      <c r="E127" s="14"/>
      <c r="F127" s="14">
        <v>1</v>
      </c>
      <c r="G127" s="14">
        <v>0</v>
      </c>
      <c r="H127" s="14"/>
      <c r="I127" s="8" t="s">
        <v>38</v>
      </c>
      <c r="J127" s="8" t="s">
        <v>38</v>
      </c>
      <c r="K127">
        <v>96</v>
      </c>
      <c r="L127">
        <v>53.9375</v>
      </c>
      <c r="M127" s="14">
        <v>5.4375</v>
      </c>
      <c r="N127" s="14">
        <v>2.125</v>
      </c>
      <c r="R127" t="str">
        <f t="shared" si="6"/>
        <v xml:space="preserve">XX8X_PV_0154:    Front abuts stile:FALSE       Back abuts stile:TRUE          Panel Section: WHOLE           Stile in the back Width:            Cutout A:           Cutout B:      F.C.:5.4375 in.         C.C.:2.125 in.   </v>
      </c>
      <c r="S127" t="str">
        <f t="shared" si="5"/>
        <v>FALSE</v>
      </c>
      <c r="T127" t="str">
        <f t="shared" si="7"/>
        <v>TRUE</v>
      </c>
    </row>
    <row r="128" spans="1:20">
      <c r="A128" t="s">
        <v>288</v>
      </c>
      <c r="B128" s="14" t="s">
        <v>144</v>
      </c>
      <c r="C128" s="14" t="s">
        <v>21</v>
      </c>
      <c r="D128" s="14">
        <v>0</v>
      </c>
      <c r="E128" s="14"/>
      <c r="F128" s="14">
        <v>1</v>
      </c>
      <c r="G128" s="14">
        <v>1</v>
      </c>
      <c r="H128" s="14"/>
      <c r="I128" s="8" t="s">
        <v>38</v>
      </c>
      <c r="J128" s="8" t="s">
        <v>38</v>
      </c>
      <c r="K128">
        <v>67.5</v>
      </c>
      <c r="L128">
        <v>46.5</v>
      </c>
      <c r="M128" s="14">
        <v>10.3125</v>
      </c>
      <c r="N128" s="14">
        <v>1.75</v>
      </c>
      <c r="R128" t="str">
        <f t="shared" si="6"/>
        <v xml:space="preserve">XX8X_PV_0155:    Front abuts stile:FALSE       Back abuts stile:TRUE          Panel Section: WHOLE           Stile in the back Width:            Cutout A:           Cutout B:      F.C.:10.3125 in.         C.C.:1.75 in.   </v>
      </c>
      <c r="S128" t="str">
        <f t="shared" si="5"/>
        <v>FALSE</v>
      </c>
      <c r="T128" t="str">
        <f t="shared" si="7"/>
        <v>TRUE</v>
      </c>
    </row>
    <row r="129" spans="1:20">
      <c r="A129" t="s">
        <v>289</v>
      </c>
      <c r="B129" s="14" t="s">
        <v>144</v>
      </c>
      <c r="C129" s="14" t="s">
        <v>21</v>
      </c>
      <c r="D129" s="14">
        <v>1</v>
      </c>
      <c r="E129" s="14">
        <v>0</v>
      </c>
      <c r="F129" s="14">
        <v>0</v>
      </c>
      <c r="G129" s="14"/>
      <c r="H129" s="14"/>
      <c r="I129" s="8" t="s">
        <v>38</v>
      </c>
      <c r="J129" s="8" t="s">
        <v>38</v>
      </c>
      <c r="K129">
        <v>50.6875</v>
      </c>
      <c r="L129">
        <v>34</v>
      </c>
      <c r="M129" s="14">
        <v>3.625</v>
      </c>
      <c r="N129" s="14">
        <v>1</v>
      </c>
      <c r="R129" t="str">
        <f t="shared" si="6"/>
        <v xml:space="preserve">XX8X_PV_0156:    Front abuts stile:TRUE       Back abuts stile:FALSE          Panel Section: WHOLE           Stile in the back Width:            Cutout A:           Cutout B:      F.C.:3.625 in.         C.C.:1 in.   </v>
      </c>
      <c r="S129" t="str">
        <f t="shared" si="5"/>
        <v>TRUE</v>
      </c>
      <c r="T129" t="str">
        <f t="shared" si="7"/>
        <v>FALSE</v>
      </c>
    </row>
    <row r="130" spans="1:20">
      <c r="A130" t="s">
        <v>290</v>
      </c>
      <c r="B130" s="14" t="s">
        <v>144</v>
      </c>
      <c r="C130" s="14" t="s">
        <v>21</v>
      </c>
      <c r="D130" s="14">
        <v>1</v>
      </c>
      <c r="E130" s="14">
        <v>0</v>
      </c>
      <c r="F130" s="14">
        <v>1</v>
      </c>
      <c r="G130" s="14">
        <v>0</v>
      </c>
      <c r="H130" s="14">
        <v>12</v>
      </c>
      <c r="I130" s="8" t="s">
        <v>145</v>
      </c>
      <c r="J130" s="8" t="s">
        <v>38</v>
      </c>
      <c r="K130">
        <v>103.375</v>
      </c>
      <c r="L130">
        <v>53.75</v>
      </c>
      <c r="M130" s="14">
        <v>12</v>
      </c>
      <c r="N130" s="14">
        <v>1</v>
      </c>
      <c r="R130" t="str">
        <f t="shared" si="6"/>
        <v xml:space="preserve">XX8X_PV_0157:    Front abuts stile:TRUE       Back abuts stile:TRUE          Panel Section: WHOLE           Stile in the back Width: 12           Cutout A: B-347          Cutout B:      F.C.:12 in.         C.C.:1 in.   </v>
      </c>
      <c r="S130" t="str">
        <f t="shared" si="5"/>
        <v>TRUE</v>
      </c>
      <c r="T130" t="str">
        <f t="shared" si="7"/>
        <v>TRUE</v>
      </c>
    </row>
    <row r="131" spans="1:20">
      <c r="A131" t="s">
        <v>291</v>
      </c>
      <c r="B131" s="14" t="s">
        <v>144</v>
      </c>
      <c r="C131" s="14" t="s">
        <v>21</v>
      </c>
      <c r="D131" s="14">
        <v>1</v>
      </c>
      <c r="E131" s="14">
        <v>0</v>
      </c>
      <c r="F131" s="14">
        <v>1</v>
      </c>
      <c r="G131" s="14">
        <v>0</v>
      </c>
      <c r="H131" s="14">
        <v>24</v>
      </c>
      <c r="I131" s="8" t="s">
        <v>120</v>
      </c>
      <c r="J131" s="8" t="s">
        <v>38</v>
      </c>
      <c r="K131">
        <v>50.875</v>
      </c>
      <c r="L131">
        <v>78.1875</v>
      </c>
      <c r="M131" s="14">
        <v>4.5</v>
      </c>
      <c r="N131" s="14">
        <v>3.8125</v>
      </c>
      <c r="R131" t="str">
        <f t="shared" si="6"/>
        <v xml:space="preserve">XX8X_PV_0158:    Front abuts stile:TRUE       Back abuts stile:TRUE          Panel Section: WHOLE           Stile in the back Width: 24           Cutout A: B-386          Cutout B:      F.C.:4.5 in.         C.C.:3.8125 in.   </v>
      </c>
      <c r="S131" t="str">
        <f t="shared" si="5"/>
        <v>TRUE</v>
      </c>
      <c r="T131" t="str">
        <f t="shared" si="7"/>
        <v>TRUE</v>
      </c>
    </row>
    <row r="132" spans="1:20">
      <c r="A132" t="s">
        <v>292</v>
      </c>
      <c r="B132" s="14" t="s">
        <v>144</v>
      </c>
      <c r="C132" s="14" t="s">
        <v>21</v>
      </c>
      <c r="D132" s="14">
        <v>1</v>
      </c>
      <c r="E132" s="14">
        <v>0</v>
      </c>
      <c r="F132" s="14">
        <v>1</v>
      </c>
      <c r="G132" s="14">
        <v>0</v>
      </c>
      <c r="H132" s="14"/>
      <c r="I132" s="8" t="s">
        <v>38</v>
      </c>
      <c r="J132" s="8" t="s">
        <v>38</v>
      </c>
      <c r="K132">
        <v>96</v>
      </c>
      <c r="L132">
        <v>52</v>
      </c>
      <c r="M132" s="14">
        <v>12</v>
      </c>
      <c r="N132" s="14">
        <v>1</v>
      </c>
      <c r="R132" t="str">
        <f t="shared" si="6"/>
        <v xml:space="preserve">XX8X_PV_0159:    Front abuts stile:TRUE       Back abuts stile:TRUE          Panel Section: WHOLE           Stile in the back Width:            Cutout A:           Cutout B:      F.C.:12 in.         C.C.:1 in.   </v>
      </c>
      <c r="S132" t="str">
        <f t="shared" ref="S132:S195" si="8">IF(D132=1, "TRUE", "FALSE")</f>
        <v>TRUE</v>
      </c>
      <c r="T132" t="str">
        <f t="shared" si="7"/>
        <v>TRUE</v>
      </c>
    </row>
    <row r="133" spans="1:20">
      <c r="A133" t="s">
        <v>293</v>
      </c>
      <c r="B133" s="14" t="s">
        <v>144</v>
      </c>
      <c r="C133" s="14" t="s">
        <v>21</v>
      </c>
      <c r="D133" s="14">
        <v>1</v>
      </c>
      <c r="E133" s="14">
        <v>0</v>
      </c>
      <c r="F133" s="14">
        <v>1</v>
      </c>
      <c r="G133" s="14">
        <v>1</v>
      </c>
      <c r="H133" s="14"/>
      <c r="I133" s="8" t="s">
        <v>38</v>
      </c>
      <c r="J133" s="8" t="s">
        <v>38</v>
      </c>
      <c r="K133">
        <v>69.5</v>
      </c>
      <c r="L133">
        <v>13.75</v>
      </c>
      <c r="M133" s="14">
        <v>1</v>
      </c>
      <c r="N133" s="14">
        <v>4.3125</v>
      </c>
      <c r="R133" t="str">
        <f t="shared" si="6"/>
        <v xml:space="preserve">XX8X_PV_0160:    Front abuts stile:TRUE       Back abuts stile:TRUE          Panel Section: WHOLE           Stile in the back Width:            Cutout A:           Cutout B:      F.C.:1 in.         C.C.:4.3125 in.   </v>
      </c>
      <c r="S133" t="str">
        <f t="shared" si="8"/>
        <v>TRUE</v>
      </c>
      <c r="T133" t="str">
        <f t="shared" si="7"/>
        <v>TRUE</v>
      </c>
    </row>
    <row r="134" spans="1:20">
      <c r="A134" t="s">
        <v>294</v>
      </c>
      <c r="B134" s="14" t="s">
        <v>144</v>
      </c>
      <c r="C134" s="14" t="s">
        <v>21</v>
      </c>
      <c r="D134" s="14">
        <v>1</v>
      </c>
      <c r="E134" s="14">
        <v>1</v>
      </c>
      <c r="F134" s="14">
        <v>0</v>
      </c>
      <c r="G134" s="14"/>
      <c r="H134" s="14"/>
      <c r="I134" s="8" t="s">
        <v>38</v>
      </c>
      <c r="J134" s="8" t="s">
        <v>38</v>
      </c>
      <c r="K134">
        <v>74.0625</v>
      </c>
      <c r="L134">
        <v>77.75</v>
      </c>
      <c r="M134" s="14">
        <v>4.5</v>
      </c>
      <c r="N134" s="14">
        <v>1</v>
      </c>
      <c r="R134" t="str">
        <f t="shared" si="6"/>
        <v xml:space="preserve">XX8X_PV_0161:    Front abuts stile:TRUE       Back abuts stile:FALSE          Panel Section: WHOLE           Stile in the back Width:            Cutout A:           Cutout B:      F.C.:4.5 in.         C.C.:1 in.   </v>
      </c>
      <c r="S134" t="str">
        <f t="shared" si="8"/>
        <v>TRUE</v>
      </c>
      <c r="T134" t="str">
        <f t="shared" si="7"/>
        <v>FALSE</v>
      </c>
    </row>
    <row r="135" spans="1:20">
      <c r="A135" t="s">
        <v>295</v>
      </c>
      <c r="B135" s="14" t="s">
        <v>144</v>
      </c>
      <c r="C135" s="14" t="s">
        <v>21</v>
      </c>
      <c r="D135" s="14">
        <v>1</v>
      </c>
      <c r="E135" s="14">
        <v>1</v>
      </c>
      <c r="F135" s="14">
        <v>1</v>
      </c>
      <c r="G135" s="14">
        <v>0</v>
      </c>
      <c r="H135" s="14">
        <v>12</v>
      </c>
      <c r="I135" s="8" t="s">
        <v>145</v>
      </c>
      <c r="J135" s="8" t="s">
        <v>38</v>
      </c>
      <c r="K135">
        <v>105.5625</v>
      </c>
      <c r="L135">
        <v>64.75</v>
      </c>
      <c r="M135" s="14">
        <v>12</v>
      </c>
      <c r="N135" s="14">
        <v>2.1875</v>
      </c>
      <c r="R135" t="str">
        <f t="shared" ref="R135:R198" si="9">A135&amp;":    Front abuts stile:"&amp;S135&amp;"       Back abuts stile:"&amp;T135&amp;"          Panel Section: "&amp;C135&amp;"           Stile in the back Width: "&amp;H135&amp;"           Cutout A: "&amp;I135&amp;"          Cutout B:"&amp;J135&amp;"      F.C.:"&amp;M135&amp;" in. "&amp;"        C.C.:"&amp;N135&amp;" in. "&amp;"  "</f>
        <v xml:space="preserve">XX8X_PV_0162:    Front abuts stile:TRUE       Back abuts stile:TRUE          Panel Section: WHOLE           Stile in the back Width: 12           Cutout A: B-347          Cutout B:      F.C.:12 in.         C.C.:2.1875 in.   </v>
      </c>
      <c r="S135" t="str">
        <f t="shared" si="8"/>
        <v>TRUE</v>
      </c>
      <c r="T135" t="str">
        <f t="shared" si="7"/>
        <v>TRUE</v>
      </c>
    </row>
    <row r="136" spans="1:20">
      <c r="A136" t="s">
        <v>296</v>
      </c>
      <c r="B136" s="14" t="s">
        <v>144</v>
      </c>
      <c r="C136" s="14" t="s">
        <v>21</v>
      </c>
      <c r="D136" s="14">
        <v>1</v>
      </c>
      <c r="E136" s="14">
        <v>1</v>
      </c>
      <c r="F136" s="14">
        <v>1</v>
      </c>
      <c r="G136" s="14">
        <v>0</v>
      </c>
      <c r="H136" s="14">
        <v>24</v>
      </c>
      <c r="I136" s="8" t="s">
        <v>120</v>
      </c>
      <c r="J136" s="8" t="s">
        <v>38</v>
      </c>
      <c r="K136">
        <v>51.0625</v>
      </c>
      <c r="L136">
        <v>45.5</v>
      </c>
      <c r="M136" s="14">
        <v>1.8125</v>
      </c>
      <c r="N136" s="14">
        <v>1.375</v>
      </c>
      <c r="R136" t="str">
        <f t="shared" si="9"/>
        <v xml:space="preserve">XX8X_PV_0163:    Front abuts stile:TRUE       Back abuts stile:TRUE          Panel Section: WHOLE           Stile in the back Width: 24           Cutout A: B-386          Cutout B:      F.C.:1.8125 in.         C.C.:1.375 in.   </v>
      </c>
      <c r="S136" t="str">
        <f t="shared" si="8"/>
        <v>TRUE</v>
      </c>
      <c r="T136" t="str">
        <f t="shared" si="7"/>
        <v>TRUE</v>
      </c>
    </row>
    <row r="137" spans="1:20">
      <c r="A137" t="s">
        <v>297</v>
      </c>
      <c r="B137" s="14" t="s">
        <v>144</v>
      </c>
      <c r="C137" s="14" t="s">
        <v>21</v>
      </c>
      <c r="D137" s="14">
        <v>1</v>
      </c>
      <c r="E137" s="14">
        <v>1</v>
      </c>
      <c r="F137" s="14">
        <v>1</v>
      </c>
      <c r="G137" s="14">
        <v>0</v>
      </c>
      <c r="H137" s="14"/>
      <c r="I137" s="8" t="s">
        <v>38</v>
      </c>
      <c r="J137" s="8" t="s">
        <v>38</v>
      </c>
      <c r="K137">
        <v>100.5625</v>
      </c>
      <c r="L137">
        <v>44.3125</v>
      </c>
      <c r="M137" s="14">
        <v>10.375</v>
      </c>
      <c r="N137" s="14">
        <v>1</v>
      </c>
      <c r="R137" t="str">
        <f t="shared" si="9"/>
        <v xml:space="preserve">XX8X_PV_0164:    Front abuts stile:TRUE       Back abuts stile:TRUE          Panel Section: WHOLE           Stile in the back Width:            Cutout A:           Cutout B:      F.C.:10.375 in.         C.C.:1 in.   </v>
      </c>
      <c r="S137" t="str">
        <f t="shared" si="8"/>
        <v>TRUE</v>
      </c>
      <c r="T137" t="str">
        <f t="shared" si="7"/>
        <v>TRUE</v>
      </c>
    </row>
    <row r="138" spans="1:20">
      <c r="A138" t="s">
        <v>298</v>
      </c>
      <c r="B138" s="14" t="s">
        <v>144</v>
      </c>
      <c r="C138" s="14" t="s">
        <v>21</v>
      </c>
      <c r="D138" s="14">
        <v>1</v>
      </c>
      <c r="E138" s="14">
        <v>1</v>
      </c>
      <c r="F138" s="14">
        <v>1</v>
      </c>
      <c r="G138" s="14">
        <v>1</v>
      </c>
      <c r="H138" s="14"/>
      <c r="I138" s="8" t="s">
        <v>38</v>
      </c>
      <c r="J138" s="8" t="s">
        <v>38</v>
      </c>
      <c r="K138">
        <v>48.125</v>
      </c>
      <c r="L138">
        <v>78.25</v>
      </c>
      <c r="M138" s="14">
        <v>9</v>
      </c>
      <c r="N138" s="14">
        <v>1</v>
      </c>
      <c r="R138" t="str">
        <f t="shared" si="9"/>
        <v xml:space="preserve">XX8X_PV_0165:    Front abuts stile:TRUE       Back abuts stile:TRUE          Panel Section: WHOLE           Stile in the back Width:            Cutout A:           Cutout B:      F.C.:9 in.         C.C.:1 in.   </v>
      </c>
      <c r="S138" t="str">
        <f t="shared" si="8"/>
        <v>TRUE</v>
      </c>
      <c r="T138" t="str">
        <f t="shared" si="7"/>
        <v>TRUE</v>
      </c>
    </row>
    <row r="139" spans="1:20">
      <c r="A139" t="s">
        <v>299</v>
      </c>
      <c r="B139" s="14" t="s">
        <v>144</v>
      </c>
      <c r="C139" s="14" t="s">
        <v>156</v>
      </c>
      <c r="D139" s="19">
        <v>0</v>
      </c>
      <c r="E139" s="19"/>
      <c r="F139" s="19">
        <v>0</v>
      </c>
      <c r="G139" s="19"/>
      <c r="H139" s="14"/>
      <c r="I139" s="8" t="s">
        <v>38</v>
      </c>
      <c r="J139" s="8" t="s">
        <v>38</v>
      </c>
      <c r="K139">
        <v>29.125</v>
      </c>
      <c r="L139">
        <v>32.375</v>
      </c>
      <c r="M139" s="14">
        <v>9</v>
      </c>
      <c r="N139" s="14">
        <v>7.5625</v>
      </c>
      <c r="R139" t="str">
        <f t="shared" si="9"/>
        <v xml:space="preserve">XX8X_PV_0181:    Front abuts stile:FALSE       Back abuts stile:FALSE          Panel Section: TOP           Stile in the back Width:            Cutout A:           Cutout B:      F.C.:9 in.         C.C.:7.5625 in.   </v>
      </c>
      <c r="S139" t="str">
        <f t="shared" si="8"/>
        <v>FALSE</v>
      </c>
      <c r="T139" t="str">
        <f t="shared" si="7"/>
        <v>FALSE</v>
      </c>
    </row>
    <row r="140" spans="1:20">
      <c r="A140" t="s">
        <v>300</v>
      </c>
      <c r="B140" s="14" t="s">
        <v>144</v>
      </c>
      <c r="C140" s="14" t="s">
        <v>156</v>
      </c>
      <c r="D140" s="14">
        <v>0</v>
      </c>
      <c r="E140" s="14"/>
      <c r="F140" s="14">
        <v>1</v>
      </c>
      <c r="G140" s="14">
        <v>0</v>
      </c>
      <c r="H140" s="14">
        <v>12</v>
      </c>
      <c r="I140" s="8" t="s">
        <v>151</v>
      </c>
      <c r="J140" s="8" t="s">
        <v>38</v>
      </c>
      <c r="K140">
        <v>43.0625</v>
      </c>
      <c r="L140">
        <v>55.5625</v>
      </c>
      <c r="M140" s="14">
        <v>1</v>
      </c>
      <c r="N140" s="14">
        <v>3.8125</v>
      </c>
      <c r="R140" t="str">
        <f t="shared" si="9"/>
        <v xml:space="preserve">XX8X_PV_0182:    Front abuts stile:FALSE       Back abuts stile:TRUE          Panel Section: TOP           Stile in the back Width: 12           Cutout A: B-35715          Cutout B:      F.C.:1 in.         C.C.:3.8125 in.   </v>
      </c>
      <c r="S140" t="str">
        <f t="shared" si="8"/>
        <v>FALSE</v>
      </c>
      <c r="T140" t="str">
        <f t="shared" si="7"/>
        <v>TRUE</v>
      </c>
    </row>
    <row r="141" spans="1:20">
      <c r="A141" t="s">
        <v>301</v>
      </c>
      <c r="B141" s="14" t="s">
        <v>144</v>
      </c>
      <c r="C141" s="14" t="s">
        <v>156</v>
      </c>
      <c r="D141" s="14">
        <v>0</v>
      </c>
      <c r="E141" s="14"/>
      <c r="F141" s="14">
        <v>1</v>
      </c>
      <c r="G141" s="14">
        <v>0</v>
      </c>
      <c r="H141" s="14">
        <v>24</v>
      </c>
      <c r="I141" s="8" t="s">
        <v>38</v>
      </c>
      <c r="J141" s="8" t="s">
        <v>38</v>
      </c>
      <c r="K141">
        <v>14.5625</v>
      </c>
      <c r="L141">
        <v>21.875</v>
      </c>
      <c r="M141" s="14">
        <v>2</v>
      </c>
      <c r="N141" s="14">
        <v>5.25</v>
      </c>
      <c r="R141" t="str">
        <f t="shared" si="9"/>
        <v xml:space="preserve">XX8X_PV_0183:    Front abuts stile:FALSE       Back abuts stile:TRUE          Panel Section: TOP           Stile in the back Width: 24           Cutout A:           Cutout B:      F.C.:2 in.         C.C.:5.25 in.   </v>
      </c>
      <c r="S141" t="str">
        <f t="shared" si="8"/>
        <v>FALSE</v>
      </c>
      <c r="T141" t="str">
        <f t="shared" si="7"/>
        <v>TRUE</v>
      </c>
    </row>
    <row r="142" spans="1:20">
      <c r="A142" t="s">
        <v>302</v>
      </c>
      <c r="B142" s="14" t="s">
        <v>144</v>
      </c>
      <c r="C142" s="14" t="s">
        <v>156</v>
      </c>
      <c r="D142" s="14">
        <v>0</v>
      </c>
      <c r="E142" s="14"/>
      <c r="F142" s="14">
        <v>1</v>
      </c>
      <c r="G142" s="14">
        <v>0</v>
      </c>
      <c r="H142" s="14"/>
      <c r="I142" s="8" t="s">
        <v>38</v>
      </c>
      <c r="J142" s="8" t="s">
        <v>38</v>
      </c>
      <c r="K142">
        <v>20.8125</v>
      </c>
      <c r="L142">
        <v>77.5</v>
      </c>
      <c r="M142" s="14">
        <v>4.5</v>
      </c>
      <c r="N142" s="14">
        <v>2.625</v>
      </c>
      <c r="R142" t="str">
        <f t="shared" si="9"/>
        <v xml:space="preserve">XX8X_PV_0184:    Front abuts stile:FALSE       Back abuts stile:TRUE          Panel Section: TOP           Stile in the back Width:            Cutout A:           Cutout B:      F.C.:4.5 in.         C.C.:2.625 in.   </v>
      </c>
      <c r="S142" t="str">
        <f t="shared" si="8"/>
        <v>FALSE</v>
      </c>
      <c r="T142" t="str">
        <f t="shared" si="7"/>
        <v>TRUE</v>
      </c>
    </row>
    <row r="143" spans="1:20">
      <c r="A143" t="s">
        <v>303</v>
      </c>
      <c r="B143" s="14" t="s">
        <v>144</v>
      </c>
      <c r="C143" s="14" t="s">
        <v>156</v>
      </c>
      <c r="D143" s="14">
        <v>0</v>
      </c>
      <c r="E143" s="14"/>
      <c r="F143" s="14">
        <v>1</v>
      </c>
      <c r="G143" s="14">
        <v>1</v>
      </c>
      <c r="H143" s="14"/>
      <c r="I143" s="8" t="s">
        <v>38</v>
      </c>
      <c r="J143" s="8" t="s">
        <v>38</v>
      </c>
      <c r="K143">
        <v>26.125</v>
      </c>
      <c r="L143">
        <v>72.875</v>
      </c>
      <c r="M143" s="14">
        <v>9</v>
      </c>
      <c r="N143" s="14">
        <v>7.5625</v>
      </c>
      <c r="R143" t="str">
        <f t="shared" si="9"/>
        <v xml:space="preserve">XX8X_PV_0185:    Front abuts stile:FALSE       Back abuts stile:TRUE          Panel Section: TOP           Stile in the back Width:            Cutout A:           Cutout B:      F.C.:9 in.         C.C.:7.5625 in.   </v>
      </c>
      <c r="S143" t="str">
        <f t="shared" si="8"/>
        <v>FALSE</v>
      </c>
      <c r="T143" t="str">
        <f t="shared" si="7"/>
        <v>TRUE</v>
      </c>
    </row>
    <row r="144" spans="1:20">
      <c r="A144" t="s">
        <v>304</v>
      </c>
      <c r="B144" s="14" t="s">
        <v>144</v>
      </c>
      <c r="C144" s="14" t="s">
        <v>156</v>
      </c>
      <c r="D144" s="14">
        <v>1</v>
      </c>
      <c r="E144" s="14">
        <v>0</v>
      </c>
      <c r="F144" s="14">
        <v>0</v>
      </c>
      <c r="G144" s="14"/>
      <c r="H144" s="14"/>
      <c r="I144" s="8" t="s">
        <v>150</v>
      </c>
      <c r="J144" s="8" t="s">
        <v>38</v>
      </c>
      <c r="K144">
        <v>4.9375</v>
      </c>
      <c r="L144">
        <v>74.375</v>
      </c>
      <c r="M144" s="14">
        <v>9</v>
      </c>
      <c r="N144" s="14">
        <v>4.8125</v>
      </c>
      <c r="R144" t="str">
        <f t="shared" si="9"/>
        <v xml:space="preserve">XX8X_PV_0186:    Front abuts stile:TRUE       Back abuts stile:FALSE          Panel Section: TOP           Stile in the back Width:            Cutout A: B-3571          Cutout B:      F.C.:9 in.         C.C.:4.8125 in.   </v>
      </c>
      <c r="S144" t="str">
        <f t="shared" si="8"/>
        <v>TRUE</v>
      </c>
      <c r="T144" t="str">
        <f t="shared" si="7"/>
        <v>FALSE</v>
      </c>
    </row>
    <row r="145" spans="1:20">
      <c r="A145" t="s">
        <v>305</v>
      </c>
      <c r="B145" s="14" t="s">
        <v>144</v>
      </c>
      <c r="C145" s="14" t="s">
        <v>156</v>
      </c>
      <c r="D145" s="14">
        <v>1</v>
      </c>
      <c r="E145" s="14">
        <v>0</v>
      </c>
      <c r="F145" s="14">
        <v>1</v>
      </c>
      <c r="G145" s="14">
        <v>0</v>
      </c>
      <c r="H145" s="14">
        <v>12</v>
      </c>
      <c r="I145" s="8" t="s">
        <v>38</v>
      </c>
      <c r="J145" s="8" t="s">
        <v>38</v>
      </c>
      <c r="K145">
        <v>33.6875</v>
      </c>
      <c r="L145">
        <v>66.875</v>
      </c>
      <c r="M145" s="14">
        <v>12</v>
      </c>
      <c r="N145" s="14">
        <v>3.5625</v>
      </c>
      <c r="R145" t="str">
        <f t="shared" si="9"/>
        <v xml:space="preserve">XX8X_PV_0187:    Front abuts stile:TRUE       Back abuts stile:TRUE          Panel Section: TOP           Stile in the back Width: 12           Cutout A:           Cutout B:      F.C.:12 in.         C.C.:3.5625 in.   </v>
      </c>
      <c r="S145" t="str">
        <f t="shared" si="8"/>
        <v>TRUE</v>
      </c>
      <c r="T145" t="str">
        <f t="shared" si="7"/>
        <v>TRUE</v>
      </c>
    </row>
    <row r="146" spans="1:20">
      <c r="A146" t="s">
        <v>306</v>
      </c>
      <c r="B146" s="14" t="s">
        <v>144</v>
      </c>
      <c r="C146" s="14" t="s">
        <v>156</v>
      </c>
      <c r="D146" s="14">
        <v>1</v>
      </c>
      <c r="E146" s="14">
        <v>0</v>
      </c>
      <c r="F146" s="14">
        <v>1</v>
      </c>
      <c r="G146" s="14">
        <v>0</v>
      </c>
      <c r="H146" s="14">
        <v>24</v>
      </c>
      <c r="I146" s="8" t="s">
        <v>38</v>
      </c>
      <c r="J146" s="8" t="s">
        <v>38</v>
      </c>
      <c r="K146">
        <v>20.1875</v>
      </c>
      <c r="L146">
        <v>19.9375</v>
      </c>
      <c r="M146" s="14">
        <v>1.375</v>
      </c>
      <c r="N146" s="14">
        <v>3.75</v>
      </c>
      <c r="R146" t="str">
        <f t="shared" si="9"/>
        <v xml:space="preserve">XX8X_PV_0188:    Front abuts stile:TRUE       Back abuts stile:TRUE          Panel Section: TOP           Stile in the back Width: 24           Cutout A:           Cutout B:      F.C.:1.375 in.         C.C.:3.75 in.   </v>
      </c>
      <c r="S146" t="str">
        <f t="shared" si="8"/>
        <v>TRUE</v>
      </c>
      <c r="T146" t="str">
        <f t="shared" ref="T146:T209" si="10">IF(F146=1, "TRUE", "FALSE")</f>
        <v>TRUE</v>
      </c>
    </row>
    <row r="147" spans="1:20">
      <c r="A147" t="s">
        <v>307</v>
      </c>
      <c r="B147" s="14" t="s">
        <v>144</v>
      </c>
      <c r="C147" s="14" t="s">
        <v>156</v>
      </c>
      <c r="D147" s="14">
        <v>1</v>
      </c>
      <c r="E147" s="14">
        <v>0</v>
      </c>
      <c r="F147" s="14">
        <v>1</v>
      </c>
      <c r="G147" s="14">
        <v>0</v>
      </c>
      <c r="H147" s="14"/>
      <c r="I147" s="8" t="s">
        <v>38</v>
      </c>
      <c r="J147" s="8" t="s">
        <v>38</v>
      </c>
      <c r="K147">
        <v>48.8125</v>
      </c>
      <c r="L147">
        <v>51.1875</v>
      </c>
      <c r="M147" s="14">
        <v>3.3125</v>
      </c>
      <c r="N147" s="14">
        <v>7.375</v>
      </c>
      <c r="R147" t="str">
        <f t="shared" si="9"/>
        <v xml:space="preserve">XX8X_PV_0189:    Front abuts stile:TRUE       Back abuts stile:TRUE          Panel Section: TOP           Stile in the back Width:            Cutout A:           Cutout B:      F.C.:3.3125 in.         C.C.:7.375 in.   </v>
      </c>
      <c r="S147" t="str">
        <f t="shared" si="8"/>
        <v>TRUE</v>
      </c>
      <c r="T147" t="str">
        <f t="shared" si="10"/>
        <v>TRUE</v>
      </c>
    </row>
    <row r="148" spans="1:20">
      <c r="A148" t="s">
        <v>308</v>
      </c>
      <c r="B148" s="14" t="s">
        <v>144</v>
      </c>
      <c r="C148" s="14" t="s">
        <v>156</v>
      </c>
      <c r="D148" s="14">
        <v>1</v>
      </c>
      <c r="E148" s="14">
        <v>0</v>
      </c>
      <c r="F148" s="14">
        <v>1</v>
      </c>
      <c r="G148" s="14">
        <v>1</v>
      </c>
      <c r="H148" s="14"/>
      <c r="I148" s="8" t="s">
        <v>38</v>
      </c>
      <c r="J148" s="8" t="s">
        <v>38</v>
      </c>
      <c r="K148">
        <v>29.125</v>
      </c>
      <c r="L148">
        <v>47.25</v>
      </c>
      <c r="M148" s="14">
        <v>9</v>
      </c>
      <c r="N148" s="14">
        <v>1</v>
      </c>
      <c r="R148" t="str">
        <f t="shared" si="9"/>
        <v xml:space="preserve">XX8X_PV_0190:    Front abuts stile:TRUE       Back abuts stile:TRUE          Panel Section: TOP           Stile in the back Width:            Cutout A:           Cutout B:      F.C.:9 in.         C.C.:1 in.   </v>
      </c>
      <c r="S148" t="str">
        <f t="shared" si="8"/>
        <v>TRUE</v>
      </c>
      <c r="T148" t="str">
        <f t="shared" si="10"/>
        <v>TRUE</v>
      </c>
    </row>
    <row r="149" spans="1:20">
      <c r="A149" t="s">
        <v>309</v>
      </c>
      <c r="B149" s="14" t="s">
        <v>144</v>
      </c>
      <c r="C149" s="14" t="s">
        <v>156</v>
      </c>
      <c r="D149" s="14">
        <v>1</v>
      </c>
      <c r="E149" s="14">
        <v>1</v>
      </c>
      <c r="F149" s="14">
        <v>0</v>
      </c>
      <c r="G149" s="14"/>
      <c r="H149" s="14"/>
      <c r="I149" s="8" t="s">
        <v>121</v>
      </c>
      <c r="J149" s="8" t="s">
        <v>38</v>
      </c>
      <c r="K149">
        <v>6.4375</v>
      </c>
      <c r="L149">
        <v>72.8125</v>
      </c>
      <c r="M149" s="14">
        <v>9</v>
      </c>
      <c r="N149" s="14">
        <v>5.6875</v>
      </c>
      <c r="R149" t="str">
        <f t="shared" si="9"/>
        <v xml:space="preserve">XX8X_PV_0191:    Front abuts stile:TRUE       Back abuts stile:FALSE          Panel Section: TOP           Stile in the back Width:            Cutout A: B-4354          Cutout B:      F.C.:9 in.         C.C.:5.6875 in.   </v>
      </c>
      <c r="S149" t="str">
        <f t="shared" si="8"/>
        <v>TRUE</v>
      </c>
      <c r="T149" t="str">
        <f t="shared" si="10"/>
        <v>FALSE</v>
      </c>
    </row>
    <row r="150" spans="1:20">
      <c r="A150" t="s">
        <v>310</v>
      </c>
      <c r="B150" s="14" t="s">
        <v>144</v>
      </c>
      <c r="C150" s="14" t="s">
        <v>156</v>
      </c>
      <c r="D150" s="14">
        <v>1</v>
      </c>
      <c r="E150" s="14">
        <v>1</v>
      </c>
      <c r="F150" s="14">
        <v>1</v>
      </c>
      <c r="G150" s="14">
        <v>0</v>
      </c>
      <c r="H150" s="14">
        <v>12</v>
      </c>
      <c r="I150" s="8" t="s">
        <v>145</v>
      </c>
      <c r="J150" s="8" t="s">
        <v>38</v>
      </c>
      <c r="K150">
        <v>23.4375</v>
      </c>
      <c r="L150">
        <v>48.6875</v>
      </c>
      <c r="M150" s="14">
        <v>11.625</v>
      </c>
      <c r="N150" s="14">
        <v>6.4375</v>
      </c>
      <c r="R150" t="str">
        <f t="shared" si="9"/>
        <v xml:space="preserve">XX8X_PV_0192:    Front abuts stile:TRUE       Back abuts stile:TRUE          Panel Section: TOP           Stile in the back Width: 12           Cutout A: B-347          Cutout B:      F.C.:11.625 in.         C.C.:6.4375 in.   </v>
      </c>
      <c r="S150" t="str">
        <f t="shared" si="8"/>
        <v>TRUE</v>
      </c>
      <c r="T150" t="str">
        <f t="shared" si="10"/>
        <v>TRUE</v>
      </c>
    </row>
    <row r="151" spans="1:20">
      <c r="A151" t="s">
        <v>311</v>
      </c>
      <c r="B151" s="14" t="s">
        <v>144</v>
      </c>
      <c r="C151" s="14" t="s">
        <v>156</v>
      </c>
      <c r="D151" s="14">
        <v>1</v>
      </c>
      <c r="E151" s="14">
        <v>1</v>
      </c>
      <c r="F151" s="14">
        <v>1</v>
      </c>
      <c r="G151" s="14">
        <v>0</v>
      </c>
      <c r="H151" s="14">
        <v>24</v>
      </c>
      <c r="I151" s="8" t="s">
        <v>38</v>
      </c>
      <c r="J151" s="8" t="s">
        <v>38</v>
      </c>
      <c r="K151">
        <v>47</v>
      </c>
      <c r="L151">
        <v>64.75</v>
      </c>
      <c r="M151" s="14">
        <v>3.875</v>
      </c>
      <c r="N151" s="14">
        <v>1</v>
      </c>
      <c r="R151" t="str">
        <f t="shared" si="9"/>
        <v xml:space="preserve">XX8X_PV_0193:    Front abuts stile:TRUE       Back abuts stile:TRUE          Panel Section: TOP           Stile in the back Width: 24           Cutout A:           Cutout B:      F.C.:3.875 in.         C.C.:1 in.   </v>
      </c>
      <c r="S151" t="str">
        <f t="shared" si="8"/>
        <v>TRUE</v>
      </c>
      <c r="T151" t="str">
        <f t="shared" si="10"/>
        <v>TRUE</v>
      </c>
    </row>
    <row r="152" spans="1:20">
      <c r="A152" t="s">
        <v>312</v>
      </c>
      <c r="B152" s="14" t="s">
        <v>144</v>
      </c>
      <c r="C152" s="14" t="s">
        <v>156</v>
      </c>
      <c r="D152" s="14">
        <v>1</v>
      </c>
      <c r="E152" s="14">
        <v>1</v>
      </c>
      <c r="F152" s="14">
        <v>1</v>
      </c>
      <c r="G152" s="14">
        <v>0</v>
      </c>
      <c r="H152" s="14"/>
      <c r="I152" s="8" t="s">
        <v>38</v>
      </c>
      <c r="J152" s="8" t="s">
        <v>38</v>
      </c>
      <c r="K152">
        <v>16.1875</v>
      </c>
      <c r="L152">
        <v>36.625</v>
      </c>
      <c r="M152" s="14">
        <v>4.5</v>
      </c>
      <c r="N152" s="14">
        <v>1</v>
      </c>
      <c r="R152" t="str">
        <f t="shared" si="9"/>
        <v xml:space="preserve">XX8X_PV_0194:    Front abuts stile:TRUE       Back abuts stile:TRUE          Panel Section: TOP           Stile in the back Width:            Cutout A:           Cutout B:      F.C.:4.5 in.         C.C.:1 in.   </v>
      </c>
      <c r="S152" t="str">
        <f t="shared" si="8"/>
        <v>TRUE</v>
      </c>
      <c r="T152" t="str">
        <f t="shared" si="10"/>
        <v>TRUE</v>
      </c>
    </row>
    <row r="153" spans="1:20">
      <c r="A153" t="s">
        <v>313</v>
      </c>
      <c r="B153" s="14" t="s">
        <v>144</v>
      </c>
      <c r="C153" s="14" t="s">
        <v>156</v>
      </c>
      <c r="D153" s="14">
        <v>1</v>
      </c>
      <c r="E153" s="14">
        <v>1</v>
      </c>
      <c r="F153" s="14">
        <v>1</v>
      </c>
      <c r="G153" s="14">
        <v>1</v>
      </c>
      <c r="H153" s="14"/>
      <c r="I153" s="8" t="s">
        <v>38</v>
      </c>
      <c r="J153" s="8" t="s">
        <v>38</v>
      </c>
      <c r="K153">
        <v>47.125</v>
      </c>
      <c r="L153">
        <v>65.1875</v>
      </c>
      <c r="M153" s="14">
        <v>4.5</v>
      </c>
      <c r="N153" s="14">
        <v>3.875</v>
      </c>
      <c r="R153" t="str">
        <f t="shared" si="9"/>
        <v xml:space="preserve">XX8X_PV_0195:    Front abuts stile:TRUE       Back abuts stile:TRUE          Panel Section: TOP           Stile in the back Width:            Cutout A:           Cutout B:      F.C.:4.5 in.         C.C.:3.875 in.   </v>
      </c>
      <c r="S153" t="str">
        <f t="shared" si="8"/>
        <v>TRUE</v>
      </c>
      <c r="T153" t="str">
        <f t="shared" si="10"/>
        <v>TRUE</v>
      </c>
    </row>
    <row r="154" spans="1:20">
      <c r="A154" t="s">
        <v>314</v>
      </c>
      <c r="B154" s="14" t="s">
        <v>144</v>
      </c>
      <c r="C154" s="14" t="s">
        <v>157</v>
      </c>
      <c r="D154" s="14">
        <v>0</v>
      </c>
      <c r="E154" s="14"/>
      <c r="F154" s="14">
        <v>0</v>
      </c>
      <c r="G154" s="14"/>
      <c r="H154" s="14"/>
      <c r="I154" s="8" t="s">
        <v>120</v>
      </c>
      <c r="J154" s="8" t="s">
        <v>119</v>
      </c>
      <c r="K154">
        <v>60</v>
      </c>
      <c r="L154">
        <v>45.4375</v>
      </c>
      <c r="M154" s="14">
        <v>5.0625</v>
      </c>
      <c r="N154" s="14">
        <v>4.8125</v>
      </c>
      <c r="R154" t="str">
        <f t="shared" si="9"/>
        <v xml:space="preserve">XX8X_PV_0211:    Front abuts stile:FALSE       Back abuts stile:FALSE          Panel Section: BOTTOM           Stile in the back Width:            Cutout A: B-386          Cutout B:B-354      F.C.:5.0625 in.         C.C.:4.8125 in.   </v>
      </c>
      <c r="S154" t="str">
        <f t="shared" si="8"/>
        <v>FALSE</v>
      </c>
      <c r="T154" t="str">
        <f t="shared" si="10"/>
        <v>FALSE</v>
      </c>
    </row>
    <row r="155" spans="1:20">
      <c r="A155" t="s">
        <v>315</v>
      </c>
      <c r="B155" s="14" t="s">
        <v>143</v>
      </c>
      <c r="C155" s="14" t="s">
        <v>157</v>
      </c>
      <c r="D155" s="14">
        <v>0</v>
      </c>
      <c r="E155" s="14"/>
      <c r="F155" s="14">
        <v>1</v>
      </c>
      <c r="G155" s="14">
        <v>0</v>
      </c>
      <c r="H155" s="14">
        <v>12</v>
      </c>
      <c r="I155" s="8" t="s">
        <v>120</v>
      </c>
      <c r="J155" s="8" t="s">
        <v>38</v>
      </c>
      <c r="K155">
        <v>60</v>
      </c>
      <c r="L155">
        <v>68.0625</v>
      </c>
      <c r="M155" s="14">
        <v>4.5</v>
      </c>
      <c r="N155" s="14">
        <v>1</v>
      </c>
      <c r="R155" t="str">
        <f t="shared" si="9"/>
        <v xml:space="preserve">XX8X_PV_0212:    Front abuts stile:FALSE       Back abuts stile:TRUE          Panel Section: BOTTOM           Stile in the back Width: 12           Cutout A: B-386          Cutout B:      F.C.:4.5 in.         C.C.:1 in.   </v>
      </c>
      <c r="S155" t="str">
        <f t="shared" si="8"/>
        <v>FALSE</v>
      </c>
      <c r="T155" t="str">
        <f t="shared" si="10"/>
        <v>TRUE</v>
      </c>
    </row>
    <row r="156" spans="1:20">
      <c r="A156" t="s">
        <v>316</v>
      </c>
      <c r="B156" s="14" t="s">
        <v>144</v>
      </c>
      <c r="C156" s="14" t="s">
        <v>157</v>
      </c>
      <c r="D156" s="14">
        <v>0</v>
      </c>
      <c r="E156" s="14"/>
      <c r="F156" s="14">
        <v>1</v>
      </c>
      <c r="G156" s="14">
        <v>0</v>
      </c>
      <c r="H156" s="14">
        <v>24</v>
      </c>
      <c r="I156" s="8" t="s">
        <v>120</v>
      </c>
      <c r="J156" s="8" t="s">
        <v>38</v>
      </c>
      <c r="K156">
        <v>60</v>
      </c>
      <c r="L156">
        <v>76</v>
      </c>
      <c r="M156" s="14">
        <v>1</v>
      </c>
      <c r="N156" s="14">
        <v>1</v>
      </c>
      <c r="R156" t="str">
        <f t="shared" si="9"/>
        <v xml:space="preserve">XX8X_PV_0213:    Front abuts stile:FALSE       Back abuts stile:TRUE          Panel Section: BOTTOM           Stile in the back Width: 24           Cutout A: B-386          Cutout B:      F.C.:1 in.         C.C.:1 in.   </v>
      </c>
      <c r="S156" t="str">
        <f t="shared" si="8"/>
        <v>FALSE</v>
      </c>
      <c r="T156" t="str">
        <f t="shared" si="10"/>
        <v>TRUE</v>
      </c>
    </row>
    <row r="157" spans="1:20">
      <c r="A157" t="s">
        <v>317</v>
      </c>
      <c r="B157" s="14" t="s">
        <v>143</v>
      </c>
      <c r="C157" s="14" t="s">
        <v>157</v>
      </c>
      <c r="D157" s="14">
        <v>0</v>
      </c>
      <c r="E157" s="14"/>
      <c r="F157" s="14">
        <v>1</v>
      </c>
      <c r="G157" s="14">
        <v>0</v>
      </c>
      <c r="H157" s="14"/>
      <c r="I157" s="8" t="s">
        <v>38</v>
      </c>
      <c r="J157" s="8" t="s">
        <v>38</v>
      </c>
      <c r="K157">
        <v>60</v>
      </c>
      <c r="L157">
        <v>56.375</v>
      </c>
      <c r="M157" s="14">
        <v>4.5</v>
      </c>
      <c r="N157" s="14">
        <v>3.4375</v>
      </c>
      <c r="R157" t="str">
        <f t="shared" si="9"/>
        <v xml:space="preserve">XX8X_PV_0214:    Front abuts stile:FALSE       Back abuts stile:TRUE          Panel Section: BOTTOM           Stile in the back Width:            Cutout A:           Cutout B:      F.C.:4.5 in.         C.C.:3.4375 in.   </v>
      </c>
      <c r="S157" t="str">
        <f t="shared" si="8"/>
        <v>FALSE</v>
      </c>
      <c r="T157" t="str">
        <f t="shared" si="10"/>
        <v>TRUE</v>
      </c>
    </row>
    <row r="158" spans="1:20">
      <c r="A158" t="s">
        <v>318</v>
      </c>
      <c r="B158" s="14" t="s">
        <v>143</v>
      </c>
      <c r="C158" s="14" t="s">
        <v>157</v>
      </c>
      <c r="D158" s="14">
        <v>0</v>
      </c>
      <c r="E158" s="14"/>
      <c r="F158" s="14">
        <v>1</v>
      </c>
      <c r="G158" s="14">
        <v>1</v>
      </c>
      <c r="H158" s="14"/>
      <c r="I158" s="8" t="s">
        <v>38</v>
      </c>
      <c r="J158" s="8" t="s">
        <v>38</v>
      </c>
      <c r="K158">
        <v>60</v>
      </c>
      <c r="L158">
        <v>58.9375</v>
      </c>
      <c r="M158" s="14">
        <v>3.5</v>
      </c>
      <c r="N158" s="14">
        <v>3.5625</v>
      </c>
      <c r="R158" t="str">
        <f t="shared" si="9"/>
        <v xml:space="preserve">XX8X_PV_0215:    Front abuts stile:FALSE       Back abuts stile:TRUE          Panel Section: BOTTOM           Stile in the back Width:            Cutout A:           Cutout B:      F.C.:3.5 in.         C.C.:3.5625 in.   </v>
      </c>
      <c r="S158" t="str">
        <f t="shared" si="8"/>
        <v>FALSE</v>
      </c>
      <c r="T158" t="str">
        <f t="shared" si="10"/>
        <v>TRUE</v>
      </c>
    </row>
    <row r="159" spans="1:20">
      <c r="A159" t="s">
        <v>319</v>
      </c>
      <c r="B159" s="14" t="s">
        <v>144</v>
      </c>
      <c r="C159" s="14" t="s">
        <v>157</v>
      </c>
      <c r="D159" s="14">
        <v>1</v>
      </c>
      <c r="E159" s="14">
        <v>0</v>
      </c>
      <c r="F159" s="14">
        <v>0</v>
      </c>
      <c r="G159" s="14"/>
      <c r="H159" s="14"/>
      <c r="I159" s="8" t="s">
        <v>119</v>
      </c>
      <c r="J159" s="8" t="s">
        <v>120</v>
      </c>
      <c r="K159">
        <v>60</v>
      </c>
      <c r="L159">
        <v>59.75</v>
      </c>
      <c r="M159" s="14">
        <v>8.6875</v>
      </c>
      <c r="N159" s="14">
        <v>2.0625</v>
      </c>
      <c r="R159" t="str">
        <f t="shared" si="9"/>
        <v xml:space="preserve">XX8X_PV_0216:    Front abuts stile:TRUE       Back abuts stile:FALSE          Panel Section: BOTTOM           Stile in the back Width:            Cutout A: B-354          Cutout B:B-386      F.C.:8.6875 in.         C.C.:2.0625 in.   </v>
      </c>
      <c r="S159" t="str">
        <f t="shared" si="8"/>
        <v>TRUE</v>
      </c>
      <c r="T159" t="str">
        <f t="shared" si="10"/>
        <v>FALSE</v>
      </c>
    </row>
    <row r="160" spans="1:20">
      <c r="A160" t="s">
        <v>320</v>
      </c>
      <c r="B160" s="14" t="s">
        <v>144</v>
      </c>
      <c r="C160" s="14" t="s">
        <v>157</v>
      </c>
      <c r="D160" s="14">
        <v>1</v>
      </c>
      <c r="E160" s="14">
        <v>0</v>
      </c>
      <c r="F160" s="14">
        <v>1</v>
      </c>
      <c r="G160" s="14">
        <v>0</v>
      </c>
      <c r="H160" s="14">
        <v>12</v>
      </c>
      <c r="I160" s="8" t="s">
        <v>38</v>
      </c>
      <c r="J160" s="8" t="s">
        <v>38</v>
      </c>
      <c r="K160">
        <v>60</v>
      </c>
      <c r="L160">
        <v>65.0625</v>
      </c>
      <c r="M160" s="14">
        <v>9.375</v>
      </c>
      <c r="N160" s="14">
        <v>3.3125</v>
      </c>
      <c r="R160" t="str">
        <f t="shared" si="9"/>
        <v xml:space="preserve">XX8X_PV_0217:    Front abuts stile:TRUE       Back abuts stile:TRUE          Panel Section: BOTTOM           Stile in the back Width: 12           Cutout A:           Cutout B:      F.C.:9.375 in.         C.C.:3.3125 in.   </v>
      </c>
      <c r="S160" t="str">
        <f t="shared" si="8"/>
        <v>TRUE</v>
      </c>
      <c r="T160" t="str">
        <f t="shared" si="10"/>
        <v>TRUE</v>
      </c>
    </row>
    <row r="161" spans="1:20">
      <c r="A161" t="s">
        <v>321</v>
      </c>
      <c r="B161" s="14" t="s">
        <v>144</v>
      </c>
      <c r="C161" s="14" t="s">
        <v>157</v>
      </c>
      <c r="D161" s="14">
        <v>1</v>
      </c>
      <c r="E161" s="14">
        <v>0</v>
      </c>
      <c r="F161" s="14">
        <v>1</v>
      </c>
      <c r="G161" s="14">
        <v>0</v>
      </c>
      <c r="H161" s="14">
        <v>24</v>
      </c>
      <c r="I161" s="8" t="s">
        <v>120</v>
      </c>
      <c r="J161" s="8" t="s">
        <v>38</v>
      </c>
      <c r="K161">
        <v>60</v>
      </c>
      <c r="L161">
        <v>41.875</v>
      </c>
      <c r="M161" s="14">
        <v>1.3125</v>
      </c>
      <c r="N161" s="14">
        <v>7.625</v>
      </c>
      <c r="R161" t="str">
        <f t="shared" si="9"/>
        <v xml:space="preserve">XX8X_PV_0218:    Front abuts stile:TRUE       Back abuts stile:TRUE          Panel Section: BOTTOM           Stile in the back Width: 24           Cutout A: B-386          Cutout B:      F.C.:1.3125 in.         C.C.:7.625 in.   </v>
      </c>
      <c r="S161" t="str">
        <f t="shared" si="8"/>
        <v>TRUE</v>
      </c>
      <c r="T161" t="str">
        <f t="shared" si="10"/>
        <v>TRUE</v>
      </c>
    </row>
    <row r="162" spans="1:20">
      <c r="A162" t="s">
        <v>322</v>
      </c>
      <c r="B162" s="14" t="s">
        <v>144</v>
      </c>
      <c r="C162" s="14" t="s">
        <v>157</v>
      </c>
      <c r="D162" s="14">
        <v>1</v>
      </c>
      <c r="E162" s="14">
        <v>0</v>
      </c>
      <c r="F162" s="14">
        <v>1</v>
      </c>
      <c r="G162" s="14">
        <v>0</v>
      </c>
      <c r="H162" s="14"/>
      <c r="I162" s="8" t="s">
        <v>38</v>
      </c>
      <c r="J162" s="8" t="s">
        <v>38</v>
      </c>
      <c r="K162">
        <v>60</v>
      </c>
      <c r="L162">
        <v>59.625</v>
      </c>
      <c r="M162" s="14">
        <v>9</v>
      </c>
      <c r="N162" s="14">
        <v>6</v>
      </c>
      <c r="R162" t="str">
        <f t="shared" si="9"/>
        <v xml:space="preserve">XX8X_PV_0219:    Front abuts stile:TRUE       Back abuts stile:TRUE          Panel Section: BOTTOM           Stile in the back Width:            Cutout A:           Cutout B:      F.C.:9 in.         C.C.:6 in.   </v>
      </c>
      <c r="S162" t="str">
        <f t="shared" si="8"/>
        <v>TRUE</v>
      </c>
      <c r="T162" t="str">
        <f t="shared" si="10"/>
        <v>TRUE</v>
      </c>
    </row>
    <row r="163" spans="1:20">
      <c r="A163" t="s">
        <v>323</v>
      </c>
      <c r="B163" s="14" t="s">
        <v>144</v>
      </c>
      <c r="C163" s="14" t="s">
        <v>157</v>
      </c>
      <c r="D163" s="14">
        <v>1</v>
      </c>
      <c r="E163" s="14">
        <v>0</v>
      </c>
      <c r="F163" s="14">
        <v>1</v>
      </c>
      <c r="G163" s="14">
        <v>1</v>
      </c>
      <c r="H163" s="14"/>
      <c r="I163" s="8" t="s">
        <v>38</v>
      </c>
      <c r="J163" s="8" t="s">
        <v>38</v>
      </c>
      <c r="K163">
        <v>60</v>
      </c>
      <c r="L163">
        <v>59.625</v>
      </c>
      <c r="M163" s="14">
        <v>3.625</v>
      </c>
      <c r="N163" s="14">
        <v>5.125</v>
      </c>
      <c r="R163" t="str">
        <f t="shared" si="9"/>
        <v xml:space="preserve">XX8X_PV_0220:    Front abuts stile:TRUE       Back abuts stile:TRUE          Panel Section: BOTTOM           Stile in the back Width:            Cutout A:           Cutout B:      F.C.:3.625 in.         C.C.:5.125 in.   </v>
      </c>
      <c r="S163" t="str">
        <f t="shared" si="8"/>
        <v>TRUE</v>
      </c>
      <c r="T163" t="str">
        <f t="shared" si="10"/>
        <v>TRUE</v>
      </c>
    </row>
    <row r="164" spans="1:20">
      <c r="A164" t="s">
        <v>324</v>
      </c>
      <c r="B164" s="14" t="s">
        <v>144</v>
      </c>
      <c r="C164" s="14" t="s">
        <v>157</v>
      </c>
      <c r="D164" s="14">
        <v>1</v>
      </c>
      <c r="E164" s="14">
        <v>1</v>
      </c>
      <c r="F164" s="14">
        <v>0</v>
      </c>
      <c r="G164" s="14"/>
      <c r="H164" s="14"/>
      <c r="I164" s="8" t="s">
        <v>38</v>
      </c>
      <c r="J164" s="8" t="s">
        <v>38</v>
      </c>
      <c r="K164">
        <v>60</v>
      </c>
      <c r="L164">
        <v>36.75</v>
      </c>
      <c r="M164" s="14">
        <v>1</v>
      </c>
      <c r="N164" s="14">
        <v>7</v>
      </c>
      <c r="R164" t="str">
        <f t="shared" si="9"/>
        <v xml:space="preserve">XX8X_PV_0221:    Front abuts stile:TRUE       Back abuts stile:FALSE          Panel Section: BOTTOM           Stile in the back Width:            Cutout A:           Cutout B:      F.C.:1 in.         C.C.:7 in.   </v>
      </c>
      <c r="S164" t="str">
        <f t="shared" si="8"/>
        <v>TRUE</v>
      </c>
      <c r="T164" t="str">
        <f t="shared" si="10"/>
        <v>FALSE</v>
      </c>
    </row>
    <row r="165" spans="1:20">
      <c r="A165" t="s">
        <v>325</v>
      </c>
      <c r="B165" s="14" t="s">
        <v>144</v>
      </c>
      <c r="C165" s="14" t="s">
        <v>157</v>
      </c>
      <c r="D165" s="14">
        <v>1</v>
      </c>
      <c r="E165" s="14">
        <v>1</v>
      </c>
      <c r="F165" s="14">
        <v>1</v>
      </c>
      <c r="G165" s="14">
        <v>0</v>
      </c>
      <c r="H165" s="14">
        <v>12</v>
      </c>
      <c r="I165" s="8" t="s">
        <v>38</v>
      </c>
      <c r="J165" s="8" t="s">
        <v>38</v>
      </c>
      <c r="K165">
        <v>60</v>
      </c>
      <c r="L165">
        <v>40.875</v>
      </c>
      <c r="M165" s="14">
        <v>3.375</v>
      </c>
      <c r="N165" s="14">
        <v>4.25</v>
      </c>
      <c r="R165" t="str">
        <f t="shared" si="9"/>
        <v xml:space="preserve">XX8X_PV_0222:    Front abuts stile:TRUE       Back abuts stile:TRUE          Panel Section: BOTTOM           Stile in the back Width: 12           Cutout A:           Cutout B:      F.C.:3.375 in.         C.C.:4.25 in.   </v>
      </c>
      <c r="S165" t="str">
        <f t="shared" si="8"/>
        <v>TRUE</v>
      </c>
      <c r="T165" t="str">
        <f t="shared" si="10"/>
        <v>TRUE</v>
      </c>
    </row>
    <row r="166" spans="1:20">
      <c r="A166" t="s">
        <v>326</v>
      </c>
      <c r="B166" s="14" t="s">
        <v>144</v>
      </c>
      <c r="C166" s="14" t="s">
        <v>157</v>
      </c>
      <c r="D166" s="14">
        <v>1</v>
      </c>
      <c r="E166" s="14">
        <v>1</v>
      </c>
      <c r="F166" s="14">
        <v>1</v>
      </c>
      <c r="G166" s="14">
        <v>0</v>
      </c>
      <c r="H166" s="14">
        <v>24</v>
      </c>
      <c r="I166" s="8" t="s">
        <v>120</v>
      </c>
      <c r="J166" s="8" t="s">
        <v>38</v>
      </c>
      <c r="K166">
        <v>60</v>
      </c>
      <c r="L166">
        <v>42.625</v>
      </c>
      <c r="M166" s="14">
        <v>3.4375</v>
      </c>
      <c r="N166" s="14">
        <v>2.75</v>
      </c>
      <c r="R166" t="str">
        <f t="shared" si="9"/>
        <v xml:space="preserve">XX8X_PV_0223:    Front abuts stile:TRUE       Back abuts stile:TRUE          Panel Section: BOTTOM           Stile in the back Width: 24           Cutout A: B-386          Cutout B:      F.C.:3.4375 in.         C.C.:2.75 in.   </v>
      </c>
      <c r="S166" t="str">
        <f t="shared" si="8"/>
        <v>TRUE</v>
      </c>
      <c r="T166" t="str">
        <f t="shared" si="10"/>
        <v>TRUE</v>
      </c>
    </row>
    <row r="167" spans="1:20">
      <c r="A167" t="s">
        <v>327</v>
      </c>
      <c r="B167" s="14" t="s">
        <v>144</v>
      </c>
      <c r="C167" s="14" t="s">
        <v>157</v>
      </c>
      <c r="D167" s="14">
        <v>1</v>
      </c>
      <c r="E167" s="14">
        <v>1</v>
      </c>
      <c r="F167" s="14">
        <v>1</v>
      </c>
      <c r="G167" s="14">
        <v>0</v>
      </c>
      <c r="H167" s="14"/>
      <c r="I167" s="8" t="s">
        <v>38</v>
      </c>
      <c r="J167" s="8" t="s">
        <v>38</v>
      </c>
      <c r="K167">
        <v>60</v>
      </c>
      <c r="L167">
        <v>31</v>
      </c>
      <c r="M167" s="14">
        <v>2.5625</v>
      </c>
      <c r="N167" s="14">
        <v>1</v>
      </c>
      <c r="R167" t="str">
        <f t="shared" si="9"/>
        <v xml:space="preserve">XX8X_PV_0224:    Front abuts stile:TRUE       Back abuts stile:TRUE          Panel Section: BOTTOM           Stile in the back Width:            Cutout A:           Cutout B:      F.C.:2.5625 in.         C.C.:1 in.   </v>
      </c>
      <c r="S167" t="str">
        <f t="shared" si="8"/>
        <v>TRUE</v>
      </c>
      <c r="T167" t="str">
        <f t="shared" si="10"/>
        <v>TRUE</v>
      </c>
    </row>
    <row r="168" spans="1:20">
      <c r="A168" t="s">
        <v>328</v>
      </c>
      <c r="B168" s="14" t="s">
        <v>144</v>
      </c>
      <c r="C168" s="14" t="s">
        <v>157</v>
      </c>
      <c r="D168" s="14">
        <v>1</v>
      </c>
      <c r="E168" s="14">
        <v>1</v>
      </c>
      <c r="F168" s="14">
        <v>1</v>
      </c>
      <c r="G168" s="14">
        <v>1</v>
      </c>
      <c r="H168" s="14"/>
      <c r="I168" s="8" t="s">
        <v>38</v>
      </c>
      <c r="J168" s="8" t="s">
        <v>38</v>
      </c>
      <c r="K168">
        <v>60</v>
      </c>
      <c r="L168">
        <v>77.8125</v>
      </c>
      <c r="M168" s="14">
        <v>4.5</v>
      </c>
      <c r="N168" s="14">
        <v>1</v>
      </c>
      <c r="R168" t="str">
        <f t="shared" si="9"/>
        <v xml:space="preserve">XX8X_PV_0225:    Front abuts stile:TRUE       Back abuts stile:TRUE          Panel Section: BOTTOM           Stile in the back Width:            Cutout A:           Cutout B:      F.C.:4.5 in.         C.C.:1 in.   </v>
      </c>
      <c r="S168" t="str">
        <f t="shared" si="8"/>
        <v>TRUE</v>
      </c>
      <c r="T168" t="str">
        <f t="shared" si="10"/>
        <v>TRUE</v>
      </c>
    </row>
    <row r="169" spans="1:20">
      <c r="A169" t="s">
        <v>329</v>
      </c>
      <c r="B169" s="14" t="s">
        <v>144</v>
      </c>
      <c r="C169" s="14" t="s">
        <v>21</v>
      </c>
      <c r="D169" s="14">
        <v>0</v>
      </c>
      <c r="E169" s="14"/>
      <c r="F169" s="14">
        <v>0</v>
      </c>
      <c r="G169" s="14"/>
      <c r="H169" s="14"/>
      <c r="I169" s="8" t="s">
        <v>119</v>
      </c>
      <c r="J169" s="8" t="s">
        <v>120</v>
      </c>
      <c r="K169">
        <v>100.3125</v>
      </c>
      <c r="L169">
        <v>61.1875</v>
      </c>
      <c r="M169" s="14">
        <v>4.5</v>
      </c>
      <c r="N169" s="14">
        <v>1.9375</v>
      </c>
      <c r="R169" t="str">
        <f t="shared" si="9"/>
        <v xml:space="preserve">XX8X_PV_0241:    Front abuts stile:FALSE       Back abuts stile:FALSE          Panel Section: WHOLE           Stile in the back Width:            Cutout A: B-354          Cutout B:B-386      F.C.:4.5 in.         C.C.:1.9375 in.   </v>
      </c>
      <c r="S169" t="str">
        <f t="shared" si="8"/>
        <v>FALSE</v>
      </c>
      <c r="T169" t="str">
        <f t="shared" si="10"/>
        <v>FALSE</v>
      </c>
    </row>
    <row r="170" spans="1:20">
      <c r="A170" t="s">
        <v>330</v>
      </c>
      <c r="B170" s="14" t="s">
        <v>144</v>
      </c>
      <c r="C170" s="14" t="s">
        <v>21</v>
      </c>
      <c r="D170" s="14">
        <v>0</v>
      </c>
      <c r="E170" s="14"/>
      <c r="F170" s="14">
        <v>1</v>
      </c>
      <c r="G170" s="14">
        <v>0</v>
      </c>
      <c r="H170" s="14">
        <v>12</v>
      </c>
      <c r="I170" s="8" t="s">
        <v>120</v>
      </c>
      <c r="J170" s="8" t="s">
        <v>38</v>
      </c>
      <c r="K170">
        <v>37.375</v>
      </c>
      <c r="L170">
        <v>45.3125</v>
      </c>
      <c r="M170" s="14">
        <v>1.8125</v>
      </c>
      <c r="N170" s="14">
        <v>3.9375</v>
      </c>
      <c r="R170" t="str">
        <f t="shared" si="9"/>
        <v xml:space="preserve">XX8X_PV_0242:    Front abuts stile:FALSE       Back abuts stile:TRUE          Panel Section: WHOLE           Stile in the back Width: 12           Cutout A: B-386          Cutout B:      F.C.:1.8125 in.         C.C.:3.9375 in.   </v>
      </c>
      <c r="S170" t="str">
        <f t="shared" si="8"/>
        <v>FALSE</v>
      </c>
      <c r="T170" t="str">
        <f t="shared" si="10"/>
        <v>TRUE</v>
      </c>
    </row>
    <row r="171" spans="1:20">
      <c r="A171" t="s">
        <v>331</v>
      </c>
      <c r="B171" s="14" t="s">
        <v>144</v>
      </c>
      <c r="C171" s="14" t="s">
        <v>21</v>
      </c>
      <c r="D171" s="14">
        <v>0</v>
      </c>
      <c r="E171" s="14"/>
      <c r="F171" s="14">
        <v>1</v>
      </c>
      <c r="G171" s="14">
        <v>0</v>
      </c>
      <c r="H171" s="14">
        <v>24</v>
      </c>
      <c r="I171" s="8" t="s">
        <v>120</v>
      </c>
      <c r="J171" s="8" t="s">
        <v>38</v>
      </c>
      <c r="K171">
        <v>88.625</v>
      </c>
      <c r="L171">
        <v>47.4375</v>
      </c>
      <c r="M171" s="14">
        <v>1</v>
      </c>
      <c r="N171" s="14">
        <v>6.3125</v>
      </c>
      <c r="R171" t="str">
        <f t="shared" si="9"/>
        <v xml:space="preserve">XX8X_PV_0243:    Front abuts stile:FALSE       Back abuts stile:TRUE          Panel Section: WHOLE           Stile in the back Width: 24           Cutout A: B-386          Cutout B:      F.C.:1 in.         C.C.:6.3125 in.   </v>
      </c>
      <c r="S171" t="str">
        <f t="shared" si="8"/>
        <v>FALSE</v>
      </c>
      <c r="T171" t="str">
        <f t="shared" si="10"/>
        <v>TRUE</v>
      </c>
    </row>
    <row r="172" spans="1:20">
      <c r="A172" t="s">
        <v>332</v>
      </c>
      <c r="B172" s="14" t="s">
        <v>144</v>
      </c>
      <c r="C172" s="14" t="s">
        <v>21</v>
      </c>
      <c r="D172" s="14">
        <v>0</v>
      </c>
      <c r="E172" s="14"/>
      <c r="F172" s="14">
        <v>1</v>
      </c>
      <c r="G172" s="14">
        <v>0</v>
      </c>
      <c r="H172" s="14"/>
      <c r="I172" s="8" t="s">
        <v>38</v>
      </c>
      <c r="J172" s="8" t="s">
        <v>38</v>
      </c>
      <c r="K172">
        <v>71.625</v>
      </c>
      <c r="L172">
        <v>71.875</v>
      </c>
      <c r="M172" s="14">
        <v>1</v>
      </c>
      <c r="N172" s="14">
        <v>1</v>
      </c>
      <c r="R172" t="str">
        <f t="shared" si="9"/>
        <v xml:space="preserve">XX8X_PV_0244:    Front abuts stile:FALSE       Back abuts stile:TRUE          Panel Section: WHOLE           Stile in the back Width:            Cutout A:           Cutout B:      F.C.:1 in.         C.C.:1 in.   </v>
      </c>
      <c r="S172" t="str">
        <f t="shared" si="8"/>
        <v>FALSE</v>
      </c>
      <c r="T172" t="str">
        <f t="shared" si="10"/>
        <v>TRUE</v>
      </c>
    </row>
    <row r="173" spans="1:20">
      <c r="A173" t="s">
        <v>333</v>
      </c>
      <c r="B173" s="14" t="s">
        <v>144</v>
      </c>
      <c r="C173" s="14" t="s">
        <v>21</v>
      </c>
      <c r="D173" s="14">
        <v>0</v>
      </c>
      <c r="E173" s="14"/>
      <c r="F173" s="14">
        <v>1</v>
      </c>
      <c r="G173" s="14">
        <v>1</v>
      </c>
      <c r="H173" s="14"/>
      <c r="I173" s="8" t="s">
        <v>38</v>
      </c>
      <c r="J173" s="8" t="s">
        <v>38</v>
      </c>
      <c r="K173">
        <v>68</v>
      </c>
      <c r="L173">
        <v>56.25</v>
      </c>
      <c r="M173" s="14">
        <v>9.1875</v>
      </c>
      <c r="N173" s="14">
        <v>4.5625</v>
      </c>
      <c r="R173" t="str">
        <f t="shared" si="9"/>
        <v xml:space="preserve">XX8X_PV_0245:    Front abuts stile:FALSE       Back abuts stile:TRUE          Panel Section: WHOLE           Stile in the back Width:            Cutout A:           Cutout B:      F.C.:9.1875 in.         C.C.:4.5625 in.   </v>
      </c>
      <c r="S173" t="str">
        <f t="shared" si="8"/>
        <v>FALSE</v>
      </c>
      <c r="T173" t="str">
        <f t="shared" si="10"/>
        <v>TRUE</v>
      </c>
    </row>
    <row r="174" spans="1:20">
      <c r="A174" t="s">
        <v>334</v>
      </c>
      <c r="B174" s="14" t="s">
        <v>143</v>
      </c>
      <c r="C174" s="14" t="s">
        <v>21</v>
      </c>
      <c r="D174" s="14">
        <v>1</v>
      </c>
      <c r="E174" s="14">
        <v>0</v>
      </c>
      <c r="F174" s="14">
        <v>0</v>
      </c>
      <c r="G174" s="14"/>
      <c r="H174" s="14"/>
      <c r="I174" s="8" t="s">
        <v>120</v>
      </c>
      <c r="J174" s="8" t="s">
        <v>121</v>
      </c>
      <c r="K174">
        <v>96</v>
      </c>
      <c r="L174">
        <v>51.5</v>
      </c>
      <c r="M174" s="14">
        <v>4.5</v>
      </c>
      <c r="N174" s="14">
        <v>1.6875</v>
      </c>
      <c r="R174" t="str">
        <f t="shared" si="9"/>
        <v xml:space="preserve">XX8X_PV_0246:    Front abuts stile:TRUE       Back abuts stile:FALSE          Panel Section: WHOLE           Stile in the back Width:            Cutout A: B-386          Cutout B:B-4354      F.C.:4.5 in.         C.C.:1.6875 in.   </v>
      </c>
      <c r="S174" t="str">
        <f t="shared" si="8"/>
        <v>TRUE</v>
      </c>
      <c r="T174" t="str">
        <f t="shared" si="10"/>
        <v>FALSE</v>
      </c>
    </row>
    <row r="175" spans="1:20">
      <c r="A175" t="s">
        <v>335</v>
      </c>
      <c r="B175" s="14" t="s">
        <v>144</v>
      </c>
      <c r="C175" s="14" t="s">
        <v>21</v>
      </c>
      <c r="D175" s="14">
        <v>1</v>
      </c>
      <c r="E175" s="14">
        <v>0</v>
      </c>
      <c r="F175" s="14">
        <v>1</v>
      </c>
      <c r="G175" s="14">
        <v>0</v>
      </c>
      <c r="H175" s="14">
        <v>12</v>
      </c>
      <c r="I175" s="8" t="s">
        <v>120</v>
      </c>
      <c r="J175" s="8" t="s">
        <v>38</v>
      </c>
      <c r="K175">
        <v>78</v>
      </c>
      <c r="L175">
        <v>58.125</v>
      </c>
      <c r="M175" s="14">
        <v>1.625</v>
      </c>
      <c r="N175" s="14">
        <v>1</v>
      </c>
      <c r="R175" t="str">
        <f t="shared" si="9"/>
        <v xml:space="preserve">XX8X_PV_0247:    Front abuts stile:TRUE       Back abuts stile:TRUE          Panel Section: WHOLE           Stile in the back Width: 12           Cutout A: B-386          Cutout B:      F.C.:1.625 in.         C.C.:1 in.   </v>
      </c>
      <c r="S175" t="str">
        <f t="shared" si="8"/>
        <v>TRUE</v>
      </c>
      <c r="T175" t="str">
        <f t="shared" si="10"/>
        <v>TRUE</v>
      </c>
    </row>
    <row r="176" spans="1:20">
      <c r="A176" t="s">
        <v>336</v>
      </c>
      <c r="B176" s="14" t="s">
        <v>144</v>
      </c>
      <c r="C176" s="14" t="s">
        <v>21</v>
      </c>
      <c r="D176" s="14">
        <v>1</v>
      </c>
      <c r="E176" s="14">
        <v>0</v>
      </c>
      <c r="F176" s="14">
        <v>1</v>
      </c>
      <c r="G176" s="14">
        <v>0</v>
      </c>
      <c r="H176" s="14">
        <v>24</v>
      </c>
      <c r="I176" s="8" t="s">
        <v>120</v>
      </c>
      <c r="J176" s="8" t="s">
        <v>38</v>
      </c>
      <c r="K176">
        <v>96</v>
      </c>
      <c r="L176">
        <v>75.9375</v>
      </c>
      <c r="M176" s="14">
        <v>1.125</v>
      </c>
      <c r="N176" s="14">
        <v>1</v>
      </c>
      <c r="R176" t="str">
        <f t="shared" si="9"/>
        <v xml:space="preserve">XX8X_PV_0248:    Front abuts stile:TRUE       Back abuts stile:TRUE          Panel Section: WHOLE           Stile in the back Width: 24           Cutout A: B-386          Cutout B:      F.C.:1.125 in.         C.C.:1 in.   </v>
      </c>
      <c r="S176" t="str">
        <f t="shared" si="8"/>
        <v>TRUE</v>
      </c>
      <c r="T176" t="str">
        <f t="shared" si="10"/>
        <v>TRUE</v>
      </c>
    </row>
    <row r="177" spans="1:20">
      <c r="A177" t="s">
        <v>337</v>
      </c>
      <c r="B177" s="14" t="s">
        <v>144</v>
      </c>
      <c r="C177" s="14" t="s">
        <v>21</v>
      </c>
      <c r="D177" s="14">
        <v>1</v>
      </c>
      <c r="E177" s="14">
        <v>0</v>
      </c>
      <c r="F177" s="14">
        <v>1</v>
      </c>
      <c r="G177" s="14">
        <v>0</v>
      </c>
      <c r="H177" s="14"/>
      <c r="I177" s="8" t="s">
        <v>38</v>
      </c>
      <c r="J177" s="8" t="s">
        <v>38</v>
      </c>
      <c r="K177">
        <v>78.4375</v>
      </c>
      <c r="L177">
        <v>73.6875</v>
      </c>
      <c r="M177" s="14">
        <v>12</v>
      </c>
      <c r="N177" s="14">
        <v>3.8125</v>
      </c>
      <c r="R177" t="str">
        <f t="shared" si="9"/>
        <v xml:space="preserve">XX8X_PV_0249:    Front abuts stile:TRUE       Back abuts stile:TRUE          Panel Section: WHOLE           Stile in the back Width:            Cutout A:           Cutout B:      F.C.:12 in.         C.C.:3.8125 in.   </v>
      </c>
      <c r="S177" t="str">
        <f t="shared" si="8"/>
        <v>TRUE</v>
      </c>
      <c r="T177" t="str">
        <f t="shared" si="10"/>
        <v>TRUE</v>
      </c>
    </row>
    <row r="178" spans="1:20">
      <c r="A178" t="s">
        <v>338</v>
      </c>
      <c r="B178" s="14" t="s">
        <v>144</v>
      </c>
      <c r="C178" s="14" t="s">
        <v>21</v>
      </c>
      <c r="D178" s="14">
        <v>1</v>
      </c>
      <c r="E178" s="14">
        <v>0</v>
      </c>
      <c r="F178" s="14">
        <v>1</v>
      </c>
      <c r="G178" s="14">
        <v>1</v>
      </c>
      <c r="H178" s="14"/>
      <c r="I178" s="8" t="s">
        <v>38</v>
      </c>
      <c r="J178" s="8" t="s">
        <v>38</v>
      </c>
      <c r="K178">
        <v>109</v>
      </c>
      <c r="L178">
        <v>75.375</v>
      </c>
      <c r="M178" s="14">
        <v>2.0625</v>
      </c>
      <c r="N178" s="14">
        <v>4.5</v>
      </c>
      <c r="R178" t="str">
        <f t="shared" si="9"/>
        <v xml:space="preserve">XX8X_PV_0250:    Front abuts stile:TRUE       Back abuts stile:TRUE          Panel Section: WHOLE           Stile in the back Width:            Cutout A:           Cutout B:      F.C.:2.0625 in.         C.C.:4.5 in.   </v>
      </c>
      <c r="S178" t="str">
        <f t="shared" si="8"/>
        <v>TRUE</v>
      </c>
      <c r="T178" t="str">
        <f t="shared" si="10"/>
        <v>TRUE</v>
      </c>
    </row>
    <row r="179" spans="1:20">
      <c r="A179" t="s">
        <v>339</v>
      </c>
      <c r="B179" s="14" t="s">
        <v>144</v>
      </c>
      <c r="C179" s="14" t="s">
        <v>21</v>
      </c>
      <c r="D179" s="14">
        <v>1</v>
      </c>
      <c r="E179" s="14">
        <v>1</v>
      </c>
      <c r="F179" s="14">
        <v>0</v>
      </c>
      <c r="G179" s="14"/>
      <c r="H179" s="14"/>
      <c r="I179" s="8" t="s">
        <v>145</v>
      </c>
      <c r="J179" s="8" t="s">
        <v>38</v>
      </c>
      <c r="K179">
        <v>57.375</v>
      </c>
      <c r="L179">
        <v>58.0625</v>
      </c>
      <c r="M179" s="14">
        <v>4.5</v>
      </c>
      <c r="N179" s="14">
        <v>4.9375</v>
      </c>
      <c r="R179" t="str">
        <f t="shared" si="9"/>
        <v xml:space="preserve">XX8X_PV_0251:    Front abuts stile:TRUE       Back abuts stile:FALSE          Panel Section: WHOLE           Stile in the back Width:            Cutout A: B-347          Cutout B:      F.C.:4.5 in.         C.C.:4.9375 in.   </v>
      </c>
      <c r="S179" t="str">
        <f t="shared" si="8"/>
        <v>TRUE</v>
      </c>
      <c r="T179" t="str">
        <f t="shared" si="10"/>
        <v>FALSE</v>
      </c>
    </row>
    <row r="180" spans="1:20">
      <c r="A180" t="s">
        <v>340</v>
      </c>
      <c r="B180" s="14" t="s">
        <v>144</v>
      </c>
      <c r="C180" s="14" t="s">
        <v>21</v>
      </c>
      <c r="D180" s="14">
        <v>1</v>
      </c>
      <c r="E180" s="14">
        <v>1</v>
      </c>
      <c r="F180" s="14">
        <v>1</v>
      </c>
      <c r="G180" s="14">
        <v>0</v>
      </c>
      <c r="H180" s="14">
        <v>12</v>
      </c>
      <c r="I180" s="8" t="s">
        <v>38</v>
      </c>
      <c r="J180" s="8" t="s">
        <v>38</v>
      </c>
      <c r="K180">
        <v>103.3125</v>
      </c>
      <c r="L180">
        <v>31.3125</v>
      </c>
      <c r="M180" s="14">
        <v>2.9375</v>
      </c>
      <c r="N180" s="14">
        <v>2.6875</v>
      </c>
      <c r="R180" t="str">
        <f t="shared" si="9"/>
        <v xml:space="preserve">XX8X_PV_0252:    Front abuts stile:TRUE       Back abuts stile:TRUE          Panel Section: WHOLE           Stile in the back Width: 12           Cutout A:           Cutout B:      F.C.:2.9375 in.         C.C.:2.6875 in.   </v>
      </c>
      <c r="S180" t="str">
        <f t="shared" si="8"/>
        <v>TRUE</v>
      </c>
      <c r="T180" t="str">
        <f t="shared" si="10"/>
        <v>TRUE</v>
      </c>
    </row>
    <row r="181" spans="1:20">
      <c r="A181" t="s">
        <v>341</v>
      </c>
      <c r="B181" s="14" t="s">
        <v>144</v>
      </c>
      <c r="C181" s="14" t="s">
        <v>21</v>
      </c>
      <c r="D181" s="14">
        <v>1</v>
      </c>
      <c r="E181" s="14">
        <v>1</v>
      </c>
      <c r="F181" s="14">
        <v>1</v>
      </c>
      <c r="G181" s="14">
        <v>0</v>
      </c>
      <c r="H181" s="14">
        <v>24</v>
      </c>
      <c r="I181" s="8" t="s">
        <v>38</v>
      </c>
      <c r="J181" s="8" t="s">
        <v>38</v>
      </c>
      <c r="K181">
        <v>71.625</v>
      </c>
      <c r="L181">
        <v>69.1875</v>
      </c>
      <c r="M181" s="14">
        <v>1</v>
      </c>
      <c r="N181" s="14">
        <v>2.5625</v>
      </c>
      <c r="R181" t="str">
        <f t="shared" si="9"/>
        <v xml:space="preserve">XX8X_PV_0253:    Front abuts stile:TRUE       Back abuts stile:TRUE          Panel Section: WHOLE           Stile in the back Width: 24           Cutout A:           Cutout B:      F.C.:1 in.         C.C.:2.5625 in.   </v>
      </c>
      <c r="S181" t="str">
        <f t="shared" si="8"/>
        <v>TRUE</v>
      </c>
      <c r="T181" t="str">
        <f t="shared" si="10"/>
        <v>TRUE</v>
      </c>
    </row>
    <row r="182" spans="1:20">
      <c r="A182" t="s">
        <v>342</v>
      </c>
      <c r="B182" s="14" t="s">
        <v>144</v>
      </c>
      <c r="C182" s="14" t="s">
        <v>21</v>
      </c>
      <c r="D182" s="14">
        <v>1</v>
      </c>
      <c r="E182" s="14">
        <v>1</v>
      </c>
      <c r="F182" s="14">
        <v>1</v>
      </c>
      <c r="G182" s="14">
        <v>0</v>
      </c>
      <c r="H182" s="14"/>
      <c r="I182" s="8" t="s">
        <v>38</v>
      </c>
      <c r="J182" s="8" t="s">
        <v>38</v>
      </c>
      <c r="K182">
        <v>96</v>
      </c>
      <c r="L182">
        <v>52.9375</v>
      </c>
      <c r="M182" s="14">
        <v>3.8125</v>
      </c>
      <c r="N182" s="14">
        <v>1</v>
      </c>
      <c r="R182" t="str">
        <f t="shared" si="9"/>
        <v xml:space="preserve">XX8X_PV_0254:    Front abuts stile:TRUE       Back abuts stile:TRUE          Panel Section: WHOLE           Stile in the back Width:            Cutout A:           Cutout B:      F.C.:3.8125 in.         C.C.:1 in.   </v>
      </c>
      <c r="S182" t="str">
        <f t="shared" si="8"/>
        <v>TRUE</v>
      </c>
      <c r="T182" t="str">
        <f t="shared" si="10"/>
        <v>TRUE</v>
      </c>
    </row>
    <row r="183" spans="1:20">
      <c r="A183" t="s">
        <v>343</v>
      </c>
      <c r="B183" s="14" t="s">
        <v>144</v>
      </c>
      <c r="C183" s="14" t="s">
        <v>21</v>
      </c>
      <c r="D183" s="14">
        <v>1</v>
      </c>
      <c r="E183" s="14">
        <v>1</v>
      </c>
      <c r="F183" s="14">
        <v>1</v>
      </c>
      <c r="G183" s="14">
        <v>1</v>
      </c>
      <c r="H183" s="14"/>
      <c r="I183" s="8" t="s">
        <v>38</v>
      </c>
      <c r="J183" s="8" t="s">
        <v>38</v>
      </c>
      <c r="K183">
        <v>105.875</v>
      </c>
      <c r="L183">
        <v>71.8125</v>
      </c>
      <c r="M183" s="14">
        <v>1</v>
      </c>
      <c r="N183" s="14">
        <v>1.75</v>
      </c>
      <c r="R183" t="str">
        <f t="shared" si="9"/>
        <v xml:space="preserve">XX8X_PV_0255:    Front abuts stile:TRUE       Back abuts stile:TRUE          Panel Section: WHOLE           Stile in the back Width:            Cutout A:           Cutout B:      F.C.:1 in.         C.C.:1.75 in.   </v>
      </c>
      <c r="S183" t="str">
        <f t="shared" si="8"/>
        <v>TRUE</v>
      </c>
      <c r="T183" t="str">
        <f t="shared" si="10"/>
        <v>TRUE</v>
      </c>
    </row>
    <row r="184" spans="1:20">
      <c r="A184" t="s">
        <v>344</v>
      </c>
      <c r="B184" s="14" t="s">
        <v>144</v>
      </c>
      <c r="C184" s="14" t="s">
        <v>156</v>
      </c>
      <c r="D184" s="19">
        <v>0</v>
      </c>
      <c r="E184" s="19"/>
      <c r="F184" s="19">
        <v>0</v>
      </c>
      <c r="G184" s="19"/>
      <c r="H184" s="14"/>
      <c r="I184" s="8" t="s">
        <v>119</v>
      </c>
      <c r="J184" s="8" t="s">
        <v>38</v>
      </c>
      <c r="K184">
        <v>33.8125</v>
      </c>
      <c r="L184">
        <v>77.5</v>
      </c>
      <c r="M184" s="14">
        <v>4.5</v>
      </c>
      <c r="N184" s="14">
        <v>2.375</v>
      </c>
      <c r="R184" t="str">
        <f t="shared" si="9"/>
        <v xml:space="preserve">XX8X_PV_0271:    Front abuts stile:FALSE       Back abuts stile:FALSE          Panel Section: TOP           Stile in the back Width:            Cutout A: B-354          Cutout B:      F.C.:4.5 in.         C.C.:2.375 in.   </v>
      </c>
      <c r="S184" t="str">
        <f t="shared" si="8"/>
        <v>FALSE</v>
      </c>
      <c r="T184" t="str">
        <f t="shared" si="10"/>
        <v>FALSE</v>
      </c>
    </row>
    <row r="185" spans="1:20">
      <c r="A185" t="s">
        <v>345</v>
      </c>
      <c r="B185" s="14" t="s">
        <v>144</v>
      </c>
      <c r="C185" s="14" t="s">
        <v>156</v>
      </c>
      <c r="D185" s="14">
        <v>0</v>
      </c>
      <c r="E185" s="14"/>
      <c r="F185" s="14">
        <v>1</v>
      </c>
      <c r="G185" s="14">
        <v>0</v>
      </c>
      <c r="H185" s="14">
        <v>12</v>
      </c>
      <c r="I185" s="8" t="s">
        <v>38</v>
      </c>
      <c r="J185" s="8" t="s">
        <v>38</v>
      </c>
      <c r="K185">
        <v>5.0625</v>
      </c>
      <c r="L185">
        <v>37.125</v>
      </c>
      <c r="M185" s="14">
        <v>4.5</v>
      </c>
      <c r="N185" s="14">
        <v>1</v>
      </c>
      <c r="R185" t="str">
        <f t="shared" si="9"/>
        <v xml:space="preserve">XX8X_PV_0272:    Front abuts stile:FALSE       Back abuts stile:TRUE          Panel Section: TOP           Stile in the back Width: 12           Cutout A:           Cutout B:      F.C.:4.5 in.         C.C.:1 in.   </v>
      </c>
      <c r="S185" t="str">
        <f t="shared" si="8"/>
        <v>FALSE</v>
      </c>
      <c r="T185" t="str">
        <f t="shared" si="10"/>
        <v>TRUE</v>
      </c>
    </row>
    <row r="186" spans="1:20">
      <c r="A186" t="s">
        <v>346</v>
      </c>
      <c r="B186" s="14" t="s">
        <v>144</v>
      </c>
      <c r="C186" s="14" t="s">
        <v>156</v>
      </c>
      <c r="D186" s="14">
        <v>0</v>
      </c>
      <c r="E186" s="14"/>
      <c r="F186" s="14">
        <v>1</v>
      </c>
      <c r="G186" s="14">
        <v>0</v>
      </c>
      <c r="H186" s="14">
        <v>24</v>
      </c>
      <c r="I186" s="8" t="s">
        <v>120</v>
      </c>
      <c r="J186" s="8" t="s">
        <v>38</v>
      </c>
      <c r="K186">
        <v>8.625</v>
      </c>
      <c r="L186">
        <v>48.125</v>
      </c>
      <c r="M186" s="14">
        <v>12</v>
      </c>
      <c r="N186" s="14">
        <v>2.4375</v>
      </c>
      <c r="R186" t="str">
        <f t="shared" si="9"/>
        <v xml:space="preserve">XX8X_PV_0273:    Front abuts stile:FALSE       Back abuts stile:TRUE          Panel Section: TOP           Stile in the back Width: 24           Cutout A: B-386          Cutout B:      F.C.:12 in.         C.C.:2.4375 in.   </v>
      </c>
      <c r="S186" t="str">
        <f t="shared" si="8"/>
        <v>FALSE</v>
      </c>
      <c r="T186" t="str">
        <f t="shared" si="10"/>
        <v>TRUE</v>
      </c>
    </row>
    <row r="187" spans="1:20">
      <c r="A187" t="s">
        <v>347</v>
      </c>
      <c r="B187" s="14" t="s">
        <v>144</v>
      </c>
      <c r="C187" s="14" t="s">
        <v>156</v>
      </c>
      <c r="D187" s="14">
        <v>0</v>
      </c>
      <c r="E187" s="14"/>
      <c r="F187" s="14">
        <v>1</v>
      </c>
      <c r="G187" s="14">
        <v>0</v>
      </c>
      <c r="H187" s="14"/>
      <c r="I187" s="8" t="s">
        <v>38</v>
      </c>
      <c r="J187" s="8" t="s">
        <v>38</v>
      </c>
      <c r="K187">
        <v>6.75</v>
      </c>
      <c r="L187">
        <v>75</v>
      </c>
      <c r="M187" s="14">
        <v>4.5</v>
      </c>
      <c r="N187" s="14">
        <v>2.6875</v>
      </c>
      <c r="R187" t="str">
        <f t="shared" si="9"/>
        <v xml:space="preserve">XX8X_PV_0274:    Front abuts stile:FALSE       Back abuts stile:TRUE          Panel Section: TOP           Stile in the back Width:            Cutout A:           Cutout B:      F.C.:4.5 in.         C.C.:2.6875 in.   </v>
      </c>
      <c r="S187" t="str">
        <f t="shared" si="8"/>
        <v>FALSE</v>
      </c>
      <c r="T187" t="str">
        <f t="shared" si="10"/>
        <v>TRUE</v>
      </c>
    </row>
    <row r="188" spans="1:20">
      <c r="A188" t="s">
        <v>348</v>
      </c>
      <c r="B188" s="14" t="s">
        <v>144</v>
      </c>
      <c r="C188" s="14" t="s">
        <v>156</v>
      </c>
      <c r="D188" s="14">
        <v>0</v>
      </c>
      <c r="E188" s="14"/>
      <c r="F188" s="14">
        <v>1</v>
      </c>
      <c r="G188" s="14">
        <v>1</v>
      </c>
      <c r="H188" s="14"/>
      <c r="I188" s="8" t="s">
        <v>38</v>
      </c>
      <c r="J188" s="8" t="s">
        <v>38</v>
      </c>
      <c r="K188">
        <v>43.0625</v>
      </c>
      <c r="L188">
        <v>78.75</v>
      </c>
      <c r="M188" s="14">
        <v>12</v>
      </c>
      <c r="N188" s="14">
        <v>1</v>
      </c>
      <c r="R188" t="str">
        <f t="shared" si="9"/>
        <v xml:space="preserve">XX8X_PV_0275:    Front abuts stile:FALSE       Back abuts stile:TRUE          Panel Section: TOP           Stile in the back Width:            Cutout A:           Cutout B:      F.C.:12 in.         C.C.:1 in.   </v>
      </c>
      <c r="S188" t="str">
        <f t="shared" si="8"/>
        <v>FALSE</v>
      </c>
      <c r="T188" t="str">
        <f t="shared" si="10"/>
        <v>TRUE</v>
      </c>
    </row>
    <row r="189" spans="1:20">
      <c r="A189" t="s">
        <v>349</v>
      </c>
      <c r="B189" s="14" t="s">
        <v>144</v>
      </c>
      <c r="C189" s="14" t="s">
        <v>156</v>
      </c>
      <c r="D189" s="14">
        <v>1</v>
      </c>
      <c r="E189" s="14">
        <v>0</v>
      </c>
      <c r="F189" s="14">
        <v>0</v>
      </c>
      <c r="G189" s="14"/>
      <c r="H189" s="14"/>
      <c r="I189" s="8" t="s">
        <v>120</v>
      </c>
      <c r="J189" s="8" t="s">
        <v>38</v>
      </c>
      <c r="K189">
        <v>48.375</v>
      </c>
      <c r="L189">
        <v>47.6875</v>
      </c>
      <c r="M189" s="14">
        <v>4.5</v>
      </c>
      <c r="N189" s="14">
        <v>8.375</v>
      </c>
      <c r="R189" t="str">
        <f t="shared" si="9"/>
        <v xml:space="preserve">XX8X_PV_0276:    Front abuts stile:TRUE       Back abuts stile:FALSE          Panel Section: TOP           Stile in the back Width:            Cutout A: B-386          Cutout B:      F.C.:4.5 in.         C.C.:8.375 in.   </v>
      </c>
      <c r="S189" t="str">
        <f t="shared" si="8"/>
        <v>TRUE</v>
      </c>
      <c r="T189" t="str">
        <f t="shared" si="10"/>
        <v>FALSE</v>
      </c>
    </row>
    <row r="190" spans="1:20">
      <c r="A190" t="s">
        <v>350</v>
      </c>
      <c r="B190" s="14" t="s">
        <v>144</v>
      </c>
      <c r="C190" s="14" t="s">
        <v>156</v>
      </c>
      <c r="D190" s="14">
        <v>1</v>
      </c>
      <c r="E190" s="14">
        <v>0</v>
      </c>
      <c r="F190" s="14">
        <v>1</v>
      </c>
      <c r="G190" s="14">
        <v>0</v>
      </c>
      <c r="H190" s="14">
        <v>12</v>
      </c>
      <c r="I190" s="8" t="s">
        <v>150</v>
      </c>
      <c r="J190" s="8" t="s">
        <v>38</v>
      </c>
      <c r="K190">
        <v>34.375</v>
      </c>
      <c r="L190">
        <v>59.5625</v>
      </c>
      <c r="M190" s="14">
        <v>9</v>
      </c>
      <c r="N190" s="14">
        <v>2.625</v>
      </c>
      <c r="R190" t="str">
        <f t="shared" si="9"/>
        <v xml:space="preserve">XX8X_PV_0277:    Front abuts stile:TRUE       Back abuts stile:TRUE          Panel Section: TOP           Stile in the back Width: 12           Cutout A: B-3571          Cutout B:      F.C.:9 in.         C.C.:2.625 in.   </v>
      </c>
      <c r="S190" t="str">
        <f t="shared" si="8"/>
        <v>TRUE</v>
      </c>
      <c r="T190" t="str">
        <f t="shared" si="10"/>
        <v>TRUE</v>
      </c>
    </row>
    <row r="191" spans="1:20">
      <c r="A191" t="s">
        <v>351</v>
      </c>
      <c r="B191" s="14" t="s">
        <v>144</v>
      </c>
      <c r="C191" s="14" t="s">
        <v>156</v>
      </c>
      <c r="D191" s="14">
        <v>1</v>
      </c>
      <c r="E191" s="14">
        <v>0</v>
      </c>
      <c r="F191" s="14">
        <v>1</v>
      </c>
      <c r="G191" s="14">
        <v>0</v>
      </c>
      <c r="H191" s="14">
        <v>24</v>
      </c>
      <c r="I191" s="8" t="s">
        <v>38</v>
      </c>
      <c r="J191" s="8" t="s">
        <v>38</v>
      </c>
      <c r="K191">
        <v>23.5625</v>
      </c>
      <c r="L191">
        <v>43.9375</v>
      </c>
      <c r="M191" s="14">
        <v>9</v>
      </c>
      <c r="N191" s="14">
        <v>3.5</v>
      </c>
      <c r="R191" t="str">
        <f t="shared" si="9"/>
        <v xml:space="preserve">XX8X_PV_0278:    Front abuts stile:TRUE       Back abuts stile:TRUE          Panel Section: TOP           Stile in the back Width: 24           Cutout A:           Cutout B:      F.C.:9 in.         C.C.:3.5 in.   </v>
      </c>
      <c r="S191" t="str">
        <f t="shared" si="8"/>
        <v>TRUE</v>
      </c>
      <c r="T191" t="str">
        <f t="shared" si="10"/>
        <v>TRUE</v>
      </c>
    </row>
    <row r="192" spans="1:20">
      <c r="A192" t="s">
        <v>352</v>
      </c>
      <c r="B192" s="14" t="s">
        <v>144</v>
      </c>
      <c r="C192" s="14" t="s">
        <v>156</v>
      </c>
      <c r="D192" s="14">
        <v>1</v>
      </c>
      <c r="E192" s="14">
        <v>0</v>
      </c>
      <c r="F192" s="14">
        <v>1</v>
      </c>
      <c r="G192" s="14">
        <v>0</v>
      </c>
      <c r="H192" s="14"/>
      <c r="I192" s="8" t="s">
        <v>38</v>
      </c>
      <c r="J192" s="8" t="s">
        <v>38</v>
      </c>
      <c r="K192">
        <v>39.4375</v>
      </c>
      <c r="L192">
        <v>55.5625</v>
      </c>
      <c r="M192" s="14">
        <v>9</v>
      </c>
      <c r="N192" s="14">
        <v>3.5625</v>
      </c>
      <c r="R192" t="str">
        <f t="shared" si="9"/>
        <v xml:space="preserve">XX8X_PV_0279:    Front abuts stile:TRUE       Back abuts stile:TRUE          Panel Section: TOP           Stile in the back Width:            Cutout A:           Cutout B:      F.C.:9 in.         C.C.:3.5625 in.   </v>
      </c>
      <c r="S192" t="str">
        <f t="shared" si="8"/>
        <v>TRUE</v>
      </c>
      <c r="T192" t="str">
        <f t="shared" si="10"/>
        <v>TRUE</v>
      </c>
    </row>
    <row r="193" spans="1:20">
      <c r="A193" t="s">
        <v>353</v>
      </c>
      <c r="B193" s="14" t="s">
        <v>144</v>
      </c>
      <c r="C193" s="14" t="s">
        <v>156</v>
      </c>
      <c r="D193" s="14">
        <v>1</v>
      </c>
      <c r="E193" s="14">
        <v>0</v>
      </c>
      <c r="F193" s="14">
        <v>1</v>
      </c>
      <c r="G193" s="14">
        <v>1</v>
      </c>
      <c r="H193" s="14"/>
      <c r="I193" s="8" t="s">
        <v>38</v>
      </c>
      <c r="J193" s="8" t="s">
        <v>38</v>
      </c>
      <c r="K193">
        <v>44</v>
      </c>
      <c r="L193">
        <v>60.4375</v>
      </c>
      <c r="M193" s="14">
        <v>1</v>
      </c>
      <c r="N193" s="14">
        <v>1.4375</v>
      </c>
      <c r="R193" t="str">
        <f t="shared" si="9"/>
        <v xml:space="preserve">XX8X_PV_0280:    Front abuts stile:TRUE       Back abuts stile:TRUE          Panel Section: TOP           Stile in the back Width:            Cutout A:           Cutout B:      F.C.:1 in.         C.C.:1.4375 in.   </v>
      </c>
      <c r="S193" t="str">
        <f t="shared" si="8"/>
        <v>TRUE</v>
      </c>
      <c r="T193" t="str">
        <f t="shared" si="10"/>
        <v>TRUE</v>
      </c>
    </row>
    <row r="194" spans="1:20">
      <c r="A194" t="s">
        <v>354</v>
      </c>
      <c r="B194" s="14" t="s">
        <v>144</v>
      </c>
      <c r="C194" s="14" t="s">
        <v>156</v>
      </c>
      <c r="D194" s="14">
        <v>1</v>
      </c>
      <c r="E194" s="14">
        <v>1</v>
      </c>
      <c r="F194" s="14">
        <v>0</v>
      </c>
      <c r="G194" s="14"/>
      <c r="H194" s="14"/>
      <c r="I194" s="8" t="s">
        <v>119</v>
      </c>
      <c r="J194" s="8" t="s">
        <v>38</v>
      </c>
      <c r="K194">
        <v>20.875</v>
      </c>
      <c r="L194">
        <v>55.1875</v>
      </c>
      <c r="M194" s="14">
        <v>12</v>
      </c>
      <c r="N194" s="14">
        <v>8.375</v>
      </c>
      <c r="R194" t="str">
        <f t="shared" si="9"/>
        <v xml:space="preserve">XX8X_PV_0281:    Front abuts stile:TRUE       Back abuts stile:FALSE          Panel Section: TOP           Stile in the back Width:            Cutout A: B-354          Cutout B:      F.C.:12 in.         C.C.:8.375 in.   </v>
      </c>
      <c r="S194" t="str">
        <f t="shared" si="8"/>
        <v>TRUE</v>
      </c>
      <c r="T194" t="str">
        <f t="shared" si="10"/>
        <v>FALSE</v>
      </c>
    </row>
    <row r="195" spans="1:20">
      <c r="A195" t="s">
        <v>355</v>
      </c>
      <c r="B195" s="14" t="s">
        <v>144</v>
      </c>
      <c r="C195" s="14" t="s">
        <v>156</v>
      </c>
      <c r="D195" s="14">
        <v>1</v>
      </c>
      <c r="E195" s="14">
        <v>1</v>
      </c>
      <c r="F195" s="14">
        <v>1</v>
      </c>
      <c r="G195" s="14">
        <v>0</v>
      </c>
      <c r="H195" s="14">
        <v>12</v>
      </c>
      <c r="I195" s="8" t="s">
        <v>120</v>
      </c>
      <c r="J195" s="8" t="s">
        <v>38</v>
      </c>
      <c r="K195">
        <v>21.25</v>
      </c>
      <c r="L195">
        <v>74.4375</v>
      </c>
      <c r="M195" s="14">
        <v>1</v>
      </c>
      <c r="N195" s="14">
        <v>1.3125</v>
      </c>
      <c r="R195" t="str">
        <f t="shared" si="9"/>
        <v xml:space="preserve">XX8X_PV_0282:    Front abuts stile:TRUE       Back abuts stile:TRUE          Panel Section: TOP           Stile in the back Width: 12           Cutout A: B-386          Cutout B:      F.C.:1 in.         C.C.:1.3125 in.   </v>
      </c>
      <c r="S195" t="str">
        <f t="shared" si="8"/>
        <v>TRUE</v>
      </c>
      <c r="T195" t="str">
        <f t="shared" si="10"/>
        <v>TRUE</v>
      </c>
    </row>
    <row r="196" spans="1:20">
      <c r="A196" t="s">
        <v>356</v>
      </c>
      <c r="B196" s="14" t="s">
        <v>144</v>
      </c>
      <c r="C196" s="14" t="s">
        <v>156</v>
      </c>
      <c r="D196" s="14">
        <v>1</v>
      </c>
      <c r="E196" s="14">
        <v>1</v>
      </c>
      <c r="F196" s="14">
        <v>1</v>
      </c>
      <c r="G196" s="14">
        <v>0</v>
      </c>
      <c r="H196" s="14">
        <v>24</v>
      </c>
      <c r="I196" s="8" t="s">
        <v>120</v>
      </c>
      <c r="J196" s="8" t="s">
        <v>38</v>
      </c>
      <c r="K196">
        <v>11.9375</v>
      </c>
      <c r="L196">
        <v>76.1875</v>
      </c>
      <c r="M196" s="14">
        <v>12</v>
      </c>
      <c r="N196" s="14">
        <v>8</v>
      </c>
      <c r="R196" t="str">
        <f t="shared" si="9"/>
        <v xml:space="preserve">XX8X_PV_0283:    Front abuts stile:TRUE       Back abuts stile:TRUE          Panel Section: TOP           Stile in the back Width: 24           Cutout A: B-386          Cutout B:      F.C.:12 in.         C.C.:8 in.   </v>
      </c>
      <c r="S196" t="str">
        <f t="shared" ref="S196:S259" si="11">IF(D196=1, "TRUE", "FALSE")</f>
        <v>TRUE</v>
      </c>
      <c r="T196" t="str">
        <f t="shared" si="10"/>
        <v>TRUE</v>
      </c>
    </row>
    <row r="197" spans="1:20">
      <c r="A197" t="s">
        <v>357</v>
      </c>
      <c r="B197" s="14" t="s">
        <v>144</v>
      </c>
      <c r="C197" s="14" t="s">
        <v>156</v>
      </c>
      <c r="D197" s="14">
        <v>1</v>
      </c>
      <c r="E197" s="14">
        <v>1</v>
      </c>
      <c r="F197" s="14">
        <v>1</v>
      </c>
      <c r="G197" s="14">
        <v>0</v>
      </c>
      <c r="H197" s="14"/>
      <c r="I197" s="8" t="s">
        <v>38</v>
      </c>
      <c r="J197" s="8" t="s">
        <v>38</v>
      </c>
      <c r="K197">
        <v>32.1875</v>
      </c>
      <c r="L197">
        <v>74.1875</v>
      </c>
      <c r="M197" s="14">
        <v>1</v>
      </c>
      <c r="N197" s="14">
        <v>3.25</v>
      </c>
      <c r="R197" t="str">
        <f t="shared" si="9"/>
        <v xml:space="preserve">XX8X_PV_0284:    Front abuts stile:TRUE       Back abuts stile:TRUE          Panel Section: TOP           Stile in the back Width:            Cutout A:           Cutout B:      F.C.:1 in.         C.C.:3.25 in.   </v>
      </c>
      <c r="S197" t="str">
        <f t="shared" si="11"/>
        <v>TRUE</v>
      </c>
      <c r="T197" t="str">
        <f t="shared" si="10"/>
        <v>TRUE</v>
      </c>
    </row>
    <row r="198" spans="1:20">
      <c r="A198" t="s">
        <v>358</v>
      </c>
      <c r="B198" s="14" t="s">
        <v>144</v>
      </c>
      <c r="C198" s="14" t="s">
        <v>156</v>
      </c>
      <c r="D198" s="14">
        <v>1</v>
      </c>
      <c r="E198" s="14">
        <v>1</v>
      </c>
      <c r="F198" s="14">
        <v>1</v>
      </c>
      <c r="G198" s="14">
        <v>1</v>
      </c>
      <c r="H198" s="14"/>
      <c r="I198" s="8" t="s">
        <v>38</v>
      </c>
      <c r="J198" s="8" t="s">
        <v>38</v>
      </c>
      <c r="K198">
        <v>42.9375</v>
      </c>
      <c r="L198">
        <v>69.0625</v>
      </c>
      <c r="M198" s="14">
        <v>6.75</v>
      </c>
      <c r="N198" s="14">
        <v>2.1875</v>
      </c>
      <c r="R198" t="str">
        <f t="shared" si="9"/>
        <v xml:space="preserve">XX8X_PV_0285:    Front abuts stile:TRUE       Back abuts stile:TRUE          Panel Section: TOP           Stile in the back Width:            Cutout A:           Cutout B:      F.C.:6.75 in.         C.C.:2.1875 in.   </v>
      </c>
      <c r="S198" t="str">
        <f t="shared" si="11"/>
        <v>TRUE</v>
      </c>
      <c r="T198" t="str">
        <f t="shared" si="10"/>
        <v>TRUE</v>
      </c>
    </row>
    <row r="199" spans="1:20">
      <c r="A199" t="s">
        <v>359</v>
      </c>
      <c r="B199" s="14" t="s">
        <v>143</v>
      </c>
      <c r="C199" s="14" t="s">
        <v>157</v>
      </c>
      <c r="D199" s="14">
        <v>0</v>
      </c>
      <c r="E199" s="14"/>
      <c r="F199" s="14">
        <v>0</v>
      </c>
      <c r="G199" s="14"/>
      <c r="H199" s="14"/>
      <c r="I199" s="8" t="s">
        <v>35</v>
      </c>
      <c r="J199" s="8" t="s">
        <v>38</v>
      </c>
      <c r="K199">
        <v>60</v>
      </c>
      <c r="L199">
        <v>42.6875</v>
      </c>
      <c r="M199" s="14">
        <v>4.5</v>
      </c>
      <c r="N199" s="14">
        <v>2.25</v>
      </c>
      <c r="R199" t="str">
        <f t="shared" ref="R199:R262" si="12">A199&amp;":    Front abuts stile:"&amp;S199&amp;"       Back abuts stile:"&amp;T199&amp;"          Panel Section: "&amp;C199&amp;"           Stile in the back Width: "&amp;H199&amp;"           Cutout A: "&amp;I199&amp;"          Cutout B:"&amp;J199&amp;"      F.C.:"&amp;M199&amp;" in. "&amp;"        C.C.:"&amp;N199&amp;" in. "&amp;"  "</f>
        <v xml:space="preserve">XX8X_PV_0301:    Front abuts stile:FALSE       Back abuts stile:FALSE          Panel Section: BOTTOM           Stile in the back Width:            Cutout A: B-357          Cutout B:      F.C.:4.5 in.         C.C.:2.25 in.   </v>
      </c>
      <c r="S199" t="str">
        <f t="shared" si="11"/>
        <v>FALSE</v>
      </c>
      <c r="T199" t="str">
        <f t="shared" si="10"/>
        <v>FALSE</v>
      </c>
    </row>
    <row r="200" spans="1:20">
      <c r="A200" t="s">
        <v>360</v>
      </c>
      <c r="B200" s="14" t="s">
        <v>144</v>
      </c>
      <c r="C200" s="14" t="s">
        <v>157</v>
      </c>
      <c r="D200" s="14">
        <v>0</v>
      </c>
      <c r="E200" s="14"/>
      <c r="F200" s="14">
        <v>1</v>
      </c>
      <c r="G200" s="14">
        <v>0</v>
      </c>
      <c r="H200" s="14">
        <v>12</v>
      </c>
      <c r="I200" s="8" t="s">
        <v>150</v>
      </c>
      <c r="J200" s="8" t="s">
        <v>38</v>
      </c>
      <c r="K200">
        <v>60</v>
      </c>
      <c r="L200">
        <v>57.0625</v>
      </c>
      <c r="M200" s="14">
        <v>2.75</v>
      </c>
      <c r="N200" s="14">
        <v>8.25</v>
      </c>
      <c r="R200" t="str">
        <f t="shared" si="12"/>
        <v xml:space="preserve">XX8X_PV_0302:    Front abuts stile:FALSE       Back abuts stile:TRUE          Panel Section: BOTTOM           Stile in the back Width: 12           Cutout A: B-3571          Cutout B:      F.C.:2.75 in.         C.C.:8.25 in.   </v>
      </c>
      <c r="S200" t="str">
        <f t="shared" si="11"/>
        <v>FALSE</v>
      </c>
      <c r="T200" t="str">
        <f t="shared" si="10"/>
        <v>TRUE</v>
      </c>
    </row>
    <row r="201" spans="1:20">
      <c r="A201" t="s">
        <v>361</v>
      </c>
      <c r="B201" s="14" t="s">
        <v>144</v>
      </c>
      <c r="C201" s="14" t="s">
        <v>157</v>
      </c>
      <c r="D201" s="14">
        <v>0</v>
      </c>
      <c r="E201" s="14"/>
      <c r="F201" s="14">
        <v>1</v>
      </c>
      <c r="G201" s="14">
        <v>0</v>
      </c>
      <c r="H201" s="14">
        <v>24</v>
      </c>
      <c r="I201" s="8" t="s">
        <v>120</v>
      </c>
      <c r="J201" s="8" t="s">
        <v>38</v>
      </c>
      <c r="K201">
        <v>60</v>
      </c>
      <c r="L201">
        <v>44.125</v>
      </c>
      <c r="M201" s="14">
        <v>1</v>
      </c>
      <c r="N201" s="14">
        <v>2.6875</v>
      </c>
      <c r="R201" t="str">
        <f t="shared" si="12"/>
        <v xml:space="preserve">XX8X_PV_0303:    Front abuts stile:FALSE       Back abuts stile:TRUE          Panel Section: BOTTOM           Stile in the back Width: 24           Cutout A: B-386          Cutout B:      F.C.:1 in.         C.C.:2.6875 in.   </v>
      </c>
      <c r="S201" t="str">
        <f t="shared" si="11"/>
        <v>FALSE</v>
      </c>
      <c r="T201" t="str">
        <f t="shared" si="10"/>
        <v>TRUE</v>
      </c>
    </row>
    <row r="202" spans="1:20">
      <c r="A202" t="s">
        <v>362</v>
      </c>
      <c r="B202" s="14" t="s">
        <v>144</v>
      </c>
      <c r="C202" s="14" t="s">
        <v>157</v>
      </c>
      <c r="D202" s="14">
        <v>0</v>
      </c>
      <c r="E202" s="14"/>
      <c r="F202" s="14">
        <v>1</v>
      </c>
      <c r="G202" s="14">
        <v>0</v>
      </c>
      <c r="H202" s="14"/>
      <c r="I202" s="8" t="s">
        <v>38</v>
      </c>
      <c r="J202" s="8" t="s">
        <v>38</v>
      </c>
      <c r="K202">
        <v>60</v>
      </c>
      <c r="L202">
        <v>25.3125</v>
      </c>
      <c r="M202" s="14">
        <v>12</v>
      </c>
      <c r="N202" s="14">
        <v>4.9375</v>
      </c>
      <c r="R202" t="str">
        <f t="shared" si="12"/>
        <v xml:space="preserve">XX8X_PV_0304:    Front abuts stile:FALSE       Back abuts stile:TRUE          Panel Section: BOTTOM           Stile in the back Width:            Cutout A:           Cutout B:      F.C.:12 in.         C.C.:4.9375 in.   </v>
      </c>
      <c r="S202" t="str">
        <f t="shared" si="11"/>
        <v>FALSE</v>
      </c>
      <c r="T202" t="str">
        <f t="shared" si="10"/>
        <v>TRUE</v>
      </c>
    </row>
    <row r="203" spans="1:20">
      <c r="A203" t="s">
        <v>363</v>
      </c>
      <c r="B203" s="14" t="s">
        <v>144</v>
      </c>
      <c r="C203" s="14" t="s">
        <v>157</v>
      </c>
      <c r="D203" s="14">
        <v>0</v>
      </c>
      <c r="E203" s="14"/>
      <c r="F203" s="14">
        <v>1</v>
      </c>
      <c r="G203" s="14">
        <v>1</v>
      </c>
      <c r="H203" s="14"/>
      <c r="I203" s="8" t="s">
        <v>38</v>
      </c>
      <c r="J203" s="8" t="s">
        <v>38</v>
      </c>
      <c r="K203">
        <v>60</v>
      </c>
      <c r="L203">
        <v>45.25</v>
      </c>
      <c r="M203" s="14">
        <v>1</v>
      </c>
      <c r="N203" s="14">
        <v>4.375</v>
      </c>
      <c r="R203" t="str">
        <f t="shared" si="12"/>
        <v xml:space="preserve">XX8X_PV_0305:    Front abuts stile:FALSE       Back abuts stile:TRUE          Panel Section: BOTTOM           Stile in the back Width:            Cutout A:           Cutout B:      F.C.:1 in.         C.C.:4.375 in.   </v>
      </c>
      <c r="S203" t="str">
        <f t="shared" si="11"/>
        <v>FALSE</v>
      </c>
      <c r="T203" t="str">
        <f t="shared" si="10"/>
        <v>TRUE</v>
      </c>
    </row>
    <row r="204" spans="1:20">
      <c r="A204" t="s">
        <v>364</v>
      </c>
      <c r="B204" s="14" t="s">
        <v>144</v>
      </c>
      <c r="C204" s="14" t="s">
        <v>157</v>
      </c>
      <c r="D204" s="14">
        <v>1</v>
      </c>
      <c r="E204" s="14">
        <v>0</v>
      </c>
      <c r="F204" s="14">
        <v>0</v>
      </c>
      <c r="G204" s="14"/>
      <c r="H204" s="14"/>
      <c r="I204" s="8" t="s">
        <v>35</v>
      </c>
      <c r="J204" s="8" t="s">
        <v>38</v>
      </c>
      <c r="K204">
        <v>60</v>
      </c>
      <c r="L204">
        <v>52.75</v>
      </c>
      <c r="M204" s="14">
        <v>9</v>
      </c>
      <c r="N204" s="14">
        <v>1</v>
      </c>
      <c r="R204" t="str">
        <f t="shared" si="12"/>
        <v xml:space="preserve">XX8X_PV_0306:    Front abuts stile:TRUE       Back abuts stile:FALSE          Panel Section: BOTTOM           Stile in the back Width:            Cutout A: B-357          Cutout B:      F.C.:9 in.         C.C.:1 in.   </v>
      </c>
      <c r="S204" t="str">
        <f t="shared" si="11"/>
        <v>TRUE</v>
      </c>
      <c r="T204" t="str">
        <f t="shared" si="10"/>
        <v>FALSE</v>
      </c>
    </row>
    <row r="205" spans="1:20">
      <c r="A205" t="s">
        <v>365</v>
      </c>
      <c r="B205" s="14" t="s">
        <v>144</v>
      </c>
      <c r="C205" s="14" t="s">
        <v>157</v>
      </c>
      <c r="D205" s="14">
        <v>1</v>
      </c>
      <c r="E205" s="14">
        <v>0</v>
      </c>
      <c r="F205" s="14">
        <v>1</v>
      </c>
      <c r="G205" s="14">
        <v>0</v>
      </c>
      <c r="H205" s="14">
        <v>12</v>
      </c>
      <c r="I205" s="8" t="s">
        <v>35</v>
      </c>
      <c r="J205" s="8" t="s">
        <v>38</v>
      </c>
      <c r="K205">
        <v>60</v>
      </c>
      <c r="L205">
        <v>68.3125</v>
      </c>
      <c r="M205" s="14">
        <v>9.4375</v>
      </c>
      <c r="N205" s="14">
        <v>2.1875</v>
      </c>
      <c r="R205" t="str">
        <f t="shared" si="12"/>
        <v xml:space="preserve">XX8X_PV_0307:    Front abuts stile:TRUE       Back abuts stile:TRUE          Panel Section: BOTTOM           Stile in the back Width: 12           Cutout A: B-357          Cutout B:      F.C.:9.4375 in.         C.C.:2.1875 in.   </v>
      </c>
      <c r="S205" t="str">
        <f t="shared" si="11"/>
        <v>TRUE</v>
      </c>
      <c r="T205" t="str">
        <f t="shared" si="10"/>
        <v>TRUE</v>
      </c>
    </row>
    <row r="206" spans="1:20">
      <c r="A206" t="s">
        <v>366</v>
      </c>
      <c r="B206" s="14" t="s">
        <v>144</v>
      </c>
      <c r="C206" s="14" t="s">
        <v>157</v>
      </c>
      <c r="D206" s="14">
        <v>1</v>
      </c>
      <c r="E206" s="14">
        <v>0</v>
      </c>
      <c r="F206" s="14">
        <v>1</v>
      </c>
      <c r="G206" s="14">
        <v>0</v>
      </c>
      <c r="H206" s="14">
        <v>24</v>
      </c>
      <c r="I206" s="8" t="s">
        <v>120</v>
      </c>
      <c r="J206" s="8" t="s">
        <v>38</v>
      </c>
      <c r="K206">
        <v>60</v>
      </c>
      <c r="L206">
        <v>75.5</v>
      </c>
      <c r="M206" s="14">
        <v>10.75</v>
      </c>
      <c r="N206" s="14">
        <v>4.375</v>
      </c>
      <c r="R206" t="str">
        <f t="shared" si="12"/>
        <v xml:space="preserve">XX8X_PV_0308:    Front abuts stile:TRUE       Back abuts stile:TRUE          Panel Section: BOTTOM           Stile in the back Width: 24           Cutout A: B-386          Cutout B:      F.C.:10.75 in.         C.C.:4.375 in.   </v>
      </c>
      <c r="S206" t="str">
        <f t="shared" si="11"/>
        <v>TRUE</v>
      </c>
      <c r="T206" t="str">
        <f t="shared" si="10"/>
        <v>TRUE</v>
      </c>
    </row>
    <row r="207" spans="1:20">
      <c r="A207" t="s">
        <v>367</v>
      </c>
      <c r="B207" s="14" t="s">
        <v>144</v>
      </c>
      <c r="C207" s="14" t="s">
        <v>157</v>
      </c>
      <c r="D207" s="14">
        <v>1</v>
      </c>
      <c r="E207" s="14">
        <v>0</v>
      </c>
      <c r="F207" s="14">
        <v>1</v>
      </c>
      <c r="G207" s="14">
        <v>0</v>
      </c>
      <c r="H207" s="14"/>
      <c r="I207" s="8" t="s">
        <v>38</v>
      </c>
      <c r="J207" s="8" t="s">
        <v>38</v>
      </c>
      <c r="K207">
        <v>60</v>
      </c>
      <c r="L207">
        <v>51.125</v>
      </c>
      <c r="M207" s="14">
        <v>4.5</v>
      </c>
      <c r="N207" s="14">
        <v>1</v>
      </c>
      <c r="R207" t="str">
        <f t="shared" si="12"/>
        <v xml:space="preserve">XX8X_PV_0309:    Front abuts stile:TRUE       Back abuts stile:TRUE          Panel Section: BOTTOM           Stile in the back Width:            Cutout A:           Cutout B:      F.C.:4.5 in.         C.C.:1 in.   </v>
      </c>
      <c r="S207" t="str">
        <f t="shared" si="11"/>
        <v>TRUE</v>
      </c>
      <c r="T207" t="str">
        <f t="shared" si="10"/>
        <v>TRUE</v>
      </c>
    </row>
    <row r="208" spans="1:20">
      <c r="A208" t="s">
        <v>368</v>
      </c>
      <c r="B208" s="14" t="s">
        <v>144</v>
      </c>
      <c r="C208" s="14" t="s">
        <v>157</v>
      </c>
      <c r="D208" s="14">
        <v>1</v>
      </c>
      <c r="E208" s="14">
        <v>0</v>
      </c>
      <c r="F208" s="14">
        <v>1</v>
      </c>
      <c r="G208" s="14">
        <v>1</v>
      </c>
      <c r="H208" s="14"/>
      <c r="I208" s="8" t="s">
        <v>38</v>
      </c>
      <c r="J208" s="8" t="s">
        <v>38</v>
      </c>
      <c r="K208">
        <v>60</v>
      </c>
      <c r="L208">
        <v>42.5625</v>
      </c>
      <c r="M208" s="14">
        <v>1</v>
      </c>
      <c r="N208" s="14">
        <v>3.375</v>
      </c>
      <c r="R208" t="str">
        <f t="shared" si="12"/>
        <v xml:space="preserve">XX8X_PV_0310:    Front abuts stile:TRUE       Back abuts stile:TRUE          Panel Section: BOTTOM           Stile in the back Width:            Cutout A:           Cutout B:      F.C.:1 in.         C.C.:3.375 in.   </v>
      </c>
      <c r="S208" t="str">
        <f t="shared" si="11"/>
        <v>TRUE</v>
      </c>
      <c r="T208" t="str">
        <f t="shared" si="10"/>
        <v>TRUE</v>
      </c>
    </row>
    <row r="209" spans="1:20">
      <c r="A209" t="s">
        <v>369</v>
      </c>
      <c r="B209" s="14" t="s">
        <v>144</v>
      </c>
      <c r="C209" s="14" t="s">
        <v>157</v>
      </c>
      <c r="D209" s="14">
        <v>1</v>
      </c>
      <c r="E209" s="14">
        <v>1</v>
      </c>
      <c r="F209" s="14">
        <v>0</v>
      </c>
      <c r="G209" s="14"/>
      <c r="H209" s="14"/>
      <c r="I209" s="8" t="s">
        <v>119</v>
      </c>
      <c r="J209" s="8" t="s">
        <v>38</v>
      </c>
      <c r="K209">
        <v>60</v>
      </c>
      <c r="L209">
        <v>79.5625</v>
      </c>
      <c r="M209" s="14">
        <v>9</v>
      </c>
      <c r="N209" s="14">
        <v>1</v>
      </c>
      <c r="R209" t="str">
        <f t="shared" si="12"/>
        <v xml:space="preserve">XX8X_PV_0311:    Front abuts stile:TRUE       Back abuts stile:FALSE          Panel Section: BOTTOM           Stile in the back Width:            Cutout A: B-354          Cutout B:      F.C.:9 in.         C.C.:1 in.   </v>
      </c>
      <c r="S209" t="str">
        <f t="shared" si="11"/>
        <v>TRUE</v>
      </c>
      <c r="T209" t="str">
        <f t="shared" si="10"/>
        <v>FALSE</v>
      </c>
    </row>
    <row r="210" spans="1:20">
      <c r="A210" t="s">
        <v>370</v>
      </c>
      <c r="B210" s="14" t="s">
        <v>144</v>
      </c>
      <c r="C210" s="14" t="s">
        <v>157</v>
      </c>
      <c r="D210" s="14">
        <v>1</v>
      </c>
      <c r="E210" s="14">
        <v>1</v>
      </c>
      <c r="F210" s="14">
        <v>1</v>
      </c>
      <c r="G210" s="14">
        <v>0</v>
      </c>
      <c r="H210" s="14">
        <v>12</v>
      </c>
      <c r="I210" s="8" t="s">
        <v>38</v>
      </c>
      <c r="J210" s="8" t="s">
        <v>38</v>
      </c>
      <c r="K210">
        <v>60</v>
      </c>
      <c r="L210">
        <v>54.625</v>
      </c>
      <c r="M210" s="14">
        <v>3.5</v>
      </c>
      <c r="N210" s="14">
        <v>2.8125</v>
      </c>
      <c r="R210" t="str">
        <f t="shared" si="12"/>
        <v xml:space="preserve">XX8X_PV_0312:    Front abuts stile:TRUE       Back abuts stile:TRUE          Panel Section: BOTTOM           Stile in the back Width: 12           Cutout A:           Cutout B:      F.C.:3.5 in.         C.C.:2.8125 in.   </v>
      </c>
      <c r="S210" t="str">
        <f t="shared" si="11"/>
        <v>TRUE</v>
      </c>
      <c r="T210" t="str">
        <f t="shared" ref="T210:T273" si="13">IF(F210=1, "TRUE", "FALSE")</f>
        <v>TRUE</v>
      </c>
    </row>
    <row r="211" spans="1:20">
      <c r="A211" t="s">
        <v>371</v>
      </c>
      <c r="B211" s="14" t="s">
        <v>144</v>
      </c>
      <c r="C211" s="14" t="s">
        <v>157</v>
      </c>
      <c r="D211" s="14">
        <v>1</v>
      </c>
      <c r="E211" s="14">
        <v>1</v>
      </c>
      <c r="F211" s="14">
        <v>1</v>
      </c>
      <c r="G211" s="14">
        <v>0</v>
      </c>
      <c r="H211" s="14">
        <v>24</v>
      </c>
      <c r="I211" s="8" t="s">
        <v>120</v>
      </c>
      <c r="J211" s="8" t="s">
        <v>38</v>
      </c>
      <c r="K211">
        <v>60</v>
      </c>
      <c r="L211">
        <v>71.625</v>
      </c>
      <c r="M211" s="14">
        <v>12</v>
      </c>
      <c r="N211" s="14">
        <v>3.4375</v>
      </c>
      <c r="R211" t="str">
        <f t="shared" si="12"/>
        <v xml:space="preserve">XX8X_PV_0313:    Front abuts stile:TRUE       Back abuts stile:TRUE          Panel Section: BOTTOM           Stile in the back Width: 24           Cutout A: B-386          Cutout B:      F.C.:12 in.         C.C.:3.4375 in.   </v>
      </c>
      <c r="S211" t="str">
        <f t="shared" si="11"/>
        <v>TRUE</v>
      </c>
      <c r="T211" t="str">
        <f t="shared" si="13"/>
        <v>TRUE</v>
      </c>
    </row>
    <row r="212" spans="1:20">
      <c r="A212" t="s">
        <v>372</v>
      </c>
      <c r="B212" s="14" t="s">
        <v>144</v>
      </c>
      <c r="C212" s="14" t="s">
        <v>157</v>
      </c>
      <c r="D212" s="14">
        <v>1</v>
      </c>
      <c r="E212" s="14">
        <v>1</v>
      </c>
      <c r="F212" s="14">
        <v>1</v>
      </c>
      <c r="G212" s="14">
        <v>0</v>
      </c>
      <c r="H212" s="14"/>
      <c r="I212" s="8" t="s">
        <v>38</v>
      </c>
      <c r="J212" s="8" t="s">
        <v>38</v>
      </c>
      <c r="K212">
        <v>60</v>
      </c>
      <c r="L212">
        <v>52.1875</v>
      </c>
      <c r="M212" s="14">
        <v>12</v>
      </c>
      <c r="N212" s="14">
        <v>4.4375</v>
      </c>
      <c r="R212" t="str">
        <f t="shared" si="12"/>
        <v xml:space="preserve">XX8X_PV_0314:    Front abuts stile:TRUE       Back abuts stile:TRUE          Panel Section: BOTTOM           Stile in the back Width:            Cutout A:           Cutout B:      F.C.:12 in.         C.C.:4.4375 in.   </v>
      </c>
      <c r="S212" t="str">
        <f t="shared" si="11"/>
        <v>TRUE</v>
      </c>
      <c r="T212" t="str">
        <f t="shared" si="13"/>
        <v>TRUE</v>
      </c>
    </row>
    <row r="213" spans="1:20">
      <c r="A213" t="s">
        <v>373</v>
      </c>
      <c r="B213" s="14" t="s">
        <v>144</v>
      </c>
      <c r="C213" s="14" t="s">
        <v>157</v>
      </c>
      <c r="D213" s="14">
        <v>1</v>
      </c>
      <c r="E213" s="14">
        <v>1</v>
      </c>
      <c r="F213" s="14">
        <v>1</v>
      </c>
      <c r="G213" s="14">
        <v>1</v>
      </c>
      <c r="H213" s="14"/>
      <c r="I213" s="8" t="s">
        <v>38</v>
      </c>
      <c r="J213" s="8" t="s">
        <v>38</v>
      </c>
      <c r="K213">
        <v>60</v>
      </c>
      <c r="L213">
        <v>74.5625</v>
      </c>
      <c r="M213" s="14">
        <v>4.5</v>
      </c>
      <c r="N213" s="14">
        <v>4.3125</v>
      </c>
      <c r="R213" t="str">
        <f t="shared" si="12"/>
        <v xml:space="preserve">XX8X_PV_0315:    Front abuts stile:TRUE       Back abuts stile:TRUE          Panel Section: BOTTOM           Stile in the back Width:            Cutout A:           Cutout B:      F.C.:4.5 in.         C.C.:4.3125 in.   </v>
      </c>
      <c r="S213" t="str">
        <f t="shared" si="11"/>
        <v>TRUE</v>
      </c>
      <c r="T213" t="str">
        <f t="shared" si="13"/>
        <v>TRUE</v>
      </c>
    </row>
    <row r="214" spans="1:20">
      <c r="A214" t="s">
        <v>374</v>
      </c>
      <c r="B214" s="14" t="s">
        <v>144</v>
      </c>
      <c r="C214" s="14" t="s">
        <v>21</v>
      </c>
      <c r="D214" s="14">
        <v>0</v>
      </c>
      <c r="E214" s="14"/>
      <c r="F214" s="14">
        <v>0</v>
      </c>
      <c r="G214" s="14"/>
      <c r="H214" s="14"/>
      <c r="I214" s="8" t="s">
        <v>38</v>
      </c>
      <c r="J214" s="8" t="s">
        <v>38</v>
      </c>
      <c r="K214">
        <v>38.625</v>
      </c>
      <c r="L214">
        <v>5.375</v>
      </c>
      <c r="M214" s="14">
        <v>8.125</v>
      </c>
      <c r="N214" s="14">
        <v>7.25</v>
      </c>
      <c r="R214" t="str">
        <f t="shared" si="12"/>
        <v xml:space="preserve">XX8X_PV_0331:    Front abuts stile:FALSE       Back abuts stile:FALSE          Panel Section: WHOLE           Stile in the back Width:            Cutout A:           Cutout B:      F.C.:8.125 in.         C.C.:7.25 in.   </v>
      </c>
      <c r="S214" t="str">
        <f t="shared" si="11"/>
        <v>FALSE</v>
      </c>
      <c r="T214" t="str">
        <f t="shared" si="13"/>
        <v>FALSE</v>
      </c>
    </row>
    <row r="215" spans="1:20">
      <c r="A215" t="s">
        <v>375</v>
      </c>
      <c r="B215" s="14" t="s">
        <v>144</v>
      </c>
      <c r="C215" s="14" t="s">
        <v>21</v>
      </c>
      <c r="D215" s="14">
        <v>0</v>
      </c>
      <c r="E215" s="14"/>
      <c r="F215" s="14">
        <v>1</v>
      </c>
      <c r="G215" s="14">
        <v>0</v>
      </c>
      <c r="H215" s="14">
        <v>12</v>
      </c>
      <c r="I215" s="8" t="s">
        <v>120</v>
      </c>
      <c r="J215" s="8" t="s">
        <v>38</v>
      </c>
      <c r="K215">
        <v>96</v>
      </c>
      <c r="L215">
        <v>49.0625</v>
      </c>
      <c r="M215" s="14">
        <v>12</v>
      </c>
      <c r="N215" s="14">
        <v>1</v>
      </c>
      <c r="R215" t="str">
        <f t="shared" si="12"/>
        <v xml:space="preserve">XX8X_PV_0332:    Front abuts stile:FALSE       Back abuts stile:TRUE          Panel Section: WHOLE           Stile in the back Width: 12           Cutout A: B-386          Cutout B:      F.C.:12 in.         C.C.:1 in.   </v>
      </c>
      <c r="S215" t="str">
        <f t="shared" si="11"/>
        <v>FALSE</v>
      </c>
      <c r="T215" t="str">
        <f t="shared" si="13"/>
        <v>TRUE</v>
      </c>
    </row>
    <row r="216" spans="1:20">
      <c r="A216" t="s">
        <v>376</v>
      </c>
      <c r="B216" s="14" t="s">
        <v>144</v>
      </c>
      <c r="C216" s="14" t="s">
        <v>21</v>
      </c>
      <c r="D216" s="14">
        <v>0</v>
      </c>
      <c r="E216" s="14"/>
      <c r="F216" s="14">
        <v>1</v>
      </c>
      <c r="G216" s="14">
        <v>0</v>
      </c>
      <c r="H216" s="14">
        <v>24</v>
      </c>
      <c r="I216" s="8" t="s">
        <v>120</v>
      </c>
      <c r="J216" s="8" t="s">
        <v>38</v>
      </c>
      <c r="K216">
        <v>64.625</v>
      </c>
      <c r="L216">
        <v>61.125</v>
      </c>
      <c r="M216" s="14">
        <v>1</v>
      </c>
      <c r="N216" s="14">
        <v>3.0625</v>
      </c>
      <c r="R216" t="str">
        <f t="shared" si="12"/>
        <v xml:space="preserve">XX8X_PV_0333:    Front abuts stile:FALSE       Back abuts stile:TRUE          Panel Section: WHOLE           Stile in the back Width: 24           Cutout A: B-386          Cutout B:      F.C.:1 in.         C.C.:3.0625 in.   </v>
      </c>
      <c r="S216" t="str">
        <f t="shared" si="11"/>
        <v>FALSE</v>
      </c>
      <c r="T216" t="str">
        <f t="shared" si="13"/>
        <v>TRUE</v>
      </c>
    </row>
    <row r="217" spans="1:20">
      <c r="A217" t="s">
        <v>377</v>
      </c>
      <c r="B217" s="14" t="s">
        <v>144</v>
      </c>
      <c r="C217" s="14" t="s">
        <v>21</v>
      </c>
      <c r="D217" s="14">
        <v>0</v>
      </c>
      <c r="E217" s="14"/>
      <c r="F217" s="14">
        <v>1</v>
      </c>
      <c r="G217" s="14">
        <v>0</v>
      </c>
      <c r="H217" s="14"/>
      <c r="I217" s="8" t="s">
        <v>38</v>
      </c>
      <c r="J217" s="8" t="s">
        <v>38</v>
      </c>
      <c r="K217">
        <v>96</v>
      </c>
      <c r="L217">
        <v>46.6875</v>
      </c>
      <c r="M217" s="14">
        <v>1</v>
      </c>
      <c r="N217" s="14">
        <v>4.875</v>
      </c>
      <c r="R217" t="str">
        <f t="shared" si="12"/>
        <v xml:space="preserve">XX8X_PV_0334:    Front abuts stile:FALSE       Back abuts stile:TRUE          Panel Section: WHOLE           Stile in the back Width:            Cutout A:           Cutout B:      F.C.:1 in.         C.C.:4.875 in.   </v>
      </c>
      <c r="S217" t="str">
        <f t="shared" si="11"/>
        <v>FALSE</v>
      </c>
      <c r="T217" t="str">
        <f t="shared" si="13"/>
        <v>TRUE</v>
      </c>
    </row>
    <row r="218" spans="1:20">
      <c r="A218" t="s">
        <v>378</v>
      </c>
      <c r="B218" s="14" t="s">
        <v>144</v>
      </c>
      <c r="C218" s="14" t="s">
        <v>21</v>
      </c>
      <c r="D218" s="14">
        <v>0</v>
      </c>
      <c r="E218" s="14"/>
      <c r="F218" s="14">
        <v>1</v>
      </c>
      <c r="G218" s="14">
        <v>1</v>
      </c>
      <c r="H218" s="14"/>
      <c r="I218" s="8" t="s">
        <v>38</v>
      </c>
      <c r="J218" s="8" t="s">
        <v>38</v>
      </c>
      <c r="K218">
        <v>91.875</v>
      </c>
      <c r="L218">
        <v>26.25</v>
      </c>
      <c r="M218" s="14">
        <v>4.5</v>
      </c>
      <c r="N218" s="14">
        <v>2.25</v>
      </c>
      <c r="R218" t="str">
        <f t="shared" si="12"/>
        <v xml:space="preserve">XX8X_PV_0335:    Front abuts stile:FALSE       Back abuts stile:TRUE          Panel Section: WHOLE           Stile in the back Width:            Cutout A:           Cutout B:      F.C.:4.5 in.         C.C.:2.25 in.   </v>
      </c>
      <c r="S218" t="str">
        <f t="shared" si="11"/>
        <v>FALSE</v>
      </c>
      <c r="T218" t="str">
        <f t="shared" si="13"/>
        <v>TRUE</v>
      </c>
    </row>
    <row r="219" spans="1:20">
      <c r="A219" t="s">
        <v>379</v>
      </c>
      <c r="B219" s="14" t="s">
        <v>144</v>
      </c>
      <c r="C219" s="14" t="s">
        <v>21</v>
      </c>
      <c r="D219" s="14">
        <v>1</v>
      </c>
      <c r="E219" s="14">
        <v>0</v>
      </c>
      <c r="F219" s="14">
        <v>0</v>
      </c>
      <c r="G219" s="14"/>
      <c r="H219" s="14"/>
      <c r="I219" s="8" t="s">
        <v>119</v>
      </c>
      <c r="J219" s="8" t="s">
        <v>120</v>
      </c>
      <c r="K219">
        <v>96</v>
      </c>
      <c r="L219">
        <v>59.375</v>
      </c>
      <c r="M219" s="14">
        <v>12</v>
      </c>
      <c r="N219" s="14">
        <v>5.125</v>
      </c>
      <c r="R219" t="str">
        <f t="shared" si="12"/>
        <v xml:space="preserve">XX8X_PV_0336:    Front abuts stile:TRUE       Back abuts stile:FALSE          Panel Section: WHOLE           Stile in the back Width:            Cutout A: B-354          Cutout B:B-386      F.C.:12 in.         C.C.:5.125 in.   </v>
      </c>
      <c r="S219" t="str">
        <f t="shared" si="11"/>
        <v>TRUE</v>
      </c>
      <c r="T219" t="str">
        <f t="shared" si="13"/>
        <v>FALSE</v>
      </c>
    </row>
    <row r="220" spans="1:20">
      <c r="A220" t="s">
        <v>380</v>
      </c>
      <c r="B220" s="14" t="s">
        <v>144</v>
      </c>
      <c r="C220" s="14" t="s">
        <v>21</v>
      </c>
      <c r="D220" s="14">
        <v>1</v>
      </c>
      <c r="E220" s="14">
        <v>0</v>
      </c>
      <c r="F220" s="14">
        <v>1</v>
      </c>
      <c r="G220" s="14">
        <v>0</v>
      </c>
      <c r="H220" s="14">
        <v>12</v>
      </c>
      <c r="I220" s="8" t="s">
        <v>38</v>
      </c>
      <c r="J220" s="8" t="s">
        <v>38</v>
      </c>
      <c r="K220">
        <v>96</v>
      </c>
      <c r="L220">
        <v>63.0625</v>
      </c>
      <c r="M220" s="14">
        <v>1</v>
      </c>
      <c r="N220" s="14">
        <v>6.75</v>
      </c>
      <c r="R220" t="str">
        <f t="shared" si="12"/>
        <v xml:space="preserve">XX8X_PV_0337:    Front abuts stile:TRUE       Back abuts stile:TRUE          Panel Section: WHOLE           Stile in the back Width: 12           Cutout A:           Cutout B:      F.C.:1 in.         C.C.:6.75 in.   </v>
      </c>
      <c r="S220" t="str">
        <f t="shared" si="11"/>
        <v>TRUE</v>
      </c>
      <c r="T220" t="str">
        <f t="shared" si="13"/>
        <v>TRUE</v>
      </c>
    </row>
    <row r="221" spans="1:20">
      <c r="A221" t="s">
        <v>381</v>
      </c>
      <c r="B221" s="14" t="s">
        <v>144</v>
      </c>
      <c r="C221" s="14" t="s">
        <v>21</v>
      </c>
      <c r="D221" s="14">
        <v>1</v>
      </c>
      <c r="E221" s="14">
        <v>0</v>
      </c>
      <c r="F221" s="14">
        <v>1</v>
      </c>
      <c r="G221" s="14">
        <v>0</v>
      </c>
      <c r="H221" s="14">
        <v>24</v>
      </c>
      <c r="I221" s="8" t="s">
        <v>120</v>
      </c>
      <c r="J221" s="8" t="s">
        <v>38</v>
      </c>
      <c r="K221">
        <v>98.3125</v>
      </c>
      <c r="L221">
        <v>78.75</v>
      </c>
      <c r="M221" s="14">
        <v>11.25</v>
      </c>
      <c r="N221" s="14">
        <v>3.8125</v>
      </c>
      <c r="R221" t="str">
        <f t="shared" si="12"/>
        <v xml:space="preserve">XX8X_PV_0338:    Front abuts stile:TRUE       Back abuts stile:TRUE          Panel Section: WHOLE           Stile in the back Width: 24           Cutout A: B-386          Cutout B:      F.C.:11.25 in.         C.C.:3.8125 in.   </v>
      </c>
      <c r="S221" t="str">
        <f t="shared" si="11"/>
        <v>TRUE</v>
      </c>
      <c r="T221" t="str">
        <f t="shared" si="13"/>
        <v>TRUE</v>
      </c>
    </row>
    <row r="222" spans="1:20">
      <c r="A222" t="s">
        <v>382</v>
      </c>
      <c r="B222" s="14" t="s">
        <v>144</v>
      </c>
      <c r="C222" s="14" t="s">
        <v>21</v>
      </c>
      <c r="D222" s="14">
        <v>1</v>
      </c>
      <c r="E222" s="14">
        <v>0</v>
      </c>
      <c r="F222" s="14">
        <v>1</v>
      </c>
      <c r="G222" s="14">
        <v>0</v>
      </c>
      <c r="H222" s="14"/>
      <c r="I222" s="8" t="s">
        <v>38</v>
      </c>
      <c r="J222" s="8" t="s">
        <v>38</v>
      </c>
      <c r="K222">
        <v>96</v>
      </c>
      <c r="L222">
        <v>63.6875</v>
      </c>
      <c r="M222" s="14">
        <v>1</v>
      </c>
      <c r="N222" s="14">
        <v>3.125</v>
      </c>
      <c r="R222" t="str">
        <f t="shared" si="12"/>
        <v xml:space="preserve">XX8X_PV_0339:    Front abuts stile:TRUE       Back abuts stile:TRUE          Panel Section: WHOLE           Stile in the back Width:            Cutout A:           Cutout B:      F.C.:1 in.         C.C.:3.125 in.   </v>
      </c>
      <c r="S222" t="str">
        <f t="shared" si="11"/>
        <v>TRUE</v>
      </c>
      <c r="T222" t="str">
        <f t="shared" si="13"/>
        <v>TRUE</v>
      </c>
    </row>
    <row r="223" spans="1:20">
      <c r="A223" t="s">
        <v>383</v>
      </c>
      <c r="B223" s="14" t="s">
        <v>144</v>
      </c>
      <c r="C223" s="14" t="s">
        <v>21</v>
      </c>
      <c r="D223" s="14">
        <v>1</v>
      </c>
      <c r="E223" s="14">
        <v>0</v>
      </c>
      <c r="F223" s="14">
        <v>1</v>
      </c>
      <c r="G223" s="14">
        <v>1</v>
      </c>
      <c r="H223" s="14"/>
      <c r="I223" s="8" t="s">
        <v>38</v>
      </c>
      <c r="J223" s="8" t="s">
        <v>38</v>
      </c>
      <c r="K223">
        <v>107.75</v>
      </c>
      <c r="L223">
        <v>68.4375</v>
      </c>
      <c r="M223" s="14">
        <v>1.75</v>
      </c>
      <c r="N223" s="14">
        <v>4.6875</v>
      </c>
      <c r="R223" t="str">
        <f t="shared" si="12"/>
        <v xml:space="preserve">XX8X_PV_0340:    Front abuts stile:TRUE       Back abuts stile:TRUE          Panel Section: WHOLE           Stile in the back Width:            Cutout A:           Cutout B:      F.C.:1.75 in.         C.C.:4.6875 in.   </v>
      </c>
      <c r="S223" t="str">
        <f t="shared" si="11"/>
        <v>TRUE</v>
      </c>
      <c r="T223" t="str">
        <f t="shared" si="13"/>
        <v>TRUE</v>
      </c>
    </row>
    <row r="224" spans="1:20">
      <c r="A224" t="s">
        <v>384</v>
      </c>
      <c r="B224" s="14" t="s">
        <v>144</v>
      </c>
      <c r="C224" s="14" t="s">
        <v>21</v>
      </c>
      <c r="D224" s="14">
        <v>1</v>
      </c>
      <c r="E224" s="14">
        <v>1</v>
      </c>
      <c r="F224" s="14">
        <v>0</v>
      </c>
      <c r="G224" s="14"/>
      <c r="H224" s="14"/>
      <c r="I224" s="8" t="s">
        <v>150</v>
      </c>
      <c r="J224" s="8" t="s">
        <v>38</v>
      </c>
      <c r="K224">
        <v>96</v>
      </c>
      <c r="L224">
        <v>79.5</v>
      </c>
      <c r="M224" s="14">
        <v>1</v>
      </c>
      <c r="N224" s="14">
        <v>3.75</v>
      </c>
      <c r="R224" t="str">
        <f t="shared" si="12"/>
        <v xml:space="preserve">XX8X_PV_0341:    Front abuts stile:TRUE       Back abuts stile:FALSE          Panel Section: WHOLE           Stile in the back Width:            Cutout A: B-3571          Cutout B:      F.C.:1 in.         C.C.:3.75 in.   </v>
      </c>
      <c r="S224" t="str">
        <f t="shared" si="11"/>
        <v>TRUE</v>
      </c>
      <c r="T224" t="str">
        <f t="shared" si="13"/>
        <v>FALSE</v>
      </c>
    </row>
    <row r="225" spans="1:20">
      <c r="A225" t="s">
        <v>385</v>
      </c>
      <c r="B225" s="14" t="s">
        <v>144</v>
      </c>
      <c r="C225" s="14" t="s">
        <v>21</v>
      </c>
      <c r="D225" s="14">
        <v>1</v>
      </c>
      <c r="E225" s="14">
        <v>1</v>
      </c>
      <c r="F225" s="14">
        <v>1</v>
      </c>
      <c r="G225" s="14">
        <v>0</v>
      </c>
      <c r="H225" s="14">
        <v>12</v>
      </c>
      <c r="I225" s="8" t="s">
        <v>145</v>
      </c>
      <c r="J225" s="8" t="s">
        <v>38</v>
      </c>
      <c r="K225">
        <v>96</v>
      </c>
      <c r="L225">
        <v>62.375</v>
      </c>
      <c r="M225" s="14">
        <v>12</v>
      </c>
      <c r="N225" s="14">
        <v>2.125</v>
      </c>
      <c r="R225" t="str">
        <f t="shared" si="12"/>
        <v xml:space="preserve">XX8X_PV_0342:    Front abuts stile:TRUE       Back abuts stile:TRUE          Panel Section: WHOLE           Stile in the back Width: 12           Cutout A: B-347          Cutout B:      F.C.:12 in.         C.C.:2.125 in.   </v>
      </c>
      <c r="S225" t="str">
        <f t="shared" si="11"/>
        <v>TRUE</v>
      </c>
      <c r="T225" t="str">
        <f t="shared" si="13"/>
        <v>TRUE</v>
      </c>
    </row>
    <row r="226" spans="1:20">
      <c r="A226" t="s">
        <v>386</v>
      </c>
      <c r="B226" s="14" t="s">
        <v>144</v>
      </c>
      <c r="C226" s="14" t="s">
        <v>21</v>
      </c>
      <c r="D226" s="14">
        <v>1</v>
      </c>
      <c r="E226" s="14">
        <v>1</v>
      </c>
      <c r="F226" s="14">
        <v>1</v>
      </c>
      <c r="G226" s="14">
        <v>0</v>
      </c>
      <c r="H226" s="14">
        <v>24</v>
      </c>
      <c r="I226" s="8" t="s">
        <v>120</v>
      </c>
      <c r="J226" s="8" t="s">
        <v>38</v>
      </c>
      <c r="K226">
        <v>47.0625</v>
      </c>
      <c r="L226">
        <v>61.8125</v>
      </c>
      <c r="M226" s="14">
        <v>4.5</v>
      </c>
      <c r="N226" s="14">
        <v>3.8125</v>
      </c>
      <c r="R226" t="str">
        <f t="shared" si="12"/>
        <v xml:space="preserve">XX8X_PV_0343:    Front abuts stile:TRUE       Back abuts stile:TRUE          Panel Section: WHOLE           Stile in the back Width: 24           Cutout A: B-386          Cutout B:      F.C.:4.5 in.         C.C.:3.8125 in.   </v>
      </c>
      <c r="S226" t="str">
        <f t="shared" si="11"/>
        <v>TRUE</v>
      </c>
      <c r="T226" t="str">
        <f t="shared" si="13"/>
        <v>TRUE</v>
      </c>
    </row>
    <row r="227" spans="1:20">
      <c r="A227" t="s">
        <v>387</v>
      </c>
      <c r="B227" s="14" t="s">
        <v>144</v>
      </c>
      <c r="C227" s="14" t="s">
        <v>21</v>
      </c>
      <c r="D227" s="14">
        <v>1</v>
      </c>
      <c r="E227" s="14">
        <v>1</v>
      </c>
      <c r="F227" s="14">
        <v>1</v>
      </c>
      <c r="G227" s="14">
        <v>0</v>
      </c>
      <c r="H227" s="14"/>
      <c r="I227" s="8" t="s">
        <v>38</v>
      </c>
      <c r="J227" s="8" t="s">
        <v>38</v>
      </c>
      <c r="K227">
        <v>96</v>
      </c>
      <c r="L227">
        <v>64.875</v>
      </c>
      <c r="M227" s="14">
        <v>5.3125</v>
      </c>
      <c r="N227" s="14">
        <v>5.5</v>
      </c>
      <c r="R227" t="str">
        <f t="shared" si="12"/>
        <v xml:space="preserve">XX8X_PV_0344:    Front abuts stile:TRUE       Back abuts stile:TRUE          Panel Section: WHOLE           Stile in the back Width:            Cutout A:           Cutout B:      F.C.:5.3125 in.         C.C.:5.5 in.   </v>
      </c>
      <c r="S227" t="str">
        <f t="shared" si="11"/>
        <v>TRUE</v>
      </c>
      <c r="T227" t="str">
        <f t="shared" si="13"/>
        <v>TRUE</v>
      </c>
    </row>
    <row r="228" spans="1:20">
      <c r="A228" t="s">
        <v>388</v>
      </c>
      <c r="B228" s="14" t="s">
        <v>144</v>
      </c>
      <c r="C228" s="14" t="s">
        <v>21</v>
      </c>
      <c r="D228" s="14">
        <v>1</v>
      </c>
      <c r="E228" s="14">
        <v>1</v>
      </c>
      <c r="F228" s="14">
        <v>1</v>
      </c>
      <c r="G228" s="14">
        <v>1</v>
      </c>
      <c r="H228" s="14"/>
      <c r="I228" s="8" t="s">
        <v>38</v>
      </c>
      <c r="J228" s="8" t="s">
        <v>38</v>
      </c>
      <c r="K228">
        <v>96</v>
      </c>
      <c r="L228">
        <v>59.125</v>
      </c>
      <c r="M228" s="14">
        <v>1</v>
      </c>
      <c r="N228" s="14">
        <v>4.1875</v>
      </c>
      <c r="R228" t="str">
        <f t="shared" si="12"/>
        <v xml:space="preserve">XX8X_PV_0345:    Front abuts stile:TRUE       Back abuts stile:TRUE          Panel Section: WHOLE           Stile in the back Width:            Cutout A:           Cutout B:      F.C.:1 in.         C.C.:4.1875 in.   </v>
      </c>
      <c r="S228" t="str">
        <f t="shared" si="11"/>
        <v>TRUE</v>
      </c>
      <c r="T228" t="str">
        <f t="shared" si="13"/>
        <v>TRUE</v>
      </c>
    </row>
    <row r="229" spans="1:20">
      <c r="A229" t="s">
        <v>389</v>
      </c>
      <c r="B229" s="14" t="s">
        <v>144</v>
      </c>
      <c r="C229" s="14" t="s">
        <v>156</v>
      </c>
      <c r="D229" s="19">
        <v>0</v>
      </c>
      <c r="E229" s="19"/>
      <c r="F229" s="19">
        <v>0</v>
      </c>
      <c r="G229" s="19"/>
      <c r="H229" s="14"/>
      <c r="I229" s="8" t="s">
        <v>121</v>
      </c>
      <c r="J229" s="8" t="s">
        <v>120</v>
      </c>
      <c r="K229">
        <v>48.375</v>
      </c>
      <c r="L229">
        <v>49.5</v>
      </c>
      <c r="M229" s="14">
        <v>4.5</v>
      </c>
      <c r="N229" s="14">
        <v>1</v>
      </c>
      <c r="R229" t="str">
        <f t="shared" si="12"/>
        <v xml:space="preserve">XX8X_PV_0361:    Front abuts stile:FALSE       Back abuts stile:FALSE          Panel Section: TOP           Stile in the back Width:            Cutout A: B-4354          Cutout B:B-386      F.C.:4.5 in.         C.C.:1 in.   </v>
      </c>
      <c r="S229" t="str">
        <f t="shared" si="11"/>
        <v>FALSE</v>
      </c>
      <c r="T229" t="str">
        <f t="shared" si="13"/>
        <v>FALSE</v>
      </c>
    </row>
    <row r="230" spans="1:20">
      <c r="A230" t="s">
        <v>390</v>
      </c>
      <c r="B230" s="14" t="s">
        <v>144</v>
      </c>
      <c r="C230" s="14" t="s">
        <v>156</v>
      </c>
      <c r="D230" s="14">
        <v>0</v>
      </c>
      <c r="E230" s="14"/>
      <c r="F230" s="14">
        <v>1</v>
      </c>
      <c r="G230" s="14">
        <v>0</v>
      </c>
      <c r="H230" s="14">
        <v>12</v>
      </c>
      <c r="I230" s="8" t="s">
        <v>38</v>
      </c>
      <c r="J230" s="8" t="s">
        <v>38</v>
      </c>
      <c r="K230">
        <v>3.3125</v>
      </c>
      <c r="L230">
        <v>54.1875</v>
      </c>
      <c r="M230" s="14">
        <v>3.625</v>
      </c>
      <c r="N230" s="14">
        <v>4.625</v>
      </c>
      <c r="R230" t="str">
        <f t="shared" si="12"/>
        <v xml:space="preserve">XX8X_PV_0362:    Front abuts stile:FALSE       Back abuts stile:TRUE          Panel Section: TOP           Stile in the back Width: 12           Cutout A:           Cutout B:      F.C.:3.625 in.         C.C.:4.625 in.   </v>
      </c>
      <c r="S230" t="str">
        <f t="shared" si="11"/>
        <v>FALSE</v>
      </c>
      <c r="T230" t="str">
        <f t="shared" si="13"/>
        <v>TRUE</v>
      </c>
    </row>
    <row r="231" spans="1:20">
      <c r="A231" t="s">
        <v>391</v>
      </c>
      <c r="B231" s="14" t="s">
        <v>144</v>
      </c>
      <c r="C231" s="14" t="s">
        <v>156</v>
      </c>
      <c r="D231" s="14">
        <v>0</v>
      </c>
      <c r="E231" s="14"/>
      <c r="F231" s="14">
        <v>1</v>
      </c>
      <c r="G231" s="14">
        <v>0</v>
      </c>
      <c r="H231" s="14">
        <v>24</v>
      </c>
      <c r="I231" s="8" t="s">
        <v>120</v>
      </c>
      <c r="J231" s="8" t="s">
        <v>38</v>
      </c>
      <c r="K231">
        <v>42.1875</v>
      </c>
      <c r="L231">
        <v>41.25</v>
      </c>
      <c r="M231" s="14">
        <v>1</v>
      </c>
      <c r="N231" s="14">
        <v>1</v>
      </c>
      <c r="R231" t="str">
        <f t="shared" si="12"/>
        <v xml:space="preserve">XX8X_PV_0363:    Front abuts stile:FALSE       Back abuts stile:TRUE          Panel Section: TOP           Stile in the back Width: 24           Cutout A: B-386          Cutout B:      F.C.:1 in.         C.C.:1 in.   </v>
      </c>
      <c r="S231" t="str">
        <f t="shared" si="11"/>
        <v>FALSE</v>
      </c>
      <c r="T231" t="str">
        <f t="shared" si="13"/>
        <v>TRUE</v>
      </c>
    </row>
    <row r="232" spans="1:20">
      <c r="A232" t="s">
        <v>392</v>
      </c>
      <c r="B232" s="14" t="s">
        <v>144</v>
      </c>
      <c r="C232" s="14" t="s">
        <v>156</v>
      </c>
      <c r="D232" s="14">
        <v>0</v>
      </c>
      <c r="E232" s="14"/>
      <c r="F232" s="14">
        <v>1</v>
      </c>
      <c r="G232" s="14">
        <v>0</v>
      </c>
      <c r="H232" s="14"/>
      <c r="I232" s="8" t="s">
        <v>38</v>
      </c>
      <c r="J232" s="8" t="s">
        <v>38</v>
      </c>
      <c r="K232">
        <v>29</v>
      </c>
      <c r="L232">
        <v>71.875</v>
      </c>
      <c r="M232" s="14">
        <v>1.875</v>
      </c>
      <c r="N232" s="14">
        <v>1.5</v>
      </c>
      <c r="R232" t="str">
        <f t="shared" si="12"/>
        <v xml:space="preserve">XX8X_PV_0364:    Front abuts stile:FALSE       Back abuts stile:TRUE          Panel Section: TOP           Stile in the back Width:            Cutout A:           Cutout B:      F.C.:1.875 in.         C.C.:1.5 in.   </v>
      </c>
      <c r="S232" t="str">
        <f t="shared" si="11"/>
        <v>FALSE</v>
      </c>
      <c r="T232" t="str">
        <f t="shared" si="13"/>
        <v>TRUE</v>
      </c>
    </row>
    <row r="233" spans="1:20">
      <c r="A233" t="s">
        <v>393</v>
      </c>
      <c r="B233" s="14" t="s">
        <v>144</v>
      </c>
      <c r="C233" s="14" t="s">
        <v>156</v>
      </c>
      <c r="D233" s="14">
        <v>0</v>
      </c>
      <c r="E233" s="14"/>
      <c r="F233" s="14">
        <v>1</v>
      </c>
      <c r="G233" s="14">
        <v>1</v>
      </c>
      <c r="H233" s="14"/>
      <c r="I233" s="8" t="s">
        <v>38</v>
      </c>
      <c r="J233" s="8" t="s">
        <v>38</v>
      </c>
      <c r="K233">
        <v>42.625</v>
      </c>
      <c r="L233">
        <v>48.5625</v>
      </c>
      <c r="M233" s="14">
        <v>4.5</v>
      </c>
      <c r="N233" s="14">
        <v>6.875</v>
      </c>
      <c r="R233" t="str">
        <f t="shared" si="12"/>
        <v xml:space="preserve">XX8X_PV_0365:    Front abuts stile:FALSE       Back abuts stile:TRUE          Panel Section: TOP           Stile in the back Width:            Cutout A:           Cutout B:      F.C.:4.5 in.         C.C.:6.875 in.   </v>
      </c>
      <c r="S233" t="str">
        <f t="shared" si="11"/>
        <v>FALSE</v>
      </c>
      <c r="T233" t="str">
        <f t="shared" si="13"/>
        <v>TRUE</v>
      </c>
    </row>
    <row r="234" spans="1:20">
      <c r="A234" t="s">
        <v>394</v>
      </c>
      <c r="B234" s="14" t="s">
        <v>144</v>
      </c>
      <c r="C234" s="14" t="s">
        <v>156</v>
      </c>
      <c r="D234" s="14">
        <v>1</v>
      </c>
      <c r="E234" s="14">
        <v>0</v>
      </c>
      <c r="F234" s="14">
        <v>0</v>
      </c>
      <c r="G234" s="14"/>
      <c r="H234" s="14"/>
      <c r="I234" s="8" t="s">
        <v>145</v>
      </c>
      <c r="J234" s="8" t="s">
        <v>38</v>
      </c>
      <c r="K234">
        <v>37.0625</v>
      </c>
      <c r="L234">
        <v>46.3125</v>
      </c>
      <c r="M234" s="14">
        <v>9</v>
      </c>
      <c r="N234" s="14">
        <v>1.5</v>
      </c>
      <c r="R234" t="str">
        <f t="shared" si="12"/>
        <v xml:space="preserve">XX8X_PV_0366:    Front abuts stile:TRUE       Back abuts stile:FALSE          Panel Section: TOP           Stile in the back Width:            Cutout A: B-347          Cutout B:      F.C.:9 in.         C.C.:1.5 in.   </v>
      </c>
      <c r="S234" t="str">
        <f t="shared" si="11"/>
        <v>TRUE</v>
      </c>
      <c r="T234" t="str">
        <f t="shared" si="13"/>
        <v>FALSE</v>
      </c>
    </row>
    <row r="235" spans="1:20">
      <c r="A235" t="s">
        <v>395</v>
      </c>
      <c r="B235" s="14" t="s">
        <v>144</v>
      </c>
      <c r="C235" s="14" t="s">
        <v>156</v>
      </c>
      <c r="D235" s="14">
        <v>1</v>
      </c>
      <c r="E235" s="14">
        <v>0</v>
      </c>
      <c r="F235" s="14">
        <v>1</v>
      </c>
      <c r="G235" s="14">
        <v>0</v>
      </c>
      <c r="H235" s="14">
        <v>12</v>
      </c>
      <c r="I235" s="8" t="s">
        <v>150</v>
      </c>
      <c r="J235" s="8" t="s">
        <v>38</v>
      </c>
      <c r="K235">
        <v>48.375</v>
      </c>
      <c r="L235">
        <v>65.875</v>
      </c>
      <c r="M235" s="14">
        <v>4.5</v>
      </c>
      <c r="N235" s="14">
        <v>6</v>
      </c>
      <c r="R235" t="str">
        <f t="shared" si="12"/>
        <v xml:space="preserve">XX8X_PV_0367:    Front abuts stile:TRUE       Back abuts stile:TRUE          Panel Section: TOP           Stile in the back Width: 12           Cutout A: B-3571          Cutout B:      F.C.:4.5 in.         C.C.:6 in.   </v>
      </c>
      <c r="S235" t="str">
        <f t="shared" si="11"/>
        <v>TRUE</v>
      </c>
      <c r="T235" t="str">
        <f t="shared" si="13"/>
        <v>TRUE</v>
      </c>
    </row>
    <row r="236" spans="1:20">
      <c r="A236" t="s">
        <v>396</v>
      </c>
      <c r="B236" s="14" t="s">
        <v>144</v>
      </c>
      <c r="C236" s="14" t="s">
        <v>156</v>
      </c>
      <c r="D236" s="14">
        <v>1</v>
      </c>
      <c r="E236" s="14">
        <v>0</v>
      </c>
      <c r="F236" s="14">
        <v>1</v>
      </c>
      <c r="G236" s="14">
        <v>0</v>
      </c>
      <c r="H236" s="14">
        <v>24</v>
      </c>
      <c r="I236" s="8" t="s">
        <v>120</v>
      </c>
      <c r="J236" s="8" t="s">
        <v>38</v>
      </c>
      <c r="K236">
        <v>17.8125</v>
      </c>
      <c r="L236">
        <v>73.875</v>
      </c>
      <c r="M236" s="14">
        <v>12</v>
      </c>
      <c r="N236" s="14">
        <v>3.6875</v>
      </c>
      <c r="R236" t="str">
        <f t="shared" si="12"/>
        <v xml:space="preserve">XX8X_PV_0368:    Front abuts stile:TRUE       Back abuts stile:TRUE          Panel Section: TOP           Stile in the back Width: 24           Cutout A: B-386          Cutout B:      F.C.:12 in.         C.C.:3.6875 in.   </v>
      </c>
      <c r="S236" t="str">
        <f t="shared" si="11"/>
        <v>TRUE</v>
      </c>
      <c r="T236" t="str">
        <f t="shared" si="13"/>
        <v>TRUE</v>
      </c>
    </row>
    <row r="237" spans="1:20">
      <c r="A237" t="s">
        <v>397</v>
      </c>
      <c r="B237" s="14" t="s">
        <v>144</v>
      </c>
      <c r="C237" s="14" t="s">
        <v>156</v>
      </c>
      <c r="D237" s="14">
        <v>1</v>
      </c>
      <c r="E237" s="14">
        <v>0</v>
      </c>
      <c r="F237" s="14">
        <v>1</v>
      </c>
      <c r="G237" s="14">
        <v>0</v>
      </c>
      <c r="H237" s="14"/>
      <c r="I237" s="8" t="s">
        <v>38</v>
      </c>
      <c r="J237" s="8" t="s">
        <v>38</v>
      </c>
      <c r="K237">
        <v>15.375</v>
      </c>
      <c r="L237">
        <v>50.125</v>
      </c>
      <c r="M237" s="14">
        <v>2.125</v>
      </c>
      <c r="N237" s="14">
        <v>1</v>
      </c>
      <c r="R237" t="str">
        <f t="shared" si="12"/>
        <v xml:space="preserve">XX8X_PV_0369:    Front abuts stile:TRUE       Back abuts stile:TRUE          Panel Section: TOP           Stile in the back Width:            Cutout A:           Cutout B:      F.C.:2.125 in.         C.C.:1 in.   </v>
      </c>
      <c r="S237" t="str">
        <f t="shared" si="11"/>
        <v>TRUE</v>
      </c>
      <c r="T237" t="str">
        <f t="shared" si="13"/>
        <v>TRUE</v>
      </c>
    </row>
    <row r="238" spans="1:20">
      <c r="A238" t="s">
        <v>398</v>
      </c>
      <c r="B238" s="14" t="s">
        <v>144</v>
      </c>
      <c r="C238" s="14" t="s">
        <v>156</v>
      </c>
      <c r="D238" s="14">
        <v>1</v>
      </c>
      <c r="E238" s="14">
        <v>0</v>
      </c>
      <c r="F238" s="14">
        <v>1</v>
      </c>
      <c r="G238" s="14">
        <v>1</v>
      </c>
      <c r="H238" s="14"/>
      <c r="I238" s="8" t="s">
        <v>38</v>
      </c>
      <c r="J238" s="8" t="s">
        <v>38</v>
      </c>
      <c r="K238">
        <v>12.375</v>
      </c>
      <c r="L238">
        <v>46.5625</v>
      </c>
      <c r="M238" s="14">
        <v>7.1875</v>
      </c>
      <c r="N238" s="14">
        <v>6.8125</v>
      </c>
      <c r="R238" t="str">
        <f t="shared" si="12"/>
        <v xml:space="preserve">XX8X_PV_0370:    Front abuts stile:TRUE       Back abuts stile:TRUE          Panel Section: TOP           Stile in the back Width:            Cutout A:           Cutout B:      F.C.:7.1875 in.         C.C.:6.8125 in.   </v>
      </c>
      <c r="S238" t="str">
        <f t="shared" si="11"/>
        <v>TRUE</v>
      </c>
      <c r="T238" t="str">
        <f t="shared" si="13"/>
        <v>TRUE</v>
      </c>
    </row>
    <row r="239" spans="1:20">
      <c r="A239" t="s">
        <v>399</v>
      </c>
      <c r="B239" s="14" t="s">
        <v>144</v>
      </c>
      <c r="C239" s="14" t="s">
        <v>156</v>
      </c>
      <c r="D239" s="14">
        <v>1</v>
      </c>
      <c r="E239" s="14">
        <v>1</v>
      </c>
      <c r="F239" s="14">
        <v>0</v>
      </c>
      <c r="G239" s="14"/>
      <c r="H239" s="14"/>
      <c r="I239" s="8" t="s">
        <v>145</v>
      </c>
      <c r="J239" s="8" t="s">
        <v>38</v>
      </c>
      <c r="K239">
        <v>36.3125</v>
      </c>
      <c r="L239">
        <v>50.4375</v>
      </c>
      <c r="M239" s="14">
        <v>4.5</v>
      </c>
      <c r="N239" s="14">
        <v>7.3125</v>
      </c>
      <c r="R239" t="str">
        <f t="shared" si="12"/>
        <v xml:space="preserve">XX8X_PV_0371:    Front abuts stile:TRUE       Back abuts stile:FALSE          Panel Section: TOP           Stile in the back Width:            Cutout A: B-347          Cutout B:      F.C.:4.5 in.         C.C.:7.3125 in.   </v>
      </c>
      <c r="S239" t="str">
        <f t="shared" si="11"/>
        <v>TRUE</v>
      </c>
      <c r="T239" t="str">
        <f t="shared" si="13"/>
        <v>FALSE</v>
      </c>
    </row>
    <row r="240" spans="1:20">
      <c r="A240" t="s">
        <v>400</v>
      </c>
      <c r="B240" s="14" t="s">
        <v>144</v>
      </c>
      <c r="C240" s="14" t="s">
        <v>156</v>
      </c>
      <c r="D240" s="14">
        <v>1</v>
      </c>
      <c r="E240" s="14">
        <v>1</v>
      </c>
      <c r="F240" s="14">
        <v>1</v>
      </c>
      <c r="G240" s="14">
        <v>0</v>
      </c>
      <c r="H240" s="14">
        <v>12</v>
      </c>
      <c r="I240" s="8" t="s">
        <v>145</v>
      </c>
      <c r="J240" s="8" t="s">
        <v>38</v>
      </c>
      <c r="K240">
        <v>9.875</v>
      </c>
      <c r="L240">
        <v>58.4375</v>
      </c>
      <c r="M240" s="14">
        <v>12</v>
      </c>
      <c r="N240" s="14">
        <v>5.3125</v>
      </c>
      <c r="R240" t="str">
        <f t="shared" si="12"/>
        <v xml:space="preserve">XX8X_PV_0372:    Front abuts stile:TRUE       Back abuts stile:TRUE          Panel Section: TOP           Stile in the back Width: 12           Cutout A: B-347          Cutout B:      F.C.:12 in.         C.C.:5.3125 in.   </v>
      </c>
      <c r="S240" t="str">
        <f t="shared" si="11"/>
        <v>TRUE</v>
      </c>
      <c r="T240" t="str">
        <f t="shared" si="13"/>
        <v>TRUE</v>
      </c>
    </row>
    <row r="241" spans="1:20">
      <c r="A241" t="s">
        <v>401</v>
      </c>
      <c r="B241" s="14" t="s">
        <v>144</v>
      </c>
      <c r="C241" s="14" t="s">
        <v>156</v>
      </c>
      <c r="D241" s="14">
        <v>1</v>
      </c>
      <c r="E241" s="14">
        <v>1</v>
      </c>
      <c r="F241" s="14">
        <v>1</v>
      </c>
      <c r="G241" s="14">
        <v>0</v>
      </c>
      <c r="H241" s="14">
        <v>24</v>
      </c>
      <c r="I241" s="8" t="s">
        <v>38</v>
      </c>
      <c r="J241" s="8" t="s">
        <v>38</v>
      </c>
      <c r="K241">
        <v>19.125</v>
      </c>
      <c r="L241">
        <v>70.375</v>
      </c>
      <c r="M241" s="14">
        <v>4.1875</v>
      </c>
      <c r="N241" s="14">
        <v>1</v>
      </c>
      <c r="R241" t="str">
        <f t="shared" si="12"/>
        <v xml:space="preserve">XX8X_PV_0373:    Front abuts stile:TRUE       Back abuts stile:TRUE          Panel Section: TOP           Stile in the back Width: 24           Cutout A:           Cutout B:      F.C.:4.1875 in.         C.C.:1 in.   </v>
      </c>
      <c r="S241" t="str">
        <f t="shared" si="11"/>
        <v>TRUE</v>
      </c>
      <c r="T241" t="str">
        <f t="shared" si="13"/>
        <v>TRUE</v>
      </c>
    </row>
    <row r="242" spans="1:20">
      <c r="A242" t="s">
        <v>402</v>
      </c>
      <c r="B242" s="14" t="s">
        <v>144</v>
      </c>
      <c r="C242" s="14" t="s">
        <v>156</v>
      </c>
      <c r="D242" s="14">
        <v>1</v>
      </c>
      <c r="E242" s="14">
        <v>1</v>
      </c>
      <c r="F242" s="14">
        <v>1</v>
      </c>
      <c r="G242" s="14">
        <v>0</v>
      </c>
      <c r="H242" s="14"/>
      <c r="I242" s="8" t="s">
        <v>38</v>
      </c>
      <c r="J242" s="8" t="s">
        <v>38</v>
      </c>
      <c r="K242">
        <v>18.6875</v>
      </c>
      <c r="L242">
        <v>47.5625</v>
      </c>
      <c r="M242" s="14">
        <v>9</v>
      </c>
      <c r="N242" s="14">
        <v>2.0625</v>
      </c>
      <c r="R242" t="str">
        <f t="shared" si="12"/>
        <v xml:space="preserve">XX8X_PV_0374:    Front abuts stile:TRUE       Back abuts stile:TRUE          Panel Section: TOP           Stile in the back Width:            Cutout A:           Cutout B:      F.C.:9 in.         C.C.:2.0625 in.   </v>
      </c>
      <c r="S242" t="str">
        <f t="shared" si="11"/>
        <v>TRUE</v>
      </c>
      <c r="T242" t="str">
        <f t="shared" si="13"/>
        <v>TRUE</v>
      </c>
    </row>
    <row r="243" spans="1:20">
      <c r="A243" t="s">
        <v>403</v>
      </c>
      <c r="B243" s="14" t="s">
        <v>144</v>
      </c>
      <c r="C243" s="14" t="s">
        <v>156</v>
      </c>
      <c r="D243" s="14">
        <v>1</v>
      </c>
      <c r="E243" s="14">
        <v>1</v>
      </c>
      <c r="F243" s="14">
        <v>1</v>
      </c>
      <c r="G243" s="14">
        <v>1</v>
      </c>
      <c r="H243" s="14"/>
      <c r="I243" s="8" t="s">
        <v>38</v>
      </c>
      <c r="J243" s="8" t="s">
        <v>38</v>
      </c>
      <c r="K243">
        <v>4.8125</v>
      </c>
      <c r="L243">
        <v>69.5625</v>
      </c>
      <c r="M243" s="14">
        <v>1</v>
      </c>
      <c r="N243" s="14">
        <v>1</v>
      </c>
      <c r="R243" t="str">
        <f t="shared" si="12"/>
        <v xml:space="preserve">XX8X_PV_0375:    Front abuts stile:TRUE       Back abuts stile:TRUE          Panel Section: TOP           Stile in the back Width:            Cutout A:           Cutout B:      F.C.:1 in.         C.C.:1 in.   </v>
      </c>
      <c r="S243" t="str">
        <f t="shared" si="11"/>
        <v>TRUE</v>
      </c>
      <c r="T243" t="str">
        <f t="shared" si="13"/>
        <v>TRUE</v>
      </c>
    </row>
    <row r="244" spans="1:20">
      <c r="A244" t="s">
        <v>404</v>
      </c>
      <c r="B244" s="14" t="s">
        <v>144</v>
      </c>
      <c r="C244" s="14" t="s">
        <v>157</v>
      </c>
      <c r="D244" s="14">
        <v>0</v>
      </c>
      <c r="E244" s="14"/>
      <c r="F244" s="14">
        <v>0</v>
      </c>
      <c r="G244" s="14"/>
      <c r="H244" s="14"/>
      <c r="I244" s="8" t="s">
        <v>38</v>
      </c>
      <c r="J244" s="8" t="s">
        <v>38</v>
      </c>
      <c r="K244">
        <v>60</v>
      </c>
      <c r="L244">
        <v>51.4375</v>
      </c>
      <c r="M244" s="14">
        <v>9.875</v>
      </c>
      <c r="N244" s="14">
        <v>4.5</v>
      </c>
      <c r="R244" t="str">
        <f t="shared" si="12"/>
        <v xml:space="preserve">XX8X_PV_0391:    Front abuts stile:FALSE       Back abuts stile:FALSE          Panel Section: BOTTOM           Stile in the back Width:            Cutout A:           Cutout B:      F.C.:9.875 in.         C.C.:4.5 in.   </v>
      </c>
      <c r="S244" t="str">
        <f t="shared" si="11"/>
        <v>FALSE</v>
      </c>
      <c r="T244" t="str">
        <f t="shared" si="13"/>
        <v>FALSE</v>
      </c>
    </row>
    <row r="245" spans="1:20">
      <c r="A245" t="s">
        <v>405</v>
      </c>
      <c r="B245" s="14" t="s">
        <v>144</v>
      </c>
      <c r="C245" s="14" t="s">
        <v>157</v>
      </c>
      <c r="D245" s="14">
        <v>0</v>
      </c>
      <c r="E245" s="14"/>
      <c r="F245" s="14">
        <v>1</v>
      </c>
      <c r="G245" s="14">
        <v>0</v>
      </c>
      <c r="H245" s="14">
        <v>12</v>
      </c>
      <c r="I245" s="8" t="s">
        <v>150</v>
      </c>
      <c r="J245" s="8" t="s">
        <v>38</v>
      </c>
      <c r="K245">
        <v>60</v>
      </c>
      <c r="L245">
        <v>45.4375</v>
      </c>
      <c r="M245" s="14">
        <v>12</v>
      </c>
      <c r="N245" s="14">
        <v>4</v>
      </c>
      <c r="R245" t="str">
        <f t="shared" si="12"/>
        <v xml:space="preserve">XX8X_PV_0392:    Front abuts stile:FALSE       Back abuts stile:TRUE          Panel Section: BOTTOM           Stile in the back Width: 12           Cutout A: B-3571          Cutout B:      F.C.:12 in.         C.C.:4 in.   </v>
      </c>
      <c r="S245" t="str">
        <f t="shared" si="11"/>
        <v>FALSE</v>
      </c>
      <c r="T245" t="str">
        <f t="shared" si="13"/>
        <v>TRUE</v>
      </c>
    </row>
    <row r="246" spans="1:20">
      <c r="A246" t="s">
        <v>406</v>
      </c>
      <c r="B246" s="14" t="s">
        <v>144</v>
      </c>
      <c r="C246" s="14" t="s">
        <v>157</v>
      </c>
      <c r="D246" s="14">
        <v>0</v>
      </c>
      <c r="E246" s="14"/>
      <c r="F246" s="14">
        <v>1</v>
      </c>
      <c r="G246" s="14">
        <v>0</v>
      </c>
      <c r="H246" s="14">
        <v>24</v>
      </c>
      <c r="I246" s="8" t="s">
        <v>120</v>
      </c>
      <c r="J246" s="8" t="s">
        <v>38</v>
      </c>
      <c r="K246">
        <v>60</v>
      </c>
      <c r="L246">
        <v>78.5625</v>
      </c>
      <c r="M246" s="14">
        <v>4.5</v>
      </c>
      <c r="N246" s="14">
        <v>4</v>
      </c>
      <c r="R246" t="str">
        <f t="shared" si="12"/>
        <v xml:space="preserve">XX8X_PV_0393:    Front abuts stile:FALSE       Back abuts stile:TRUE          Panel Section: BOTTOM           Stile in the back Width: 24           Cutout A: B-386          Cutout B:      F.C.:4.5 in.         C.C.:4 in.   </v>
      </c>
      <c r="S246" t="str">
        <f t="shared" si="11"/>
        <v>FALSE</v>
      </c>
      <c r="T246" t="str">
        <f t="shared" si="13"/>
        <v>TRUE</v>
      </c>
    </row>
    <row r="247" spans="1:20">
      <c r="A247" t="s">
        <v>407</v>
      </c>
      <c r="B247" s="14" t="s">
        <v>144</v>
      </c>
      <c r="C247" s="14" t="s">
        <v>157</v>
      </c>
      <c r="D247" s="14">
        <v>0</v>
      </c>
      <c r="E247" s="14"/>
      <c r="F247" s="14">
        <v>1</v>
      </c>
      <c r="G247" s="14">
        <v>0</v>
      </c>
      <c r="H247" s="14"/>
      <c r="I247" s="8" t="s">
        <v>38</v>
      </c>
      <c r="J247" s="8" t="s">
        <v>38</v>
      </c>
      <c r="K247">
        <v>60</v>
      </c>
      <c r="L247">
        <v>74.0625</v>
      </c>
      <c r="M247" s="14">
        <v>12</v>
      </c>
      <c r="N247" s="14">
        <v>2.5625</v>
      </c>
      <c r="R247" t="str">
        <f t="shared" si="12"/>
        <v xml:space="preserve">XX8X_PV_0394:    Front abuts stile:FALSE       Back abuts stile:TRUE          Panel Section: BOTTOM           Stile in the back Width:            Cutout A:           Cutout B:      F.C.:12 in.         C.C.:2.5625 in.   </v>
      </c>
      <c r="S247" t="str">
        <f t="shared" si="11"/>
        <v>FALSE</v>
      </c>
      <c r="T247" t="str">
        <f t="shared" si="13"/>
        <v>TRUE</v>
      </c>
    </row>
    <row r="248" spans="1:20">
      <c r="A248" t="s">
        <v>408</v>
      </c>
      <c r="B248" s="14" t="s">
        <v>144</v>
      </c>
      <c r="C248" s="14" t="s">
        <v>157</v>
      </c>
      <c r="D248" s="14">
        <v>0</v>
      </c>
      <c r="E248" s="14"/>
      <c r="F248" s="14">
        <v>1</v>
      </c>
      <c r="G248" s="14">
        <v>1</v>
      </c>
      <c r="H248" s="14"/>
      <c r="I248" s="8" t="s">
        <v>38</v>
      </c>
      <c r="J248" s="8" t="s">
        <v>38</v>
      </c>
      <c r="K248">
        <v>60</v>
      </c>
      <c r="L248">
        <v>52.3125</v>
      </c>
      <c r="M248" s="14">
        <v>4.5</v>
      </c>
      <c r="N248" s="14">
        <v>7.3125</v>
      </c>
      <c r="R248" t="str">
        <f t="shared" si="12"/>
        <v xml:space="preserve">XX8X_PV_0395:    Front abuts stile:FALSE       Back abuts stile:TRUE          Panel Section: BOTTOM           Stile in the back Width:            Cutout A:           Cutout B:      F.C.:4.5 in.         C.C.:7.3125 in.   </v>
      </c>
      <c r="S248" t="str">
        <f t="shared" si="11"/>
        <v>FALSE</v>
      </c>
      <c r="T248" t="str">
        <f t="shared" si="13"/>
        <v>TRUE</v>
      </c>
    </row>
    <row r="249" spans="1:20">
      <c r="A249" t="s">
        <v>409</v>
      </c>
      <c r="B249" s="14" t="s">
        <v>144</v>
      </c>
      <c r="C249" s="14" t="s">
        <v>157</v>
      </c>
      <c r="D249" s="14">
        <v>1</v>
      </c>
      <c r="E249" s="14">
        <v>0</v>
      </c>
      <c r="F249" s="14">
        <v>0</v>
      </c>
      <c r="G249" s="14"/>
      <c r="H249" s="14"/>
      <c r="I249" s="8" t="s">
        <v>151</v>
      </c>
      <c r="J249" s="8" t="s">
        <v>38</v>
      </c>
      <c r="K249">
        <v>60</v>
      </c>
      <c r="L249">
        <v>55.625</v>
      </c>
      <c r="M249" s="14">
        <v>1</v>
      </c>
      <c r="N249" s="14">
        <v>6.1875</v>
      </c>
      <c r="R249" t="str">
        <f t="shared" si="12"/>
        <v xml:space="preserve">XX8X_PV_0396:    Front abuts stile:TRUE       Back abuts stile:FALSE          Panel Section: BOTTOM           Stile in the back Width:            Cutout A: B-35715          Cutout B:      F.C.:1 in.         C.C.:6.1875 in.   </v>
      </c>
      <c r="S249" t="str">
        <f t="shared" si="11"/>
        <v>TRUE</v>
      </c>
      <c r="T249" t="str">
        <f t="shared" si="13"/>
        <v>FALSE</v>
      </c>
    </row>
    <row r="250" spans="1:20">
      <c r="A250" t="s">
        <v>410</v>
      </c>
      <c r="B250" s="14" t="s">
        <v>144</v>
      </c>
      <c r="C250" s="14" t="s">
        <v>157</v>
      </c>
      <c r="D250" s="14">
        <v>1</v>
      </c>
      <c r="E250" s="14">
        <v>0</v>
      </c>
      <c r="F250" s="14">
        <v>1</v>
      </c>
      <c r="G250" s="14">
        <v>0</v>
      </c>
      <c r="H250" s="14">
        <v>12</v>
      </c>
      <c r="I250" s="8" t="s">
        <v>38</v>
      </c>
      <c r="J250" s="8" t="s">
        <v>38</v>
      </c>
      <c r="K250">
        <v>60</v>
      </c>
      <c r="L250">
        <v>44</v>
      </c>
      <c r="M250" s="14">
        <v>1.25</v>
      </c>
      <c r="N250" s="14">
        <v>5.6875</v>
      </c>
      <c r="R250" t="str">
        <f t="shared" si="12"/>
        <v xml:space="preserve">XX8X_PV_0397:    Front abuts stile:TRUE       Back abuts stile:TRUE          Panel Section: BOTTOM           Stile in the back Width: 12           Cutout A:           Cutout B:      F.C.:1.25 in.         C.C.:5.6875 in.   </v>
      </c>
      <c r="S250" t="str">
        <f t="shared" si="11"/>
        <v>TRUE</v>
      </c>
      <c r="T250" t="str">
        <f t="shared" si="13"/>
        <v>TRUE</v>
      </c>
    </row>
    <row r="251" spans="1:20">
      <c r="A251" t="s">
        <v>411</v>
      </c>
      <c r="B251" s="14" t="s">
        <v>144</v>
      </c>
      <c r="C251" s="14" t="s">
        <v>157</v>
      </c>
      <c r="D251" s="14">
        <v>1</v>
      </c>
      <c r="E251" s="14">
        <v>0</v>
      </c>
      <c r="F251" s="14">
        <v>1</v>
      </c>
      <c r="G251" s="14">
        <v>0</v>
      </c>
      <c r="H251" s="14">
        <v>24</v>
      </c>
      <c r="I251" s="8" t="s">
        <v>120</v>
      </c>
      <c r="J251" s="8" t="s">
        <v>38</v>
      </c>
      <c r="K251">
        <v>60</v>
      </c>
      <c r="L251">
        <v>41.9375</v>
      </c>
      <c r="M251" s="14">
        <v>7.0625</v>
      </c>
      <c r="N251" s="14">
        <v>1</v>
      </c>
      <c r="R251" t="str">
        <f t="shared" si="12"/>
        <v xml:space="preserve">XX8X_PV_0398:    Front abuts stile:TRUE       Back abuts stile:TRUE          Panel Section: BOTTOM           Stile in the back Width: 24           Cutout A: B-386          Cutout B:      F.C.:7.0625 in.         C.C.:1 in.   </v>
      </c>
      <c r="S251" t="str">
        <f t="shared" si="11"/>
        <v>TRUE</v>
      </c>
      <c r="T251" t="str">
        <f t="shared" si="13"/>
        <v>TRUE</v>
      </c>
    </row>
    <row r="252" spans="1:20">
      <c r="A252" t="s">
        <v>412</v>
      </c>
      <c r="B252" s="14" t="s">
        <v>144</v>
      </c>
      <c r="C252" s="14" t="s">
        <v>157</v>
      </c>
      <c r="D252" s="14">
        <v>1</v>
      </c>
      <c r="E252" s="14">
        <v>0</v>
      </c>
      <c r="F252" s="14">
        <v>1</v>
      </c>
      <c r="G252" s="14">
        <v>0</v>
      </c>
      <c r="H252" s="14"/>
      <c r="I252" s="8" t="s">
        <v>38</v>
      </c>
      <c r="J252" s="8" t="s">
        <v>38</v>
      </c>
      <c r="K252">
        <v>60</v>
      </c>
      <c r="L252">
        <v>66.4375</v>
      </c>
      <c r="M252" s="14">
        <v>2.3125</v>
      </c>
      <c r="N252" s="14">
        <v>1</v>
      </c>
      <c r="R252" t="str">
        <f t="shared" si="12"/>
        <v xml:space="preserve">XX8X_PV_0399:    Front abuts stile:TRUE       Back abuts stile:TRUE          Panel Section: BOTTOM           Stile in the back Width:            Cutout A:           Cutout B:      F.C.:2.3125 in.         C.C.:1 in.   </v>
      </c>
      <c r="S252" t="str">
        <f t="shared" si="11"/>
        <v>TRUE</v>
      </c>
      <c r="T252" t="str">
        <f t="shared" si="13"/>
        <v>TRUE</v>
      </c>
    </row>
    <row r="253" spans="1:20">
      <c r="A253" t="s">
        <v>413</v>
      </c>
      <c r="B253" s="14" t="s">
        <v>144</v>
      </c>
      <c r="C253" s="14" t="s">
        <v>157</v>
      </c>
      <c r="D253" s="14">
        <v>1</v>
      </c>
      <c r="E253" s="14">
        <v>0</v>
      </c>
      <c r="F253" s="14">
        <v>1</v>
      </c>
      <c r="G253" s="14">
        <v>1</v>
      </c>
      <c r="H253" s="14"/>
      <c r="I253" s="8" t="s">
        <v>38</v>
      </c>
      <c r="J253" s="8" t="s">
        <v>38</v>
      </c>
      <c r="K253">
        <v>60</v>
      </c>
      <c r="L253">
        <v>40.1875</v>
      </c>
      <c r="M253" s="14">
        <v>9</v>
      </c>
      <c r="N253" s="14">
        <v>2.5</v>
      </c>
      <c r="R253" t="str">
        <f t="shared" si="12"/>
        <v xml:space="preserve">XX8X_PV_0400:    Front abuts stile:TRUE       Back abuts stile:TRUE          Panel Section: BOTTOM           Stile in the back Width:            Cutout A:           Cutout B:      F.C.:9 in.         C.C.:2.5 in.   </v>
      </c>
      <c r="S253" t="str">
        <f t="shared" si="11"/>
        <v>TRUE</v>
      </c>
      <c r="T253" t="str">
        <f t="shared" si="13"/>
        <v>TRUE</v>
      </c>
    </row>
    <row r="254" spans="1:20">
      <c r="A254" t="s">
        <v>414</v>
      </c>
      <c r="B254" s="14" t="s">
        <v>143</v>
      </c>
      <c r="C254" s="14" t="s">
        <v>157</v>
      </c>
      <c r="D254" s="14">
        <v>1</v>
      </c>
      <c r="E254" s="14">
        <v>1</v>
      </c>
      <c r="F254" s="14">
        <v>0</v>
      </c>
      <c r="G254" s="14"/>
      <c r="H254" s="14"/>
      <c r="I254" s="8" t="s">
        <v>120</v>
      </c>
      <c r="J254" s="8" t="s">
        <v>38</v>
      </c>
      <c r="K254">
        <v>60</v>
      </c>
      <c r="L254">
        <v>72.3125</v>
      </c>
      <c r="M254" s="14">
        <v>6.875</v>
      </c>
      <c r="N254" s="14">
        <v>4.875</v>
      </c>
      <c r="R254" t="str">
        <f t="shared" si="12"/>
        <v xml:space="preserve">XX8X_PV_0401:    Front abuts stile:TRUE       Back abuts stile:FALSE          Panel Section: BOTTOM           Stile in the back Width:            Cutout A: B-386          Cutout B:      F.C.:6.875 in.         C.C.:4.875 in.   </v>
      </c>
      <c r="S254" t="str">
        <f t="shared" si="11"/>
        <v>TRUE</v>
      </c>
      <c r="T254" t="str">
        <f t="shared" si="13"/>
        <v>FALSE</v>
      </c>
    </row>
    <row r="255" spans="1:20">
      <c r="A255" t="s">
        <v>415</v>
      </c>
      <c r="B255" s="14" t="s">
        <v>143</v>
      </c>
      <c r="C255" s="14" t="s">
        <v>157</v>
      </c>
      <c r="D255" s="14">
        <v>1</v>
      </c>
      <c r="E255" s="14">
        <v>1</v>
      </c>
      <c r="F255" s="14">
        <v>1</v>
      </c>
      <c r="G255" s="14">
        <v>0</v>
      </c>
      <c r="H255" s="14">
        <v>12</v>
      </c>
      <c r="I255" s="8" t="s">
        <v>148</v>
      </c>
      <c r="J255" s="8" t="s">
        <v>38</v>
      </c>
      <c r="K255">
        <v>60</v>
      </c>
      <c r="L255">
        <v>59.1875</v>
      </c>
      <c r="M255" s="14">
        <v>12</v>
      </c>
      <c r="N255" s="14">
        <v>5.625</v>
      </c>
      <c r="R255" t="str">
        <f t="shared" si="12"/>
        <v xml:space="preserve">XX8X_PV_0402:    Front abuts stile:TRUE       Back abuts stile:TRUE          Panel Section: BOTTOM           Stile in the back Width: 12           Cutout A: B-3471          Cutout B:      F.C.:12 in.         C.C.:5.625 in.   </v>
      </c>
      <c r="S255" t="str">
        <f t="shared" si="11"/>
        <v>TRUE</v>
      </c>
      <c r="T255" t="str">
        <f t="shared" si="13"/>
        <v>TRUE</v>
      </c>
    </row>
    <row r="256" spans="1:20">
      <c r="A256" t="s">
        <v>416</v>
      </c>
      <c r="B256" s="14" t="s">
        <v>144</v>
      </c>
      <c r="C256" s="14" t="s">
        <v>157</v>
      </c>
      <c r="D256" s="14">
        <v>1</v>
      </c>
      <c r="E256" s="14">
        <v>1</v>
      </c>
      <c r="F256" s="14">
        <v>1</v>
      </c>
      <c r="G256" s="14">
        <v>0</v>
      </c>
      <c r="H256" s="14">
        <v>24</v>
      </c>
      <c r="I256" s="8" t="s">
        <v>120</v>
      </c>
      <c r="J256" s="8" t="s">
        <v>38</v>
      </c>
      <c r="K256">
        <v>60</v>
      </c>
      <c r="L256">
        <v>60.375</v>
      </c>
      <c r="M256" s="14">
        <v>8.1875</v>
      </c>
      <c r="N256" s="14">
        <v>1</v>
      </c>
      <c r="R256" t="str">
        <f t="shared" si="12"/>
        <v xml:space="preserve">XX8X_PV_0403:    Front abuts stile:TRUE       Back abuts stile:TRUE          Panel Section: BOTTOM           Stile in the back Width: 24           Cutout A: B-386          Cutout B:      F.C.:8.1875 in.         C.C.:1 in.   </v>
      </c>
      <c r="S256" t="str">
        <f t="shared" si="11"/>
        <v>TRUE</v>
      </c>
      <c r="T256" t="str">
        <f t="shared" si="13"/>
        <v>TRUE</v>
      </c>
    </row>
    <row r="257" spans="1:20">
      <c r="A257" t="s">
        <v>417</v>
      </c>
      <c r="B257" s="14" t="s">
        <v>144</v>
      </c>
      <c r="C257" s="14" t="s">
        <v>157</v>
      </c>
      <c r="D257" s="14">
        <v>1</v>
      </c>
      <c r="E257" s="14">
        <v>1</v>
      </c>
      <c r="F257" s="14">
        <v>1</v>
      </c>
      <c r="G257" s="14">
        <v>0</v>
      </c>
      <c r="H257" s="14"/>
      <c r="I257" s="8" t="s">
        <v>38</v>
      </c>
      <c r="J257" s="8" t="s">
        <v>38</v>
      </c>
      <c r="K257">
        <v>60</v>
      </c>
      <c r="L257">
        <v>60.8125</v>
      </c>
      <c r="M257" s="14">
        <v>10.0625</v>
      </c>
      <c r="N257" s="14">
        <v>1</v>
      </c>
      <c r="R257" t="str">
        <f t="shared" si="12"/>
        <v xml:space="preserve">XX8X_PV_0404:    Front abuts stile:TRUE       Back abuts stile:TRUE          Panel Section: BOTTOM           Stile in the back Width:            Cutout A:           Cutout B:      F.C.:10.0625 in.         C.C.:1 in.   </v>
      </c>
      <c r="S257" t="str">
        <f t="shared" si="11"/>
        <v>TRUE</v>
      </c>
      <c r="T257" t="str">
        <f t="shared" si="13"/>
        <v>TRUE</v>
      </c>
    </row>
    <row r="258" spans="1:20">
      <c r="A258" t="s">
        <v>418</v>
      </c>
      <c r="B258" s="14" t="s">
        <v>144</v>
      </c>
      <c r="C258" s="14" t="s">
        <v>157</v>
      </c>
      <c r="D258" s="14">
        <v>1</v>
      </c>
      <c r="E258" s="14">
        <v>1</v>
      </c>
      <c r="F258" s="14">
        <v>1</v>
      </c>
      <c r="G258" s="14">
        <v>1</v>
      </c>
      <c r="H258" s="14"/>
      <c r="I258" s="8" t="s">
        <v>38</v>
      </c>
      <c r="J258" s="8" t="s">
        <v>38</v>
      </c>
      <c r="K258">
        <v>60</v>
      </c>
      <c r="L258">
        <v>79.6875</v>
      </c>
      <c r="M258" s="14">
        <v>2.5625</v>
      </c>
      <c r="N258" s="14">
        <v>7</v>
      </c>
      <c r="R258" t="str">
        <f t="shared" si="12"/>
        <v xml:space="preserve">XX8X_PV_0405:    Front abuts stile:TRUE       Back abuts stile:TRUE          Panel Section: BOTTOM           Stile in the back Width:            Cutout A:           Cutout B:      F.C.:2.5625 in.         C.C.:7 in.   </v>
      </c>
      <c r="S258" t="str">
        <f t="shared" si="11"/>
        <v>TRUE</v>
      </c>
      <c r="T258" t="str">
        <f t="shared" si="13"/>
        <v>TRUE</v>
      </c>
    </row>
    <row r="259" spans="1:20">
      <c r="A259" t="s">
        <v>419</v>
      </c>
      <c r="B259" s="14" t="s">
        <v>144</v>
      </c>
      <c r="C259" s="14" t="s">
        <v>21</v>
      </c>
      <c r="D259" s="14">
        <v>0</v>
      </c>
      <c r="E259" s="14"/>
      <c r="F259" s="14">
        <v>0</v>
      </c>
      <c r="G259" s="14"/>
      <c r="H259" s="14"/>
      <c r="I259" s="8" t="s">
        <v>151</v>
      </c>
      <c r="J259" s="8" t="s">
        <v>38</v>
      </c>
      <c r="K259">
        <v>57.1875</v>
      </c>
      <c r="L259">
        <v>55.625</v>
      </c>
      <c r="M259" s="14">
        <v>9</v>
      </c>
      <c r="N259" s="14">
        <v>1.375</v>
      </c>
      <c r="R259" t="str">
        <f t="shared" si="12"/>
        <v xml:space="preserve">XX8X_PV_0421:    Front abuts stile:FALSE       Back abuts stile:FALSE          Panel Section: WHOLE           Stile in the back Width:            Cutout A: B-35715          Cutout B:      F.C.:9 in.         C.C.:1.375 in.   </v>
      </c>
      <c r="S259" t="str">
        <f t="shared" si="11"/>
        <v>FALSE</v>
      </c>
      <c r="T259" t="str">
        <f t="shared" si="13"/>
        <v>FALSE</v>
      </c>
    </row>
    <row r="260" spans="1:20">
      <c r="A260" t="s">
        <v>420</v>
      </c>
      <c r="B260" s="14" t="s">
        <v>144</v>
      </c>
      <c r="C260" s="14" t="s">
        <v>21</v>
      </c>
      <c r="D260" s="14">
        <v>0</v>
      </c>
      <c r="E260" s="14"/>
      <c r="F260" s="14">
        <v>1</v>
      </c>
      <c r="G260" s="14">
        <v>0</v>
      </c>
      <c r="H260" s="14">
        <v>12</v>
      </c>
      <c r="I260" s="8" t="s">
        <v>145</v>
      </c>
      <c r="J260" s="8" t="s">
        <v>38</v>
      </c>
      <c r="K260">
        <v>46.3125</v>
      </c>
      <c r="L260">
        <v>60.3125</v>
      </c>
      <c r="M260" s="14">
        <v>2.4375</v>
      </c>
      <c r="N260" s="14">
        <v>2.5</v>
      </c>
      <c r="R260" t="str">
        <f t="shared" si="12"/>
        <v xml:space="preserve">XX8X_PV_0422:    Front abuts stile:FALSE       Back abuts stile:TRUE          Panel Section: WHOLE           Stile in the back Width: 12           Cutout A: B-347          Cutout B:      F.C.:2.4375 in.         C.C.:2.5 in.   </v>
      </c>
      <c r="S260" t="str">
        <f t="shared" ref="S260:S323" si="14">IF(D260=1, "TRUE", "FALSE")</f>
        <v>FALSE</v>
      </c>
      <c r="T260" t="str">
        <f t="shared" si="13"/>
        <v>TRUE</v>
      </c>
    </row>
    <row r="261" spans="1:20">
      <c r="A261" t="s">
        <v>421</v>
      </c>
      <c r="B261" s="14" t="s">
        <v>144</v>
      </c>
      <c r="C261" s="14" t="s">
        <v>21</v>
      </c>
      <c r="D261" s="14">
        <v>0</v>
      </c>
      <c r="E261" s="14"/>
      <c r="F261" s="14">
        <v>1</v>
      </c>
      <c r="G261" s="14">
        <v>0</v>
      </c>
      <c r="H261" s="14">
        <v>24</v>
      </c>
      <c r="I261" s="8" t="s">
        <v>38</v>
      </c>
      <c r="J261" s="8" t="s">
        <v>38</v>
      </c>
      <c r="K261">
        <v>96.625</v>
      </c>
      <c r="L261">
        <v>59.5625</v>
      </c>
      <c r="M261" s="14">
        <v>1</v>
      </c>
      <c r="N261" s="14">
        <v>2.125</v>
      </c>
      <c r="R261" t="str">
        <f t="shared" si="12"/>
        <v xml:space="preserve">XX8X_PV_0423:    Front abuts stile:FALSE       Back abuts stile:TRUE          Panel Section: WHOLE           Stile in the back Width: 24           Cutout A:           Cutout B:      F.C.:1 in.         C.C.:2.125 in.   </v>
      </c>
      <c r="S261" t="str">
        <f t="shared" si="14"/>
        <v>FALSE</v>
      </c>
      <c r="T261" t="str">
        <f t="shared" si="13"/>
        <v>TRUE</v>
      </c>
    </row>
    <row r="262" spans="1:20">
      <c r="A262" t="s">
        <v>422</v>
      </c>
      <c r="B262" s="14" t="s">
        <v>144</v>
      </c>
      <c r="C262" s="14" t="s">
        <v>21</v>
      </c>
      <c r="D262" s="14">
        <v>0</v>
      </c>
      <c r="E262" s="14"/>
      <c r="F262" s="14">
        <v>1</v>
      </c>
      <c r="G262" s="14">
        <v>0</v>
      </c>
      <c r="H262" s="14"/>
      <c r="I262" s="8" t="s">
        <v>38</v>
      </c>
      <c r="J262" s="8" t="s">
        <v>38</v>
      </c>
      <c r="K262">
        <v>52.25</v>
      </c>
      <c r="L262">
        <v>42.3125</v>
      </c>
      <c r="M262" s="14">
        <v>3</v>
      </c>
      <c r="N262" s="14">
        <v>4.875</v>
      </c>
      <c r="R262" t="str">
        <f t="shared" si="12"/>
        <v xml:space="preserve">XX8X_PV_0424:    Front abuts stile:FALSE       Back abuts stile:TRUE          Panel Section: WHOLE           Stile in the back Width:            Cutout A:           Cutout B:      F.C.:3 in.         C.C.:4.875 in.   </v>
      </c>
      <c r="S262" t="str">
        <f t="shared" si="14"/>
        <v>FALSE</v>
      </c>
      <c r="T262" t="str">
        <f t="shared" si="13"/>
        <v>TRUE</v>
      </c>
    </row>
    <row r="263" spans="1:20">
      <c r="A263" t="s">
        <v>423</v>
      </c>
      <c r="B263" s="14" t="s">
        <v>144</v>
      </c>
      <c r="C263" s="14" t="s">
        <v>21</v>
      </c>
      <c r="D263" s="14">
        <v>0</v>
      </c>
      <c r="E263" s="14"/>
      <c r="F263" s="14">
        <v>1</v>
      </c>
      <c r="G263" s="14">
        <v>1</v>
      </c>
      <c r="H263" s="14"/>
      <c r="I263" s="8" t="s">
        <v>38</v>
      </c>
      <c r="J263" s="8" t="s">
        <v>38</v>
      </c>
      <c r="K263">
        <v>90.1875</v>
      </c>
      <c r="L263">
        <v>74.1875</v>
      </c>
      <c r="M263" s="14">
        <v>3.1875</v>
      </c>
      <c r="N263" s="14">
        <v>1</v>
      </c>
      <c r="R263" t="str">
        <f t="shared" ref="R263:R326" si="15">A263&amp;":    Front abuts stile:"&amp;S263&amp;"       Back abuts stile:"&amp;T263&amp;"          Panel Section: "&amp;C263&amp;"           Stile in the back Width: "&amp;H263&amp;"           Cutout A: "&amp;I263&amp;"          Cutout B:"&amp;J263&amp;"      F.C.:"&amp;M263&amp;" in. "&amp;"        C.C.:"&amp;N263&amp;" in. "&amp;"  "</f>
        <v xml:space="preserve">XX8X_PV_0425:    Front abuts stile:FALSE       Back abuts stile:TRUE          Panel Section: WHOLE           Stile in the back Width:            Cutout A:           Cutout B:      F.C.:3.1875 in.         C.C.:1 in.   </v>
      </c>
      <c r="S263" t="str">
        <f t="shared" si="14"/>
        <v>FALSE</v>
      </c>
      <c r="T263" t="str">
        <f t="shared" si="13"/>
        <v>TRUE</v>
      </c>
    </row>
    <row r="264" spans="1:20">
      <c r="A264" t="s">
        <v>424</v>
      </c>
      <c r="B264" s="14" t="s">
        <v>144</v>
      </c>
      <c r="C264" s="14" t="s">
        <v>21</v>
      </c>
      <c r="D264" s="14">
        <v>1</v>
      </c>
      <c r="E264" s="14">
        <v>0</v>
      </c>
      <c r="F264" s="14">
        <v>0</v>
      </c>
      <c r="G264" s="14"/>
      <c r="H264" s="14"/>
      <c r="I264" s="8" t="s">
        <v>38</v>
      </c>
      <c r="J264" s="8" t="s">
        <v>38</v>
      </c>
      <c r="K264">
        <v>72.75</v>
      </c>
      <c r="L264">
        <v>32.5</v>
      </c>
      <c r="M264" s="14">
        <v>9.75</v>
      </c>
      <c r="N264" s="14">
        <v>2.875</v>
      </c>
      <c r="R264" t="str">
        <f t="shared" si="15"/>
        <v xml:space="preserve">XX8X_PV_0426:    Front abuts stile:TRUE       Back abuts stile:FALSE          Panel Section: WHOLE           Stile in the back Width:            Cutout A:           Cutout B:      F.C.:9.75 in.         C.C.:2.875 in.   </v>
      </c>
      <c r="S264" t="str">
        <f t="shared" si="14"/>
        <v>TRUE</v>
      </c>
      <c r="T264" t="str">
        <f t="shared" si="13"/>
        <v>FALSE</v>
      </c>
    </row>
    <row r="265" spans="1:20">
      <c r="A265" t="s">
        <v>425</v>
      </c>
      <c r="B265" s="14" t="s">
        <v>144</v>
      </c>
      <c r="C265" s="14" t="s">
        <v>21</v>
      </c>
      <c r="D265" s="14">
        <v>1</v>
      </c>
      <c r="E265" s="14">
        <v>0</v>
      </c>
      <c r="F265" s="14">
        <v>1</v>
      </c>
      <c r="G265" s="14">
        <v>0</v>
      </c>
      <c r="H265" s="14">
        <v>12</v>
      </c>
      <c r="I265" s="8" t="s">
        <v>145</v>
      </c>
      <c r="J265" s="8" t="s">
        <v>38</v>
      </c>
      <c r="K265">
        <v>96</v>
      </c>
      <c r="L265">
        <v>67.0625</v>
      </c>
      <c r="M265" s="14">
        <v>8.75</v>
      </c>
      <c r="N265" s="14">
        <v>3.5625</v>
      </c>
      <c r="R265" t="str">
        <f t="shared" si="15"/>
        <v xml:space="preserve">XX8X_PV_0427:    Front abuts stile:TRUE       Back abuts stile:TRUE          Panel Section: WHOLE           Stile in the back Width: 12           Cutout A: B-347          Cutout B:      F.C.:8.75 in.         C.C.:3.5625 in.   </v>
      </c>
      <c r="S265" t="str">
        <f t="shared" si="14"/>
        <v>TRUE</v>
      </c>
      <c r="T265" t="str">
        <f t="shared" si="13"/>
        <v>TRUE</v>
      </c>
    </row>
    <row r="266" spans="1:20" s="69" customFormat="1">
      <c r="A266" s="69" t="s">
        <v>426</v>
      </c>
      <c r="B266" s="70" t="s">
        <v>144</v>
      </c>
      <c r="C266" s="70" t="s">
        <v>21</v>
      </c>
      <c r="D266" s="70">
        <v>1</v>
      </c>
      <c r="E266" s="70">
        <v>0</v>
      </c>
      <c r="F266" s="70">
        <v>1</v>
      </c>
      <c r="G266" s="70">
        <v>0</v>
      </c>
      <c r="H266" s="70">
        <v>24</v>
      </c>
      <c r="I266" s="71" t="s">
        <v>120</v>
      </c>
      <c r="J266" s="71" t="s">
        <v>38</v>
      </c>
      <c r="K266" s="69">
        <v>79</v>
      </c>
      <c r="L266" s="69">
        <v>49.3125</v>
      </c>
      <c r="M266" s="70">
        <v>9</v>
      </c>
      <c r="N266" s="70">
        <v>1</v>
      </c>
      <c r="O266"/>
      <c r="P266"/>
      <c r="Q266"/>
      <c r="R266" s="69" t="str">
        <f t="shared" si="15"/>
        <v xml:space="preserve">XX8X_PV_0428:    Front abuts stile:TRUE       Back abuts stile:TRUE          Panel Section: WHOLE           Stile in the back Width: 24           Cutout A: B-386          Cutout B:      F.C.:9 in.         C.C.:1 in.   </v>
      </c>
      <c r="S266" s="69" t="str">
        <f t="shared" si="14"/>
        <v>TRUE</v>
      </c>
      <c r="T266" s="69" t="str">
        <f t="shared" si="13"/>
        <v>TRUE</v>
      </c>
    </row>
    <row r="267" spans="1:20">
      <c r="A267" t="s">
        <v>427</v>
      </c>
      <c r="B267" s="14" t="s">
        <v>144</v>
      </c>
      <c r="C267" s="14" t="s">
        <v>21</v>
      </c>
      <c r="D267" s="14">
        <v>1</v>
      </c>
      <c r="E267" s="14">
        <v>0</v>
      </c>
      <c r="F267" s="14">
        <v>1</v>
      </c>
      <c r="G267" s="14">
        <v>0</v>
      </c>
      <c r="H267" s="14"/>
      <c r="I267" s="8" t="s">
        <v>38</v>
      </c>
      <c r="J267" s="8" t="s">
        <v>38</v>
      </c>
      <c r="K267">
        <v>96</v>
      </c>
      <c r="L267">
        <v>47</v>
      </c>
      <c r="M267" s="14">
        <v>12</v>
      </c>
      <c r="N267" s="14">
        <v>1</v>
      </c>
      <c r="R267" t="str">
        <f t="shared" si="15"/>
        <v xml:space="preserve">XX8X_PV_0429:    Front abuts stile:TRUE       Back abuts stile:TRUE          Panel Section: WHOLE           Stile in the back Width:            Cutout A:           Cutout B:      F.C.:12 in.         C.C.:1 in.   </v>
      </c>
      <c r="S267" t="str">
        <f t="shared" si="14"/>
        <v>TRUE</v>
      </c>
      <c r="T267" t="str">
        <f t="shared" si="13"/>
        <v>TRUE</v>
      </c>
    </row>
    <row r="268" spans="1:20">
      <c r="A268" t="s">
        <v>428</v>
      </c>
      <c r="B268" s="14" t="s">
        <v>144</v>
      </c>
      <c r="C268" s="14" t="s">
        <v>21</v>
      </c>
      <c r="D268" s="14">
        <v>1</v>
      </c>
      <c r="E268" s="14">
        <v>0</v>
      </c>
      <c r="F268" s="14">
        <v>1</v>
      </c>
      <c r="G268" s="14">
        <v>1</v>
      </c>
      <c r="H268" s="14"/>
      <c r="I268" s="8" t="s">
        <v>38</v>
      </c>
      <c r="J268" s="8" t="s">
        <v>38</v>
      </c>
      <c r="K268">
        <v>96</v>
      </c>
      <c r="L268">
        <v>63.25</v>
      </c>
      <c r="M268" s="14">
        <v>4.5</v>
      </c>
      <c r="N268" s="14">
        <v>4.3125</v>
      </c>
      <c r="R268" t="str">
        <f t="shared" si="15"/>
        <v xml:space="preserve">XX8X_PV_0430:    Front abuts stile:TRUE       Back abuts stile:TRUE          Panel Section: WHOLE           Stile in the back Width:            Cutout A:           Cutout B:      F.C.:4.5 in.         C.C.:4.3125 in.   </v>
      </c>
      <c r="S268" t="str">
        <f t="shared" si="14"/>
        <v>TRUE</v>
      </c>
      <c r="T268" t="str">
        <f t="shared" si="13"/>
        <v>TRUE</v>
      </c>
    </row>
    <row r="269" spans="1:20">
      <c r="A269" t="s">
        <v>429</v>
      </c>
      <c r="B269" s="14" t="s">
        <v>144</v>
      </c>
      <c r="C269" s="14" t="s">
        <v>21</v>
      </c>
      <c r="D269" s="14">
        <v>1</v>
      </c>
      <c r="E269" s="14">
        <v>1</v>
      </c>
      <c r="F269" s="14">
        <v>0</v>
      </c>
      <c r="G269" s="14"/>
      <c r="H269" s="14"/>
      <c r="I269" s="8" t="s">
        <v>35</v>
      </c>
      <c r="J269" s="8" t="s">
        <v>38</v>
      </c>
      <c r="K269">
        <v>52.1875</v>
      </c>
      <c r="L269">
        <v>51.5</v>
      </c>
      <c r="M269" s="14">
        <v>4.5</v>
      </c>
      <c r="N269" s="14">
        <v>1</v>
      </c>
      <c r="R269" t="str">
        <f t="shared" si="15"/>
        <v xml:space="preserve">XX8X_PV_0431:    Front abuts stile:TRUE       Back abuts stile:FALSE          Panel Section: WHOLE           Stile in the back Width:            Cutout A: B-357          Cutout B:      F.C.:4.5 in.         C.C.:1 in.   </v>
      </c>
      <c r="S269" t="str">
        <f t="shared" si="14"/>
        <v>TRUE</v>
      </c>
      <c r="T269" t="str">
        <f t="shared" si="13"/>
        <v>FALSE</v>
      </c>
    </row>
    <row r="270" spans="1:20">
      <c r="A270" t="s">
        <v>430</v>
      </c>
      <c r="B270" s="14" t="s">
        <v>144</v>
      </c>
      <c r="C270" s="14" t="s">
        <v>21</v>
      </c>
      <c r="D270" s="14">
        <v>1</v>
      </c>
      <c r="E270" s="14">
        <v>1</v>
      </c>
      <c r="F270" s="14">
        <v>1</v>
      </c>
      <c r="G270" s="14">
        <v>0</v>
      </c>
      <c r="H270" s="14">
        <v>12</v>
      </c>
      <c r="I270" s="8" t="s">
        <v>148</v>
      </c>
      <c r="J270" s="8" t="s">
        <v>38</v>
      </c>
      <c r="K270">
        <v>68.3125</v>
      </c>
      <c r="L270">
        <v>52.4375</v>
      </c>
      <c r="M270" s="14">
        <v>9</v>
      </c>
      <c r="N270" s="14">
        <v>5.8125</v>
      </c>
      <c r="R270" t="str">
        <f t="shared" si="15"/>
        <v xml:space="preserve">XX8X_PV_0432:    Front abuts stile:TRUE       Back abuts stile:TRUE          Panel Section: WHOLE           Stile in the back Width: 12           Cutout A: B-3471          Cutout B:      F.C.:9 in.         C.C.:5.8125 in.   </v>
      </c>
      <c r="S270" t="str">
        <f t="shared" si="14"/>
        <v>TRUE</v>
      </c>
      <c r="T270" t="str">
        <f t="shared" si="13"/>
        <v>TRUE</v>
      </c>
    </row>
    <row r="271" spans="1:20">
      <c r="A271" t="s">
        <v>431</v>
      </c>
      <c r="B271" s="14" t="s">
        <v>144</v>
      </c>
      <c r="C271" s="14" t="s">
        <v>21</v>
      </c>
      <c r="D271" s="14">
        <v>1</v>
      </c>
      <c r="E271" s="14">
        <v>1</v>
      </c>
      <c r="F271" s="14">
        <v>1</v>
      </c>
      <c r="G271" s="14">
        <v>0</v>
      </c>
      <c r="H271" s="14">
        <v>24</v>
      </c>
      <c r="I271" s="8" t="s">
        <v>120</v>
      </c>
      <c r="J271" s="8" t="s">
        <v>38</v>
      </c>
      <c r="K271">
        <v>93.75</v>
      </c>
      <c r="L271">
        <v>72.9375</v>
      </c>
      <c r="M271" s="14">
        <v>1</v>
      </c>
      <c r="N271" s="14">
        <v>2.5625</v>
      </c>
      <c r="R271" t="str">
        <f t="shared" si="15"/>
        <v xml:space="preserve">XX8X_PV_0433:    Front abuts stile:TRUE       Back abuts stile:TRUE          Panel Section: WHOLE           Stile in the back Width: 24           Cutout A: B-386          Cutout B:      F.C.:1 in.         C.C.:2.5625 in.   </v>
      </c>
      <c r="S271" t="str">
        <f t="shared" si="14"/>
        <v>TRUE</v>
      </c>
      <c r="T271" t="str">
        <f t="shared" si="13"/>
        <v>TRUE</v>
      </c>
    </row>
    <row r="272" spans="1:20">
      <c r="A272" t="s">
        <v>432</v>
      </c>
      <c r="B272" s="14" t="s">
        <v>144</v>
      </c>
      <c r="C272" s="14" t="s">
        <v>21</v>
      </c>
      <c r="D272" s="14">
        <v>1</v>
      </c>
      <c r="E272" s="14">
        <v>1</v>
      </c>
      <c r="F272" s="14">
        <v>1</v>
      </c>
      <c r="G272" s="14">
        <v>0</v>
      </c>
      <c r="H272" s="14"/>
      <c r="I272" s="8" t="s">
        <v>38</v>
      </c>
      <c r="J272" s="8" t="s">
        <v>38</v>
      </c>
      <c r="K272">
        <v>97.5625</v>
      </c>
      <c r="L272">
        <v>44.6875</v>
      </c>
      <c r="M272" s="14">
        <v>4.375</v>
      </c>
      <c r="N272" s="14">
        <v>3.25</v>
      </c>
      <c r="R272" t="str">
        <f t="shared" si="15"/>
        <v xml:space="preserve">XX8X_PV_0434:    Front abuts stile:TRUE       Back abuts stile:TRUE          Panel Section: WHOLE           Stile in the back Width:            Cutout A:           Cutout B:      F.C.:4.375 in.         C.C.:3.25 in.   </v>
      </c>
      <c r="S272" t="str">
        <f t="shared" si="14"/>
        <v>TRUE</v>
      </c>
      <c r="T272" t="str">
        <f t="shared" si="13"/>
        <v>TRUE</v>
      </c>
    </row>
    <row r="273" spans="1:20">
      <c r="A273" t="s">
        <v>433</v>
      </c>
      <c r="B273" s="14" t="s">
        <v>144</v>
      </c>
      <c r="C273" s="14" t="s">
        <v>21</v>
      </c>
      <c r="D273" s="14">
        <v>1</v>
      </c>
      <c r="E273" s="14">
        <v>1</v>
      </c>
      <c r="F273" s="14">
        <v>1</v>
      </c>
      <c r="G273" s="14">
        <v>1</v>
      </c>
      <c r="H273" s="14"/>
      <c r="I273" s="8" t="s">
        <v>38</v>
      </c>
      <c r="J273" s="8" t="s">
        <v>38</v>
      </c>
      <c r="K273">
        <v>65.6875</v>
      </c>
      <c r="L273">
        <v>67.5</v>
      </c>
      <c r="M273" s="14">
        <v>12</v>
      </c>
      <c r="N273" s="14">
        <v>4.0625</v>
      </c>
      <c r="R273" t="str">
        <f t="shared" si="15"/>
        <v xml:space="preserve">XX8X_PV_0435:    Front abuts stile:TRUE       Back abuts stile:TRUE          Panel Section: WHOLE           Stile in the back Width:            Cutout A:           Cutout B:      F.C.:12 in.         C.C.:4.0625 in.   </v>
      </c>
      <c r="S273" t="str">
        <f t="shared" si="14"/>
        <v>TRUE</v>
      </c>
      <c r="T273" t="str">
        <f t="shared" si="13"/>
        <v>TRUE</v>
      </c>
    </row>
    <row r="274" spans="1:20">
      <c r="A274" t="s">
        <v>434</v>
      </c>
      <c r="B274" s="14" t="s">
        <v>144</v>
      </c>
      <c r="C274" s="14" t="s">
        <v>156</v>
      </c>
      <c r="D274" s="19">
        <v>0</v>
      </c>
      <c r="E274" s="19"/>
      <c r="F274" s="19">
        <v>0</v>
      </c>
      <c r="G274" s="19"/>
      <c r="H274" s="14"/>
      <c r="I274" s="8" t="s">
        <v>121</v>
      </c>
      <c r="J274" s="8" t="s">
        <v>120</v>
      </c>
      <c r="K274">
        <v>20.0625</v>
      </c>
      <c r="L274">
        <v>69.625</v>
      </c>
      <c r="M274" s="14">
        <v>11.75</v>
      </c>
      <c r="N274" s="14">
        <v>1</v>
      </c>
      <c r="R274" t="str">
        <f t="shared" si="15"/>
        <v xml:space="preserve">XX8X_PV_0451:    Front abuts stile:FALSE       Back abuts stile:FALSE          Panel Section: TOP           Stile in the back Width:            Cutout A: B-4354          Cutout B:B-386      F.C.:11.75 in.         C.C.:1 in.   </v>
      </c>
      <c r="S274" t="str">
        <f t="shared" si="14"/>
        <v>FALSE</v>
      </c>
      <c r="T274" t="str">
        <f t="shared" ref="T274:T337" si="16">IF(F274=1, "TRUE", "FALSE")</f>
        <v>FALSE</v>
      </c>
    </row>
    <row r="275" spans="1:20">
      <c r="A275" t="s">
        <v>435</v>
      </c>
      <c r="B275" s="14" t="s">
        <v>144</v>
      </c>
      <c r="C275" s="14" t="s">
        <v>156</v>
      </c>
      <c r="D275" s="14">
        <v>0</v>
      </c>
      <c r="E275" s="14"/>
      <c r="F275" s="14">
        <v>1</v>
      </c>
      <c r="G275" s="14">
        <v>0</v>
      </c>
      <c r="H275" s="14">
        <v>12</v>
      </c>
      <c r="I275" s="8" t="s">
        <v>151</v>
      </c>
      <c r="J275" s="8" t="s">
        <v>38</v>
      </c>
      <c r="K275">
        <v>16.4375</v>
      </c>
      <c r="L275">
        <v>65</v>
      </c>
      <c r="M275" s="14">
        <v>9</v>
      </c>
      <c r="N275" s="14">
        <v>7.75</v>
      </c>
      <c r="R275" t="str">
        <f t="shared" si="15"/>
        <v xml:space="preserve">XX8X_PV_0452:    Front abuts stile:FALSE       Back abuts stile:TRUE          Panel Section: TOP           Stile in the back Width: 12           Cutout A: B-35715          Cutout B:      F.C.:9 in.         C.C.:7.75 in.   </v>
      </c>
      <c r="S275" t="str">
        <f t="shared" si="14"/>
        <v>FALSE</v>
      </c>
      <c r="T275" t="str">
        <f t="shared" si="16"/>
        <v>TRUE</v>
      </c>
    </row>
    <row r="276" spans="1:20">
      <c r="A276" t="s">
        <v>436</v>
      </c>
      <c r="B276" s="14" t="s">
        <v>144</v>
      </c>
      <c r="C276" s="14" t="s">
        <v>156</v>
      </c>
      <c r="D276" s="14">
        <v>0</v>
      </c>
      <c r="E276" s="14"/>
      <c r="F276" s="14">
        <v>1</v>
      </c>
      <c r="G276" s="14">
        <v>0</v>
      </c>
      <c r="H276" s="14">
        <v>24</v>
      </c>
      <c r="I276" s="8" t="s">
        <v>38</v>
      </c>
      <c r="J276" s="8" t="s">
        <v>38</v>
      </c>
      <c r="K276">
        <v>13.625</v>
      </c>
      <c r="L276">
        <v>20.9375</v>
      </c>
      <c r="M276" s="14">
        <v>12</v>
      </c>
      <c r="N276" s="14">
        <v>5.3125</v>
      </c>
      <c r="R276" t="str">
        <f t="shared" si="15"/>
        <v xml:space="preserve">XX8X_PV_0453:    Front abuts stile:FALSE       Back abuts stile:TRUE          Panel Section: TOP           Stile in the back Width: 24           Cutout A:           Cutout B:      F.C.:12 in.         C.C.:5.3125 in.   </v>
      </c>
      <c r="S276" t="str">
        <f t="shared" si="14"/>
        <v>FALSE</v>
      </c>
      <c r="T276" t="str">
        <f t="shared" si="16"/>
        <v>TRUE</v>
      </c>
    </row>
    <row r="277" spans="1:20">
      <c r="A277" t="s">
        <v>437</v>
      </c>
      <c r="B277" s="14" t="s">
        <v>144</v>
      </c>
      <c r="C277" s="14" t="s">
        <v>156</v>
      </c>
      <c r="D277" s="14">
        <v>0</v>
      </c>
      <c r="E277" s="14"/>
      <c r="F277" s="14">
        <v>1</v>
      </c>
      <c r="G277" s="14">
        <v>0</v>
      </c>
      <c r="H277" s="14"/>
      <c r="I277" s="8" t="s">
        <v>38</v>
      </c>
      <c r="J277" s="8" t="s">
        <v>38</v>
      </c>
      <c r="K277">
        <v>11.1875</v>
      </c>
      <c r="L277">
        <v>77.625</v>
      </c>
      <c r="M277" s="14">
        <v>9</v>
      </c>
      <c r="N277" s="14">
        <v>6.625</v>
      </c>
      <c r="R277" t="str">
        <f t="shared" si="15"/>
        <v xml:space="preserve">XX8X_PV_0454:    Front abuts stile:FALSE       Back abuts stile:TRUE          Panel Section: TOP           Stile in the back Width:            Cutout A:           Cutout B:      F.C.:9 in.         C.C.:6.625 in.   </v>
      </c>
      <c r="S277" t="str">
        <f t="shared" si="14"/>
        <v>FALSE</v>
      </c>
      <c r="T277" t="str">
        <f t="shared" si="16"/>
        <v>TRUE</v>
      </c>
    </row>
    <row r="278" spans="1:20">
      <c r="A278" t="s">
        <v>438</v>
      </c>
      <c r="B278" s="14" t="s">
        <v>144</v>
      </c>
      <c r="C278" s="14" t="s">
        <v>156</v>
      </c>
      <c r="D278" s="14">
        <v>0</v>
      </c>
      <c r="E278" s="14"/>
      <c r="F278" s="14">
        <v>1</v>
      </c>
      <c r="G278" s="14">
        <v>1</v>
      </c>
      <c r="H278" s="14"/>
      <c r="I278" s="8" t="s">
        <v>38</v>
      </c>
      <c r="J278" s="8" t="s">
        <v>38</v>
      </c>
      <c r="K278">
        <v>15.375</v>
      </c>
      <c r="L278">
        <v>49.625</v>
      </c>
      <c r="M278" s="14">
        <v>1</v>
      </c>
      <c r="N278" s="14">
        <v>1.875</v>
      </c>
      <c r="R278" t="str">
        <f t="shared" si="15"/>
        <v xml:space="preserve">XX8X_PV_0455:    Front abuts stile:FALSE       Back abuts stile:TRUE          Panel Section: TOP           Stile in the back Width:            Cutout A:           Cutout B:      F.C.:1 in.         C.C.:1.875 in.   </v>
      </c>
      <c r="S278" t="str">
        <f t="shared" si="14"/>
        <v>FALSE</v>
      </c>
      <c r="T278" t="str">
        <f t="shared" si="16"/>
        <v>TRUE</v>
      </c>
    </row>
    <row r="279" spans="1:20">
      <c r="A279" t="s">
        <v>439</v>
      </c>
      <c r="B279" s="14" t="s">
        <v>144</v>
      </c>
      <c r="C279" s="14" t="s">
        <v>156</v>
      </c>
      <c r="D279" s="14">
        <v>1</v>
      </c>
      <c r="E279" s="14">
        <v>0</v>
      </c>
      <c r="F279" s="14">
        <v>0</v>
      </c>
      <c r="G279" s="14"/>
      <c r="H279" s="14"/>
      <c r="I279" s="8" t="s">
        <v>38</v>
      </c>
      <c r="J279" s="8" t="s">
        <v>38</v>
      </c>
      <c r="K279">
        <v>11.5625</v>
      </c>
      <c r="L279">
        <v>6.875</v>
      </c>
      <c r="M279" s="14">
        <v>1</v>
      </c>
      <c r="N279" s="14">
        <v>1.125</v>
      </c>
      <c r="R279" t="str">
        <f t="shared" si="15"/>
        <v xml:space="preserve">XX8X_PV_0456:    Front abuts stile:TRUE       Back abuts stile:FALSE          Panel Section: TOP           Stile in the back Width:            Cutout A:           Cutout B:      F.C.:1 in.         C.C.:1.125 in.   </v>
      </c>
      <c r="S279" t="str">
        <f t="shared" si="14"/>
        <v>TRUE</v>
      </c>
      <c r="T279" t="str">
        <f t="shared" si="16"/>
        <v>FALSE</v>
      </c>
    </row>
    <row r="280" spans="1:20">
      <c r="A280" t="s">
        <v>440</v>
      </c>
      <c r="B280" s="14" t="s">
        <v>144</v>
      </c>
      <c r="C280" s="14" t="s">
        <v>156</v>
      </c>
      <c r="D280" s="14">
        <v>1</v>
      </c>
      <c r="E280" s="14">
        <v>0</v>
      </c>
      <c r="F280" s="14">
        <v>1</v>
      </c>
      <c r="G280" s="14">
        <v>0</v>
      </c>
      <c r="H280" s="14">
        <v>12</v>
      </c>
      <c r="I280" s="8" t="s">
        <v>145</v>
      </c>
      <c r="J280" s="8" t="s">
        <v>38</v>
      </c>
      <c r="K280">
        <v>22.0625</v>
      </c>
      <c r="L280">
        <v>43.5625</v>
      </c>
      <c r="M280" s="14">
        <v>1</v>
      </c>
      <c r="N280" s="14">
        <v>8.5</v>
      </c>
      <c r="R280" t="str">
        <f t="shared" si="15"/>
        <v xml:space="preserve">XX8X_PV_0457:    Front abuts stile:TRUE       Back abuts stile:TRUE          Panel Section: TOP           Stile in the back Width: 12           Cutout A: B-347          Cutout B:      F.C.:1 in.         C.C.:8.5 in.   </v>
      </c>
      <c r="S280" t="str">
        <f t="shared" si="14"/>
        <v>TRUE</v>
      </c>
      <c r="T280" t="str">
        <f t="shared" si="16"/>
        <v>TRUE</v>
      </c>
    </row>
    <row r="281" spans="1:20">
      <c r="A281" t="s">
        <v>441</v>
      </c>
      <c r="B281" s="14" t="s">
        <v>144</v>
      </c>
      <c r="C281" s="14" t="s">
        <v>156</v>
      </c>
      <c r="D281" s="14">
        <v>1</v>
      </c>
      <c r="E281" s="14">
        <v>0</v>
      </c>
      <c r="F281" s="14">
        <v>1</v>
      </c>
      <c r="G281" s="14">
        <v>0</v>
      </c>
      <c r="H281" s="14">
        <v>24</v>
      </c>
      <c r="I281" s="8" t="s">
        <v>38</v>
      </c>
      <c r="J281" s="8" t="s">
        <v>38</v>
      </c>
      <c r="K281">
        <v>32.125</v>
      </c>
      <c r="L281">
        <v>58.4375</v>
      </c>
      <c r="M281" s="14">
        <v>9</v>
      </c>
      <c r="N281" s="14">
        <v>8.5</v>
      </c>
      <c r="R281" t="str">
        <f t="shared" si="15"/>
        <v xml:space="preserve">XX8X_PV_0458:    Front abuts stile:TRUE       Back abuts stile:TRUE          Panel Section: TOP           Stile in the back Width: 24           Cutout A:           Cutout B:      F.C.:9 in.         C.C.:8.5 in.   </v>
      </c>
      <c r="S281" t="str">
        <f t="shared" si="14"/>
        <v>TRUE</v>
      </c>
      <c r="T281" t="str">
        <f t="shared" si="16"/>
        <v>TRUE</v>
      </c>
    </row>
    <row r="282" spans="1:20">
      <c r="A282" t="s">
        <v>442</v>
      </c>
      <c r="B282" s="14" t="s">
        <v>144</v>
      </c>
      <c r="C282" s="14" t="s">
        <v>156</v>
      </c>
      <c r="D282" s="14">
        <v>1</v>
      </c>
      <c r="E282" s="14">
        <v>0</v>
      </c>
      <c r="F282" s="14">
        <v>1</v>
      </c>
      <c r="G282" s="14">
        <v>0</v>
      </c>
      <c r="H282" s="14"/>
      <c r="I282" s="8" t="s">
        <v>38</v>
      </c>
      <c r="J282" s="8" t="s">
        <v>38</v>
      </c>
      <c r="K282">
        <v>9.75</v>
      </c>
      <c r="L282">
        <v>50.625</v>
      </c>
      <c r="M282" s="14">
        <v>3.75</v>
      </c>
      <c r="N282" s="14">
        <v>2.625</v>
      </c>
      <c r="R282" t="str">
        <f t="shared" si="15"/>
        <v xml:space="preserve">XX8X_PV_0459:    Front abuts stile:TRUE       Back abuts stile:TRUE          Panel Section: TOP           Stile in the back Width:            Cutout A:           Cutout B:      F.C.:3.75 in.         C.C.:2.625 in.   </v>
      </c>
      <c r="S282" t="str">
        <f t="shared" si="14"/>
        <v>TRUE</v>
      </c>
      <c r="T282" t="str">
        <f t="shared" si="16"/>
        <v>TRUE</v>
      </c>
    </row>
    <row r="283" spans="1:20">
      <c r="A283" t="s">
        <v>443</v>
      </c>
      <c r="B283" s="14" t="s">
        <v>144</v>
      </c>
      <c r="C283" s="14" t="s">
        <v>156</v>
      </c>
      <c r="D283" s="14">
        <v>1</v>
      </c>
      <c r="E283" s="14">
        <v>0</v>
      </c>
      <c r="F283" s="14">
        <v>1</v>
      </c>
      <c r="G283" s="14">
        <v>1</v>
      </c>
      <c r="H283" s="14"/>
      <c r="I283" s="8" t="s">
        <v>38</v>
      </c>
      <c r="J283" s="8" t="s">
        <v>38</v>
      </c>
      <c r="K283">
        <v>35.6875</v>
      </c>
      <c r="L283">
        <v>52.25</v>
      </c>
      <c r="M283" s="14">
        <v>9.75</v>
      </c>
      <c r="N283" s="14">
        <v>4.6875</v>
      </c>
      <c r="R283" t="str">
        <f t="shared" si="15"/>
        <v xml:space="preserve">XX8X_PV_0460:    Front abuts stile:TRUE       Back abuts stile:TRUE          Panel Section: TOP           Stile in the back Width:            Cutout A:           Cutout B:      F.C.:9.75 in.         C.C.:4.6875 in.   </v>
      </c>
      <c r="S283" t="str">
        <f t="shared" si="14"/>
        <v>TRUE</v>
      </c>
      <c r="T283" t="str">
        <f t="shared" si="16"/>
        <v>TRUE</v>
      </c>
    </row>
    <row r="284" spans="1:20">
      <c r="A284" t="s">
        <v>444</v>
      </c>
      <c r="B284" s="14" t="s">
        <v>144</v>
      </c>
      <c r="C284" s="14" t="s">
        <v>156</v>
      </c>
      <c r="D284" s="14">
        <v>1</v>
      </c>
      <c r="E284" s="14">
        <v>1</v>
      </c>
      <c r="F284" s="14">
        <v>0</v>
      </c>
      <c r="G284" s="14"/>
      <c r="H284" s="14"/>
      <c r="I284" s="8" t="s">
        <v>38</v>
      </c>
      <c r="J284" s="8" t="s">
        <v>38</v>
      </c>
      <c r="K284">
        <v>7.625</v>
      </c>
      <c r="L284">
        <v>19.125</v>
      </c>
      <c r="M284" s="14">
        <v>1</v>
      </c>
      <c r="N284" s="14">
        <v>4.5625</v>
      </c>
      <c r="R284" t="str">
        <f t="shared" si="15"/>
        <v xml:space="preserve">XX8X_PV_0461:    Front abuts stile:TRUE       Back abuts stile:FALSE          Panel Section: TOP           Stile in the back Width:            Cutout A:           Cutout B:      F.C.:1 in.         C.C.:4.5625 in.   </v>
      </c>
      <c r="S284" t="str">
        <f t="shared" si="14"/>
        <v>TRUE</v>
      </c>
      <c r="T284" t="str">
        <f t="shared" si="16"/>
        <v>FALSE</v>
      </c>
    </row>
    <row r="285" spans="1:20">
      <c r="A285" t="s">
        <v>445</v>
      </c>
      <c r="B285" s="14" t="s">
        <v>144</v>
      </c>
      <c r="C285" s="14" t="s">
        <v>156</v>
      </c>
      <c r="D285" s="14">
        <v>1</v>
      </c>
      <c r="E285" s="14">
        <v>1</v>
      </c>
      <c r="F285" s="14">
        <v>1</v>
      </c>
      <c r="G285" s="14">
        <v>0</v>
      </c>
      <c r="H285" s="14">
        <v>12</v>
      </c>
      <c r="I285" s="8" t="s">
        <v>38</v>
      </c>
      <c r="J285" s="8" t="s">
        <v>38</v>
      </c>
      <c r="K285">
        <v>36.75</v>
      </c>
      <c r="L285">
        <v>7.5</v>
      </c>
      <c r="M285" s="14">
        <v>1</v>
      </c>
      <c r="N285" s="14">
        <v>6.6875</v>
      </c>
      <c r="R285" t="str">
        <f t="shared" si="15"/>
        <v xml:space="preserve">XX8X_PV_0462:    Front abuts stile:TRUE       Back abuts stile:TRUE          Panel Section: TOP           Stile in the back Width: 12           Cutout A:           Cutout B:      F.C.:1 in.         C.C.:6.6875 in.   </v>
      </c>
      <c r="S285" t="str">
        <f t="shared" si="14"/>
        <v>TRUE</v>
      </c>
      <c r="T285" t="str">
        <f t="shared" si="16"/>
        <v>TRUE</v>
      </c>
    </row>
    <row r="286" spans="1:20">
      <c r="A286" t="s">
        <v>446</v>
      </c>
      <c r="B286" s="14" t="s">
        <v>144</v>
      </c>
      <c r="C286" s="14" t="s">
        <v>156</v>
      </c>
      <c r="D286" s="14">
        <v>1</v>
      </c>
      <c r="E286" s="14">
        <v>1</v>
      </c>
      <c r="F286" s="14">
        <v>1</v>
      </c>
      <c r="G286" s="14">
        <v>0</v>
      </c>
      <c r="H286" s="14">
        <v>24</v>
      </c>
      <c r="I286" s="8" t="s">
        <v>38</v>
      </c>
      <c r="J286" s="8" t="s">
        <v>38</v>
      </c>
      <c r="K286">
        <v>15.625</v>
      </c>
      <c r="L286">
        <v>64.875</v>
      </c>
      <c r="M286" s="14">
        <v>1</v>
      </c>
      <c r="N286" s="14">
        <v>5</v>
      </c>
      <c r="R286" t="str">
        <f t="shared" si="15"/>
        <v xml:space="preserve">XX8X_PV_0463:    Front abuts stile:TRUE       Back abuts stile:TRUE          Panel Section: TOP           Stile in the back Width: 24           Cutout A:           Cutout B:      F.C.:1 in.         C.C.:5 in.   </v>
      </c>
      <c r="S286" t="str">
        <f t="shared" si="14"/>
        <v>TRUE</v>
      </c>
      <c r="T286" t="str">
        <f t="shared" si="16"/>
        <v>TRUE</v>
      </c>
    </row>
    <row r="287" spans="1:20">
      <c r="A287" t="s">
        <v>447</v>
      </c>
      <c r="B287" s="14" t="s">
        <v>144</v>
      </c>
      <c r="C287" s="14" t="s">
        <v>156</v>
      </c>
      <c r="D287" s="14">
        <v>1</v>
      </c>
      <c r="E287" s="14">
        <v>1</v>
      </c>
      <c r="F287" s="14">
        <v>1</v>
      </c>
      <c r="G287" s="14">
        <v>0</v>
      </c>
      <c r="H287" s="14"/>
      <c r="I287" s="8" t="s">
        <v>38</v>
      </c>
      <c r="J287" s="8" t="s">
        <v>38</v>
      </c>
      <c r="K287">
        <v>22.0625</v>
      </c>
      <c r="L287">
        <v>42.8125</v>
      </c>
      <c r="M287" s="14">
        <v>9</v>
      </c>
      <c r="N287" s="14">
        <v>5.1875</v>
      </c>
      <c r="R287" t="str">
        <f t="shared" si="15"/>
        <v xml:space="preserve">XX8X_PV_0464:    Front abuts stile:TRUE       Back abuts stile:TRUE          Panel Section: TOP           Stile in the back Width:            Cutout A:           Cutout B:      F.C.:9 in.         C.C.:5.1875 in.   </v>
      </c>
      <c r="S287" t="str">
        <f t="shared" si="14"/>
        <v>TRUE</v>
      </c>
      <c r="T287" t="str">
        <f t="shared" si="16"/>
        <v>TRUE</v>
      </c>
    </row>
    <row r="288" spans="1:20">
      <c r="A288" t="s">
        <v>448</v>
      </c>
      <c r="B288" s="14" t="s">
        <v>144</v>
      </c>
      <c r="C288" s="14" t="s">
        <v>156</v>
      </c>
      <c r="D288" s="14">
        <v>1</v>
      </c>
      <c r="E288" s="14">
        <v>1</v>
      </c>
      <c r="F288" s="14">
        <v>1</v>
      </c>
      <c r="G288" s="14">
        <v>1</v>
      </c>
      <c r="H288" s="14"/>
      <c r="I288" s="8" t="s">
        <v>38</v>
      </c>
      <c r="J288" s="8" t="s">
        <v>38</v>
      </c>
      <c r="K288">
        <v>21.125</v>
      </c>
      <c r="L288">
        <v>68.875</v>
      </c>
      <c r="M288" s="14">
        <v>4.5</v>
      </c>
      <c r="N288" s="14">
        <v>1.25</v>
      </c>
      <c r="R288" t="str">
        <f t="shared" si="15"/>
        <v xml:space="preserve">XX8X_PV_0465:    Front abuts stile:TRUE       Back abuts stile:TRUE          Panel Section: TOP           Stile in the back Width:            Cutout A:           Cutout B:      F.C.:4.5 in.         C.C.:1.25 in.   </v>
      </c>
      <c r="S288" t="str">
        <f t="shared" si="14"/>
        <v>TRUE</v>
      </c>
      <c r="T288" t="str">
        <f t="shared" si="16"/>
        <v>TRUE</v>
      </c>
    </row>
    <row r="289" spans="1:20">
      <c r="A289" t="s">
        <v>449</v>
      </c>
      <c r="B289" s="14" t="s">
        <v>144</v>
      </c>
      <c r="C289" s="14" t="s">
        <v>157</v>
      </c>
      <c r="D289" s="14">
        <v>0</v>
      </c>
      <c r="E289" s="14"/>
      <c r="F289" s="14">
        <v>0</v>
      </c>
      <c r="G289" s="14"/>
      <c r="H289" s="14"/>
      <c r="I289" s="8" t="s">
        <v>145</v>
      </c>
      <c r="J289" s="8" t="s">
        <v>38</v>
      </c>
      <c r="K289">
        <v>60</v>
      </c>
      <c r="L289">
        <v>58.5625</v>
      </c>
      <c r="M289" s="14">
        <v>12</v>
      </c>
      <c r="N289" s="14">
        <v>1</v>
      </c>
      <c r="R289" t="str">
        <f t="shared" si="15"/>
        <v xml:space="preserve">XX8X_PV_0481:    Front abuts stile:FALSE       Back abuts stile:FALSE          Panel Section: BOTTOM           Stile in the back Width:            Cutout A: B-347          Cutout B:      F.C.:12 in.         C.C.:1 in.   </v>
      </c>
      <c r="S289" t="str">
        <f t="shared" si="14"/>
        <v>FALSE</v>
      </c>
      <c r="T289" t="str">
        <f t="shared" si="16"/>
        <v>FALSE</v>
      </c>
    </row>
    <row r="290" spans="1:20">
      <c r="A290" t="s">
        <v>450</v>
      </c>
      <c r="B290" s="14" t="s">
        <v>144</v>
      </c>
      <c r="C290" s="14" t="s">
        <v>157</v>
      </c>
      <c r="D290" s="14">
        <v>0</v>
      </c>
      <c r="E290" s="14"/>
      <c r="F290" s="14">
        <v>1</v>
      </c>
      <c r="G290" s="14">
        <v>0</v>
      </c>
      <c r="H290" s="14">
        <v>12</v>
      </c>
      <c r="I290" s="8" t="s">
        <v>149</v>
      </c>
      <c r="J290" s="8" t="s">
        <v>38</v>
      </c>
      <c r="K290">
        <v>60</v>
      </c>
      <c r="L290">
        <v>71</v>
      </c>
      <c r="M290" s="14">
        <v>9</v>
      </c>
      <c r="N290" s="14">
        <v>3.25</v>
      </c>
      <c r="R290" t="str">
        <f t="shared" si="15"/>
        <v xml:space="preserve">XX8X_PV_0482:    Front abuts stile:FALSE       Back abuts stile:TRUE          Panel Section: BOTTOM           Stile in the back Width: 12           Cutout A: B-34715          Cutout B:      F.C.:9 in.         C.C.:3.25 in.   </v>
      </c>
      <c r="S290" t="str">
        <f t="shared" si="14"/>
        <v>FALSE</v>
      </c>
      <c r="T290" t="str">
        <f t="shared" si="16"/>
        <v>TRUE</v>
      </c>
    </row>
    <row r="291" spans="1:20">
      <c r="A291" t="s">
        <v>451</v>
      </c>
      <c r="B291" s="14" t="s">
        <v>144</v>
      </c>
      <c r="C291" s="14" t="s">
        <v>157</v>
      </c>
      <c r="D291" s="14">
        <v>0</v>
      </c>
      <c r="E291" s="14"/>
      <c r="F291" s="14">
        <v>1</v>
      </c>
      <c r="G291" s="14">
        <v>0</v>
      </c>
      <c r="H291" s="14">
        <v>24</v>
      </c>
      <c r="I291" s="8" t="s">
        <v>120</v>
      </c>
      <c r="J291" s="8" t="s">
        <v>38</v>
      </c>
      <c r="K291">
        <v>60</v>
      </c>
      <c r="L291">
        <v>73.1875</v>
      </c>
      <c r="M291" s="14">
        <v>9</v>
      </c>
      <c r="N291" s="14">
        <v>6.9375</v>
      </c>
      <c r="R291" t="str">
        <f t="shared" si="15"/>
        <v xml:space="preserve">XX8X_PV_0483:    Front abuts stile:FALSE       Back abuts stile:TRUE          Panel Section: BOTTOM           Stile in the back Width: 24           Cutout A: B-386          Cutout B:      F.C.:9 in.         C.C.:6.9375 in.   </v>
      </c>
      <c r="S291" t="str">
        <f t="shared" si="14"/>
        <v>FALSE</v>
      </c>
      <c r="T291" t="str">
        <f t="shared" si="16"/>
        <v>TRUE</v>
      </c>
    </row>
    <row r="292" spans="1:20">
      <c r="A292" t="s">
        <v>452</v>
      </c>
      <c r="B292" s="14" t="s">
        <v>144</v>
      </c>
      <c r="C292" s="14" t="s">
        <v>157</v>
      </c>
      <c r="D292" s="14">
        <v>0</v>
      </c>
      <c r="E292" s="14"/>
      <c r="F292" s="14">
        <v>1</v>
      </c>
      <c r="G292" s="14">
        <v>0</v>
      </c>
      <c r="H292" s="14"/>
      <c r="I292" s="8" t="s">
        <v>38</v>
      </c>
      <c r="J292" s="8" t="s">
        <v>38</v>
      </c>
      <c r="K292">
        <v>60</v>
      </c>
      <c r="L292">
        <v>51.875</v>
      </c>
      <c r="M292" s="14">
        <v>4.5</v>
      </c>
      <c r="N292" s="14">
        <v>2.3125</v>
      </c>
      <c r="R292" t="str">
        <f t="shared" si="15"/>
        <v xml:space="preserve">XX8X_PV_0484:    Front abuts stile:FALSE       Back abuts stile:TRUE          Panel Section: BOTTOM           Stile in the back Width:            Cutout A:           Cutout B:      F.C.:4.5 in.         C.C.:2.3125 in.   </v>
      </c>
      <c r="S292" t="str">
        <f t="shared" si="14"/>
        <v>FALSE</v>
      </c>
      <c r="T292" t="str">
        <f t="shared" si="16"/>
        <v>TRUE</v>
      </c>
    </row>
    <row r="293" spans="1:20">
      <c r="A293" t="s">
        <v>453</v>
      </c>
      <c r="B293" s="14" t="s">
        <v>144</v>
      </c>
      <c r="C293" s="14" t="s">
        <v>157</v>
      </c>
      <c r="D293" s="14">
        <v>0</v>
      </c>
      <c r="E293" s="14"/>
      <c r="F293" s="14">
        <v>1</v>
      </c>
      <c r="G293" s="14">
        <v>1</v>
      </c>
      <c r="H293" s="14"/>
      <c r="I293" s="8" t="s">
        <v>38</v>
      </c>
      <c r="J293" s="8" t="s">
        <v>38</v>
      </c>
      <c r="K293">
        <v>60</v>
      </c>
      <c r="L293">
        <v>50.5625</v>
      </c>
      <c r="M293" s="14">
        <v>2.4375</v>
      </c>
      <c r="N293" s="14">
        <v>3.9375</v>
      </c>
      <c r="R293" t="str">
        <f t="shared" si="15"/>
        <v xml:space="preserve">XX8X_PV_0485:    Front abuts stile:FALSE       Back abuts stile:TRUE          Panel Section: BOTTOM           Stile in the back Width:            Cutout A:           Cutout B:      F.C.:2.4375 in.         C.C.:3.9375 in.   </v>
      </c>
      <c r="S293" t="str">
        <f t="shared" si="14"/>
        <v>FALSE</v>
      </c>
      <c r="T293" t="str">
        <f t="shared" si="16"/>
        <v>TRUE</v>
      </c>
    </row>
    <row r="294" spans="1:20">
      <c r="A294" t="s">
        <v>454</v>
      </c>
      <c r="B294" s="14" t="s">
        <v>144</v>
      </c>
      <c r="C294" s="14" t="s">
        <v>157</v>
      </c>
      <c r="D294" s="14">
        <v>1</v>
      </c>
      <c r="E294" s="14">
        <v>0</v>
      </c>
      <c r="F294" s="14">
        <v>0</v>
      </c>
      <c r="G294" s="14"/>
      <c r="H294" s="14"/>
      <c r="I294" s="8" t="s">
        <v>120</v>
      </c>
      <c r="J294" s="8" t="s">
        <v>121</v>
      </c>
      <c r="K294">
        <v>60</v>
      </c>
      <c r="L294">
        <v>70.5625</v>
      </c>
      <c r="M294" s="14">
        <v>1</v>
      </c>
      <c r="N294" s="14">
        <v>4.125</v>
      </c>
      <c r="R294" t="str">
        <f t="shared" si="15"/>
        <v xml:space="preserve">XX8X_PV_0486:    Front abuts stile:TRUE       Back abuts stile:FALSE          Panel Section: BOTTOM           Stile in the back Width:            Cutout A: B-386          Cutout B:B-4354      F.C.:1 in.         C.C.:4.125 in.   </v>
      </c>
      <c r="S294" t="str">
        <f t="shared" si="14"/>
        <v>TRUE</v>
      </c>
      <c r="T294" t="str">
        <f t="shared" si="16"/>
        <v>FALSE</v>
      </c>
    </row>
    <row r="295" spans="1:20">
      <c r="A295" t="s">
        <v>455</v>
      </c>
      <c r="B295" s="14" t="s">
        <v>144</v>
      </c>
      <c r="C295" s="14" t="s">
        <v>157</v>
      </c>
      <c r="D295" s="14">
        <v>1</v>
      </c>
      <c r="E295" s="14">
        <v>0</v>
      </c>
      <c r="F295" s="14">
        <v>1</v>
      </c>
      <c r="G295" s="14">
        <v>0</v>
      </c>
      <c r="H295" s="14">
        <v>12</v>
      </c>
      <c r="I295" s="8" t="s">
        <v>145</v>
      </c>
      <c r="J295" s="8" t="s">
        <v>38</v>
      </c>
      <c r="K295">
        <v>60</v>
      </c>
      <c r="L295">
        <v>43.25</v>
      </c>
      <c r="M295" s="14">
        <v>4.5</v>
      </c>
      <c r="N295" s="14">
        <v>4.5625</v>
      </c>
      <c r="R295" t="str">
        <f t="shared" si="15"/>
        <v xml:space="preserve">XX8X_PV_0487:    Front abuts stile:TRUE       Back abuts stile:TRUE          Panel Section: BOTTOM           Stile in the back Width: 12           Cutout A: B-347          Cutout B:      F.C.:4.5 in.         C.C.:4.5625 in.   </v>
      </c>
      <c r="S295" t="str">
        <f t="shared" si="14"/>
        <v>TRUE</v>
      </c>
      <c r="T295" t="str">
        <f t="shared" si="16"/>
        <v>TRUE</v>
      </c>
    </row>
    <row r="296" spans="1:20">
      <c r="A296" t="s">
        <v>456</v>
      </c>
      <c r="B296" s="14" t="s">
        <v>144</v>
      </c>
      <c r="C296" s="14" t="s">
        <v>157</v>
      </c>
      <c r="D296" s="14">
        <v>1</v>
      </c>
      <c r="E296" s="14">
        <v>0</v>
      </c>
      <c r="F296" s="14">
        <v>1</v>
      </c>
      <c r="G296" s="14">
        <v>0</v>
      </c>
      <c r="H296" s="14">
        <v>24</v>
      </c>
      <c r="I296" s="8" t="s">
        <v>120</v>
      </c>
      <c r="J296" s="8" t="s">
        <v>38</v>
      </c>
      <c r="K296">
        <v>60</v>
      </c>
      <c r="L296">
        <v>69.0625</v>
      </c>
      <c r="M296" s="14">
        <v>6.375</v>
      </c>
      <c r="N296" s="14">
        <v>6.875</v>
      </c>
      <c r="R296" t="str">
        <f t="shared" si="15"/>
        <v xml:space="preserve">XX8X_PV_0488:    Front abuts stile:TRUE       Back abuts stile:TRUE          Panel Section: BOTTOM           Stile in the back Width: 24           Cutout A: B-386          Cutout B:      F.C.:6.375 in.         C.C.:6.875 in.   </v>
      </c>
      <c r="S296" t="str">
        <f t="shared" si="14"/>
        <v>TRUE</v>
      </c>
      <c r="T296" t="str">
        <f t="shared" si="16"/>
        <v>TRUE</v>
      </c>
    </row>
    <row r="297" spans="1:20">
      <c r="A297" t="s">
        <v>457</v>
      </c>
      <c r="B297" s="14" t="s">
        <v>144</v>
      </c>
      <c r="C297" s="14" t="s">
        <v>157</v>
      </c>
      <c r="D297" s="14">
        <v>1</v>
      </c>
      <c r="E297" s="14">
        <v>0</v>
      </c>
      <c r="F297" s="14">
        <v>1</v>
      </c>
      <c r="G297" s="14">
        <v>0</v>
      </c>
      <c r="H297" s="14"/>
      <c r="I297" s="8" t="s">
        <v>38</v>
      </c>
      <c r="J297" s="8" t="s">
        <v>38</v>
      </c>
      <c r="K297">
        <v>60</v>
      </c>
      <c r="L297">
        <v>55.6875</v>
      </c>
      <c r="M297" s="14">
        <v>9</v>
      </c>
      <c r="N297" s="14">
        <v>8.3125</v>
      </c>
      <c r="R297" t="str">
        <f t="shared" si="15"/>
        <v xml:space="preserve">XX8X_PV_0489:    Front abuts stile:TRUE       Back abuts stile:TRUE          Panel Section: BOTTOM           Stile in the back Width:            Cutout A:           Cutout B:      F.C.:9 in.         C.C.:8.3125 in.   </v>
      </c>
      <c r="S297" t="str">
        <f t="shared" si="14"/>
        <v>TRUE</v>
      </c>
      <c r="T297" t="str">
        <f t="shared" si="16"/>
        <v>TRUE</v>
      </c>
    </row>
    <row r="298" spans="1:20">
      <c r="A298" t="s">
        <v>458</v>
      </c>
      <c r="B298" s="14" t="s">
        <v>144</v>
      </c>
      <c r="C298" s="14" t="s">
        <v>157</v>
      </c>
      <c r="D298" s="14">
        <v>1</v>
      </c>
      <c r="E298" s="14">
        <v>0</v>
      </c>
      <c r="F298" s="14">
        <v>1</v>
      </c>
      <c r="G298" s="14">
        <v>1</v>
      </c>
      <c r="H298" s="14"/>
      <c r="I298" s="8" t="s">
        <v>38</v>
      </c>
      <c r="J298" s="8" t="s">
        <v>38</v>
      </c>
      <c r="K298">
        <v>60</v>
      </c>
      <c r="L298">
        <v>56.6875</v>
      </c>
      <c r="M298" s="14">
        <v>9</v>
      </c>
      <c r="N298" s="14">
        <v>1</v>
      </c>
      <c r="R298" t="str">
        <f t="shared" si="15"/>
        <v xml:space="preserve">XX8X_PV_0490:    Front abuts stile:TRUE       Back abuts stile:TRUE          Panel Section: BOTTOM           Stile in the back Width:            Cutout A:           Cutout B:      F.C.:9 in.         C.C.:1 in.   </v>
      </c>
      <c r="S298" t="str">
        <f t="shared" si="14"/>
        <v>TRUE</v>
      </c>
      <c r="T298" t="str">
        <f t="shared" si="16"/>
        <v>TRUE</v>
      </c>
    </row>
    <row r="299" spans="1:20">
      <c r="A299" t="s">
        <v>459</v>
      </c>
      <c r="B299" s="14" t="s">
        <v>144</v>
      </c>
      <c r="C299" s="14" t="s">
        <v>157</v>
      </c>
      <c r="D299" s="14">
        <v>1</v>
      </c>
      <c r="E299" s="14">
        <v>1</v>
      </c>
      <c r="F299" s="14">
        <v>0</v>
      </c>
      <c r="G299" s="14"/>
      <c r="H299" s="14"/>
      <c r="I299" s="8" t="s">
        <v>145</v>
      </c>
      <c r="J299" s="8" t="s">
        <v>38</v>
      </c>
      <c r="K299">
        <v>60</v>
      </c>
      <c r="L299">
        <v>79.5625</v>
      </c>
      <c r="M299" s="14">
        <v>4</v>
      </c>
      <c r="N299" s="14">
        <v>2.4375</v>
      </c>
      <c r="R299" t="str">
        <f t="shared" si="15"/>
        <v xml:space="preserve">XX8X_PV_0491:    Front abuts stile:TRUE       Back abuts stile:FALSE          Panel Section: BOTTOM           Stile in the back Width:            Cutout A: B-347          Cutout B:      F.C.:4 in.         C.C.:2.4375 in.   </v>
      </c>
      <c r="S299" t="str">
        <f t="shared" si="14"/>
        <v>TRUE</v>
      </c>
      <c r="T299" t="str">
        <f t="shared" si="16"/>
        <v>FALSE</v>
      </c>
    </row>
    <row r="300" spans="1:20">
      <c r="A300" t="s">
        <v>460</v>
      </c>
      <c r="B300" s="14" t="s">
        <v>144</v>
      </c>
      <c r="C300" s="14" t="s">
        <v>157</v>
      </c>
      <c r="D300" s="14">
        <v>1</v>
      </c>
      <c r="E300" s="14">
        <v>1</v>
      </c>
      <c r="F300" s="14">
        <v>1</v>
      </c>
      <c r="G300" s="14">
        <v>0</v>
      </c>
      <c r="H300" s="14">
        <v>12</v>
      </c>
      <c r="I300" s="8" t="s">
        <v>38</v>
      </c>
      <c r="J300" s="8" t="s">
        <v>38</v>
      </c>
      <c r="K300">
        <v>60</v>
      </c>
      <c r="L300">
        <v>65.875</v>
      </c>
      <c r="M300" s="14">
        <v>8.9375</v>
      </c>
      <c r="N300" s="14">
        <v>3.25</v>
      </c>
      <c r="R300" t="str">
        <f t="shared" si="15"/>
        <v xml:space="preserve">XX8X_PV_0492:    Front abuts stile:TRUE       Back abuts stile:TRUE          Panel Section: BOTTOM           Stile in the back Width: 12           Cutout A:           Cutout B:      F.C.:8.9375 in.         C.C.:3.25 in.   </v>
      </c>
      <c r="S300" t="str">
        <f t="shared" si="14"/>
        <v>TRUE</v>
      </c>
      <c r="T300" t="str">
        <f t="shared" si="16"/>
        <v>TRUE</v>
      </c>
    </row>
    <row r="301" spans="1:20">
      <c r="A301" t="s">
        <v>461</v>
      </c>
      <c r="B301" s="14" t="s">
        <v>144</v>
      </c>
      <c r="C301" s="14" t="s">
        <v>157</v>
      </c>
      <c r="D301" s="14">
        <v>1</v>
      </c>
      <c r="E301" s="14">
        <v>1</v>
      </c>
      <c r="F301" s="14">
        <v>1</v>
      </c>
      <c r="G301" s="14">
        <v>0</v>
      </c>
      <c r="H301" s="14">
        <v>24</v>
      </c>
      <c r="I301" s="8" t="s">
        <v>120</v>
      </c>
      <c r="J301" s="8" t="s">
        <v>38</v>
      </c>
      <c r="K301">
        <v>60</v>
      </c>
      <c r="L301">
        <v>77.9375</v>
      </c>
      <c r="M301" s="14">
        <v>1</v>
      </c>
      <c r="N301" s="14">
        <v>1.25</v>
      </c>
      <c r="R301" t="str">
        <f t="shared" si="15"/>
        <v xml:space="preserve">XX8X_PV_0493:    Front abuts stile:TRUE       Back abuts stile:TRUE          Panel Section: BOTTOM           Stile in the back Width: 24           Cutout A: B-386          Cutout B:      F.C.:1 in.         C.C.:1.25 in.   </v>
      </c>
      <c r="S301" t="str">
        <f t="shared" si="14"/>
        <v>TRUE</v>
      </c>
      <c r="T301" t="str">
        <f t="shared" si="16"/>
        <v>TRUE</v>
      </c>
    </row>
    <row r="302" spans="1:20">
      <c r="A302" t="s">
        <v>462</v>
      </c>
      <c r="B302" s="14" t="s">
        <v>144</v>
      </c>
      <c r="C302" s="14" t="s">
        <v>157</v>
      </c>
      <c r="D302" s="14">
        <v>1</v>
      </c>
      <c r="E302" s="14">
        <v>1</v>
      </c>
      <c r="F302" s="14">
        <v>1</v>
      </c>
      <c r="G302" s="14">
        <v>0</v>
      </c>
      <c r="H302" s="14"/>
      <c r="I302" s="8" t="s">
        <v>38</v>
      </c>
      <c r="J302" s="8" t="s">
        <v>38</v>
      </c>
      <c r="K302">
        <v>60</v>
      </c>
      <c r="L302">
        <v>42</v>
      </c>
      <c r="M302" s="14">
        <v>12</v>
      </c>
      <c r="N302" s="14">
        <v>1.875</v>
      </c>
      <c r="R302" t="str">
        <f t="shared" si="15"/>
        <v xml:space="preserve">XX8X_PV_0494:    Front abuts stile:TRUE       Back abuts stile:TRUE          Panel Section: BOTTOM           Stile in the back Width:            Cutout A:           Cutout B:      F.C.:12 in.         C.C.:1.875 in.   </v>
      </c>
      <c r="S302" t="str">
        <f t="shared" si="14"/>
        <v>TRUE</v>
      </c>
      <c r="T302" t="str">
        <f t="shared" si="16"/>
        <v>TRUE</v>
      </c>
    </row>
    <row r="303" spans="1:20">
      <c r="A303" t="s">
        <v>463</v>
      </c>
      <c r="B303" s="14" t="s">
        <v>144</v>
      </c>
      <c r="C303" s="14" t="s">
        <v>157</v>
      </c>
      <c r="D303" s="14">
        <v>1</v>
      </c>
      <c r="E303" s="14">
        <v>1</v>
      </c>
      <c r="F303" s="14">
        <v>1</v>
      </c>
      <c r="G303" s="14">
        <v>1</v>
      </c>
      <c r="H303" s="14"/>
      <c r="I303" s="8" t="s">
        <v>38</v>
      </c>
      <c r="J303" s="8" t="s">
        <v>38</v>
      </c>
      <c r="K303">
        <v>60</v>
      </c>
      <c r="L303">
        <v>42.1875</v>
      </c>
      <c r="M303" s="14">
        <v>5.375</v>
      </c>
      <c r="N303" s="14">
        <v>1.375</v>
      </c>
      <c r="R303" t="str">
        <f t="shared" si="15"/>
        <v xml:space="preserve">XX8X_PV_0495:    Front abuts stile:TRUE       Back abuts stile:TRUE          Panel Section: BOTTOM           Stile in the back Width:            Cutout A:           Cutout B:      F.C.:5.375 in.         C.C.:1.375 in.   </v>
      </c>
      <c r="S303" t="str">
        <f t="shared" si="14"/>
        <v>TRUE</v>
      </c>
      <c r="T303" t="str">
        <f t="shared" si="16"/>
        <v>TRUE</v>
      </c>
    </row>
    <row r="304" spans="1:20">
      <c r="A304" t="s">
        <v>464</v>
      </c>
      <c r="B304" s="14" t="s">
        <v>144</v>
      </c>
      <c r="C304" s="14" t="s">
        <v>21</v>
      </c>
      <c r="D304" s="14">
        <v>0</v>
      </c>
      <c r="E304" s="14"/>
      <c r="F304" s="14">
        <v>0</v>
      </c>
      <c r="G304" s="14"/>
      <c r="H304" s="14"/>
      <c r="I304" s="8" t="s">
        <v>145</v>
      </c>
      <c r="J304" s="8" t="s">
        <v>38</v>
      </c>
      <c r="K304">
        <v>53.25</v>
      </c>
      <c r="L304">
        <v>61.9375</v>
      </c>
      <c r="M304" s="14">
        <v>4.5</v>
      </c>
      <c r="N304" s="14">
        <v>6.875</v>
      </c>
      <c r="R304" t="str">
        <f t="shared" si="15"/>
        <v xml:space="preserve">XX8X_PV_0511:    Front abuts stile:FALSE       Back abuts stile:FALSE          Panel Section: WHOLE           Stile in the back Width:            Cutout A: B-347          Cutout B:      F.C.:4.5 in.         C.C.:6.875 in.   </v>
      </c>
      <c r="S304" t="str">
        <f t="shared" si="14"/>
        <v>FALSE</v>
      </c>
      <c r="T304" t="str">
        <f t="shared" si="16"/>
        <v>FALSE</v>
      </c>
    </row>
    <row r="305" spans="1:20">
      <c r="A305" t="s">
        <v>465</v>
      </c>
      <c r="B305" s="14" t="s">
        <v>144</v>
      </c>
      <c r="C305" s="14" t="s">
        <v>21</v>
      </c>
      <c r="D305" s="14">
        <v>0</v>
      </c>
      <c r="E305" s="14"/>
      <c r="F305" s="14">
        <v>1</v>
      </c>
      <c r="G305" s="14">
        <v>0</v>
      </c>
      <c r="H305" s="14">
        <v>12</v>
      </c>
      <c r="I305" s="8" t="s">
        <v>150</v>
      </c>
      <c r="J305" s="8" t="s">
        <v>38</v>
      </c>
      <c r="K305">
        <v>86.4375</v>
      </c>
      <c r="L305">
        <v>44.4375</v>
      </c>
      <c r="M305" s="14">
        <v>11.125</v>
      </c>
      <c r="N305" s="14">
        <v>2</v>
      </c>
      <c r="R305" t="str">
        <f t="shared" si="15"/>
        <v xml:space="preserve">XX8X_PV_0512:    Front abuts stile:FALSE       Back abuts stile:TRUE          Panel Section: WHOLE           Stile in the back Width: 12           Cutout A: B-3571          Cutout B:      F.C.:11.125 in.         C.C.:2 in.   </v>
      </c>
      <c r="S305" t="str">
        <f t="shared" si="14"/>
        <v>FALSE</v>
      </c>
      <c r="T305" t="str">
        <f t="shared" si="16"/>
        <v>TRUE</v>
      </c>
    </row>
    <row r="306" spans="1:20">
      <c r="A306" t="s">
        <v>466</v>
      </c>
      <c r="B306" s="14" t="s">
        <v>144</v>
      </c>
      <c r="C306" s="14" t="s">
        <v>21</v>
      </c>
      <c r="D306" s="14">
        <v>0</v>
      </c>
      <c r="E306" s="14"/>
      <c r="F306" s="14">
        <v>1</v>
      </c>
      <c r="G306" s="14">
        <v>0</v>
      </c>
      <c r="H306" s="14">
        <v>24</v>
      </c>
      <c r="I306" s="8" t="s">
        <v>120</v>
      </c>
      <c r="J306" s="8" t="s">
        <v>38</v>
      </c>
      <c r="K306">
        <v>97.5625</v>
      </c>
      <c r="L306">
        <v>67.5</v>
      </c>
      <c r="M306" s="14">
        <v>4.5</v>
      </c>
      <c r="N306" s="14">
        <v>4.8125</v>
      </c>
      <c r="R306" t="str">
        <f t="shared" si="15"/>
        <v xml:space="preserve">XX8X_PV_0513:    Front abuts stile:FALSE       Back abuts stile:TRUE          Panel Section: WHOLE           Stile in the back Width: 24           Cutout A: B-386          Cutout B:      F.C.:4.5 in.         C.C.:4.8125 in.   </v>
      </c>
      <c r="S306" t="str">
        <f t="shared" si="14"/>
        <v>FALSE</v>
      </c>
      <c r="T306" t="str">
        <f t="shared" si="16"/>
        <v>TRUE</v>
      </c>
    </row>
    <row r="307" spans="1:20">
      <c r="A307" t="s">
        <v>467</v>
      </c>
      <c r="B307" s="14" t="s">
        <v>144</v>
      </c>
      <c r="C307" s="14" t="s">
        <v>21</v>
      </c>
      <c r="D307" s="14">
        <v>0</v>
      </c>
      <c r="E307" s="14"/>
      <c r="F307" s="14">
        <v>1</v>
      </c>
      <c r="G307" s="14">
        <v>0</v>
      </c>
      <c r="H307" s="14"/>
      <c r="I307" s="8" t="s">
        <v>38</v>
      </c>
      <c r="J307" s="8" t="s">
        <v>38</v>
      </c>
      <c r="K307">
        <v>91.6875</v>
      </c>
      <c r="L307">
        <v>38.0625</v>
      </c>
      <c r="M307" s="14">
        <v>3.125</v>
      </c>
      <c r="N307" s="14">
        <v>1.3125</v>
      </c>
      <c r="R307" t="str">
        <f t="shared" si="15"/>
        <v xml:space="preserve">XX8X_PV_0514:    Front abuts stile:FALSE       Back abuts stile:TRUE          Panel Section: WHOLE           Stile in the back Width:            Cutout A:           Cutout B:      F.C.:3.125 in.         C.C.:1.3125 in.   </v>
      </c>
      <c r="S307" t="str">
        <f t="shared" si="14"/>
        <v>FALSE</v>
      </c>
      <c r="T307" t="str">
        <f t="shared" si="16"/>
        <v>TRUE</v>
      </c>
    </row>
    <row r="308" spans="1:20">
      <c r="A308" t="s">
        <v>468</v>
      </c>
      <c r="B308" s="14" t="s">
        <v>144</v>
      </c>
      <c r="C308" s="14" t="s">
        <v>21</v>
      </c>
      <c r="D308" s="14">
        <v>0</v>
      </c>
      <c r="E308" s="14"/>
      <c r="F308" s="14">
        <v>1</v>
      </c>
      <c r="G308" s="14">
        <v>1</v>
      </c>
      <c r="H308" s="14"/>
      <c r="I308" s="8" t="s">
        <v>38</v>
      </c>
      <c r="J308" s="8" t="s">
        <v>38</v>
      </c>
      <c r="K308">
        <v>96</v>
      </c>
      <c r="L308">
        <v>61.625</v>
      </c>
      <c r="M308" s="14">
        <v>1</v>
      </c>
      <c r="N308" s="14">
        <v>1</v>
      </c>
      <c r="R308" t="str">
        <f t="shared" si="15"/>
        <v xml:space="preserve">XX8X_PV_0515:    Front abuts stile:FALSE       Back abuts stile:TRUE          Panel Section: WHOLE           Stile in the back Width:            Cutout A:           Cutout B:      F.C.:1 in.         C.C.:1 in.   </v>
      </c>
      <c r="S308" t="str">
        <f t="shared" si="14"/>
        <v>FALSE</v>
      </c>
      <c r="T308" t="str">
        <f t="shared" si="16"/>
        <v>TRUE</v>
      </c>
    </row>
    <row r="309" spans="1:20">
      <c r="A309" t="s">
        <v>469</v>
      </c>
      <c r="B309" s="14" t="s">
        <v>144</v>
      </c>
      <c r="C309" s="14" t="s">
        <v>21</v>
      </c>
      <c r="D309" s="14">
        <v>1</v>
      </c>
      <c r="E309" s="14">
        <v>0</v>
      </c>
      <c r="F309" s="14">
        <v>0</v>
      </c>
      <c r="G309" s="14"/>
      <c r="H309" s="14"/>
      <c r="I309" s="8" t="s">
        <v>38</v>
      </c>
      <c r="J309" s="8" t="s">
        <v>38</v>
      </c>
      <c r="K309">
        <v>80.75</v>
      </c>
      <c r="L309">
        <v>41.25</v>
      </c>
      <c r="M309" s="14">
        <v>2.4375</v>
      </c>
      <c r="N309" s="14">
        <v>4.75</v>
      </c>
      <c r="R309" t="str">
        <f t="shared" si="15"/>
        <v xml:space="preserve">XX8X_PV_0516:    Front abuts stile:TRUE       Back abuts stile:FALSE          Panel Section: WHOLE           Stile in the back Width:            Cutout A:           Cutout B:      F.C.:2.4375 in.         C.C.:4.75 in.   </v>
      </c>
      <c r="S309" t="str">
        <f t="shared" si="14"/>
        <v>TRUE</v>
      </c>
      <c r="T309" t="str">
        <f t="shared" si="16"/>
        <v>FALSE</v>
      </c>
    </row>
    <row r="310" spans="1:20">
      <c r="A310" t="s">
        <v>470</v>
      </c>
      <c r="B310" s="14" t="s">
        <v>144</v>
      </c>
      <c r="C310" s="14" t="s">
        <v>21</v>
      </c>
      <c r="D310" s="14">
        <v>1</v>
      </c>
      <c r="E310" s="14">
        <v>0</v>
      </c>
      <c r="F310" s="14">
        <v>1</v>
      </c>
      <c r="G310" s="14">
        <v>0</v>
      </c>
      <c r="H310" s="14">
        <v>12</v>
      </c>
      <c r="I310" s="8" t="s">
        <v>120</v>
      </c>
      <c r="J310" s="8" t="s">
        <v>38</v>
      </c>
      <c r="K310">
        <v>63.3125</v>
      </c>
      <c r="L310">
        <v>55.8125</v>
      </c>
      <c r="M310" s="14">
        <v>12</v>
      </c>
      <c r="N310" s="14">
        <v>5.875</v>
      </c>
      <c r="R310" t="str">
        <f t="shared" si="15"/>
        <v xml:space="preserve">XX8X_PV_0517:    Front abuts stile:TRUE       Back abuts stile:TRUE          Panel Section: WHOLE           Stile in the back Width: 12           Cutout A: B-386          Cutout B:      F.C.:12 in.         C.C.:5.875 in.   </v>
      </c>
      <c r="S310" t="str">
        <f t="shared" si="14"/>
        <v>TRUE</v>
      </c>
      <c r="T310" t="str">
        <f t="shared" si="16"/>
        <v>TRUE</v>
      </c>
    </row>
    <row r="311" spans="1:20">
      <c r="A311" t="s">
        <v>471</v>
      </c>
      <c r="B311" s="14" t="s">
        <v>144</v>
      </c>
      <c r="C311" s="14" t="s">
        <v>21</v>
      </c>
      <c r="D311" s="14">
        <v>1</v>
      </c>
      <c r="E311" s="14">
        <v>0</v>
      </c>
      <c r="F311" s="14">
        <v>1</v>
      </c>
      <c r="G311" s="14">
        <v>0</v>
      </c>
      <c r="H311" s="14">
        <v>24</v>
      </c>
      <c r="I311" s="8" t="s">
        <v>120</v>
      </c>
      <c r="J311" s="8" t="s">
        <v>38</v>
      </c>
      <c r="K311">
        <v>96</v>
      </c>
      <c r="L311">
        <v>56.5</v>
      </c>
      <c r="M311" s="14">
        <v>12</v>
      </c>
      <c r="N311" s="14">
        <v>1</v>
      </c>
      <c r="R311" t="str">
        <f t="shared" si="15"/>
        <v xml:space="preserve">XX8X_PV_0518:    Front abuts stile:TRUE       Back abuts stile:TRUE          Panel Section: WHOLE           Stile in the back Width: 24           Cutout A: B-386          Cutout B:      F.C.:12 in.         C.C.:1 in.   </v>
      </c>
      <c r="S311" t="str">
        <f t="shared" si="14"/>
        <v>TRUE</v>
      </c>
      <c r="T311" t="str">
        <f t="shared" si="16"/>
        <v>TRUE</v>
      </c>
    </row>
    <row r="312" spans="1:20">
      <c r="A312" t="s">
        <v>472</v>
      </c>
      <c r="B312" s="14" t="s">
        <v>144</v>
      </c>
      <c r="C312" s="14" t="s">
        <v>21</v>
      </c>
      <c r="D312" s="14">
        <v>1</v>
      </c>
      <c r="E312" s="14">
        <v>0</v>
      </c>
      <c r="F312" s="14">
        <v>1</v>
      </c>
      <c r="G312" s="14">
        <v>0</v>
      </c>
      <c r="H312" s="14"/>
      <c r="I312" s="8" t="s">
        <v>38</v>
      </c>
      <c r="J312" s="8" t="s">
        <v>38</v>
      </c>
      <c r="K312">
        <v>56.6875</v>
      </c>
      <c r="L312">
        <v>52.9375</v>
      </c>
      <c r="M312" s="14">
        <v>9</v>
      </c>
      <c r="N312" s="14">
        <v>1</v>
      </c>
      <c r="R312" t="str">
        <f t="shared" si="15"/>
        <v xml:space="preserve">XX8X_PV_0519:    Front abuts stile:TRUE       Back abuts stile:TRUE          Panel Section: WHOLE           Stile in the back Width:            Cutout A:           Cutout B:      F.C.:9 in.         C.C.:1 in.   </v>
      </c>
      <c r="S312" t="str">
        <f t="shared" si="14"/>
        <v>TRUE</v>
      </c>
      <c r="T312" t="str">
        <f t="shared" si="16"/>
        <v>TRUE</v>
      </c>
    </row>
    <row r="313" spans="1:20">
      <c r="A313" t="s">
        <v>473</v>
      </c>
      <c r="B313" s="14" t="s">
        <v>144</v>
      </c>
      <c r="C313" s="14" t="s">
        <v>21</v>
      </c>
      <c r="D313" s="14">
        <v>1</v>
      </c>
      <c r="E313" s="14">
        <v>0</v>
      </c>
      <c r="F313" s="14">
        <v>1</v>
      </c>
      <c r="G313" s="14">
        <v>1</v>
      </c>
      <c r="H313" s="14"/>
      <c r="I313" s="8" t="s">
        <v>38</v>
      </c>
      <c r="J313" s="8" t="s">
        <v>38</v>
      </c>
      <c r="K313">
        <v>88.875</v>
      </c>
      <c r="L313">
        <v>48</v>
      </c>
      <c r="M313" s="14">
        <v>1</v>
      </c>
      <c r="N313" s="14">
        <v>4.625</v>
      </c>
      <c r="R313" t="str">
        <f t="shared" si="15"/>
        <v xml:space="preserve">XX8X_PV_0520:    Front abuts stile:TRUE       Back abuts stile:TRUE          Panel Section: WHOLE           Stile in the back Width:            Cutout A:           Cutout B:      F.C.:1 in.         C.C.:4.625 in.   </v>
      </c>
      <c r="S313" t="str">
        <f t="shared" si="14"/>
        <v>TRUE</v>
      </c>
      <c r="T313" t="str">
        <f t="shared" si="16"/>
        <v>TRUE</v>
      </c>
    </row>
    <row r="314" spans="1:20">
      <c r="A314" t="s">
        <v>474</v>
      </c>
      <c r="B314" s="14" t="s">
        <v>143</v>
      </c>
      <c r="C314" s="14" t="s">
        <v>21</v>
      </c>
      <c r="D314" s="14">
        <v>1</v>
      </c>
      <c r="E314" s="14">
        <v>1</v>
      </c>
      <c r="F314" s="14">
        <v>0</v>
      </c>
      <c r="G314" s="14"/>
      <c r="H314" s="14"/>
      <c r="I314" s="8" t="s">
        <v>149</v>
      </c>
      <c r="J314" s="8" t="s">
        <v>38</v>
      </c>
      <c r="K314">
        <v>77.9375</v>
      </c>
      <c r="L314">
        <v>68.0625</v>
      </c>
      <c r="M314" s="14">
        <v>3.875</v>
      </c>
      <c r="N314" s="14">
        <v>5</v>
      </c>
      <c r="R314" t="str">
        <f t="shared" si="15"/>
        <v xml:space="preserve">XX8X_PV_0521:    Front abuts stile:TRUE       Back abuts stile:FALSE          Panel Section: WHOLE           Stile in the back Width:            Cutout A: B-34715          Cutout B:      F.C.:3.875 in.         C.C.:5 in.   </v>
      </c>
      <c r="S314" t="str">
        <f t="shared" si="14"/>
        <v>TRUE</v>
      </c>
      <c r="T314" t="str">
        <f t="shared" si="16"/>
        <v>FALSE</v>
      </c>
    </row>
    <row r="315" spans="1:20">
      <c r="A315" t="s">
        <v>475</v>
      </c>
      <c r="B315" s="14" t="s">
        <v>144</v>
      </c>
      <c r="C315" s="14" t="s">
        <v>21</v>
      </c>
      <c r="D315" s="14">
        <v>1</v>
      </c>
      <c r="E315" s="14">
        <v>1</v>
      </c>
      <c r="F315" s="14">
        <v>1</v>
      </c>
      <c r="G315" s="14">
        <v>0</v>
      </c>
      <c r="H315" s="14">
        <v>12</v>
      </c>
      <c r="I315" s="8" t="s">
        <v>38</v>
      </c>
      <c r="J315" s="8" t="s">
        <v>38</v>
      </c>
      <c r="K315">
        <v>57.75</v>
      </c>
      <c r="L315">
        <v>43.1875</v>
      </c>
      <c r="M315" s="14">
        <v>9.3125</v>
      </c>
      <c r="N315" s="14">
        <v>1.3125</v>
      </c>
      <c r="R315" t="str">
        <f t="shared" si="15"/>
        <v xml:space="preserve">XX8X_PV_0522:    Front abuts stile:TRUE       Back abuts stile:TRUE          Panel Section: WHOLE           Stile in the back Width: 12           Cutout A:           Cutout B:      F.C.:9.3125 in.         C.C.:1.3125 in.   </v>
      </c>
      <c r="S315" t="str">
        <f t="shared" si="14"/>
        <v>TRUE</v>
      </c>
      <c r="T315" t="str">
        <f t="shared" si="16"/>
        <v>TRUE</v>
      </c>
    </row>
    <row r="316" spans="1:20">
      <c r="A316" t="s">
        <v>476</v>
      </c>
      <c r="B316" s="14" t="s">
        <v>144</v>
      </c>
      <c r="C316" s="14" t="s">
        <v>21</v>
      </c>
      <c r="D316" s="14">
        <v>1</v>
      </c>
      <c r="E316" s="14">
        <v>1</v>
      </c>
      <c r="F316" s="14">
        <v>1</v>
      </c>
      <c r="G316" s="14">
        <v>0</v>
      </c>
      <c r="H316" s="14">
        <v>24</v>
      </c>
      <c r="I316" s="8" t="s">
        <v>120</v>
      </c>
      <c r="J316" s="8" t="s">
        <v>38</v>
      </c>
      <c r="K316">
        <v>96</v>
      </c>
      <c r="L316">
        <v>64.875</v>
      </c>
      <c r="M316" s="14">
        <v>6.5</v>
      </c>
      <c r="N316" s="14">
        <v>3.9375</v>
      </c>
      <c r="R316" t="str">
        <f t="shared" si="15"/>
        <v xml:space="preserve">XX8X_PV_0523:    Front abuts stile:TRUE       Back abuts stile:TRUE          Panel Section: WHOLE           Stile in the back Width: 24           Cutout A: B-386          Cutout B:      F.C.:6.5 in.         C.C.:3.9375 in.   </v>
      </c>
      <c r="S316" t="str">
        <f t="shared" si="14"/>
        <v>TRUE</v>
      </c>
      <c r="T316" t="str">
        <f t="shared" si="16"/>
        <v>TRUE</v>
      </c>
    </row>
    <row r="317" spans="1:20">
      <c r="A317" t="s">
        <v>477</v>
      </c>
      <c r="B317" s="14" t="s">
        <v>144</v>
      </c>
      <c r="C317" s="14" t="s">
        <v>21</v>
      </c>
      <c r="D317" s="14">
        <v>1</v>
      </c>
      <c r="E317" s="14">
        <v>1</v>
      </c>
      <c r="F317" s="14">
        <v>1</v>
      </c>
      <c r="G317" s="14">
        <v>0</v>
      </c>
      <c r="H317" s="14"/>
      <c r="I317" s="8" t="s">
        <v>38</v>
      </c>
      <c r="J317" s="8" t="s">
        <v>38</v>
      </c>
      <c r="K317">
        <v>96</v>
      </c>
      <c r="L317">
        <v>60.75</v>
      </c>
      <c r="M317" s="14">
        <v>4.5</v>
      </c>
      <c r="N317" s="14">
        <v>4.875</v>
      </c>
      <c r="R317" t="str">
        <f t="shared" si="15"/>
        <v xml:space="preserve">XX8X_PV_0524:    Front abuts stile:TRUE       Back abuts stile:TRUE          Panel Section: WHOLE           Stile in the back Width:            Cutout A:           Cutout B:      F.C.:4.5 in.         C.C.:4.875 in.   </v>
      </c>
      <c r="S317" t="str">
        <f t="shared" si="14"/>
        <v>TRUE</v>
      </c>
      <c r="T317" t="str">
        <f t="shared" si="16"/>
        <v>TRUE</v>
      </c>
    </row>
    <row r="318" spans="1:20">
      <c r="A318" t="s">
        <v>478</v>
      </c>
      <c r="B318" s="14" t="s">
        <v>144</v>
      </c>
      <c r="C318" s="14" t="s">
        <v>21</v>
      </c>
      <c r="D318" s="14">
        <v>1</v>
      </c>
      <c r="E318" s="14">
        <v>1</v>
      </c>
      <c r="F318" s="14">
        <v>1</v>
      </c>
      <c r="G318" s="14">
        <v>1</v>
      </c>
      <c r="H318" s="14"/>
      <c r="I318" s="8" t="s">
        <v>38</v>
      </c>
      <c r="J318" s="8" t="s">
        <v>38</v>
      </c>
      <c r="K318">
        <v>96</v>
      </c>
      <c r="L318">
        <v>43.4375</v>
      </c>
      <c r="M318" s="14">
        <v>2.5625</v>
      </c>
      <c r="N318" s="14">
        <v>3</v>
      </c>
      <c r="R318" t="str">
        <f t="shared" si="15"/>
        <v xml:space="preserve">XX8X_PV_0525:    Front abuts stile:TRUE       Back abuts stile:TRUE          Panel Section: WHOLE           Stile in the back Width:            Cutout A:           Cutout B:      F.C.:2.5625 in.         C.C.:3 in.   </v>
      </c>
      <c r="S318" t="str">
        <f t="shared" si="14"/>
        <v>TRUE</v>
      </c>
      <c r="T318" t="str">
        <f t="shared" si="16"/>
        <v>TRUE</v>
      </c>
    </row>
    <row r="319" spans="1:20">
      <c r="A319" t="s">
        <v>479</v>
      </c>
      <c r="B319" s="14" t="s">
        <v>144</v>
      </c>
      <c r="C319" s="14" t="s">
        <v>156</v>
      </c>
      <c r="D319" s="19">
        <v>0</v>
      </c>
      <c r="E319" s="19"/>
      <c r="F319" s="19">
        <v>0</v>
      </c>
      <c r="G319" s="19"/>
      <c r="H319" s="14"/>
      <c r="I319" s="8" t="s">
        <v>148</v>
      </c>
      <c r="J319" s="8" t="s">
        <v>38</v>
      </c>
      <c r="K319">
        <v>25.875</v>
      </c>
      <c r="L319">
        <v>51.4375</v>
      </c>
      <c r="M319" s="14">
        <v>10.375</v>
      </c>
      <c r="N319" s="14">
        <v>4.375</v>
      </c>
      <c r="R319" t="str">
        <f t="shared" si="15"/>
        <v xml:space="preserve">XX8X_PV_0541:    Front abuts stile:FALSE       Back abuts stile:FALSE          Panel Section: TOP           Stile in the back Width:            Cutout A: B-3471          Cutout B:      F.C.:10.375 in.         C.C.:4.375 in.   </v>
      </c>
      <c r="S319" t="str">
        <f t="shared" si="14"/>
        <v>FALSE</v>
      </c>
      <c r="T319" t="str">
        <f t="shared" si="16"/>
        <v>FALSE</v>
      </c>
    </row>
    <row r="320" spans="1:20">
      <c r="A320" t="s">
        <v>480</v>
      </c>
      <c r="B320" s="14" t="s">
        <v>144</v>
      </c>
      <c r="C320" s="14" t="s">
        <v>156</v>
      </c>
      <c r="D320" s="14">
        <v>0</v>
      </c>
      <c r="E320" s="14"/>
      <c r="F320" s="14">
        <v>1</v>
      </c>
      <c r="G320" s="14">
        <v>0</v>
      </c>
      <c r="H320" s="14">
        <v>12</v>
      </c>
      <c r="I320" s="8" t="s">
        <v>145</v>
      </c>
      <c r="J320" s="8" t="s">
        <v>38</v>
      </c>
      <c r="K320">
        <v>24</v>
      </c>
      <c r="L320">
        <v>63.625</v>
      </c>
      <c r="M320" s="14">
        <v>4.5</v>
      </c>
      <c r="N320" s="14">
        <v>2.25</v>
      </c>
      <c r="R320" t="str">
        <f t="shared" si="15"/>
        <v xml:space="preserve">XX8X_PV_0542:    Front abuts stile:FALSE       Back abuts stile:TRUE          Panel Section: TOP           Stile in the back Width: 12           Cutout A: B-347          Cutout B:      F.C.:4.5 in.         C.C.:2.25 in.   </v>
      </c>
      <c r="S320" t="str">
        <f t="shared" si="14"/>
        <v>FALSE</v>
      </c>
      <c r="T320" t="str">
        <f t="shared" si="16"/>
        <v>TRUE</v>
      </c>
    </row>
    <row r="321" spans="1:20">
      <c r="A321" t="s">
        <v>481</v>
      </c>
      <c r="B321" s="14" t="s">
        <v>144</v>
      </c>
      <c r="C321" s="14" t="s">
        <v>156</v>
      </c>
      <c r="D321" s="14">
        <v>0</v>
      </c>
      <c r="E321" s="14"/>
      <c r="F321" s="14">
        <v>1</v>
      </c>
      <c r="G321" s="14">
        <v>0</v>
      </c>
      <c r="H321" s="14">
        <v>24</v>
      </c>
      <c r="I321" s="8" t="s">
        <v>120</v>
      </c>
      <c r="J321" s="8" t="s">
        <v>38</v>
      </c>
      <c r="K321">
        <v>33</v>
      </c>
      <c r="L321">
        <v>45.375</v>
      </c>
      <c r="M321" s="14">
        <v>1</v>
      </c>
      <c r="N321" s="14">
        <v>2.875</v>
      </c>
      <c r="R321" t="str">
        <f t="shared" si="15"/>
        <v xml:space="preserve">XX8X_PV_0543:    Front abuts stile:FALSE       Back abuts stile:TRUE          Panel Section: TOP           Stile in the back Width: 24           Cutout A: B-386          Cutout B:      F.C.:1 in.         C.C.:2.875 in.   </v>
      </c>
      <c r="S321" t="str">
        <f t="shared" si="14"/>
        <v>FALSE</v>
      </c>
      <c r="T321" t="str">
        <f t="shared" si="16"/>
        <v>TRUE</v>
      </c>
    </row>
    <row r="322" spans="1:20">
      <c r="A322" t="s">
        <v>482</v>
      </c>
      <c r="B322" s="14" t="s">
        <v>144</v>
      </c>
      <c r="C322" s="14" t="s">
        <v>156</v>
      </c>
      <c r="D322" s="14">
        <v>0</v>
      </c>
      <c r="E322" s="14"/>
      <c r="F322" s="14">
        <v>1</v>
      </c>
      <c r="G322" s="14">
        <v>0</v>
      </c>
      <c r="H322" s="14"/>
      <c r="I322" s="8" t="s">
        <v>38</v>
      </c>
      <c r="J322" s="8" t="s">
        <v>38</v>
      </c>
      <c r="K322">
        <v>31.125</v>
      </c>
      <c r="L322">
        <v>44.5625</v>
      </c>
      <c r="M322" s="14">
        <v>1</v>
      </c>
      <c r="N322" s="14">
        <v>1</v>
      </c>
      <c r="R322" t="str">
        <f t="shared" si="15"/>
        <v xml:space="preserve">XX8X_PV_0544:    Front abuts stile:FALSE       Back abuts stile:TRUE          Panel Section: TOP           Stile in the back Width:            Cutout A:           Cutout B:      F.C.:1 in.         C.C.:1 in.   </v>
      </c>
      <c r="S322" t="str">
        <f t="shared" si="14"/>
        <v>FALSE</v>
      </c>
      <c r="T322" t="str">
        <f t="shared" si="16"/>
        <v>TRUE</v>
      </c>
    </row>
    <row r="323" spans="1:20">
      <c r="A323" t="s">
        <v>483</v>
      </c>
      <c r="B323" s="14" t="s">
        <v>144</v>
      </c>
      <c r="C323" s="14" t="s">
        <v>156</v>
      </c>
      <c r="D323" s="14">
        <v>0</v>
      </c>
      <c r="E323" s="14"/>
      <c r="F323" s="14">
        <v>1</v>
      </c>
      <c r="G323" s="14">
        <v>1</v>
      </c>
      <c r="H323" s="14"/>
      <c r="I323" s="8" t="s">
        <v>38</v>
      </c>
      <c r="J323" s="8" t="s">
        <v>38</v>
      </c>
      <c r="K323">
        <v>11.5</v>
      </c>
      <c r="L323">
        <v>55.75</v>
      </c>
      <c r="M323" s="14">
        <v>4.75</v>
      </c>
      <c r="N323" s="14">
        <v>3.4375</v>
      </c>
      <c r="R323" t="str">
        <f t="shared" si="15"/>
        <v xml:space="preserve">XX8X_PV_0545:    Front abuts stile:FALSE       Back abuts stile:TRUE          Panel Section: TOP           Stile in the back Width:            Cutout A:           Cutout B:      F.C.:4.75 in.         C.C.:3.4375 in.   </v>
      </c>
      <c r="S323" t="str">
        <f t="shared" si="14"/>
        <v>FALSE</v>
      </c>
      <c r="T323" t="str">
        <f t="shared" si="16"/>
        <v>TRUE</v>
      </c>
    </row>
    <row r="324" spans="1:20">
      <c r="A324" t="s">
        <v>484</v>
      </c>
      <c r="B324" s="14" t="s">
        <v>144</v>
      </c>
      <c r="C324" s="14" t="s">
        <v>156</v>
      </c>
      <c r="D324" s="14">
        <v>1</v>
      </c>
      <c r="E324" s="14">
        <v>0</v>
      </c>
      <c r="F324" s="14">
        <v>0</v>
      </c>
      <c r="G324" s="14"/>
      <c r="H324" s="14"/>
      <c r="I324" s="8" t="s">
        <v>119</v>
      </c>
      <c r="J324" s="8" t="s">
        <v>38</v>
      </c>
      <c r="K324">
        <v>10.0625</v>
      </c>
      <c r="L324">
        <v>74.875</v>
      </c>
      <c r="M324" s="14">
        <v>9</v>
      </c>
      <c r="N324" s="14">
        <v>2.8125</v>
      </c>
      <c r="R324" t="str">
        <f t="shared" si="15"/>
        <v xml:space="preserve">XX8X_PV_0546:    Front abuts stile:TRUE       Back abuts stile:FALSE          Panel Section: TOP           Stile in the back Width:            Cutout A: B-354          Cutout B:      F.C.:9 in.         C.C.:2.8125 in.   </v>
      </c>
      <c r="S324" t="str">
        <f t="shared" ref="S324:S387" si="17">IF(D324=1, "TRUE", "FALSE")</f>
        <v>TRUE</v>
      </c>
      <c r="T324" t="str">
        <f t="shared" si="16"/>
        <v>FALSE</v>
      </c>
    </row>
    <row r="325" spans="1:20">
      <c r="A325" t="s">
        <v>485</v>
      </c>
      <c r="B325" s="14" t="s">
        <v>144</v>
      </c>
      <c r="C325" s="14" t="s">
        <v>156</v>
      </c>
      <c r="D325" s="14">
        <v>1</v>
      </c>
      <c r="E325" s="14">
        <v>0</v>
      </c>
      <c r="F325" s="14">
        <v>1</v>
      </c>
      <c r="G325" s="14">
        <v>0</v>
      </c>
      <c r="H325" s="14">
        <v>12</v>
      </c>
      <c r="I325" s="8" t="s">
        <v>150</v>
      </c>
      <c r="J325" s="8" t="s">
        <v>38</v>
      </c>
      <c r="K325">
        <v>32.3125</v>
      </c>
      <c r="L325">
        <v>54.4375</v>
      </c>
      <c r="M325" s="14">
        <v>4.5</v>
      </c>
      <c r="N325" s="14">
        <v>1.25</v>
      </c>
      <c r="R325" t="str">
        <f t="shared" si="15"/>
        <v xml:space="preserve">XX8X_PV_0547:    Front abuts stile:TRUE       Back abuts stile:TRUE          Panel Section: TOP           Stile in the back Width: 12           Cutout A: B-3571          Cutout B:      F.C.:4.5 in.         C.C.:1.25 in.   </v>
      </c>
      <c r="S325" t="str">
        <f t="shared" si="17"/>
        <v>TRUE</v>
      </c>
      <c r="T325" t="str">
        <f t="shared" si="16"/>
        <v>TRUE</v>
      </c>
    </row>
    <row r="326" spans="1:20">
      <c r="A326" t="s">
        <v>486</v>
      </c>
      <c r="B326" s="14" t="s">
        <v>144</v>
      </c>
      <c r="C326" s="14" t="s">
        <v>156</v>
      </c>
      <c r="D326" s="14">
        <v>1</v>
      </c>
      <c r="E326" s="14">
        <v>0</v>
      </c>
      <c r="F326" s="14">
        <v>1</v>
      </c>
      <c r="G326" s="14">
        <v>0</v>
      </c>
      <c r="H326" s="14">
        <v>24</v>
      </c>
      <c r="I326" s="8" t="s">
        <v>38</v>
      </c>
      <c r="J326" s="8" t="s">
        <v>38</v>
      </c>
      <c r="K326">
        <v>20.1875</v>
      </c>
      <c r="L326">
        <v>54.4375</v>
      </c>
      <c r="M326" s="14">
        <v>4.5</v>
      </c>
      <c r="N326" s="14">
        <v>4.8125</v>
      </c>
      <c r="R326" t="str">
        <f t="shared" si="15"/>
        <v xml:space="preserve">XX8X_PV_0548:    Front abuts stile:TRUE       Back abuts stile:TRUE          Panel Section: TOP           Stile in the back Width: 24           Cutout A:           Cutout B:      F.C.:4.5 in.         C.C.:4.8125 in.   </v>
      </c>
      <c r="S326" t="str">
        <f t="shared" si="17"/>
        <v>TRUE</v>
      </c>
      <c r="T326" t="str">
        <f t="shared" si="16"/>
        <v>TRUE</v>
      </c>
    </row>
    <row r="327" spans="1:20">
      <c r="A327" t="s">
        <v>487</v>
      </c>
      <c r="B327" s="14" t="s">
        <v>144</v>
      </c>
      <c r="C327" s="14" t="s">
        <v>156</v>
      </c>
      <c r="D327" s="14">
        <v>1</v>
      </c>
      <c r="E327" s="14">
        <v>0</v>
      </c>
      <c r="F327" s="14">
        <v>1</v>
      </c>
      <c r="G327" s="14">
        <v>0</v>
      </c>
      <c r="H327" s="14"/>
      <c r="I327" s="8" t="s">
        <v>38</v>
      </c>
      <c r="J327" s="8" t="s">
        <v>38</v>
      </c>
      <c r="K327">
        <v>11.9375</v>
      </c>
      <c r="L327">
        <v>40.5625</v>
      </c>
      <c r="M327" s="14">
        <v>4.5</v>
      </c>
      <c r="N327" s="14">
        <v>4.875</v>
      </c>
      <c r="R327" t="str">
        <f t="shared" ref="R327:R390" si="18">A327&amp;":    Front abuts stile:"&amp;S327&amp;"       Back abuts stile:"&amp;T327&amp;"          Panel Section: "&amp;C327&amp;"           Stile in the back Width: "&amp;H327&amp;"           Cutout A: "&amp;I327&amp;"          Cutout B:"&amp;J327&amp;"      F.C.:"&amp;M327&amp;" in. "&amp;"        C.C.:"&amp;N327&amp;" in. "&amp;"  "</f>
        <v xml:space="preserve">XX8X_PV_0549:    Front abuts stile:TRUE       Back abuts stile:TRUE          Panel Section: TOP           Stile in the back Width:            Cutout A:           Cutout B:      F.C.:4.5 in.         C.C.:4.875 in.   </v>
      </c>
      <c r="S327" t="str">
        <f t="shared" si="17"/>
        <v>TRUE</v>
      </c>
      <c r="T327" t="str">
        <f t="shared" si="16"/>
        <v>TRUE</v>
      </c>
    </row>
    <row r="328" spans="1:20">
      <c r="A328" t="s">
        <v>488</v>
      </c>
      <c r="B328" s="14" t="s">
        <v>144</v>
      </c>
      <c r="C328" s="14" t="s">
        <v>156</v>
      </c>
      <c r="D328" s="14">
        <v>1</v>
      </c>
      <c r="E328" s="14">
        <v>0</v>
      </c>
      <c r="F328" s="14">
        <v>1</v>
      </c>
      <c r="G328" s="14">
        <v>1</v>
      </c>
      <c r="H328" s="14"/>
      <c r="I328" s="8" t="s">
        <v>38</v>
      </c>
      <c r="J328" s="8" t="s">
        <v>38</v>
      </c>
      <c r="K328">
        <v>25.75</v>
      </c>
      <c r="L328">
        <v>62.125</v>
      </c>
      <c r="M328" s="14">
        <v>3.875</v>
      </c>
      <c r="N328" s="14">
        <v>6.6875</v>
      </c>
      <c r="R328" t="str">
        <f t="shared" si="18"/>
        <v xml:space="preserve">XX8X_PV_0550:    Front abuts stile:TRUE       Back abuts stile:TRUE          Panel Section: TOP           Stile in the back Width:            Cutout A:           Cutout B:      F.C.:3.875 in.         C.C.:6.6875 in.   </v>
      </c>
      <c r="S328" t="str">
        <f t="shared" si="17"/>
        <v>TRUE</v>
      </c>
      <c r="T328" t="str">
        <f t="shared" si="16"/>
        <v>TRUE</v>
      </c>
    </row>
    <row r="329" spans="1:20">
      <c r="A329" t="s">
        <v>489</v>
      </c>
      <c r="B329" s="14" t="s">
        <v>144</v>
      </c>
      <c r="C329" s="14" t="s">
        <v>156</v>
      </c>
      <c r="D329" s="14">
        <v>1</v>
      </c>
      <c r="E329" s="14">
        <v>1</v>
      </c>
      <c r="F329" s="14">
        <v>0</v>
      </c>
      <c r="G329" s="14"/>
      <c r="H329" s="14"/>
      <c r="I329" s="8" t="s">
        <v>119</v>
      </c>
      <c r="J329" s="8" t="s">
        <v>38</v>
      </c>
      <c r="K329">
        <v>26.1875</v>
      </c>
      <c r="L329">
        <v>45.375</v>
      </c>
      <c r="M329" s="14">
        <v>1</v>
      </c>
      <c r="N329" s="14">
        <v>2.9375</v>
      </c>
      <c r="R329" t="str">
        <f t="shared" si="18"/>
        <v xml:space="preserve">XX8X_PV_0551:    Front abuts stile:TRUE       Back abuts stile:FALSE          Panel Section: TOP           Stile in the back Width:            Cutout A: B-354          Cutout B:      F.C.:1 in.         C.C.:2.9375 in.   </v>
      </c>
      <c r="S329" t="str">
        <f t="shared" si="17"/>
        <v>TRUE</v>
      </c>
      <c r="T329" t="str">
        <f t="shared" si="16"/>
        <v>FALSE</v>
      </c>
    </row>
    <row r="330" spans="1:20">
      <c r="A330" t="s">
        <v>490</v>
      </c>
      <c r="B330" s="14" t="s">
        <v>144</v>
      </c>
      <c r="C330" s="14" t="s">
        <v>156</v>
      </c>
      <c r="D330" s="14">
        <v>1</v>
      </c>
      <c r="E330" s="14">
        <v>1</v>
      </c>
      <c r="F330" s="14">
        <v>1</v>
      </c>
      <c r="G330" s="14">
        <v>0</v>
      </c>
      <c r="H330" s="14">
        <v>12</v>
      </c>
      <c r="I330" s="8" t="s">
        <v>151</v>
      </c>
      <c r="J330" s="8" t="s">
        <v>38</v>
      </c>
      <c r="K330">
        <v>47.625</v>
      </c>
      <c r="L330">
        <v>50.625</v>
      </c>
      <c r="M330" s="14">
        <v>1</v>
      </c>
      <c r="N330" s="14">
        <v>4.6875</v>
      </c>
      <c r="R330" t="str">
        <f t="shared" si="18"/>
        <v xml:space="preserve">XX8X_PV_0552:    Front abuts stile:TRUE       Back abuts stile:TRUE          Panel Section: TOP           Stile in the back Width: 12           Cutout A: B-35715          Cutout B:      F.C.:1 in.         C.C.:4.6875 in.   </v>
      </c>
      <c r="S330" t="str">
        <f t="shared" si="17"/>
        <v>TRUE</v>
      </c>
      <c r="T330" t="str">
        <f t="shared" si="16"/>
        <v>TRUE</v>
      </c>
    </row>
    <row r="331" spans="1:20">
      <c r="A331" t="s">
        <v>491</v>
      </c>
      <c r="B331" s="14" t="s">
        <v>144</v>
      </c>
      <c r="C331" s="14" t="s">
        <v>156</v>
      </c>
      <c r="D331" s="14">
        <v>1</v>
      </c>
      <c r="E331" s="14">
        <v>1</v>
      </c>
      <c r="F331" s="14">
        <v>1</v>
      </c>
      <c r="G331" s="14">
        <v>0</v>
      </c>
      <c r="H331" s="14">
        <v>24</v>
      </c>
      <c r="I331" s="8" t="s">
        <v>38</v>
      </c>
      <c r="J331" s="8" t="s">
        <v>38</v>
      </c>
      <c r="K331">
        <v>46.5</v>
      </c>
      <c r="L331">
        <v>7.5</v>
      </c>
      <c r="M331" s="14">
        <v>4.5</v>
      </c>
      <c r="N331" s="14">
        <v>5.6875</v>
      </c>
      <c r="R331" t="str">
        <f t="shared" si="18"/>
        <v xml:space="preserve">XX8X_PV_0553:    Front abuts stile:TRUE       Back abuts stile:TRUE          Panel Section: TOP           Stile in the back Width: 24           Cutout A:           Cutout B:      F.C.:4.5 in.         C.C.:5.6875 in.   </v>
      </c>
      <c r="S331" t="str">
        <f t="shared" si="17"/>
        <v>TRUE</v>
      </c>
      <c r="T331" t="str">
        <f t="shared" si="16"/>
        <v>TRUE</v>
      </c>
    </row>
    <row r="332" spans="1:20">
      <c r="A332" t="s">
        <v>492</v>
      </c>
      <c r="B332" s="14" t="s">
        <v>144</v>
      </c>
      <c r="C332" s="14" t="s">
        <v>156</v>
      </c>
      <c r="D332" s="14">
        <v>1</v>
      </c>
      <c r="E332" s="14">
        <v>1</v>
      </c>
      <c r="F332" s="14">
        <v>1</v>
      </c>
      <c r="G332" s="14">
        <v>0</v>
      </c>
      <c r="H332" s="14"/>
      <c r="I332" s="8" t="s">
        <v>38</v>
      </c>
      <c r="J332" s="8" t="s">
        <v>38</v>
      </c>
      <c r="K332">
        <v>9.875</v>
      </c>
      <c r="L332">
        <v>46.3125</v>
      </c>
      <c r="M332" s="14">
        <v>9</v>
      </c>
      <c r="N332" s="14">
        <v>3.75</v>
      </c>
      <c r="R332" t="str">
        <f t="shared" si="18"/>
        <v xml:space="preserve">XX8X_PV_0554:    Front abuts stile:TRUE       Back abuts stile:TRUE          Panel Section: TOP           Stile in the back Width:            Cutout A:           Cutout B:      F.C.:9 in.         C.C.:3.75 in.   </v>
      </c>
      <c r="S332" t="str">
        <f t="shared" si="17"/>
        <v>TRUE</v>
      </c>
      <c r="T332" t="str">
        <f t="shared" si="16"/>
        <v>TRUE</v>
      </c>
    </row>
    <row r="333" spans="1:20">
      <c r="A333" t="s">
        <v>493</v>
      </c>
      <c r="B333" s="14" t="s">
        <v>144</v>
      </c>
      <c r="C333" s="14" t="s">
        <v>156</v>
      </c>
      <c r="D333" s="14">
        <v>1</v>
      </c>
      <c r="E333" s="14">
        <v>1</v>
      </c>
      <c r="F333" s="14">
        <v>1</v>
      </c>
      <c r="G333" s="14">
        <v>1</v>
      </c>
      <c r="H333" s="14"/>
      <c r="I333" s="8" t="s">
        <v>38</v>
      </c>
      <c r="J333" s="8" t="s">
        <v>38</v>
      </c>
      <c r="K333">
        <v>5.1875</v>
      </c>
      <c r="L333">
        <v>56.1875</v>
      </c>
      <c r="M333" s="14">
        <v>2.9375</v>
      </c>
      <c r="N333" s="14">
        <v>3.625</v>
      </c>
      <c r="R333" t="str">
        <f t="shared" si="18"/>
        <v xml:space="preserve">XX8X_PV_0555:    Front abuts stile:TRUE       Back abuts stile:TRUE          Panel Section: TOP           Stile in the back Width:            Cutout A:           Cutout B:      F.C.:2.9375 in.         C.C.:3.625 in.   </v>
      </c>
      <c r="S333" t="str">
        <f t="shared" si="17"/>
        <v>TRUE</v>
      </c>
      <c r="T333" t="str">
        <f t="shared" si="16"/>
        <v>TRUE</v>
      </c>
    </row>
    <row r="334" spans="1:20">
      <c r="A334" t="s">
        <v>494</v>
      </c>
      <c r="B334" s="14" t="s">
        <v>144</v>
      </c>
      <c r="C334" s="14" t="s">
        <v>157</v>
      </c>
      <c r="D334" s="14">
        <v>0</v>
      </c>
      <c r="E334" s="14"/>
      <c r="F334" s="14">
        <v>0</v>
      </c>
      <c r="G334" s="14"/>
      <c r="H334" s="14"/>
      <c r="I334" s="8" t="s">
        <v>38</v>
      </c>
      <c r="J334" s="8" t="s">
        <v>38</v>
      </c>
      <c r="K334">
        <v>60</v>
      </c>
      <c r="L334">
        <v>62.0625</v>
      </c>
      <c r="M334" s="14">
        <v>8</v>
      </c>
      <c r="N334" s="14">
        <v>5.75</v>
      </c>
      <c r="R334" t="str">
        <f t="shared" si="18"/>
        <v xml:space="preserve">XX8X_PV_0571:    Front abuts stile:FALSE       Back abuts stile:FALSE          Panel Section: BOTTOM           Stile in the back Width:            Cutout A:           Cutout B:      F.C.:8 in.         C.C.:5.75 in.   </v>
      </c>
      <c r="S334" t="str">
        <f t="shared" si="17"/>
        <v>FALSE</v>
      </c>
      <c r="T334" t="str">
        <f t="shared" si="16"/>
        <v>FALSE</v>
      </c>
    </row>
    <row r="335" spans="1:20">
      <c r="A335" t="s">
        <v>495</v>
      </c>
      <c r="B335" s="14" t="s">
        <v>144</v>
      </c>
      <c r="C335" s="14" t="s">
        <v>157</v>
      </c>
      <c r="D335" s="14">
        <v>0</v>
      </c>
      <c r="E335" s="14"/>
      <c r="F335" s="14">
        <v>1</v>
      </c>
      <c r="G335" s="14">
        <v>0</v>
      </c>
      <c r="H335" s="14">
        <v>12</v>
      </c>
      <c r="I335" s="8" t="s">
        <v>145</v>
      </c>
      <c r="J335" s="8" t="s">
        <v>38</v>
      </c>
      <c r="K335">
        <v>60</v>
      </c>
      <c r="L335">
        <v>43.0625</v>
      </c>
      <c r="M335" s="14">
        <v>2.1875</v>
      </c>
      <c r="N335" s="14">
        <v>1</v>
      </c>
      <c r="R335" t="str">
        <f t="shared" si="18"/>
        <v xml:space="preserve">XX8X_PV_0572:    Front abuts stile:FALSE       Back abuts stile:TRUE          Panel Section: BOTTOM           Stile in the back Width: 12           Cutout A: B-347          Cutout B:      F.C.:2.1875 in.         C.C.:1 in.   </v>
      </c>
      <c r="S335" t="str">
        <f t="shared" si="17"/>
        <v>FALSE</v>
      </c>
      <c r="T335" t="str">
        <f t="shared" si="16"/>
        <v>TRUE</v>
      </c>
    </row>
    <row r="336" spans="1:20">
      <c r="A336" t="s">
        <v>496</v>
      </c>
      <c r="B336" s="14" t="s">
        <v>144</v>
      </c>
      <c r="C336" s="14" t="s">
        <v>157</v>
      </c>
      <c r="D336" s="14">
        <v>0</v>
      </c>
      <c r="E336" s="14"/>
      <c r="F336" s="14">
        <v>1</v>
      </c>
      <c r="G336" s="14">
        <v>0</v>
      </c>
      <c r="H336" s="14">
        <v>24</v>
      </c>
      <c r="I336" s="8" t="s">
        <v>120</v>
      </c>
      <c r="J336" s="8" t="s">
        <v>38</v>
      </c>
      <c r="K336">
        <v>60</v>
      </c>
      <c r="L336">
        <v>74.8125</v>
      </c>
      <c r="M336" s="14">
        <v>12</v>
      </c>
      <c r="N336" s="14">
        <v>7.375</v>
      </c>
      <c r="R336" t="str">
        <f t="shared" si="18"/>
        <v xml:space="preserve">XX8X_PV_0573:    Front abuts stile:FALSE       Back abuts stile:TRUE          Panel Section: BOTTOM           Stile in the back Width: 24           Cutout A: B-386          Cutout B:      F.C.:12 in.         C.C.:7.375 in.   </v>
      </c>
      <c r="S336" t="str">
        <f t="shared" si="17"/>
        <v>FALSE</v>
      </c>
      <c r="T336" t="str">
        <f t="shared" si="16"/>
        <v>TRUE</v>
      </c>
    </row>
    <row r="337" spans="1:20">
      <c r="A337" t="s">
        <v>497</v>
      </c>
      <c r="B337" s="14" t="s">
        <v>144</v>
      </c>
      <c r="C337" s="14" t="s">
        <v>157</v>
      </c>
      <c r="D337" s="14">
        <v>0</v>
      </c>
      <c r="E337" s="14"/>
      <c r="F337" s="14">
        <v>1</v>
      </c>
      <c r="G337" s="14">
        <v>0</v>
      </c>
      <c r="H337" s="14"/>
      <c r="I337" s="8" t="s">
        <v>38</v>
      </c>
      <c r="J337" s="8" t="s">
        <v>38</v>
      </c>
      <c r="K337">
        <v>60</v>
      </c>
      <c r="L337">
        <v>8.875</v>
      </c>
      <c r="M337" s="14">
        <v>9.125</v>
      </c>
      <c r="N337" s="14">
        <v>7</v>
      </c>
      <c r="R337" t="str">
        <f t="shared" si="18"/>
        <v xml:space="preserve">XX8X_PV_0574:    Front abuts stile:FALSE       Back abuts stile:TRUE          Panel Section: BOTTOM           Stile in the back Width:            Cutout A:           Cutout B:      F.C.:9.125 in.         C.C.:7 in.   </v>
      </c>
      <c r="S337" t="str">
        <f t="shared" si="17"/>
        <v>FALSE</v>
      </c>
      <c r="T337" t="str">
        <f t="shared" si="16"/>
        <v>TRUE</v>
      </c>
    </row>
    <row r="338" spans="1:20">
      <c r="A338" t="s">
        <v>498</v>
      </c>
      <c r="B338" s="14" t="s">
        <v>144</v>
      </c>
      <c r="C338" s="14" t="s">
        <v>157</v>
      </c>
      <c r="D338" s="14">
        <v>0</v>
      </c>
      <c r="E338" s="14"/>
      <c r="F338" s="14">
        <v>1</v>
      </c>
      <c r="G338" s="14">
        <v>1</v>
      </c>
      <c r="H338" s="14"/>
      <c r="I338" s="8" t="s">
        <v>38</v>
      </c>
      <c r="J338" s="8" t="s">
        <v>38</v>
      </c>
      <c r="K338">
        <v>60</v>
      </c>
      <c r="L338">
        <v>78.6875</v>
      </c>
      <c r="M338" s="14">
        <v>3.3125</v>
      </c>
      <c r="N338" s="14">
        <v>7.625</v>
      </c>
      <c r="R338" t="str">
        <f t="shared" si="18"/>
        <v xml:space="preserve">XX8X_PV_0575:    Front abuts stile:FALSE       Back abuts stile:TRUE          Panel Section: BOTTOM           Stile in the back Width:            Cutout A:           Cutout B:      F.C.:3.3125 in.         C.C.:7.625 in.   </v>
      </c>
      <c r="S338" t="str">
        <f t="shared" si="17"/>
        <v>FALSE</v>
      </c>
      <c r="T338" t="str">
        <f t="shared" ref="T338:T401" si="19">IF(F338=1, "TRUE", "FALSE")</f>
        <v>TRUE</v>
      </c>
    </row>
    <row r="339" spans="1:20">
      <c r="A339" t="s">
        <v>499</v>
      </c>
      <c r="B339" s="14" t="s">
        <v>144</v>
      </c>
      <c r="C339" s="14" t="s">
        <v>157</v>
      </c>
      <c r="D339" s="14">
        <v>1</v>
      </c>
      <c r="E339" s="14">
        <v>0</v>
      </c>
      <c r="F339" s="14">
        <v>0</v>
      </c>
      <c r="G339" s="14"/>
      <c r="H339" s="14"/>
      <c r="I339" s="8" t="s">
        <v>121</v>
      </c>
      <c r="J339" s="8" t="s">
        <v>120</v>
      </c>
      <c r="K339">
        <v>60</v>
      </c>
      <c r="L339">
        <v>47.25</v>
      </c>
      <c r="M339" s="14">
        <v>9</v>
      </c>
      <c r="N339" s="14">
        <v>3.6875</v>
      </c>
      <c r="R339" t="str">
        <f t="shared" si="18"/>
        <v xml:space="preserve">XX8X_PV_0576:    Front abuts stile:TRUE       Back abuts stile:FALSE          Panel Section: BOTTOM           Stile in the back Width:            Cutout A: B-4354          Cutout B:B-386      F.C.:9 in.         C.C.:3.6875 in.   </v>
      </c>
      <c r="S339" t="str">
        <f t="shared" si="17"/>
        <v>TRUE</v>
      </c>
      <c r="T339" t="str">
        <f t="shared" si="19"/>
        <v>FALSE</v>
      </c>
    </row>
    <row r="340" spans="1:20">
      <c r="A340" t="s">
        <v>500</v>
      </c>
      <c r="B340" s="14" t="s">
        <v>144</v>
      </c>
      <c r="C340" s="14" t="s">
        <v>157</v>
      </c>
      <c r="D340" s="14">
        <v>1</v>
      </c>
      <c r="E340" s="14">
        <v>0</v>
      </c>
      <c r="F340" s="14">
        <v>1</v>
      </c>
      <c r="G340" s="14">
        <v>0</v>
      </c>
      <c r="H340" s="14">
        <v>12</v>
      </c>
      <c r="I340" s="8" t="s">
        <v>120</v>
      </c>
      <c r="J340" s="8" t="s">
        <v>38</v>
      </c>
      <c r="K340">
        <v>60</v>
      </c>
      <c r="L340">
        <v>57.75</v>
      </c>
      <c r="M340" s="14">
        <v>4.5</v>
      </c>
      <c r="N340" s="14">
        <v>1</v>
      </c>
      <c r="R340" t="str">
        <f t="shared" si="18"/>
        <v xml:space="preserve">XX8X_PV_0577:    Front abuts stile:TRUE       Back abuts stile:TRUE          Panel Section: BOTTOM           Stile in the back Width: 12           Cutout A: B-386          Cutout B:      F.C.:4.5 in.         C.C.:1 in.   </v>
      </c>
      <c r="S340" t="str">
        <f t="shared" si="17"/>
        <v>TRUE</v>
      </c>
      <c r="T340" t="str">
        <f t="shared" si="19"/>
        <v>TRUE</v>
      </c>
    </row>
    <row r="341" spans="1:20">
      <c r="A341" t="s">
        <v>501</v>
      </c>
      <c r="B341" s="14" t="s">
        <v>144</v>
      </c>
      <c r="C341" s="14" t="s">
        <v>157</v>
      </c>
      <c r="D341" s="14">
        <v>1</v>
      </c>
      <c r="E341" s="14">
        <v>0</v>
      </c>
      <c r="F341" s="14">
        <v>1</v>
      </c>
      <c r="G341" s="14">
        <v>0</v>
      </c>
      <c r="H341" s="14">
        <v>24</v>
      </c>
      <c r="I341" s="8" t="s">
        <v>120</v>
      </c>
      <c r="J341" s="8" t="s">
        <v>38</v>
      </c>
      <c r="K341">
        <v>60</v>
      </c>
      <c r="L341">
        <v>78.75</v>
      </c>
      <c r="M341" s="14">
        <v>9</v>
      </c>
      <c r="N341" s="14">
        <v>3.375</v>
      </c>
      <c r="R341" t="str">
        <f t="shared" si="18"/>
        <v xml:space="preserve">XX8X_PV_0578:    Front abuts stile:TRUE       Back abuts stile:TRUE          Panel Section: BOTTOM           Stile in the back Width: 24           Cutout A: B-386          Cutout B:      F.C.:9 in.         C.C.:3.375 in.   </v>
      </c>
      <c r="S341" t="str">
        <f t="shared" si="17"/>
        <v>TRUE</v>
      </c>
      <c r="T341" t="str">
        <f t="shared" si="19"/>
        <v>TRUE</v>
      </c>
    </row>
    <row r="342" spans="1:20">
      <c r="A342" t="s">
        <v>502</v>
      </c>
      <c r="B342" s="14" t="s">
        <v>144</v>
      </c>
      <c r="C342" s="14" t="s">
        <v>157</v>
      </c>
      <c r="D342" s="14">
        <v>1</v>
      </c>
      <c r="E342" s="14">
        <v>0</v>
      </c>
      <c r="F342" s="14">
        <v>1</v>
      </c>
      <c r="G342" s="14">
        <v>0</v>
      </c>
      <c r="H342" s="14"/>
      <c r="I342" s="8" t="s">
        <v>38</v>
      </c>
      <c r="J342" s="8" t="s">
        <v>38</v>
      </c>
      <c r="K342">
        <v>60</v>
      </c>
      <c r="L342">
        <v>62.4375</v>
      </c>
      <c r="M342" s="14">
        <v>4.8125</v>
      </c>
      <c r="N342" s="14">
        <v>3.5625</v>
      </c>
      <c r="R342" t="str">
        <f t="shared" si="18"/>
        <v xml:space="preserve">XX8X_PV_0579:    Front abuts stile:TRUE       Back abuts stile:TRUE          Panel Section: BOTTOM           Stile in the back Width:            Cutout A:           Cutout B:      F.C.:4.8125 in.         C.C.:3.5625 in.   </v>
      </c>
      <c r="S342" t="str">
        <f t="shared" si="17"/>
        <v>TRUE</v>
      </c>
      <c r="T342" t="str">
        <f t="shared" si="19"/>
        <v>TRUE</v>
      </c>
    </row>
    <row r="343" spans="1:20">
      <c r="A343" t="s">
        <v>503</v>
      </c>
      <c r="B343" s="14" t="s">
        <v>144</v>
      </c>
      <c r="C343" s="14" t="s">
        <v>157</v>
      </c>
      <c r="D343" s="14">
        <v>1</v>
      </c>
      <c r="E343" s="14">
        <v>0</v>
      </c>
      <c r="F343" s="14">
        <v>1</v>
      </c>
      <c r="G343" s="14">
        <v>1</v>
      </c>
      <c r="H343" s="14"/>
      <c r="I343" s="8" t="s">
        <v>38</v>
      </c>
      <c r="J343" s="8" t="s">
        <v>38</v>
      </c>
      <c r="K343">
        <v>60</v>
      </c>
      <c r="L343">
        <v>79.0625</v>
      </c>
      <c r="M343" s="14">
        <v>10.9375</v>
      </c>
      <c r="N343" s="14">
        <v>1</v>
      </c>
      <c r="R343" t="str">
        <f t="shared" si="18"/>
        <v xml:space="preserve">XX8X_PV_0580:    Front abuts stile:TRUE       Back abuts stile:TRUE          Panel Section: BOTTOM           Stile in the back Width:            Cutout A:           Cutout B:      F.C.:10.9375 in.         C.C.:1 in.   </v>
      </c>
      <c r="S343" t="str">
        <f t="shared" si="17"/>
        <v>TRUE</v>
      </c>
      <c r="T343" t="str">
        <f t="shared" si="19"/>
        <v>TRUE</v>
      </c>
    </row>
    <row r="344" spans="1:20">
      <c r="A344" t="s">
        <v>504</v>
      </c>
      <c r="B344" s="14" t="s">
        <v>144</v>
      </c>
      <c r="C344" s="14" t="s">
        <v>157</v>
      </c>
      <c r="D344" s="14">
        <v>1</v>
      </c>
      <c r="E344" s="14">
        <v>1</v>
      </c>
      <c r="F344" s="14">
        <v>0</v>
      </c>
      <c r="G344" s="14"/>
      <c r="H344" s="14"/>
      <c r="I344" s="8" t="s">
        <v>150</v>
      </c>
      <c r="J344" s="8" t="s">
        <v>38</v>
      </c>
      <c r="K344">
        <v>60</v>
      </c>
      <c r="L344">
        <v>52.1875</v>
      </c>
      <c r="M344" s="14">
        <v>11.125</v>
      </c>
      <c r="N344" s="14">
        <v>4.1875</v>
      </c>
      <c r="R344" t="str">
        <f t="shared" si="18"/>
        <v xml:space="preserve">XX8X_PV_0581:    Front abuts stile:TRUE       Back abuts stile:FALSE          Panel Section: BOTTOM           Stile in the back Width:            Cutout A: B-3571          Cutout B:      F.C.:11.125 in.         C.C.:4.1875 in.   </v>
      </c>
      <c r="S344" t="str">
        <f t="shared" si="17"/>
        <v>TRUE</v>
      </c>
      <c r="T344" t="str">
        <f t="shared" si="19"/>
        <v>FALSE</v>
      </c>
    </row>
    <row r="345" spans="1:20">
      <c r="A345" t="s">
        <v>505</v>
      </c>
      <c r="B345" s="14" t="s">
        <v>144</v>
      </c>
      <c r="C345" s="14" t="s">
        <v>157</v>
      </c>
      <c r="D345" s="14">
        <v>1</v>
      </c>
      <c r="E345" s="14">
        <v>1</v>
      </c>
      <c r="F345" s="14">
        <v>1</v>
      </c>
      <c r="G345" s="14">
        <v>0</v>
      </c>
      <c r="H345" s="14">
        <v>12</v>
      </c>
      <c r="I345" s="8" t="s">
        <v>38</v>
      </c>
      <c r="J345" s="8" t="s">
        <v>38</v>
      </c>
      <c r="K345">
        <v>60</v>
      </c>
      <c r="L345">
        <v>19.8125</v>
      </c>
      <c r="M345" s="14">
        <v>4.5</v>
      </c>
      <c r="N345" s="14">
        <v>3.0625</v>
      </c>
      <c r="R345" t="str">
        <f t="shared" si="18"/>
        <v xml:space="preserve">XX8X_PV_0582:    Front abuts stile:TRUE       Back abuts stile:TRUE          Panel Section: BOTTOM           Stile in the back Width: 12           Cutout A:           Cutout B:      F.C.:4.5 in.         C.C.:3.0625 in.   </v>
      </c>
      <c r="S345" t="str">
        <f t="shared" si="17"/>
        <v>TRUE</v>
      </c>
      <c r="T345" t="str">
        <f t="shared" si="19"/>
        <v>TRUE</v>
      </c>
    </row>
    <row r="346" spans="1:20">
      <c r="A346" t="s">
        <v>506</v>
      </c>
      <c r="B346" s="14" t="s">
        <v>144</v>
      </c>
      <c r="C346" s="14" t="s">
        <v>157</v>
      </c>
      <c r="D346" s="14">
        <v>1</v>
      </c>
      <c r="E346" s="14">
        <v>1</v>
      </c>
      <c r="F346" s="14">
        <v>1</v>
      </c>
      <c r="G346" s="14">
        <v>0</v>
      </c>
      <c r="H346" s="14">
        <v>24</v>
      </c>
      <c r="I346" s="8" t="s">
        <v>120</v>
      </c>
      <c r="J346" s="8" t="s">
        <v>38</v>
      </c>
      <c r="K346">
        <v>60</v>
      </c>
      <c r="L346">
        <v>74.25</v>
      </c>
      <c r="M346" s="14">
        <v>10.25</v>
      </c>
      <c r="N346" s="14">
        <v>5.5</v>
      </c>
      <c r="R346" t="str">
        <f t="shared" si="18"/>
        <v xml:space="preserve">XX8X_PV_0583:    Front abuts stile:TRUE       Back abuts stile:TRUE          Panel Section: BOTTOM           Stile in the back Width: 24           Cutout A: B-386          Cutout B:      F.C.:10.25 in.         C.C.:5.5 in.   </v>
      </c>
      <c r="S346" t="str">
        <f t="shared" si="17"/>
        <v>TRUE</v>
      </c>
      <c r="T346" t="str">
        <f t="shared" si="19"/>
        <v>TRUE</v>
      </c>
    </row>
    <row r="347" spans="1:20">
      <c r="A347" t="s">
        <v>507</v>
      </c>
      <c r="B347" s="14" t="s">
        <v>144</v>
      </c>
      <c r="C347" s="14" t="s">
        <v>157</v>
      </c>
      <c r="D347" s="14">
        <v>1</v>
      </c>
      <c r="E347" s="14">
        <v>1</v>
      </c>
      <c r="F347" s="14">
        <v>1</v>
      </c>
      <c r="G347" s="14">
        <v>0</v>
      </c>
      <c r="H347" s="14"/>
      <c r="I347" s="8" t="s">
        <v>38</v>
      </c>
      <c r="J347" s="8" t="s">
        <v>38</v>
      </c>
      <c r="K347">
        <v>60</v>
      </c>
      <c r="L347">
        <v>51.75</v>
      </c>
      <c r="M347" s="14">
        <v>9</v>
      </c>
      <c r="N347" s="14">
        <v>1</v>
      </c>
      <c r="R347" t="str">
        <f t="shared" si="18"/>
        <v xml:space="preserve">XX8X_PV_0584:    Front abuts stile:TRUE       Back abuts stile:TRUE          Panel Section: BOTTOM           Stile in the back Width:            Cutout A:           Cutout B:      F.C.:9 in.         C.C.:1 in.   </v>
      </c>
      <c r="S347" t="str">
        <f t="shared" si="17"/>
        <v>TRUE</v>
      </c>
      <c r="T347" t="str">
        <f t="shared" si="19"/>
        <v>TRUE</v>
      </c>
    </row>
    <row r="348" spans="1:20">
      <c r="A348" t="s">
        <v>508</v>
      </c>
      <c r="B348" s="14" t="s">
        <v>144</v>
      </c>
      <c r="C348" s="14" t="s">
        <v>157</v>
      </c>
      <c r="D348" s="14">
        <v>1</v>
      </c>
      <c r="E348" s="14">
        <v>1</v>
      </c>
      <c r="F348" s="14">
        <v>1</v>
      </c>
      <c r="G348" s="14">
        <v>1</v>
      </c>
      <c r="H348" s="14"/>
      <c r="I348" s="8" t="s">
        <v>38</v>
      </c>
      <c r="J348" s="8" t="s">
        <v>38</v>
      </c>
      <c r="K348">
        <v>60</v>
      </c>
      <c r="L348">
        <v>5.375</v>
      </c>
      <c r="M348" s="14">
        <v>12</v>
      </c>
      <c r="N348" s="14">
        <v>7.5625</v>
      </c>
      <c r="R348" t="str">
        <f t="shared" si="18"/>
        <v xml:space="preserve">XX8X_PV_0585:    Front abuts stile:TRUE       Back abuts stile:TRUE          Panel Section: BOTTOM           Stile in the back Width:            Cutout A:           Cutout B:      F.C.:12 in.         C.C.:7.5625 in.   </v>
      </c>
      <c r="S348" t="str">
        <f t="shared" si="17"/>
        <v>TRUE</v>
      </c>
      <c r="T348" t="str">
        <f t="shared" si="19"/>
        <v>TRUE</v>
      </c>
    </row>
    <row r="349" spans="1:20">
      <c r="A349" t="s">
        <v>509</v>
      </c>
      <c r="B349" s="14" t="s">
        <v>144</v>
      </c>
      <c r="C349" s="14" t="s">
        <v>21</v>
      </c>
      <c r="D349" s="14">
        <v>0</v>
      </c>
      <c r="E349" s="14"/>
      <c r="F349" s="14">
        <v>0</v>
      </c>
      <c r="G349" s="14"/>
      <c r="H349" s="14"/>
      <c r="I349" s="8" t="s">
        <v>119</v>
      </c>
      <c r="J349" s="8" t="s">
        <v>120</v>
      </c>
      <c r="K349">
        <v>96</v>
      </c>
      <c r="L349">
        <v>69.875</v>
      </c>
      <c r="M349" s="14">
        <v>9</v>
      </c>
      <c r="N349" s="14">
        <v>1.1875</v>
      </c>
      <c r="R349" t="str">
        <f t="shared" si="18"/>
        <v xml:space="preserve">XX8X_PV_0601:    Front abuts stile:FALSE       Back abuts stile:FALSE          Panel Section: WHOLE           Stile in the back Width:            Cutout A: B-354          Cutout B:B-386      F.C.:9 in.         C.C.:1.1875 in.   </v>
      </c>
      <c r="S349" t="str">
        <f t="shared" si="17"/>
        <v>FALSE</v>
      </c>
      <c r="T349" t="str">
        <f t="shared" si="19"/>
        <v>FALSE</v>
      </c>
    </row>
    <row r="350" spans="1:20">
      <c r="A350" t="s">
        <v>510</v>
      </c>
      <c r="B350" s="14" t="s">
        <v>144</v>
      </c>
      <c r="C350" s="14" t="s">
        <v>21</v>
      </c>
      <c r="D350" s="14">
        <v>0</v>
      </c>
      <c r="E350" s="14"/>
      <c r="F350" s="14">
        <v>1</v>
      </c>
      <c r="G350" s="14">
        <v>0</v>
      </c>
      <c r="H350" s="14">
        <v>12</v>
      </c>
      <c r="I350" s="8" t="s">
        <v>120</v>
      </c>
      <c r="J350" s="8" t="s">
        <v>38</v>
      </c>
      <c r="K350">
        <v>45.5</v>
      </c>
      <c r="L350">
        <v>74.875</v>
      </c>
      <c r="M350" s="14">
        <v>5.5625</v>
      </c>
      <c r="N350" s="14">
        <v>3</v>
      </c>
      <c r="R350" t="str">
        <f t="shared" si="18"/>
        <v xml:space="preserve">XX8X_PV_0602:    Front abuts stile:FALSE       Back abuts stile:TRUE          Panel Section: WHOLE           Stile in the back Width: 12           Cutout A: B-386          Cutout B:      F.C.:5.5625 in.         C.C.:3 in.   </v>
      </c>
      <c r="S350" t="str">
        <f t="shared" si="17"/>
        <v>FALSE</v>
      </c>
      <c r="T350" t="str">
        <f t="shared" si="19"/>
        <v>TRUE</v>
      </c>
    </row>
    <row r="351" spans="1:20">
      <c r="A351" t="s">
        <v>511</v>
      </c>
      <c r="B351" s="14" t="s">
        <v>144</v>
      </c>
      <c r="C351" s="14" t="s">
        <v>21</v>
      </c>
      <c r="D351" s="14">
        <v>0</v>
      </c>
      <c r="E351" s="14"/>
      <c r="F351" s="14">
        <v>1</v>
      </c>
      <c r="G351" s="14">
        <v>0</v>
      </c>
      <c r="H351" s="14">
        <v>24</v>
      </c>
      <c r="I351" s="8" t="s">
        <v>120</v>
      </c>
      <c r="J351" s="8" t="s">
        <v>38</v>
      </c>
      <c r="K351">
        <v>96</v>
      </c>
      <c r="L351">
        <v>73.4375</v>
      </c>
      <c r="M351" s="14">
        <v>12</v>
      </c>
      <c r="N351" s="14">
        <v>1</v>
      </c>
      <c r="R351" t="str">
        <f t="shared" si="18"/>
        <v xml:space="preserve">XX8X_PV_0603:    Front abuts stile:FALSE       Back abuts stile:TRUE          Panel Section: WHOLE           Stile in the back Width: 24           Cutout A: B-386          Cutout B:      F.C.:12 in.         C.C.:1 in.   </v>
      </c>
      <c r="S351" t="str">
        <f t="shared" si="17"/>
        <v>FALSE</v>
      </c>
      <c r="T351" t="str">
        <f t="shared" si="19"/>
        <v>TRUE</v>
      </c>
    </row>
    <row r="352" spans="1:20">
      <c r="A352" t="s">
        <v>512</v>
      </c>
      <c r="B352" s="14" t="s">
        <v>144</v>
      </c>
      <c r="C352" s="14" t="s">
        <v>21</v>
      </c>
      <c r="D352" s="14">
        <v>0</v>
      </c>
      <c r="E352" s="14"/>
      <c r="F352" s="14">
        <v>1</v>
      </c>
      <c r="G352" s="14">
        <v>0</v>
      </c>
      <c r="H352" s="14"/>
      <c r="I352" s="8" t="s">
        <v>38</v>
      </c>
      <c r="J352" s="8" t="s">
        <v>38</v>
      </c>
      <c r="K352">
        <v>96</v>
      </c>
      <c r="L352">
        <v>51.625</v>
      </c>
      <c r="M352" s="14">
        <v>12</v>
      </c>
      <c r="N352" s="14">
        <v>2.5625</v>
      </c>
      <c r="R352" t="str">
        <f t="shared" si="18"/>
        <v xml:space="preserve">XX8X_PV_0604:    Front abuts stile:FALSE       Back abuts stile:TRUE          Panel Section: WHOLE           Stile in the back Width:            Cutout A:           Cutout B:      F.C.:12 in.         C.C.:2.5625 in.   </v>
      </c>
      <c r="S352" t="str">
        <f t="shared" si="17"/>
        <v>FALSE</v>
      </c>
      <c r="T352" t="str">
        <f t="shared" si="19"/>
        <v>TRUE</v>
      </c>
    </row>
    <row r="353" spans="1:20">
      <c r="A353" t="s">
        <v>513</v>
      </c>
      <c r="B353" s="14" t="s">
        <v>144</v>
      </c>
      <c r="C353" s="14" t="s">
        <v>21</v>
      </c>
      <c r="D353" s="14">
        <v>0</v>
      </c>
      <c r="E353" s="14"/>
      <c r="F353" s="14">
        <v>1</v>
      </c>
      <c r="G353" s="14">
        <v>1</v>
      </c>
      <c r="H353" s="14"/>
      <c r="I353" s="8" t="s">
        <v>38</v>
      </c>
      <c r="J353" s="8" t="s">
        <v>38</v>
      </c>
      <c r="K353">
        <v>102.375</v>
      </c>
      <c r="L353">
        <v>64.8125</v>
      </c>
      <c r="M353" s="14">
        <v>3.0625</v>
      </c>
      <c r="N353" s="14">
        <v>8.3125</v>
      </c>
      <c r="R353" t="str">
        <f t="shared" si="18"/>
        <v xml:space="preserve">XX8X_PV_0605:    Front abuts stile:FALSE       Back abuts stile:TRUE          Panel Section: WHOLE           Stile in the back Width:            Cutout A:           Cutout B:      F.C.:3.0625 in.         C.C.:8.3125 in.   </v>
      </c>
      <c r="S353" t="str">
        <f t="shared" si="17"/>
        <v>FALSE</v>
      </c>
      <c r="T353" t="str">
        <f t="shared" si="19"/>
        <v>TRUE</v>
      </c>
    </row>
    <row r="354" spans="1:20">
      <c r="A354" t="s">
        <v>514</v>
      </c>
      <c r="B354" s="14" t="s">
        <v>143</v>
      </c>
      <c r="C354" s="14" t="s">
        <v>21</v>
      </c>
      <c r="D354" s="14">
        <v>1</v>
      </c>
      <c r="E354" s="14">
        <v>0</v>
      </c>
      <c r="F354" s="14">
        <v>0</v>
      </c>
      <c r="G354" s="14"/>
      <c r="H354" s="14"/>
      <c r="I354" s="8" t="s">
        <v>148</v>
      </c>
      <c r="J354" s="8" t="s">
        <v>38</v>
      </c>
      <c r="K354">
        <v>80.1875</v>
      </c>
      <c r="L354">
        <v>45.375</v>
      </c>
      <c r="M354" s="14">
        <v>9</v>
      </c>
      <c r="N354" s="14">
        <v>1</v>
      </c>
      <c r="R354" t="str">
        <f t="shared" si="18"/>
        <v xml:space="preserve">XX8X_PV_0606:    Front abuts stile:TRUE       Back abuts stile:FALSE          Panel Section: WHOLE           Stile in the back Width:            Cutout A: B-3471          Cutout B:      F.C.:9 in.         C.C.:1 in.   </v>
      </c>
      <c r="S354" t="str">
        <f t="shared" si="17"/>
        <v>TRUE</v>
      </c>
      <c r="T354" t="str">
        <f t="shared" si="19"/>
        <v>FALSE</v>
      </c>
    </row>
    <row r="355" spans="1:20">
      <c r="A355" t="s">
        <v>515</v>
      </c>
      <c r="B355" s="14" t="s">
        <v>144</v>
      </c>
      <c r="C355" s="14" t="s">
        <v>21</v>
      </c>
      <c r="D355" s="14">
        <v>1</v>
      </c>
      <c r="E355" s="14">
        <v>0</v>
      </c>
      <c r="F355" s="14">
        <v>1</v>
      </c>
      <c r="G355" s="14">
        <v>0</v>
      </c>
      <c r="H355" s="14">
        <v>12</v>
      </c>
      <c r="I355" s="8" t="s">
        <v>145</v>
      </c>
      <c r="J355" s="8" t="s">
        <v>38</v>
      </c>
      <c r="K355">
        <v>76.3125</v>
      </c>
      <c r="L355">
        <v>44.8125</v>
      </c>
      <c r="M355" s="14">
        <v>4.8125</v>
      </c>
      <c r="N355" s="14">
        <v>5.125</v>
      </c>
      <c r="R355" t="str">
        <f t="shared" si="18"/>
        <v xml:space="preserve">XX8X_PV_0607:    Front abuts stile:TRUE       Back abuts stile:TRUE          Panel Section: WHOLE           Stile in the back Width: 12           Cutout A: B-347          Cutout B:      F.C.:4.8125 in.         C.C.:5.125 in.   </v>
      </c>
      <c r="S355" t="str">
        <f t="shared" si="17"/>
        <v>TRUE</v>
      </c>
      <c r="T355" t="str">
        <f t="shared" si="19"/>
        <v>TRUE</v>
      </c>
    </row>
    <row r="356" spans="1:20">
      <c r="A356" t="s">
        <v>516</v>
      </c>
      <c r="B356" s="14" t="s">
        <v>144</v>
      </c>
      <c r="C356" s="14" t="s">
        <v>21</v>
      </c>
      <c r="D356" s="14">
        <v>1</v>
      </c>
      <c r="E356" s="14">
        <v>0</v>
      </c>
      <c r="F356" s="14">
        <v>1</v>
      </c>
      <c r="G356" s="14">
        <v>0</v>
      </c>
      <c r="H356" s="14">
        <v>24</v>
      </c>
      <c r="I356" s="8" t="s">
        <v>120</v>
      </c>
      <c r="J356" s="8" t="s">
        <v>38</v>
      </c>
      <c r="K356">
        <v>98.0625</v>
      </c>
      <c r="L356">
        <v>79.8125</v>
      </c>
      <c r="M356" s="14">
        <v>1</v>
      </c>
      <c r="N356" s="14">
        <v>1</v>
      </c>
      <c r="R356" t="str">
        <f t="shared" si="18"/>
        <v xml:space="preserve">XX8X_PV_0608:    Front abuts stile:TRUE       Back abuts stile:TRUE          Panel Section: WHOLE           Stile in the back Width: 24           Cutout A: B-386          Cutout B:      F.C.:1 in.         C.C.:1 in.   </v>
      </c>
      <c r="S356" t="str">
        <f t="shared" si="17"/>
        <v>TRUE</v>
      </c>
      <c r="T356" t="str">
        <f t="shared" si="19"/>
        <v>TRUE</v>
      </c>
    </row>
    <row r="357" spans="1:20">
      <c r="A357" t="s">
        <v>517</v>
      </c>
      <c r="B357" s="14" t="s">
        <v>144</v>
      </c>
      <c r="C357" s="14" t="s">
        <v>21</v>
      </c>
      <c r="D357" s="14">
        <v>1</v>
      </c>
      <c r="E357" s="14">
        <v>0</v>
      </c>
      <c r="F357" s="14">
        <v>1</v>
      </c>
      <c r="G357" s="14">
        <v>0</v>
      </c>
      <c r="H357" s="14"/>
      <c r="I357" s="8" t="s">
        <v>38</v>
      </c>
      <c r="J357" s="8" t="s">
        <v>38</v>
      </c>
      <c r="K357">
        <v>43</v>
      </c>
      <c r="L357">
        <v>55.0625</v>
      </c>
      <c r="M357" s="14">
        <v>3.4375</v>
      </c>
      <c r="N357" s="14">
        <v>1</v>
      </c>
      <c r="R357" t="str">
        <f t="shared" si="18"/>
        <v xml:space="preserve">XX8X_PV_0609:    Front abuts stile:TRUE       Back abuts stile:TRUE          Panel Section: WHOLE           Stile in the back Width:            Cutout A:           Cutout B:      F.C.:3.4375 in.         C.C.:1 in.   </v>
      </c>
      <c r="S357" t="str">
        <f t="shared" si="17"/>
        <v>TRUE</v>
      </c>
      <c r="T357" t="str">
        <f t="shared" si="19"/>
        <v>TRUE</v>
      </c>
    </row>
    <row r="358" spans="1:20">
      <c r="A358" t="s">
        <v>518</v>
      </c>
      <c r="B358" s="14" t="s">
        <v>144</v>
      </c>
      <c r="C358" s="14" t="s">
        <v>21</v>
      </c>
      <c r="D358" s="14">
        <v>1</v>
      </c>
      <c r="E358" s="14">
        <v>0</v>
      </c>
      <c r="F358" s="14">
        <v>1</v>
      </c>
      <c r="G358" s="14">
        <v>1</v>
      </c>
      <c r="H358" s="14"/>
      <c r="I358" s="8" t="s">
        <v>38</v>
      </c>
      <c r="J358" s="8" t="s">
        <v>38</v>
      </c>
      <c r="K358">
        <v>83.25</v>
      </c>
      <c r="L358">
        <v>44.3125</v>
      </c>
      <c r="M358" s="14">
        <v>7.4375</v>
      </c>
      <c r="N358" s="14">
        <v>6.5</v>
      </c>
      <c r="R358" t="str">
        <f t="shared" si="18"/>
        <v xml:space="preserve">XX8X_PV_0610:    Front abuts stile:TRUE       Back abuts stile:TRUE          Panel Section: WHOLE           Stile in the back Width:            Cutout A:           Cutout B:      F.C.:7.4375 in.         C.C.:6.5 in.   </v>
      </c>
      <c r="S358" t="str">
        <f t="shared" si="17"/>
        <v>TRUE</v>
      </c>
      <c r="T358" t="str">
        <f t="shared" si="19"/>
        <v>TRUE</v>
      </c>
    </row>
    <row r="359" spans="1:20">
      <c r="A359" t="s">
        <v>519</v>
      </c>
      <c r="B359" s="14" t="s">
        <v>144</v>
      </c>
      <c r="C359" s="14" t="s">
        <v>21</v>
      </c>
      <c r="D359" s="14">
        <v>1</v>
      </c>
      <c r="E359" s="14">
        <v>1</v>
      </c>
      <c r="F359" s="14">
        <v>0</v>
      </c>
      <c r="G359" s="14"/>
      <c r="H359" s="14"/>
      <c r="I359" s="8" t="s">
        <v>38</v>
      </c>
      <c r="J359" s="8" t="s">
        <v>38</v>
      </c>
      <c r="K359">
        <v>62.125</v>
      </c>
      <c r="L359">
        <v>54.5</v>
      </c>
      <c r="M359" s="14">
        <v>8.8125</v>
      </c>
      <c r="N359" s="14">
        <v>7.125</v>
      </c>
      <c r="R359" t="str">
        <f t="shared" si="18"/>
        <v xml:space="preserve">XX8X_PV_0611:    Front abuts stile:TRUE       Back abuts stile:FALSE          Panel Section: WHOLE           Stile in the back Width:            Cutout A:           Cutout B:      F.C.:8.8125 in.         C.C.:7.125 in.   </v>
      </c>
      <c r="S359" t="str">
        <f t="shared" si="17"/>
        <v>TRUE</v>
      </c>
      <c r="T359" t="str">
        <f t="shared" si="19"/>
        <v>FALSE</v>
      </c>
    </row>
    <row r="360" spans="1:20">
      <c r="A360" t="s">
        <v>520</v>
      </c>
      <c r="B360" s="14" t="s">
        <v>144</v>
      </c>
      <c r="C360" s="14" t="s">
        <v>21</v>
      </c>
      <c r="D360" s="14">
        <v>1</v>
      </c>
      <c r="E360" s="14">
        <v>1</v>
      </c>
      <c r="F360" s="14">
        <v>1</v>
      </c>
      <c r="G360" s="14">
        <v>0</v>
      </c>
      <c r="H360" s="14">
        <v>12</v>
      </c>
      <c r="I360" s="8" t="s">
        <v>120</v>
      </c>
      <c r="J360" s="8" t="s">
        <v>38</v>
      </c>
      <c r="K360">
        <v>82.375</v>
      </c>
      <c r="L360">
        <v>73.6875</v>
      </c>
      <c r="M360" s="14">
        <v>9</v>
      </c>
      <c r="N360" s="14">
        <v>1</v>
      </c>
      <c r="R360" t="str">
        <f t="shared" si="18"/>
        <v xml:space="preserve">XX8X_PV_0612:    Front abuts stile:TRUE       Back abuts stile:TRUE          Panel Section: WHOLE           Stile in the back Width: 12           Cutout A: B-386          Cutout B:      F.C.:9 in.         C.C.:1 in.   </v>
      </c>
      <c r="S360" t="str">
        <f t="shared" si="17"/>
        <v>TRUE</v>
      </c>
      <c r="T360" t="str">
        <f t="shared" si="19"/>
        <v>TRUE</v>
      </c>
    </row>
    <row r="361" spans="1:20">
      <c r="A361" t="s">
        <v>521</v>
      </c>
      <c r="B361" s="14" t="s">
        <v>144</v>
      </c>
      <c r="C361" s="14" t="s">
        <v>21</v>
      </c>
      <c r="D361" s="14">
        <v>1</v>
      </c>
      <c r="E361" s="14">
        <v>1</v>
      </c>
      <c r="F361" s="14">
        <v>1</v>
      </c>
      <c r="G361" s="14">
        <v>0</v>
      </c>
      <c r="H361" s="14">
        <v>24</v>
      </c>
      <c r="I361" s="8" t="s">
        <v>38</v>
      </c>
      <c r="J361" s="8" t="s">
        <v>38</v>
      </c>
      <c r="K361">
        <v>84.875</v>
      </c>
      <c r="L361">
        <v>14.625</v>
      </c>
      <c r="M361" s="14">
        <v>10.1875</v>
      </c>
      <c r="N361" s="14">
        <v>7.8125</v>
      </c>
      <c r="R361" t="str">
        <f t="shared" si="18"/>
        <v xml:space="preserve">XX8X_PV_0613:    Front abuts stile:TRUE       Back abuts stile:TRUE          Panel Section: WHOLE           Stile in the back Width: 24           Cutout A:           Cutout B:      F.C.:10.1875 in.         C.C.:7.8125 in.   </v>
      </c>
      <c r="S361" t="str">
        <f t="shared" si="17"/>
        <v>TRUE</v>
      </c>
      <c r="T361" t="str">
        <f t="shared" si="19"/>
        <v>TRUE</v>
      </c>
    </row>
    <row r="362" spans="1:20">
      <c r="A362" t="s">
        <v>522</v>
      </c>
      <c r="B362" s="14" t="s">
        <v>144</v>
      </c>
      <c r="C362" s="14" t="s">
        <v>21</v>
      </c>
      <c r="D362" s="14">
        <v>1</v>
      </c>
      <c r="E362" s="14">
        <v>1</v>
      </c>
      <c r="F362" s="14">
        <v>1</v>
      </c>
      <c r="G362" s="14">
        <v>0</v>
      </c>
      <c r="H362" s="14"/>
      <c r="I362" s="8" t="s">
        <v>38</v>
      </c>
      <c r="J362" s="8" t="s">
        <v>38</v>
      </c>
      <c r="K362">
        <v>93.4375</v>
      </c>
      <c r="L362">
        <v>76</v>
      </c>
      <c r="M362" s="14">
        <v>9</v>
      </c>
      <c r="N362" s="14">
        <v>8</v>
      </c>
      <c r="R362" t="str">
        <f t="shared" si="18"/>
        <v xml:space="preserve">XX8X_PV_0614:    Front abuts stile:TRUE       Back abuts stile:TRUE          Panel Section: WHOLE           Stile in the back Width:            Cutout A:           Cutout B:      F.C.:9 in.         C.C.:8 in.   </v>
      </c>
      <c r="S362" t="str">
        <f t="shared" si="17"/>
        <v>TRUE</v>
      </c>
      <c r="T362" t="str">
        <f t="shared" si="19"/>
        <v>TRUE</v>
      </c>
    </row>
    <row r="363" spans="1:20">
      <c r="A363" t="s">
        <v>523</v>
      </c>
      <c r="B363" s="14" t="s">
        <v>144</v>
      </c>
      <c r="C363" s="14" t="s">
        <v>21</v>
      </c>
      <c r="D363" s="14">
        <v>1</v>
      </c>
      <c r="E363" s="14">
        <v>1</v>
      </c>
      <c r="F363" s="14">
        <v>1</v>
      </c>
      <c r="G363" s="14">
        <v>1</v>
      </c>
      <c r="H363" s="14"/>
      <c r="I363" s="8" t="s">
        <v>38</v>
      </c>
      <c r="J363" s="8" t="s">
        <v>38</v>
      </c>
      <c r="K363">
        <v>101.625</v>
      </c>
      <c r="L363">
        <v>77.1875</v>
      </c>
      <c r="M363" s="14">
        <v>2.75</v>
      </c>
      <c r="N363" s="14">
        <v>3.5625</v>
      </c>
      <c r="R363" t="str">
        <f t="shared" si="18"/>
        <v xml:space="preserve">XX8X_PV_0615:    Front abuts stile:TRUE       Back abuts stile:TRUE          Panel Section: WHOLE           Stile in the back Width:            Cutout A:           Cutout B:      F.C.:2.75 in.         C.C.:3.5625 in.   </v>
      </c>
      <c r="S363" t="str">
        <f t="shared" si="17"/>
        <v>TRUE</v>
      </c>
      <c r="T363" t="str">
        <f t="shared" si="19"/>
        <v>TRUE</v>
      </c>
    </row>
    <row r="364" spans="1:20">
      <c r="A364" t="s">
        <v>524</v>
      </c>
      <c r="B364" s="14" t="s">
        <v>144</v>
      </c>
      <c r="C364" s="14" t="s">
        <v>156</v>
      </c>
      <c r="D364" s="19">
        <v>0</v>
      </c>
      <c r="E364" s="19"/>
      <c r="F364" s="19">
        <v>0</v>
      </c>
      <c r="G364" s="19"/>
      <c r="H364" s="14"/>
      <c r="I364" s="8" t="s">
        <v>35</v>
      </c>
      <c r="J364" s="8" t="s">
        <v>38</v>
      </c>
      <c r="K364">
        <v>33.4375</v>
      </c>
      <c r="L364">
        <v>60.25</v>
      </c>
      <c r="M364" s="14">
        <v>2.6875</v>
      </c>
      <c r="N364" s="14">
        <v>2.625</v>
      </c>
      <c r="R364" t="str">
        <f t="shared" si="18"/>
        <v xml:space="preserve">XX8X_PV_0631:    Front abuts stile:FALSE       Back abuts stile:FALSE          Panel Section: TOP           Stile in the back Width:            Cutout A: B-357          Cutout B:      F.C.:2.6875 in.         C.C.:2.625 in.   </v>
      </c>
      <c r="S364" t="str">
        <f t="shared" si="17"/>
        <v>FALSE</v>
      </c>
      <c r="T364" t="str">
        <f t="shared" si="19"/>
        <v>FALSE</v>
      </c>
    </row>
    <row r="365" spans="1:20">
      <c r="A365" t="s">
        <v>525</v>
      </c>
      <c r="B365" s="14" t="s">
        <v>144</v>
      </c>
      <c r="C365" s="14" t="s">
        <v>156</v>
      </c>
      <c r="D365" s="14">
        <v>0</v>
      </c>
      <c r="E365" s="14"/>
      <c r="F365" s="14">
        <v>1</v>
      </c>
      <c r="G365" s="14">
        <v>0</v>
      </c>
      <c r="H365" s="14">
        <v>12</v>
      </c>
      <c r="I365" s="8" t="s">
        <v>120</v>
      </c>
      <c r="J365" s="8" t="s">
        <v>38</v>
      </c>
      <c r="K365">
        <v>27</v>
      </c>
      <c r="L365">
        <v>41.75</v>
      </c>
      <c r="M365" s="14">
        <v>9</v>
      </c>
      <c r="N365" s="14">
        <v>4.625</v>
      </c>
      <c r="R365" t="str">
        <f t="shared" si="18"/>
        <v xml:space="preserve">XX8X_PV_0632:    Front abuts stile:FALSE       Back abuts stile:TRUE          Panel Section: TOP           Stile in the back Width: 12           Cutout A: B-386          Cutout B:      F.C.:9 in.         C.C.:4.625 in.   </v>
      </c>
      <c r="S365" t="str">
        <f t="shared" si="17"/>
        <v>FALSE</v>
      </c>
      <c r="T365" t="str">
        <f t="shared" si="19"/>
        <v>TRUE</v>
      </c>
    </row>
    <row r="366" spans="1:20">
      <c r="A366" t="s">
        <v>526</v>
      </c>
      <c r="B366" s="14" t="s">
        <v>144</v>
      </c>
      <c r="C366" s="14" t="s">
        <v>156</v>
      </c>
      <c r="D366" s="14">
        <v>0</v>
      </c>
      <c r="E366" s="14"/>
      <c r="F366" s="14">
        <v>1</v>
      </c>
      <c r="G366" s="14">
        <v>0</v>
      </c>
      <c r="H366" s="14">
        <v>24</v>
      </c>
      <c r="I366" s="8" t="s">
        <v>120</v>
      </c>
      <c r="J366" s="8" t="s">
        <v>38</v>
      </c>
      <c r="K366">
        <v>40.9375</v>
      </c>
      <c r="L366">
        <v>55.9375</v>
      </c>
      <c r="M366" s="14">
        <v>5.5</v>
      </c>
      <c r="N366" s="14">
        <v>1</v>
      </c>
      <c r="R366" t="str">
        <f t="shared" si="18"/>
        <v xml:space="preserve">XX8X_PV_0633:    Front abuts stile:FALSE       Back abuts stile:TRUE          Panel Section: TOP           Stile in the back Width: 24           Cutout A: B-386          Cutout B:      F.C.:5.5 in.         C.C.:1 in.   </v>
      </c>
      <c r="S366" t="str">
        <f t="shared" si="17"/>
        <v>FALSE</v>
      </c>
      <c r="T366" t="str">
        <f t="shared" si="19"/>
        <v>TRUE</v>
      </c>
    </row>
    <row r="367" spans="1:20">
      <c r="A367" t="s">
        <v>527</v>
      </c>
      <c r="B367" s="14" t="s">
        <v>144</v>
      </c>
      <c r="C367" s="14" t="s">
        <v>156</v>
      </c>
      <c r="D367" s="14">
        <v>0</v>
      </c>
      <c r="E367" s="14"/>
      <c r="F367" s="14">
        <v>1</v>
      </c>
      <c r="G367" s="14">
        <v>0</v>
      </c>
      <c r="H367" s="14"/>
      <c r="I367" s="8" t="s">
        <v>38</v>
      </c>
      <c r="J367" s="8" t="s">
        <v>38</v>
      </c>
      <c r="K367">
        <v>23.6875</v>
      </c>
      <c r="L367">
        <v>54.375</v>
      </c>
      <c r="M367" s="14">
        <v>4.5</v>
      </c>
      <c r="N367" s="14">
        <v>3.875</v>
      </c>
      <c r="R367" t="str">
        <f t="shared" si="18"/>
        <v xml:space="preserve">XX8X_PV_0634:    Front abuts stile:FALSE       Back abuts stile:TRUE          Panel Section: TOP           Stile in the back Width:            Cutout A:           Cutout B:      F.C.:4.5 in.         C.C.:3.875 in.   </v>
      </c>
      <c r="S367" t="str">
        <f t="shared" si="17"/>
        <v>FALSE</v>
      </c>
      <c r="T367" t="str">
        <f t="shared" si="19"/>
        <v>TRUE</v>
      </c>
    </row>
    <row r="368" spans="1:20">
      <c r="A368" t="s">
        <v>528</v>
      </c>
      <c r="B368" s="14" t="s">
        <v>144</v>
      </c>
      <c r="C368" s="14" t="s">
        <v>156</v>
      </c>
      <c r="D368" s="14">
        <v>0</v>
      </c>
      <c r="E368" s="14"/>
      <c r="F368" s="14">
        <v>1</v>
      </c>
      <c r="G368" s="14">
        <v>1</v>
      </c>
      <c r="H368" s="14"/>
      <c r="I368" s="8" t="s">
        <v>38</v>
      </c>
      <c r="J368" s="8" t="s">
        <v>38</v>
      </c>
      <c r="K368">
        <v>14.9375</v>
      </c>
      <c r="L368">
        <v>66.8125</v>
      </c>
      <c r="M368" s="14">
        <v>11.375</v>
      </c>
      <c r="N368" s="14">
        <v>1.5625</v>
      </c>
      <c r="R368" t="str">
        <f t="shared" si="18"/>
        <v xml:space="preserve">XX8X_PV_0635:    Front abuts stile:FALSE       Back abuts stile:TRUE          Panel Section: TOP           Stile in the back Width:            Cutout A:           Cutout B:      F.C.:11.375 in.         C.C.:1.5625 in.   </v>
      </c>
      <c r="S368" t="str">
        <f t="shared" si="17"/>
        <v>FALSE</v>
      </c>
      <c r="T368" t="str">
        <f t="shared" si="19"/>
        <v>TRUE</v>
      </c>
    </row>
    <row r="369" spans="1:20">
      <c r="A369" t="s">
        <v>529</v>
      </c>
      <c r="B369" s="14" t="s">
        <v>144</v>
      </c>
      <c r="C369" s="14" t="s">
        <v>156</v>
      </c>
      <c r="D369" s="14">
        <v>1</v>
      </c>
      <c r="E369" s="14">
        <v>0</v>
      </c>
      <c r="F369" s="14">
        <v>0</v>
      </c>
      <c r="G369" s="14"/>
      <c r="H369" s="14"/>
      <c r="I369" s="8" t="s">
        <v>38</v>
      </c>
      <c r="J369" s="8" t="s">
        <v>38</v>
      </c>
      <c r="K369">
        <v>49.3125</v>
      </c>
      <c r="L369">
        <v>7.1875</v>
      </c>
      <c r="M369" s="14">
        <v>9</v>
      </c>
      <c r="N369" s="14">
        <v>3.625</v>
      </c>
      <c r="R369" t="str">
        <f t="shared" si="18"/>
        <v xml:space="preserve">XX8X_PV_0636:    Front abuts stile:TRUE       Back abuts stile:FALSE          Panel Section: TOP           Stile in the back Width:            Cutout A:           Cutout B:      F.C.:9 in.         C.C.:3.625 in.   </v>
      </c>
      <c r="S369" t="str">
        <f t="shared" si="17"/>
        <v>TRUE</v>
      </c>
      <c r="T369" t="str">
        <f t="shared" si="19"/>
        <v>FALSE</v>
      </c>
    </row>
    <row r="370" spans="1:20">
      <c r="A370" t="s">
        <v>530</v>
      </c>
      <c r="B370" s="14" t="s">
        <v>144</v>
      </c>
      <c r="C370" s="14" t="s">
        <v>156</v>
      </c>
      <c r="D370" s="14">
        <v>1</v>
      </c>
      <c r="E370" s="14">
        <v>0</v>
      </c>
      <c r="F370" s="14">
        <v>1</v>
      </c>
      <c r="G370" s="14">
        <v>0</v>
      </c>
      <c r="H370" s="14">
        <v>12</v>
      </c>
      <c r="I370" s="8" t="s">
        <v>38</v>
      </c>
      <c r="J370" s="8" t="s">
        <v>38</v>
      </c>
      <c r="K370">
        <v>16.8125</v>
      </c>
      <c r="L370">
        <v>51.125</v>
      </c>
      <c r="M370" s="14">
        <v>3.1875</v>
      </c>
      <c r="N370" s="14">
        <v>4</v>
      </c>
      <c r="R370" t="str">
        <f t="shared" si="18"/>
        <v xml:space="preserve">XX8X_PV_0637:    Front abuts stile:TRUE       Back abuts stile:TRUE          Panel Section: TOP           Stile in the back Width: 12           Cutout A:           Cutout B:      F.C.:3.1875 in.         C.C.:4 in.   </v>
      </c>
      <c r="S370" t="str">
        <f t="shared" si="17"/>
        <v>TRUE</v>
      </c>
      <c r="T370" t="str">
        <f t="shared" si="19"/>
        <v>TRUE</v>
      </c>
    </row>
    <row r="371" spans="1:20">
      <c r="A371" t="s">
        <v>531</v>
      </c>
      <c r="B371" s="14" t="s">
        <v>144</v>
      </c>
      <c r="C371" s="14" t="s">
        <v>156</v>
      </c>
      <c r="D371" s="14">
        <v>1</v>
      </c>
      <c r="E371" s="14">
        <v>0</v>
      </c>
      <c r="F371" s="14">
        <v>1</v>
      </c>
      <c r="G371" s="14">
        <v>0</v>
      </c>
      <c r="H371" s="14">
        <v>24</v>
      </c>
      <c r="I371" s="8" t="s">
        <v>120</v>
      </c>
      <c r="J371" s="8" t="s">
        <v>38</v>
      </c>
      <c r="K371">
        <v>12.25</v>
      </c>
      <c r="L371">
        <v>54.5</v>
      </c>
      <c r="M371" s="14">
        <v>9</v>
      </c>
      <c r="N371" s="14">
        <v>4.5</v>
      </c>
      <c r="R371" t="str">
        <f t="shared" si="18"/>
        <v xml:space="preserve">XX8X_PV_0638:    Front abuts stile:TRUE       Back abuts stile:TRUE          Panel Section: TOP           Stile in the back Width: 24           Cutout A: B-386          Cutout B:      F.C.:9 in.         C.C.:4.5 in.   </v>
      </c>
      <c r="S371" t="str">
        <f t="shared" si="17"/>
        <v>TRUE</v>
      </c>
      <c r="T371" t="str">
        <f t="shared" si="19"/>
        <v>TRUE</v>
      </c>
    </row>
    <row r="372" spans="1:20">
      <c r="A372" t="s">
        <v>532</v>
      </c>
      <c r="B372" s="14" t="s">
        <v>144</v>
      </c>
      <c r="C372" s="14" t="s">
        <v>156</v>
      </c>
      <c r="D372" s="14">
        <v>1</v>
      </c>
      <c r="E372" s="14">
        <v>0</v>
      </c>
      <c r="F372" s="14">
        <v>1</v>
      </c>
      <c r="G372" s="14">
        <v>0</v>
      </c>
      <c r="H372" s="14"/>
      <c r="I372" s="8" t="s">
        <v>38</v>
      </c>
      <c r="J372" s="8" t="s">
        <v>38</v>
      </c>
      <c r="K372">
        <v>36.25</v>
      </c>
      <c r="L372">
        <v>74.6875</v>
      </c>
      <c r="M372" s="14">
        <v>7.625</v>
      </c>
      <c r="N372" s="14">
        <v>6.125</v>
      </c>
      <c r="R372" t="str">
        <f t="shared" si="18"/>
        <v xml:space="preserve">XX8X_PV_0639:    Front abuts stile:TRUE       Back abuts stile:TRUE          Panel Section: TOP           Stile in the back Width:            Cutout A:           Cutout B:      F.C.:7.625 in.         C.C.:6.125 in.   </v>
      </c>
      <c r="S372" t="str">
        <f t="shared" si="17"/>
        <v>TRUE</v>
      </c>
      <c r="T372" t="str">
        <f t="shared" si="19"/>
        <v>TRUE</v>
      </c>
    </row>
    <row r="373" spans="1:20">
      <c r="A373" t="s">
        <v>533</v>
      </c>
      <c r="B373" s="14" t="s">
        <v>144</v>
      </c>
      <c r="C373" s="14" t="s">
        <v>156</v>
      </c>
      <c r="D373" s="14">
        <v>1</v>
      </c>
      <c r="E373" s="14">
        <v>0</v>
      </c>
      <c r="F373" s="14">
        <v>1</v>
      </c>
      <c r="G373" s="14">
        <v>1</v>
      </c>
      <c r="H373" s="14"/>
      <c r="I373" s="8" t="s">
        <v>38</v>
      </c>
      <c r="J373" s="8" t="s">
        <v>38</v>
      </c>
      <c r="K373">
        <v>31.75</v>
      </c>
      <c r="L373">
        <v>65.375</v>
      </c>
      <c r="M373" s="14">
        <v>12</v>
      </c>
      <c r="N373" s="14">
        <v>4.75</v>
      </c>
      <c r="R373" t="str">
        <f t="shared" si="18"/>
        <v xml:space="preserve">XX8X_PV_0640:    Front abuts stile:TRUE       Back abuts stile:TRUE          Panel Section: TOP           Stile in the back Width:            Cutout A:           Cutout B:      F.C.:12 in.         C.C.:4.75 in.   </v>
      </c>
      <c r="S373" t="str">
        <f t="shared" si="17"/>
        <v>TRUE</v>
      </c>
      <c r="T373" t="str">
        <f t="shared" si="19"/>
        <v>TRUE</v>
      </c>
    </row>
    <row r="374" spans="1:20">
      <c r="A374" t="s">
        <v>534</v>
      </c>
      <c r="B374" s="14" t="s">
        <v>144</v>
      </c>
      <c r="C374" s="14" t="s">
        <v>156</v>
      </c>
      <c r="D374" s="14">
        <v>1</v>
      </c>
      <c r="E374" s="14">
        <v>1</v>
      </c>
      <c r="F374" s="14">
        <v>0</v>
      </c>
      <c r="G374" s="14"/>
      <c r="H374" s="14"/>
      <c r="I374" s="8" t="s">
        <v>38</v>
      </c>
      <c r="J374" s="8" t="s">
        <v>38</v>
      </c>
      <c r="K374">
        <v>26.5</v>
      </c>
      <c r="L374">
        <v>42.8125</v>
      </c>
      <c r="M374" s="14">
        <v>4.5</v>
      </c>
      <c r="N374" s="14">
        <v>1.5</v>
      </c>
      <c r="R374" t="str">
        <f t="shared" si="18"/>
        <v xml:space="preserve">XX8X_PV_0641:    Front abuts stile:TRUE       Back abuts stile:FALSE          Panel Section: TOP           Stile in the back Width:            Cutout A:           Cutout B:      F.C.:4.5 in.         C.C.:1.5 in.   </v>
      </c>
      <c r="S374" t="str">
        <f t="shared" si="17"/>
        <v>TRUE</v>
      </c>
      <c r="T374" t="str">
        <f t="shared" si="19"/>
        <v>FALSE</v>
      </c>
    </row>
    <row r="375" spans="1:20">
      <c r="A375" t="s">
        <v>535</v>
      </c>
      <c r="B375" s="14" t="s">
        <v>144</v>
      </c>
      <c r="C375" s="14" t="s">
        <v>156</v>
      </c>
      <c r="D375" s="14">
        <v>1</v>
      </c>
      <c r="E375" s="14">
        <v>1</v>
      </c>
      <c r="F375" s="14">
        <v>1</v>
      </c>
      <c r="G375" s="14">
        <v>0</v>
      </c>
      <c r="H375" s="14">
        <v>12</v>
      </c>
      <c r="I375" s="8" t="s">
        <v>148</v>
      </c>
      <c r="J375" s="8" t="s">
        <v>38</v>
      </c>
      <c r="K375">
        <v>46.5625</v>
      </c>
      <c r="L375">
        <v>41.125</v>
      </c>
      <c r="M375" s="14">
        <v>12</v>
      </c>
      <c r="N375" s="14">
        <v>7.375</v>
      </c>
      <c r="R375" t="str">
        <f t="shared" si="18"/>
        <v xml:space="preserve">XX8X_PV_0642:    Front abuts stile:TRUE       Back abuts stile:TRUE          Panel Section: TOP           Stile in the back Width: 12           Cutout A: B-3471          Cutout B:      F.C.:12 in.         C.C.:7.375 in.   </v>
      </c>
      <c r="S375" t="str">
        <f t="shared" si="17"/>
        <v>TRUE</v>
      </c>
      <c r="T375" t="str">
        <f t="shared" si="19"/>
        <v>TRUE</v>
      </c>
    </row>
    <row r="376" spans="1:20">
      <c r="A376" t="s">
        <v>536</v>
      </c>
      <c r="B376" s="14" t="s">
        <v>144</v>
      </c>
      <c r="C376" s="14" t="s">
        <v>156</v>
      </c>
      <c r="D376" s="14">
        <v>1</v>
      </c>
      <c r="E376" s="14">
        <v>1</v>
      </c>
      <c r="F376" s="14">
        <v>1</v>
      </c>
      <c r="G376" s="14">
        <v>0</v>
      </c>
      <c r="H376" s="14">
        <v>24</v>
      </c>
      <c r="I376" s="8" t="s">
        <v>120</v>
      </c>
      <c r="J376" s="8" t="s">
        <v>38</v>
      </c>
      <c r="K376">
        <v>3.75</v>
      </c>
      <c r="L376">
        <v>58.8125</v>
      </c>
      <c r="M376" s="14">
        <v>2</v>
      </c>
      <c r="N376" s="14">
        <v>1</v>
      </c>
      <c r="R376" t="str">
        <f t="shared" si="18"/>
        <v xml:space="preserve">XX8X_PV_0643:    Front abuts stile:TRUE       Back abuts stile:TRUE          Panel Section: TOP           Stile in the back Width: 24           Cutout A: B-386          Cutout B:      F.C.:2 in.         C.C.:1 in.   </v>
      </c>
      <c r="S376" t="str">
        <f t="shared" si="17"/>
        <v>TRUE</v>
      </c>
      <c r="T376" t="str">
        <f t="shared" si="19"/>
        <v>TRUE</v>
      </c>
    </row>
    <row r="377" spans="1:20">
      <c r="A377" t="s">
        <v>537</v>
      </c>
      <c r="B377" s="14" t="s">
        <v>144</v>
      </c>
      <c r="C377" s="14" t="s">
        <v>156</v>
      </c>
      <c r="D377" s="14">
        <v>1</v>
      </c>
      <c r="E377" s="14">
        <v>1</v>
      </c>
      <c r="F377" s="14">
        <v>1</v>
      </c>
      <c r="G377" s="14">
        <v>0</v>
      </c>
      <c r="H377" s="14"/>
      <c r="I377" s="8" t="s">
        <v>38</v>
      </c>
      <c r="J377" s="8" t="s">
        <v>38</v>
      </c>
      <c r="K377">
        <v>18.25</v>
      </c>
      <c r="L377">
        <v>45.125</v>
      </c>
      <c r="M377" s="14">
        <v>11.625</v>
      </c>
      <c r="N377" s="14">
        <v>3.8125</v>
      </c>
      <c r="R377" t="str">
        <f t="shared" si="18"/>
        <v xml:space="preserve">XX8X_PV_0644:    Front abuts stile:TRUE       Back abuts stile:TRUE          Panel Section: TOP           Stile in the back Width:            Cutout A:           Cutout B:      F.C.:11.625 in.         C.C.:3.8125 in.   </v>
      </c>
      <c r="S377" t="str">
        <f t="shared" si="17"/>
        <v>TRUE</v>
      </c>
      <c r="T377" t="str">
        <f t="shared" si="19"/>
        <v>TRUE</v>
      </c>
    </row>
    <row r="378" spans="1:20">
      <c r="A378" t="s">
        <v>538</v>
      </c>
      <c r="B378" s="14" t="s">
        <v>144</v>
      </c>
      <c r="C378" s="14" t="s">
        <v>156</v>
      </c>
      <c r="D378" s="14">
        <v>1</v>
      </c>
      <c r="E378" s="14">
        <v>1</v>
      </c>
      <c r="F378" s="14">
        <v>1</v>
      </c>
      <c r="G378" s="14">
        <v>1</v>
      </c>
      <c r="H378" s="14"/>
      <c r="I378" s="8" t="s">
        <v>38</v>
      </c>
      <c r="J378" s="8" t="s">
        <v>38</v>
      </c>
      <c r="K378">
        <v>37.5</v>
      </c>
      <c r="L378">
        <v>75.875</v>
      </c>
      <c r="M378" s="14">
        <v>2.0625</v>
      </c>
      <c r="N378" s="14">
        <v>4.4375</v>
      </c>
      <c r="R378" t="str">
        <f t="shared" si="18"/>
        <v xml:space="preserve">XX8X_PV_0645:    Front abuts stile:TRUE       Back abuts stile:TRUE          Panel Section: TOP           Stile in the back Width:            Cutout A:           Cutout B:      F.C.:2.0625 in.         C.C.:4.4375 in.   </v>
      </c>
      <c r="S378" t="str">
        <f t="shared" si="17"/>
        <v>TRUE</v>
      </c>
      <c r="T378" t="str">
        <f t="shared" si="19"/>
        <v>TRUE</v>
      </c>
    </row>
    <row r="379" spans="1:20">
      <c r="A379" t="s">
        <v>539</v>
      </c>
      <c r="B379" s="14" t="s">
        <v>144</v>
      </c>
      <c r="C379" s="14" t="s">
        <v>157</v>
      </c>
      <c r="D379" s="14">
        <v>0</v>
      </c>
      <c r="E379" s="14"/>
      <c r="F379" s="14">
        <v>0</v>
      </c>
      <c r="G379" s="14"/>
      <c r="H379" s="14"/>
      <c r="I379" s="8" t="s">
        <v>121</v>
      </c>
      <c r="J379" s="8" t="s">
        <v>38</v>
      </c>
      <c r="K379">
        <v>60</v>
      </c>
      <c r="L379">
        <v>50.8125</v>
      </c>
      <c r="M379" s="14">
        <v>3.3125</v>
      </c>
      <c r="N379" s="14">
        <v>1</v>
      </c>
      <c r="R379" t="str">
        <f t="shared" si="18"/>
        <v xml:space="preserve">XX8X_PV_0661:    Front abuts stile:FALSE       Back abuts stile:FALSE          Panel Section: BOTTOM           Stile in the back Width:            Cutout A: B-4354          Cutout B:      F.C.:3.3125 in.         C.C.:1 in.   </v>
      </c>
      <c r="S379" t="str">
        <f t="shared" si="17"/>
        <v>FALSE</v>
      </c>
      <c r="T379" t="str">
        <f t="shared" si="19"/>
        <v>FALSE</v>
      </c>
    </row>
    <row r="380" spans="1:20">
      <c r="A380" t="s">
        <v>540</v>
      </c>
      <c r="B380" s="14" t="s">
        <v>144</v>
      </c>
      <c r="C380" s="14" t="s">
        <v>157</v>
      </c>
      <c r="D380" s="14">
        <v>0</v>
      </c>
      <c r="E380" s="14"/>
      <c r="F380" s="14">
        <v>1</v>
      </c>
      <c r="G380" s="14">
        <v>0</v>
      </c>
      <c r="H380" s="14">
        <v>12</v>
      </c>
      <c r="I380" s="8" t="s">
        <v>120</v>
      </c>
      <c r="J380" s="8" t="s">
        <v>38</v>
      </c>
      <c r="K380">
        <v>60</v>
      </c>
      <c r="L380">
        <v>59.1875</v>
      </c>
      <c r="M380" s="14">
        <v>9</v>
      </c>
      <c r="N380" s="14">
        <v>1.375</v>
      </c>
      <c r="R380" t="str">
        <f t="shared" si="18"/>
        <v xml:space="preserve">XX8X_PV_0662:    Front abuts stile:FALSE       Back abuts stile:TRUE          Panel Section: BOTTOM           Stile in the back Width: 12           Cutout A: B-386          Cutout B:      F.C.:9 in.         C.C.:1.375 in.   </v>
      </c>
      <c r="S380" t="str">
        <f t="shared" si="17"/>
        <v>FALSE</v>
      </c>
      <c r="T380" t="str">
        <f t="shared" si="19"/>
        <v>TRUE</v>
      </c>
    </row>
    <row r="381" spans="1:20">
      <c r="A381" t="s">
        <v>541</v>
      </c>
      <c r="B381" s="14" t="s">
        <v>144</v>
      </c>
      <c r="C381" s="14" t="s">
        <v>157</v>
      </c>
      <c r="D381" s="14">
        <v>0</v>
      </c>
      <c r="E381" s="14"/>
      <c r="F381" s="14">
        <v>1</v>
      </c>
      <c r="G381" s="14">
        <v>0</v>
      </c>
      <c r="H381" s="14">
        <v>24</v>
      </c>
      <c r="I381" s="8" t="s">
        <v>38</v>
      </c>
      <c r="J381" s="8" t="s">
        <v>38</v>
      </c>
      <c r="K381">
        <v>60</v>
      </c>
      <c r="L381">
        <v>57.3125</v>
      </c>
      <c r="M381" s="14">
        <v>9</v>
      </c>
      <c r="N381" s="14">
        <v>1</v>
      </c>
      <c r="R381" t="str">
        <f t="shared" si="18"/>
        <v xml:space="preserve">XX8X_PV_0663:    Front abuts stile:FALSE       Back abuts stile:TRUE          Panel Section: BOTTOM           Stile in the back Width: 24           Cutout A:           Cutout B:      F.C.:9 in.         C.C.:1 in.   </v>
      </c>
      <c r="S381" t="str">
        <f t="shared" si="17"/>
        <v>FALSE</v>
      </c>
      <c r="T381" t="str">
        <f t="shared" si="19"/>
        <v>TRUE</v>
      </c>
    </row>
    <row r="382" spans="1:20">
      <c r="A382" t="s">
        <v>542</v>
      </c>
      <c r="B382" s="14" t="s">
        <v>144</v>
      </c>
      <c r="C382" s="14" t="s">
        <v>157</v>
      </c>
      <c r="D382" s="14">
        <v>0</v>
      </c>
      <c r="E382" s="14"/>
      <c r="F382" s="14">
        <v>1</v>
      </c>
      <c r="G382" s="14">
        <v>0</v>
      </c>
      <c r="H382" s="14"/>
      <c r="I382" s="8" t="s">
        <v>38</v>
      </c>
      <c r="J382" s="8" t="s">
        <v>38</v>
      </c>
      <c r="K382">
        <v>60</v>
      </c>
      <c r="L382">
        <v>54.75</v>
      </c>
      <c r="M382" s="14">
        <v>3.375</v>
      </c>
      <c r="N382" s="14">
        <v>1</v>
      </c>
      <c r="R382" t="str">
        <f t="shared" si="18"/>
        <v xml:space="preserve">XX8X_PV_0664:    Front abuts stile:FALSE       Back abuts stile:TRUE          Panel Section: BOTTOM           Stile in the back Width:            Cutout A:           Cutout B:      F.C.:3.375 in.         C.C.:1 in.   </v>
      </c>
      <c r="S382" t="str">
        <f t="shared" si="17"/>
        <v>FALSE</v>
      </c>
      <c r="T382" t="str">
        <f t="shared" si="19"/>
        <v>TRUE</v>
      </c>
    </row>
    <row r="383" spans="1:20">
      <c r="A383" t="s">
        <v>543</v>
      </c>
      <c r="B383" s="14" t="s">
        <v>144</v>
      </c>
      <c r="C383" s="14" t="s">
        <v>157</v>
      </c>
      <c r="D383" s="14">
        <v>0</v>
      </c>
      <c r="E383" s="14"/>
      <c r="F383" s="14">
        <v>1</v>
      </c>
      <c r="G383" s="14">
        <v>1</v>
      </c>
      <c r="H383" s="14"/>
      <c r="I383" s="8" t="s">
        <v>38</v>
      </c>
      <c r="J383" s="8" t="s">
        <v>38</v>
      </c>
      <c r="K383">
        <v>60</v>
      </c>
      <c r="L383">
        <v>66.6875</v>
      </c>
      <c r="M383" s="14">
        <v>3.0625</v>
      </c>
      <c r="N383" s="14">
        <v>1</v>
      </c>
      <c r="R383" t="str">
        <f t="shared" si="18"/>
        <v xml:space="preserve">XX8X_PV_0665:    Front abuts stile:FALSE       Back abuts stile:TRUE          Panel Section: BOTTOM           Stile in the back Width:            Cutout A:           Cutout B:      F.C.:3.0625 in.         C.C.:1 in.   </v>
      </c>
      <c r="S383" t="str">
        <f t="shared" si="17"/>
        <v>FALSE</v>
      </c>
      <c r="T383" t="str">
        <f t="shared" si="19"/>
        <v>TRUE</v>
      </c>
    </row>
    <row r="384" spans="1:20">
      <c r="A384" t="s">
        <v>544</v>
      </c>
      <c r="B384" s="14" t="s">
        <v>144</v>
      </c>
      <c r="C384" s="14" t="s">
        <v>157</v>
      </c>
      <c r="D384" s="14">
        <v>1</v>
      </c>
      <c r="E384" s="14">
        <v>0</v>
      </c>
      <c r="F384" s="14">
        <v>0</v>
      </c>
      <c r="G384" s="14"/>
      <c r="H384" s="14"/>
      <c r="I384" s="8" t="s">
        <v>151</v>
      </c>
      <c r="J384" s="8" t="s">
        <v>38</v>
      </c>
      <c r="K384">
        <v>60</v>
      </c>
      <c r="L384">
        <v>58.125</v>
      </c>
      <c r="M384" s="14">
        <v>12</v>
      </c>
      <c r="N384" s="14">
        <v>1</v>
      </c>
      <c r="R384" t="str">
        <f t="shared" si="18"/>
        <v xml:space="preserve">XX8X_PV_0666:    Front abuts stile:TRUE       Back abuts stile:FALSE          Panel Section: BOTTOM           Stile in the back Width:            Cutout A: B-35715          Cutout B:      F.C.:12 in.         C.C.:1 in.   </v>
      </c>
      <c r="S384" t="str">
        <f t="shared" si="17"/>
        <v>TRUE</v>
      </c>
      <c r="T384" t="str">
        <f t="shared" si="19"/>
        <v>FALSE</v>
      </c>
    </row>
    <row r="385" spans="1:20">
      <c r="A385" t="s">
        <v>545</v>
      </c>
      <c r="B385" s="14" t="s">
        <v>144</v>
      </c>
      <c r="C385" s="14" t="s">
        <v>157</v>
      </c>
      <c r="D385" s="14">
        <v>1</v>
      </c>
      <c r="E385" s="14">
        <v>0</v>
      </c>
      <c r="F385" s="14">
        <v>1</v>
      </c>
      <c r="G385" s="14">
        <v>0</v>
      </c>
      <c r="H385" s="14">
        <v>12</v>
      </c>
      <c r="I385" s="8" t="s">
        <v>150</v>
      </c>
      <c r="J385" s="8" t="s">
        <v>38</v>
      </c>
      <c r="K385">
        <v>60</v>
      </c>
      <c r="L385">
        <v>70.5</v>
      </c>
      <c r="M385" s="14">
        <v>2.4375</v>
      </c>
      <c r="N385" s="14">
        <v>2.4375</v>
      </c>
      <c r="R385" t="str">
        <f t="shared" si="18"/>
        <v xml:space="preserve">XX8X_PV_0667:    Front abuts stile:TRUE       Back abuts stile:TRUE          Panel Section: BOTTOM           Stile in the back Width: 12           Cutout A: B-3571          Cutout B:      F.C.:2.4375 in.         C.C.:2.4375 in.   </v>
      </c>
      <c r="S385" t="str">
        <f t="shared" si="17"/>
        <v>TRUE</v>
      </c>
      <c r="T385" t="str">
        <f t="shared" si="19"/>
        <v>TRUE</v>
      </c>
    </row>
    <row r="386" spans="1:20">
      <c r="A386" t="s">
        <v>546</v>
      </c>
      <c r="B386" s="14" t="s">
        <v>144</v>
      </c>
      <c r="C386" s="14" t="s">
        <v>157</v>
      </c>
      <c r="D386" s="14">
        <v>1</v>
      </c>
      <c r="E386" s="14">
        <v>0</v>
      </c>
      <c r="F386" s="14">
        <v>1</v>
      </c>
      <c r="G386" s="14">
        <v>0</v>
      </c>
      <c r="H386" s="14">
        <v>24</v>
      </c>
      <c r="I386" s="8" t="s">
        <v>120</v>
      </c>
      <c r="J386" s="8" t="s">
        <v>38</v>
      </c>
      <c r="K386">
        <v>60</v>
      </c>
      <c r="L386">
        <v>67</v>
      </c>
      <c r="M386" s="14">
        <v>2.0625</v>
      </c>
      <c r="N386" s="14">
        <v>1.0625</v>
      </c>
      <c r="R386" t="str">
        <f t="shared" si="18"/>
        <v xml:space="preserve">XX8X_PV_0668:    Front abuts stile:TRUE       Back abuts stile:TRUE          Panel Section: BOTTOM           Stile in the back Width: 24           Cutout A: B-386          Cutout B:      F.C.:2.0625 in.         C.C.:1.0625 in.   </v>
      </c>
      <c r="S386" t="str">
        <f t="shared" si="17"/>
        <v>TRUE</v>
      </c>
      <c r="T386" t="str">
        <f t="shared" si="19"/>
        <v>TRUE</v>
      </c>
    </row>
    <row r="387" spans="1:20">
      <c r="A387" t="s">
        <v>547</v>
      </c>
      <c r="B387" s="14" t="s">
        <v>144</v>
      </c>
      <c r="C387" s="14" t="s">
        <v>157</v>
      </c>
      <c r="D387" s="14">
        <v>1</v>
      </c>
      <c r="E387" s="14">
        <v>0</v>
      </c>
      <c r="F387" s="14">
        <v>1</v>
      </c>
      <c r="G387" s="14">
        <v>0</v>
      </c>
      <c r="H387" s="14"/>
      <c r="I387" s="8" t="s">
        <v>38</v>
      </c>
      <c r="J387" s="8" t="s">
        <v>38</v>
      </c>
      <c r="K387">
        <v>60</v>
      </c>
      <c r="L387">
        <v>79.3125</v>
      </c>
      <c r="M387" s="14">
        <v>6.5625</v>
      </c>
      <c r="N387" s="14">
        <v>6.9375</v>
      </c>
      <c r="R387" t="str">
        <f t="shared" si="18"/>
        <v xml:space="preserve">XX8X_PV_0669:    Front abuts stile:TRUE       Back abuts stile:TRUE          Panel Section: BOTTOM           Stile in the back Width:            Cutout A:           Cutout B:      F.C.:6.5625 in.         C.C.:6.9375 in.   </v>
      </c>
      <c r="S387" t="str">
        <f t="shared" si="17"/>
        <v>TRUE</v>
      </c>
      <c r="T387" t="str">
        <f t="shared" si="19"/>
        <v>TRUE</v>
      </c>
    </row>
    <row r="388" spans="1:20">
      <c r="A388" t="s">
        <v>548</v>
      </c>
      <c r="B388" s="14" t="s">
        <v>144</v>
      </c>
      <c r="C388" s="14" t="s">
        <v>157</v>
      </c>
      <c r="D388" s="14">
        <v>1</v>
      </c>
      <c r="E388" s="14">
        <v>0</v>
      </c>
      <c r="F388" s="14">
        <v>1</v>
      </c>
      <c r="G388" s="14">
        <v>1</v>
      </c>
      <c r="H388" s="14"/>
      <c r="I388" s="8" t="s">
        <v>38</v>
      </c>
      <c r="J388" s="8" t="s">
        <v>38</v>
      </c>
      <c r="K388">
        <v>60</v>
      </c>
      <c r="L388">
        <v>58.75</v>
      </c>
      <c r="M388" s="14">
        <v>3.25</v>
      </c>
      <c r="N388" s="14">
        <v>7.9375</v>
      </c>
      <c r="R388" t="str">
        <f t="shared" si="18"/>
        <v xml:space="preserve">XX8X_PV_0670:    Front abuts stile:TRUE       Back abuts stile:TRUE          Panel Section: BOTTOM           Stile in the back Width:            Cutout A:           Cutout B:      F.C.:3.25 in.         C.C.:7.9375 in.   </v>
      </c>
      <c r="S388" t="str">
        <f t="shared" ref="S388:S451" si="20">IF(D388=1, "TRUE", "FALSE")</f>
        <v>TRUE</v>
      </c>
      <c r="T388" t="str">
        <f t="shared" si="19"/>
        <v>TRUE</v>
      </c>
    </row>
    <row r="389" spans="1:20">
      <c r="A389" t="s">
        <v>549</v>
      </c>
      <c r="B389" s="14" t="s">
        <v>144</v>
      </c>
      <c r="C389" s="14" t="s">
        <v>157</v>
      </c>
      <c r="D389" s="14">
        <v>1</v>
      </c>
      <c r="E389" s="14">
        <v>1</v>
      </c>
      <c r="F389" s="14">
        <v>0</v>
      </c>
      <c r="G389" s="14"/>
      <c r="H389" s="14"/>
      <c r="I389" s="8" t="s">
        <v>35</v>
      </c>
      <c r="J389" s="8" t="s">
        <v>38</v>
      </c>
      <c r="K389">
        <v>60</v>
      </c>
      <c r="L389">
        <v>57.125</v>
      </c>
      <c r="M389" s="14">
        <v>2.6875</v>
      </c>
      <c r="N389" s="14">
        <v>2.1875</v>
      </c>
      <c r="R389" t="str">
        <f t="shared" si="18"/>
        <v xml:space="preserve">XX8X_PV_0671:    Front abuts stile:TRUE       Back abuts stile:FALSE          Panel Section: BOTTOM           Stile in the back Width:            Cutout A: B-357          Cutout B:      F.C.:2.6875 in.         C.C.:2.1875 in.   </v>
      </c>
      <c r="S389" t="str">
        <f t="shared" si="20"/>
        <v>TRUE</v>
      </c>
      <c r="T389" t="str">
        <f t="shared" si="19"/>
        <v>FALSE</v>
      </c>
    </row>
    <row r="390" spans="1:20">
      <c r="A390" t="s">
        <v>550</v>
      </c>
      <c r="B390" s="14" t="s">
        <v>144</v>
      </c>
      <c r="C390" s="14" t="s">
        <v>157</v>
      </c>
      <c r="D390" s="14">
        <v>1</v>
      </c>
      <c r="E390" s="14">
        <v>1</v>
      </c>
      <c r="F390" s="14">
        <v>1</v>
      </c>
      <c r="G390" s="14">
        <v>0</v>
      </c>
      <c r="H390" s="14">
        <v>12</v>
      </c>
      <c r="I390" s="8" t="s">
        <v>149</v>
      </c>
      <c r="J390" s="8" t="s">
        <v>38</v>
      </c>
      <c r="K390">
        <v>60</v>
      </c>
      <c r="L390">
        <v>74.875</v>
      </c>
      <c r="M390" s="14">
        <v>1</v>
      </c>
      <c r="N390" s="14">
        <v>1</v>
      </c>
      <c r="R390" t="str">
        <f t="shared" si="18"/>
        <v xml:space="preserve">XX8X_PV_0672:    Front abuts stile:TRUE       Back abuts stile:TRUE          Panel Section: BOTTOM           Stile in the back Width: 12           Cutout A: B-34715          Cutout B:      F.C.:1 in.         C.C.:1 in.   </v>
      </c>
      <c r="S390" t="str">
        <f t="shared" si="20"/>
        <v>TRUE</v>
      </c>
      <c r="T390" t="str">
        <f t="shared" si="19"/>
        <v>TRUE</v>
      </c>
    </row>
    <row r="391" spans="1:20">
      <c r="A391" t="s">
        <v>551</v>
      </c>
      <c r="B391" s="14" t="s">
        <v>144</v>
      </c>
      <c r="C391" s="14" t="s">
        <v>157</v>
      </c>
      <c r="D391" s="14">
        <v>1</v>
      </c>
      <c r="E391" s="14">
        <v>1</v>
      </c>
      <c r="F391" s="14">
        <v>1</v>
      </c>
      <c r="G391" s="14">
        <v>0</v>
      </c>
      <c r="H391" s="14">
        <v>24</v>
      </c>
      <c r="I391" s="8" t="s">
        <v>38</v>
      </c>
      <c r="J391" s="8" t="s">
        <v>38</v>
      </c>
      <c r="K391">
        <v>60</v>
      </c>
      <c r="L391">
        <v>22.0625</v>
      </c>
      <c r="M391" s="14">
        <v>1.5625</v>
      </c>
      <c r="N391" s="14">
        <v>3.6875</v>
      </c>
      <c r="R391" t="str">
        <f t="shared" ref="R391:R454" si="21">A391&amp;":    Front abuts stile:"&amp;S391&amp;"       Back abuts stile:"&amp;T391&amp;"          Panel Section: "&amp;C391&amp;"           Stile in the back Width: "&amp;H391&amp;"           Cutout A: "&amp;I391&amp;"          Cutout B:"&amp;J391&amp;"      F.C.:"&amp;M391&amp;" in. "&amp;"        C.C.:"&amp;N391&amp;" in. "&amp;"  "</f>
        <v xml:space="preserve">XX8X_PV_0673:    Front abuts stile:TRUE       Back abuts stile:TRUE          Panel Section: BOTTOM           Stile in the back Width: 24           Cutout A:           Cutout B:      F.C.:1.5625 in.         C.C.:3.6875 in.   </v>
      </c>
      <c r="S391" t="str">
        <f t="shared" si="20"/>
        <v>TRUE</v>
      </c>
      <c r="T391" t="str">
        <f t="shared" si="19"/>
        <v>TRUE</v>
      </c>
    </row>
    <row r="392" spans="1:20">
      <c r="A392" t="s">
        <v>552</v>
      </c>
      <c r="B392" s="14" t="s">
        <v>144</v>
      </c>
      <c r="C392" s="14" t="s">
        <v>157</v>
      </c>
      <c r="D392" s="14">
        <v>1</v>
      </c>
      <c r="E392" s="14">
        <v>1</v>
      </c>
      <c r="F392" s="14">
        <v>1</v>
      </c>
      <c r="G392" s="14">
        <v>0</v>
      </c>
      <c r="H392" s="14"/>
      <c r="I392" s="8" t="s">
        <v>38</v>
      </c>
      <c r="J392" s="8" t="s">
        <v>38</v>
      </c>
      <c r="K392">
        <v>60</v>
      </c>
      <c r="L392">
        <v>75.375</v>
      </c>
      <c r="M392" s="14">
        <v>1</v>
      </c>
      <c r="N392" s="14">
        <v>1</v>
      </c>
      <c r="R392" t="str">
        <f t="shared" si="21"/>
        <v xml:space="preserve">XX8X_PV_0674:    Front abuts stile:TRUE       Back abuts stile:TRUE          Panel Section: BOTTOM           Stile in the back Width:            Cutout A:           Cutout B:      F.C.:1 in.         C.C.:1 in.   </v>
      </c>
      <c r="S392" t="str">
        <f t="shared" si="20"/>
        <v>TRUE</v>
      </c>
      <c r="T392" t="str">
        <f t="shared" si="19"/>
        <v>TRUE</v>
      </c>
    </row>
    <row r="393" spans="1:20">
      <c r="A393" t="s">
        <v>553</v>
      </c>
      <c r="B393" s="14" t="s">
        <v>144</v>
      </c>
      <c r="C393" s="14" t="s">
        <v>157</v>
      </c>
      <c r="D393" s="14">
        <v>1</v>
      </c>
      <c r="E393" s="14">
        <v>1</v>
      </c>
      <c r="F393" s="14">
        <v>1</v>
      </c>
      <c r="G393" s="14">
        <v>1</v>
      </c>
      <c r="H393" s="14"/>
      <c r="I393" s="8" t="s">
        <v>38</v>
      </c>
      <c r="J393" s="8" t="s">
        <v>38</v>
      </c>
      <c r="K393">
        <v>60</v>
      </c>
      <c r="L393">
        <v>5.0625</v>
      </c>
      <c r="M393" s="14">
        <v>9</v>
      </c>
      <c r="N393" s="14">
        <v>6.125</v>
      </c>
      <c r="R393" t="str">
        <f t="shared" si="21"/>
        <v xml:space="preserve">XX8X_PV_0675:    Front abuts stile:TRUE       Back abuts stile:TRUE          Panel Section: BOTTOM           Stile in the back Width:            Cutout A:           Cutout B:      F.C.:9 in.         C.C.:6.125 in.   </v>
      </c>
      <c r="S393" t="str">
        <f t="shared" si="20"/>
        <v>TRUE</v>
      </c>
      <c r="T393" t="str">
        <f t="shared" si="19"/>
        <v>TRUE</v>
      </c>
    </row>
    <row r="394" spans="1:20">
      <c r="A394" t="s">
        <v>554</v>
      </c>
      <c r="B394" s="14" t="s">
        <v>144</v>
      </c>
      <c r="C394" s="14" t="s">
        <v>21</v>
      </c>
      <c r="D394" s="14">
        <v>0</v>
      </c>
      <c r="E394" s="14"/>
      <c r="F394" s="14">
        <v>0</v>
      </c>
      <c r="G394" s="14"/>
      <c r="H394" s="14"/>
      <c r="I394" s="8" t="s">
        <v>38</v>
      </c>
      <c r="J394" s="8" t="s">
        <v>38</v>
      </c>
      <c r="K394">
        <v>37.5</v>
      </c>
      <c r="L394">
        <v>9.5</v>
      </c>
      <c r="M394" s="14">
        <v>9</v>
      </c>
      <c r="N394" s="14">
        <v>2.5</v>
      </c>
      <c r="R394" t="str">
        <f t="shared" si="21"/>
        <v xml:space="preserve">XX8X_PV_0691:    Front abuts stile:FALSE       Back abuts stile:FALSE          Panel Section: WHOLE           Stile in the back Width:            Cutout A:           Cutout B:      F.C.:9 in.         C.C.:2.5 in.   </v>
      </c>
      <c r="S394" t="str">
        <f t="shared" si="20"/>
        <v>FALSE</v>
      </c>
      <c r="T394" t="str">
        <f t="shared" si="19"/>
        <v>FALSE</v>
      </c>
    </row>
    <row r="395" spans="1:20">
      <c r="A395" t="s">
        <v>555</v>
      </c>
      <c r="B395" s="14" t="s">
        <v>144</v>
      </c>
      <c r="C395" s="14" t="s">
        <v>21</v>
      </c>
      <c r="D395" s="14">
        <v>0</v>
      </c>
      <c r="E395" s="14"/>
      <c r="F395" s="14">
        <v>1</v>
      </c>
      <c r="G395" s="14">
        <v>0</v>
      </c>
      <c r="H395" s="14">
        <v>12</v>
      </c>
      <c r="I395" s="8" t="s">
        <v>38</v>
      </c>
      <c r="J395" s="8" t="s">
        <v>38</v>
      </c>
      <c r="K395">
        <v>77.0625</v>
      </c>
      <c r="L395">
        <v>76.5625</v>
      </c>
      <c r="M395" s="14">
        <v>4.5</v>
      </c>
      <c r="N395" s="14">
        <v>3.6875</v>
      </c>
      <c r="R395" t="str">
        <f t="shared" si="21"/>
        <v xml:space="preserve">XX8X_PV_0692:    Front abuts stile:FALSE       Back abuts stile:TRUE          Panel Section: WHOLE           Stile in the back Width: 12           Cutout A:           Cutout B:      F.C.:4.5 in.         C.C.:3.6875 in.   </v>
      </c>
      <c r="S395" t="str">
        <f t="shared" si="20"/>
        <v>FALSE</v>
      </c>
      <c r="T395" t="str">
        <f t="shared" si="19"/>
        <v>TRUE</v>
      </c>
    </row>
    <row r="396" spans="1:20">
      <c r="A396" t="s">
        <v>556</v>
      </c>
      <c r="B396" s="14" t="s">
        <v>144</v>
      </c>
      <c r="C396" s="14" t="s">
        <v>21</v>
      </c>
      <c r="D396" s="14">
        <v>0</v>
      </c>
      <c r="E396" s="14"/>
      <c r="F396" s="14">
        <v>1</v>
      </c>
      <c r="G396" s="14">
        <v>0</v>
      </c>
      <c r="H396" s="14">
        <v>24</v>
      </c>
      <c r="I396" s="8" t="s">
        <v>120</v>
      </c>
      <c r="J396" s="8" t="s">
        <v>38</v>
      </c>
      <c r="K396">
        <v>109.1875</v>
      </c>
      <c r="L396">
        <v>60.6875</v>
      </c>
      <c r="M396" s="14">
        <v>4.5</v>
      </c>
      <c r="N396" s="14">
        <v>1.5625</v>
      </c>
      <c r="R396" t="str">
        <f t="shared" si="21"/>
        <v xml:space="preserve">XX8X_PV_0693:    Front abuts stile:FALSE       Back abuts stile:TRUE          Panel Section: WHOLE           Stile in the back Width: 24           Cutout A: B-386          Cutout B:      F.C.:4.5 in.         C.C.:1.5625 in.   </v>
      </c>
      <c r="S396" t="str">
        <f t="shared" si="20"/>
        <v>FALSE</v>
      </c>
      <c r="T396" t="str">
        <f t="shared" si="19"/>
        <v>TRUE</v>
      </c>
    </row>
    <row r="397" spans="1:20">
      <c r="A397" t="s">
        <v>557</v>
      </c>
      <c r="B397" s="14" t="s">
        <v>144</v>
      </c>
      <c r="C397" s="14" t="s">
        <v>21</v>
      </c>
      <c r="D397" s="14">
        <v>0</v>
      </c>
      <c r="E397" s="14"/>
      <c r="F397" s="14">
        <v>1</v>
      </c>
      <c r="G397" s="14">
        <v>0</v>
      </c>
      <c r="H397" s="14"/>
      <c r="I397" s="8" t="s">
        <v>38</v>
      </c>
      <c r="J397" s="8" t="s">
        <v>38</v>
      </c>
      <c r="K397">
        <v>88.25</v>
      </c>
      <c r="L397">
        <v>34.25</v>
      </c>
      <c r="M397" s="14">
        <v>1</v>
      </c>
      <c r="N397" s="14">
        <v>2.5</v>
      </c>
      <c r="R397" t="str">
        <f t="shared" si="21"/>
        <v xml:space="preserve">XX8X_PV_0694:    Front abuts stile:FALSE       Back abuts stile:TRUE          Panel Section: WHOLE           Stile in the back Width:            Cutout A:           Cutout B:      F.C.:1 in.         C.C.:2.5 in.   </v>
      </c>
      <c r="S397" t="str">
        <f t="shared" si="20"/>
        <v>FALSE</v>
      </c>
      <c r="T397" t="str">
        <f t="shared" si="19"/>
        <v>TRUE</v>
      </c>
    </row>
    <row r="398" spans="1:20">
      <c r="A398" t="s">
        <v>558</v>
      </c>
      <c r="B398" s="14" t="s">
        <v>144</v>
      </c>
      <c r="C398" s="14" t="s">
        <v>21</v>
      </c>
      <c r="D398" s="14">
        <v>0</v>
      </c>
      <c r="E398" s="14"/>
      <c r="F398" s="14">
        <v>1</v>
      </c>
      <c r="G398" s="14">
        <v>1</v>
      </c>
      <c r="H398" s="14"/>
      <c r="I398" s="8" t="s">
        <v>38</v>
      </c>
      <c r="J398" s="8" t="s">
        <v>38</v>
      </c>
      <c r="K398">
        <v>75.0625</v>
      </c>
      <c r="L398">
        <v>11</v>
      </c>
      <c r="M398" s="14">
        <v>2.625</v>
      </c>
      <c r="N398" s="14">
        <v>8.0625</v>
      </c>
      <c r="R398" t="str">
        <f t="shared" si="21"/>
        <v xml:space="preserve">XX8X_PV_0695:    Front abuts stile:FALSE       Back abuts stile:TRUE          Panel Section: WHOLE           Stile in the back Width:            Cutout A:           Cutout B:      F.C.:2.625 in.         C.C.:8.0625 in.   </v>
      </c>
      <c r="S398" t="str">
        <f t="shared" si="20"/>
        <v>FALSE</v>
      </c>
      <c r="T398" t="str">
        <f t="shared" si="19"/>
        <v>TRUE</v>
      </c>
    </row>
    <row r="399" spans="1:20">
      <c r="A399" t="s">
        <v>559</v>
      </c>
      <c r="B399" s="14" t="s">
        <v>144</v>
      </c>
      <c r="C399" s="14" t="s">
        <v>21</v>
      </c>
      <c r="D399" s="14">
        <v>1</v>
      </c>
      <c r="E399" s="14">
        <v>0</v>
      </c>
      <c r="F399" s="14">
        <v>0</v>
      </c>
      <c r="G399" s="14"/>
      <c r="H399" s="14"/>
      <c r="I399" s="8" t="s">
        <v>149</v>
      </c>
      <c r="J399" s="8" t="s">
        <v>38</v>
      </c>
      <c r="K399">
        <v>103.875</v>
      </c>
      <c r="L399">
        <v>61.1875</v>
      </c>
      <c r="M399" s="14">
        <v>8.0625</v>
      </c>
      <c r="N399" s="14">
        <v>1.3125</v>
      </c>
      <c r="R399" t="str">
        <f t="shared" si="21"/>
        <v xml:space="preserve">XX8X_PV_0696:    Front abuts stile:TRUE       Back abuts stile:FALSE          Panel Section: WHOLE           Stile in the back Width:            Cutout A: B-34715          Cutout B:      F.C.:8.0625 in.         C.C.:1.3125 in.   </v>
      </c>
      <c r="S399" t="str">
        <f t="shared" si="20"/>
        <v>TRUE</v>
      </c>
      <c r="T399" t="str">
        <f t="shared" si="19"/>
        <v>FALSE</v>
      </c>
    </row>
    <row r="400" spans="1:20">
      <c r="A400" t="s">
        <v>560</v>
      </c>
      <c r="B400" s="14" t="s">
        <v>143</v>
      </c>
      <c r="C400" s="14" t="s">
        <v>21</v>
      </c>
      <c r="D400" s="14">
        <v>1</v>
      </c>
      <c r="E400" s="14">
        <v>0</v>
      </c>
      <c r="F400" s="14">
        <v>1</v>
      </c>
      <c r="G400" s="14">
        <v>0</v>
      </c>
      <c r="H400" s="14">
        <v>12</v>
      </c>
      <c r="I400" s="8" t="s">
        <v>151</v>
      </c>
      <c r="J400" s="8" t="s">
        <v>38</v>
      </c>
      <c r="K400">
        <v>97.625</v>
      </c>
      <c r="L400">
        <v>63.25</v>
      </c>
      <c r="M400" s="14">
        <v>2.6875</v>
      </c>
      <c r="N400" s="14">
        <v>1</v>
      </c>
      <c r="R400" t="str">
        <f t="shared" si="21"/>
        <v xml:space="preserve">XX8X_PV_0697:    Front abuts stile:TRUE       Back abuts stile:TRUE          Panel Section: WHOLE           Stile in the back Width: 12           Cutout A: B-35715          Cutout B:      F.C.:2.6875 in.         C.C.:1 in.   </v>
      </c>
      <c r="S400" t="str">
        <f t="shared" si="20"/>
        <v>TRUE</v>
      </c>
      <c r="T400" t="str">
        <f t="shared" si="19"/>
        <v>TRUE</v>
      </c>
    </row>
    <row r="401" spans="1:20">
      <c r="A401" t="s">
        <v>561</v>
      </c>
      <c r="B401" s="14" t="s">
        <v>144</v>
      </c>
      <c r="C401" s="14" t="s">
        <v>21</v>
      </c>
      <c r="D401" s="14">
        <v>1</v>
      </c>
      <c r="E401" s="14">
        <v>0</v>
      </c>
      <c r="F401" s="14">
        <v>1</v>
      </c>
      <c r="G401" s="14">
        <v>0</v>
      </c>
      <c r="H401" s="14">
        <v>24</v>
      </c>
      <c r="I401" s="8" t="s">
        <v>120</v>
      </c>
      <c r="J401" s="8" t="s">
        <v>38</v>
      </c>
      <c r="K401">
        <v>45.75</v>
      </c>
      <c r="L401">
        <v>72.125</v>
      </c>
      <c r="M401" s="14">
        <v>4.5</v>
      </c>
      <c r="N401" s="14">
        <v>3.8125</v>
      </c>
      <c r="R401" t="str">
        <f t="shared" si="21"/>
        <v xml:space="preserve">XX8X_PV_0698:    Front abuts stile:TRUE       Back abuts stile:TRUE          Panel Section: WHOLE           Stile in the back Width: 24           Cutout A: B-386          Cutout B:      F.C.:4.5 in.         C.C.:3.8125 in.   </v>
      </c>
      <c r="S401" t="str">
        <f t="shared" si="20"/>
        <v>TRUE</v>
      </c>
      <c r="T401" t="str">
        <f t="shared" si="19"/>
        <v>TRUE</v>
      </c>
    </row>
    <row r="402" spans="1:20">
      <c r="A402" t="s">
        <v>562</v>
      </c>
      <c r="B402" s="14" t="s">
        <v>144</v>
      </c>
      <c r="C402" s="14" t="s">
        <v>21</v>
      </c>
      <c r="D402" s="14">
        <v>1</v>
      </c>
      <c r="E402" s="14">
        <v>0</v>
      </c>
      <c r="F402" s="14">
        <v>1</v>
      </c>
      <c r="G402" s="14">
        <v>0</v>
      </c>
      <c r="H402" s="14"/>
      <c r="I402" s="8" t="s">
        <v>38</v>
      </c>
      <c r="J402" s="8" t="s">
        <v>38</v>
      </c>
      <c r="K402">
        <v>66.6875</v>
      </c>
      <c r="L402">
        <v>43</v>
      </c>
      <c r="M402" s="14">
        <v>9.3125</v>
      </c>
      <c r="N402" s="14">
        <v>1</v>
      </c>
      <c r="R402" t="str">
        <f t="shared" si="21"/>
        <v xml:space="preserve">XX8X_PV_0699:    Front abuts stile:TRUE       Back abuts stile:TRUE          Panel Section: WHOLE           Stile in the back Width:            Cutout A:           Cutout B:      F.C.:9.3125 in.         C.C.:1 in.   </v>
      </c>
      <c r="S402" t="str">
        <f t="shared" si="20"/>
        <v>TRUE</v>
      </c>
      <c r="T402" t="str">
        <f t="shared" ref="T402:T465" si="22">IF(F402=1, "TRUE", "FALSE")</f>
        <v>TRUE</v>
      </c>
    </row>
    <row r="403" spans="1:20">
      <c r="A403" t="s">
        <v>563</v>
      </c>
      <c r="B403" s="14" t="s">
        <v>144</v>
      </c>
      <c r="C403" s="14" t="s">
        <v>21</v>
      </c>
      <c r="D403" s="14">
        <v>1</v>
      </c>
      <c r="E403" s="14">
        <v>0</v>
      </c>
      <c r="F403" s="14">
        <v>1</v>
      </c>
      <c r="G403" s="14">
        <v>1</v>
      </c>
      <c r="H403" s="14"/>
      <c r="I403" s="8" t="s">
        <v>38</v>
      </c>
      <c r="J403" s="8" t="s">
        <v>38</v>
      </c>
      <c r="K403">
        <v>109.5</v>
      </c>
      <c r="L403">
        <v>72.4375</v>
      </c>
      <c r="M403" s="14">
        <v>9</v>
      </c>
      <c r="N403" s="14">
        <v>1</v>
      </c>
      <c r="R403" t="str">
        <f t="shared" si="21"/>
        <v xml:space="preserve">XX8X_PV_0700:    Front abuts stile:TRUE       Back abuts stile:TRUE          Panel Section: WHOLE           Stile in the back Width:            Cutout A:           Cutout B:      F.C.:9 in.         C.C.:1 in.   </v>
      </c>
      <c r="S403" t="str">
        <f t="shared" si="20"/>
        <v>TRUE</v>
      </c>
      <c r="T403" t="str">
        <f t="shared" si="22"/>
        <v>TRUE</v>
      </c>
    </row>
    <row r="404" spans="1:20">
      <c r="A404" t="s">
        <v>564</v>
      </c>
      <c r="B404" s="14" t="s">
        <v>144</v>
      </c>
      <c r="C404" s="14" t="s">
        <v>21</v>
      </c>
      <c r="D404" s="14">
        <v>1</v>
      </c>
      <c r="E404" s="14">
        <v>1</v>
      </c>
      <c r="F404" s="14">
        <v>0</v>
      </c>
      <c r="G404" s="14"/>
      <c r="H404" s="14"/>
      <c r="I404" s="8" t="s">
        <v>35</v>
      </c>
      <c r="J404" s="8" t="s">
        <v>38</v>
      </c>
      <c r="K404">
        <v>50.1875</v>
      </c>
      <c r="L404">
        <v>42.25</v>
      </c>
      <c r="M404" s="14">
        <v>1.0625</v>
      </c>
      <c r="N404" s="14">
        <v>1</v>
      </c>
      <c r="R404" t="str">
        <f t="shared" si="21"/>
        <v xml:space="preserve">XX8X_PV_0701:    Front abuts stile:TRUE       Back abuts stile:FALSE          Panel Section: WHOLE           Stile in the back Width:            Cutout A: B-357          Cutout B:      F.C.:1.0625 in.         C.C.:1 in.   </v>
      </c>
      <c r="S404" t="str">
        <f t="shared" si="20"/>
        <v>TRUE</v>
      </c>
      <c r="T404" t="str">
        <f t="shared" si="22"/>
        <v>FALSE</v>
      </c>
    </row>
    <row r="405" spans="1:20">
      <c r="A405" t="s">
        <v>565</v>
      </c>
      <c r="B405" s="14" t="s">
        <v>144</v>
      </c>
      <c r="C405" s="14" t="s">
        <v>21</v>
      </c>
      <c r="D405" s="14">
        <v>1</v>
      </c>
      <c r="E405" s="14">
        <v>1</v>
      </c>
      <c r="F405" s="14">
        <v>1</v>
      </c>
      <c r="G405" s="14">
        <v>0</v>
      </c>
      <c r="H405" s="14">
        <v>12</v>
      </c>
      <c r="I405" s="8" t="s">
        <v>150</v>
      </c>
      <c r="J405" s="8" t="s">
        <v>38</v>
      </c>
      <c r="K405">
        <v>82.8125</v>
      </c>
      <c r="L405">
        <v>70.75</v>
      </c>
      <c r="M405" s="14">
        <v>11.75</v>
      </c>
      <c r="N405" s="14">
        <v>3.625</v>
      </c>
      <c r="R405" t="str">
        <f t="shared" si="21"/>
        <v xml:space="preserve">XX8X_PV_0702:    Front abuts stile:TRUE       Back abuts stile:TRUE          Panel Section: WHOLE           Stile in the back Width: 12           Cutout A: B-3571          Cutout B:      F.C.:11.75 in.         C.C.:3.625 in.   </v>
      </c>
      <c r="S405" t="str">
        <f t="shared" si="20"/>
        <v>TRUE</v>
      </c>
      <c r="T405" t="str">
        <f t="shared" si="22"/>
        <v>TRUE</v>
      </c>
    </row>
    <row r="406" spans="1:20">
      <c r="A406" t="s">
        <v>566</v>
      </c>
      <c r="B406" s="14" t="s">
        <v>144</v>
      </c>
      <c r="C406" s="14" t="s">
        <v>21</v>
      </c>
      <c r="D406" s="14">
        <v>1</v>
      </c>
      <c r="E406" s="14">
        <v>1</v>
      </c>
      <c r="F406" s="14">
        <v>1</v>
      </c>
      <c r="G406" s="14">
        <v>0</v>
      </c>
      <c r="H406" s="14">
        <v>24</v>
      </c>
      <c r="I406" s="8" t="s">
        <v>120</v>
      </c>
      <c r="J406" s="8" t="s">
        <v>38</v>
      </c>
      <c r="K406">
        <v>105.5625</v>
      </c>
      <c r="L406">
        <v>57.9375</v>
      </c>
      <c r="M406" s="14">
        <v>9</v>
      </c>
      <c r="N406" s="14">
        <v>5.6875</v>
      </c>
      <c r="R406" t="str">
        <f t="shared" si="21"/>
        <v xml:space="preserve">XX8X_PV_0703:    Front abuts stile:TRUE       Back abuts stile:TRUE          Panel Section: WHOLE           Stile in the back Width: 24           Cutout A: B-386          Cutout B:      F.C.:9 in.         C.C.:5.6875 in.   </v>
      </c>
      <c r="S406" t="str">
        <f t="shared" si="20"/>
        <v>TRUE</v>
      </c>
      <c r="T406" t="str">
        <f t="shared" si="22"/>
        <v>TRUE</v>
      </c>
    </row>
    <row r="407" spans="1:20">
      <c r="A407" t="s">
        <v>567</v>
      </c>
      <c r="B407" s="14" t="s">
        <v>144</v>
      </c>
      <c r="C407" s="14" t="s">
        <v>21</v>
      </c>
      <c r="D407" s="14">
        <v>1</v>
      </c>
      <c r="E407" s="14">
        <v>1</v>
      </c>
      <c r="F407" s="14">
        <v>1</v>
      </c>
      <c r="G407" s="14">
        <v>0</v>
      </c>
      <c r="H407" s="14"/>
      <c r="I407" s="8" t="s">
        <v>38</v>
      </c>
      <c r="J407" s="8" t="s">
        <v>38</v>
      </c>
      <c r="K407">
        <v>88.4375</v>
      </c>
      <c r="L407">
        <v>58.3125</v>
      </c>
      <c r="M407" s="14">
        <v>1.625</v>
      </c>
      <c r="N407" s="14">
        <v>8.0625</v>
      </c>
      <c r="R407" t="str">
        <f t="shared" si="21"/>
        <v xml:space="preserve">XX8X_PV_0704:    Front abuts stile:TRUE       Back abuts stile:TRUE          Panel Section: WHOLE           Stile in the back Width:            Cutout A:           Cutout B:      F.C.:1.625 in.         C.C.:8.0625 in.   </v>
      </c>
      <c r="S407" t="str">
        <f t="shared" si="20"/>
        <v>TRUE</v>
      </c>
      <c r="T407" t="str">
        <f t="shared" si="22"/>
        <v>TRUE</v>
      </c>
    </row>
    <row r="408" spans="1:20">
      <c r="A408" t="s">
        <v>568</v>
      </c>
      <c r="B408" s="14" t="s">
        <v>144</v>
      </c>
      <c r="C408" s="14" t="s">
        <v>21</v>
      </c>
      <c r="D408" s="14">
        <v>1</v>
      </c>
      <c r="E408" s="14">
        <v>1</v>
      </c>
      <c r="F408" s="14">
        <v>1</v>
      </c>
      <c r="G408" s="14">
        <v>1</v>
      </c>
      <c r="H408" s="14"/>
      <c r="I408" s="8" t="s">
        <v>38</v>
      </c>
      <c r="J408" s="8" t="s">
        <v>38</v>
      </c>
      <c r="K408">
        <v>48.5625</v>
      </c>
      <c r="L408">
        <v>69.875</v>
      </c>
      <c r="M408" s="14">
        <v>12</v>
      </c>
      <c r="N408" s="14">
        <v>1</v>
      </c>
      <c r="R408" t="str">
        <f t="shared" si="21"/>
        <v xml:space="preserve">XX8X_PV_0705:    Front abuts stile:TRUE       Back abuts stile:TRUE          Panel Section: WHOLE           Stile in the back Width:            Cutout A:           Cutout B:      F.C.:12 in.         C.C.:1 in.   </v>
      </c>
      <c r="S408" t="str">
        <f t="shared" si="20"/>
        <v>TRUE</v>
      </c>
      <c r="T408" t="str">
        <f t="shared" si="22"/>
        <v>TRUE</v>
      </c>
    </row>
    <row r="409" spans="1:20">
      <c r="A409" t="s">
        <v>569</v>
      </c>
      <c r="B409" s="14" t="s">
        <v>144</v>
      </c>
      <c r="C409" s="14" t="s">
        <v>156</v>
      </c>
      <c r="D409" s="19">
        <v>0</v>
      </c>
      <c r="E409" s="19"/>
      <c r="F409" s="19">
        <v>0</v>
      </c>
      <c r="G409" s="19"/>
      <c r="H409" s="14"/>
      <c r="I409" s="8" t="s">
        <v>38</v>
      </c>
      <c r="J409" s="8" t="s">
        <v>38</v>
      </c>
      <c r="K409">
        <v>33.375</v>
      </c>
      <c r="L409">
        <v>42.375</v>
      </c>
      <c r="M409" s="14">
        <v>9</v>
      </c>
      <c r="N409" s="14">
        <v>3.5</v>
      </c>
      <c r="R409" t="str">
        <f t="shared" si="21"/>
        <v xml:space="preserve">XX8X_PV_0721:    Front abuts stile:FALSE       Back abuts stile:FALSE          Panel Section: TOP           Stile in the back Width:            Cutout A:           Cutout B:      F.C.:9 in.         C.C.:3.5 in.   </v>
      </c>
      <c r="S409" t="str">
        <f t="shared" si="20"/>
        <v>FALSE</v>
      </c>
      <c r="T409" t="str">
        <f t="shared" si="22"/>
        <v>FALSE</v>
      </c>
    </row>
    <row r="410" spans="1:20">
      <c r="A410" t="s">
        <v>570</v>
      </c>
      <c r="B410" s="14" t="s">
        <v>144</v>
      </c>
      <c r="C410" s="14" t="s">
        <v>156</v>
      </c>
      <c r="D410" s="14">
        <v>0</v>
      </c>
      <c r="E410" s="14"/>
      <c r="F410" s="14">
        <v>1</v>
      </c>
      <c r="G410" s="14">
        <v>0</v>
      </c>
      <c r="H410" s="14">
        <v>12</v>
      </c>
      <c r="I410" s="8" t="s">
        <v>38</v>
      </c>
      <c r="J410" s="8" t="s">
        <v>38</v>
      </c>
      <c r="K410">
        <v>18.3125</v>
      </c>
      <c r="L410">
        <v>73.4375</v>
      </c>
      <c r="M410" s="14">
        <v>9</v>
      </c>
      <c r="N410" s="14">
        <v>1</v>
      </c>
      <c r="R410" t="str">
        <f t="shared" si="21"/>
        <v xml:space="preserve">XX8X_PV_0722:    Front abuts stile:FALSE       Back abuts stile:TRUE          Panel Section: TOP           Stile in the back Width: 12           Cutout A:           Cutout B:      F.C.:9 in.         C.C.:1 in.   </v>
      </c>
      <c r="S410" t="str">
        <f t="shared" si="20"/>
        <v>FALSE</v>
      </c>
      <c r="T410" t="str">
        <f t="shared" si="22"/>
        <v>TRUE</v>
      </c>
    </row>
    <row r="411" spans="1:20">
      <c r="A411" t="s">
        <v>571</v>
      </c>
      <c r="B411" s="14" t="s">
        <v>144</v>
      </c>
      <c r="C411" s="14" t="s">
        <v>156</v>
      </c>
      <c r="D411" s="14">
        <v>0</v>
      </c>
      <c r="E411" s="14"/>
      <c r="F411" s="14">
        <v>1</v>
      </c>
      <c r="G411" s="14">
        <v>0</v>
      </c>
      <c r="H411" s="14">
        <v>24</v>
      </c>
      <c r="I411" s="8" t="s">
        <v>120</v>
      </c>
      <c r="J411" s="8" t="s">
        <v>38</v>
      </c>
      <c r="K411">
        <v>45.125</v>
      </c>
      <c r="L411">
        <v>56.8125</v>
      </c>
      <c r="M411" s="14">
        <v>9</v>
      </c>
      <c r="N411" s="14">
        <v>4.375</v>
      </c>
      <c r="R411" t="str">
        <f t="shared" si="21"/>
        <v xml:space="preserve">XX8X_PV_0723:    Front abuts stile:FALSE       Back abuts stile:TRUE          Panel Section: TOP           Stile in the back Width: 24           Cutout A: B-386          Cutout B:      F.C.:9 in.         C.C.:4.375 in.   </v>
      </c>
      <c r="S411" t="str">
        <f t="shared" si="20"/>
        <v>FALSE</v>
      </c>
      <c r="T411" t="str">
        <f t="shared" si="22"/>
        <v>TRUE</v>
      </c>
    </row>
    <row r="412" spans="1:20">
      <c r="A412" t="s">
        <v>572</v>
      </c>
      <c r="B412" s="14" t="s">
        <v>144</v>
      </c>
      <c r="C412" s="14" t="s">
        <v>156</v>
      </c>
      <c r="D412" s="14">
        <v>0</v>
      </c>
      <c r="E412" s="14"/>
      <c r="F412" s="14">
        <v>1</v>
      </c>
      <c r="G412" s="14">
        <v>0</v>
      </c>
      <c r="H412" s="14"/>
      <c r="I412" s="8" t="s">
        <v>38</v>
      </c>
      <c r="J412" s="8" t="s">
        <v>38</v>
      </c>
      <c r="K412">
        <v>23.375</v>
      </c>
      <c r="L412">
        <v>65.875</v>
      </c>
      <c r="M412" s="14">
        <v>1</v>
      </c>
      <c r="N412" s="14">
        <v>1</v>
      </c>
      <c r="R412" t="str">
        <f t="shared" si="21"/>
        <v xml:space="preserve">XX8X_PV_0724:    Front abuts stile:FALSE       Back abuts stile:TRUE          Panel Section: TOP           Stile in the back Width:            Cutout A:           Cutout B:      F.C.:1 in.         C.C.:1 in.   </v>
      </c>
      <c r="S412" t="str">
        <f t="shared" si="20"/>
        <v>FALSE</v>
      </c>
      <c r="T412" t="str">
        <f t="shared" si="22"/>
        <v>TRUE</v>
      </c>
    </row>
    <row r="413" spans="1:20">
      <c r="A413" t="s">
        <v>573</v>
      </c>
      <c r="B413" s="14" t="s">
        <v>144</v>
      </c>
      <c r="C413" s="14" t="s">
        <v>156</v>
      </c>
      <c r="D413" s="14">
        <v>0</v>
      </c>
      <c r="E413" s="14"/>
      <c r="F413" s="14">
        <v>1</v>
      </c>
      <c r="G413" s="14">
        <v>1</v>
      </c>
      <c r="H413" s="14"/>
      <c r="I413" s="8" t="s">
        <v>38</v>
      </c>
      <c r="J413" s="8" t="s">
        <v>38</v>
      </c>
      <c r="K413">
        <v>34.625</v>
      </c>
      <c r="L413">
        <v>64.5</v>
      </c>
      <c r="M413" s="14">
        <v>12</v>
      </c>
      <c r="N413" s="14">
        <v>3.375</v>
      </c>
      <c r="R413" t="str">
        <f t="shared" si="21"/>
        <v xml:space="preserve">XX8X_PV_0725:    Front abuts stile:FALSE       Back abuts stile:TRUE          Panel Section: TOP           Stile in the back Width:            Cutout A:           Cutout B:      F.C.:12 in.         C.C.:3.375 in.   </v>
      </c>
      <c r="S413" t="str">
        <f t="shared" si="20"/>
        <v>FALSE</v>
      </c>
      <c r="T413" t="str">
        <f t="shared" si="22"/>
        <v>TRUE</v>
      </c>
    </row>
    <row r="414" spans="1:20">
      <c r="A414" t="s">
        <v>574</v>
      </c>
      <c r="B414" s="14" t="s">
        <v>144</v>
      </c>
      <c r="C414" s="14" t="s">
        <v>156</v>
      </c>
      <c r="D414" s="14">
        <v>1</v>
      </c>
      <c r="E414" s="14">
        <v>0</v>
      </c>
      <c r="F414" s="14">
        <v>0</v>
      </c>
      <c r="G414" s="14"/>
      <c r="H414" s="14"/>
      <c r="I414" s="8" t="s">
        <v>120</v>
      </c>
      <c r="J414" s="8" t="s">
        <v>38</v>
      </c>
      <c r="K414">
        <v>29.125</v>
      </c>
      <c r="L414">
        <v>60.25</v>
      </c>
      <c r="M414" s="14">
        <v>6.5</v>
      </c>
      <c r="N414" s="14">
        <v>1</v>
      </c>
      <c r="R414" t="str">
        <f t="shared" si="21"/>
        <v xml:space="preserve">XX8X_PV_0726:    Front abuts stile:TRUE       Back abuts stile:FALSE          Panel Section: TOP           Stile in the back Width:            Cutout A: B-386          Cutout B:      F.C.:6.5 in.         C.C.:1 in.   </v>
      </c>
      <c r="S414" t="str">
        <f t="shared" si="20"/>
        <v>TRUE</v>
      </c>
      <c r="T414" t="str">
        <f t="shared" si="22"/>
        <v>FALSE</v>
      </c>
    </row>
    <row r="415" spans="1:20">
      <c r="A415" t="s">
        <v>575</v>
      </c>
      <c r="B415" s="14" t="s">
        <v>144</v>
      </c>
      <c r="C415" s="14" t="s">
        <v>156</v>
      </c>
      <c r="D415" s="14">
        <v>1</v>
      </c>
      <c r="E415" s="14">
        <v>0</v>
      </c>
      <c r="F415" s="14">
        <v>1</v>
      </c>
      <c r="G415" s="14">
        <v>0</v>
      </c>
      <c r="H415" s="14">
        <v>12</v>
      </c>
      <c r="I415" s="8" t="s">
        <v>38</v>
      </c>
      <c r="J415" s="8" t="s">
        <v>38</v>
      </c>
      <c r="K415">
        <v>48.5625</v>
      </c>
      <c r="L415">
        <v>20.625</v>
      </c>
      <c r="M415" s="14">
        <v>9</v>
      </c>
      <c r="N415" s="14">
        <v>5.9375</v>
      </c>
      <c r="R415" t="str">
        <f t="shared" si="21"/>
        <v xml:space="preserve">XX8X_PV_0727:    Front abuts stile:TRUE       Back abuts stile:TRUE          Panel Section: TOP           Stile in the back Width: 12           Cutout A:           Cutout B:      F.C.:9 in.         C.C.:5.9375 in.   </v>
      </c>
      <c r="S415" t="str">
        <f t="shared" si="20"/>
        <v>TRUE</v>
      </c>
      <c r="T415" t="str">
        <f t="shared" si="22"/>
        <v>TRUE</v>
      </c>
    </row>
    <row r="416" spans="1:20">
      <c r="A416" t="s">
        <v>576</v>
      </c>
      <c r="B416" s="14" t="s">
        <v>144</v>
      </c>
      <c r="C416" s="14" t="s">
        <v>156</v>
      </c>
      <c r="D416" s="14">
        <v>1</v>
      </c>
      <c r="E416" s="14">
        <v>0</v>
      </c>
      <c r="F416" s="14">
        <v>1</v>
      </c>
      <c r="G416" s="14">
        <v>0</v>
      </c>
      <c r="H416" s="14">
        <v>24</v>
      </c>
      <c r="I416" s="8" t="s">
        <v>120</v>
      </c>
      <c r="J416" s="8" t="s">
        <v>38</v>
      </c>
      <c r="K416">
        <v>42.75</v>
      </c>
      <c r="L416">
        <v>56.0625</v>
      </c>
      <c r="M416" s="14">
        <v>4.5</v>
      </c>
      <c r="N416" s="14">
        <v>4.25</v>
      </c>
      <c r="R416" t="str">
        <f t="shared" si="21"/>
        <v xml:space="preserve">XX8X_PV_0728:    Front abuts stile:TRUE       Back abuts stile:TRUE          Panel Section: TOP           Stile in the back Width: 24           Cutout A: B-386          Cutout B:      F.C.:4.5 in.         C.C.:4.25 in.   </v>
      </c>
      <c r="S416" t="str">
        <f t="shared" si="20"/>
        <v>TRUE</v>
      </c>
      <c r="T416" t="str">
        <f t="shared" si="22"/>
        <v>TRUE</v>
      </c>
    </row>
    <row r="417" spans="1:20">
      <c r="A417" t="s">
        <v>577</v>
      </c>
      <c r="B417" s="14" t="s">
        <v>144</v>
      </c>
      <c r="C417" s="14" t="s">
        <v>156</v>
      </c>
      <c r="D417" s="14">
        <v>1</v>
      </c>
      <c r="E417" s="14">
        <v>0</v>
      </c>
      <c r="F417" s="14">
        <v>1</v>
      </c>
      <c r="G417" s="14">
        <v>0</v>
      </c>
      <c r="H417" s="14"/>
      <c r="I417" s="8" t="s">
        <v>38</v>
      </c>
      <c r="J417" s="8" t="s">
        <v>38</v>
      </c>
      <c r="K417">
        <v>31.25</v>
      </c>
      <c r="L417">
        <v>71.125</v>
      </c>
      <c r="M417" s="14">
        <v>2.125</v>
      </c>
      <c r="N417" s="14">
        <v>2.0625</v>
      </c>
      <c r="R417" t="str">
        <f t="shared" si="21"/>
        <v xml:space="preserve">XX8X_PV_0729:    Front abuts stile:TRUE       Back abuts stile:TRUE          Panel Section: TOP           Stile in the back Width:            Cutout A:           Cutout B:      F.C.:2.125 in.         C.C.:2.0625 in.   </v>
      </c>
      <c r="S417" t="str">
        <f t="shared" si="20"/>
        <v>TRUE</v>
      </c>
      <c r="T417" t="str">
        <f t="shared" si="22"/>
        <v>TRUE</v>
      </c>
    </row>
    <row r="418" spans="1:20">
      <c r="A418" t="s">
        <v>578</v>
      </c>
      <c r="B418" s="14" t="s">
        <v>144</v>
      </c>
      <c r="C418" s="14" t="s">
        <v>156</v>
      </c>
      <c r="D418" s="14">
        <v>1</v>
      </c>
      <c r="E418" s="14">
        <v>0</v>
      </c>
      <c r="F418" s="14">
        <v>1</v>
      </c>
      <c r="G418" s="14">
        <v>1</v>
      </c>
      <c r="H418" s="14"/>
      <c r="I418" s="8" t="s">
        <v>38</v>
      </c>
      <c r="J418" s="8" t="s">
        <v>38</v>
      </c>
      <c r="K418">
        <v>20.375</v>
      </c>
      <c r="L418">
        <v>45.0625</v>
      </c>
      <c r="M418" s="14">
        <v>1</v>
      </c>
      <c r="N418" s="14">
        <v>5.625</v>
      </c>
      <c r="R418" t="str">
        <f t="shared" si="21"/>
        <v xml:space="preserve">XX8X_PV_0730:    Front abuts stile:TRUE       Back abuts stile:TRUE          Panel Section: TOP           Stile in the back Width:            Cutout A:           Cutout B:      F.C.:1 in.         C.C.:5.625 in.   </v>
      </c>
      <c r="S418" t="str">
        <f t="shared" si="20"/>
        <v>TRUE</v>
      </c>
      <c r="T418" t="str">
        <f t="shared" si="22"/>
        <v>TRUE</v>
      </c>
    </row>
    <row r="419" spans="1:20">
      <c r="A419" t="s">
        <v>579</v>
      </c>
      <c r="B419" s="14" t="s">
        <v>144</v>
      </c>
      <c r="C419" s="14" t="s">
        <v>156</v>
      </c>
      <c r="D419" s="14">
        <v>1</v>
      </c>
      <c r="E419" s="14">
        <v>1</v>
      </c>
      <c r="F419" s="14">
        <v>0</v>
      </c>
      <c r="G419" s="14"/>
      <c r="H419" s="14"/>
      <c r="I419" s="8" t="s">
        <v>38</v>
      </c>
      <c r="J419" s="8" t="s">
        <v>38</v>
      </c>
      <c r="K419">
        <v>13.5</v>
      </c>
      <c r="L419">
        <v>52</v>
      </c>
      <c r="M419" s="14">
        <v>4.0625</v>
      </c>
      <c r="N419" s="14">
        <v>8.1875</v>
      </c>
      <c r="R419" t="str">
        <f t="shared" si="21"/>
        <v xml:space="preserve">XX8X_PV_0731:    Front abuts stile:TRUE       Back abuts stile:FALSE          Panel Section: TOP           Stile in the back Width:            Cutout A:           Cutout B:      F.C.:4.0625 in.         C.C.:8.1875 in.   </v>
      </c>
      <c r="S419" t="str">
        <f t="shared" si="20"/>
        <v>TRUE</v>
      </c>
      <c r="T419" t="str">
        <f t="shared" si="22"/>
        <v>FALSE</v>
      </c>
    </row>
    <row r="420" spans="1:20">
      <c r="A420" t="s">
        <v>580</v>
      </c>
      <c r="B420" s="14" t="s">
        <v>144</v>
      </c>
      <c r="C420" s="14" t="s">
        <v>156</v>
      </c>
      <c r="D420" s="14">
        <v>1</v>
      </c>
      <c r="E420" s="14">
        <v>1</v>
      </c>
      <c r="F420" s="14">
        <v>1</v>
      </c>
      <c r="G420" s="14">
        <v>0</v>
      </c>
      <c r="H420" s="14">
        <v>12</v>
      </c>
      <c r="I420" s="8" t="s">
        <v>145</v>
      </c>
      <c r="J420" s="8" t="s">
        <v>38</v>
      </c>
      <c r="K420">
        <v>46.5625</v>
      </c>
      <c r="L420">
        <v>46.6875</v>
      </c>
      <c r="M420" s="14">
        <v>12</v>
      </c>
      <c r="N420" s="14">
        <v>8.5</v>
      </c>
      <c r="R420" t="str">
        <f t="shared" si="21"/>
        <v xml:space="preserve">XX8X_PV_0732:    Front abuts stile:TRUE       Back abuts stile:TRUE          Panel Section: TOP           Stile in the back Width: 12           Cutout A: B-347          Cutout B:      F.C.:12 in.         C.C.:8.5 in.   </v>
      </c>
      <c r="S420" t="str">
        <f t="shared" si="20"/>
        <v>TRUE</v>
      </c>
      <c r="T420" t="str">
        <f t="shared" si="22"/>
        <v>TRUE</v>
      </c>
    </row>
    <row r="421" spans="1:20">
      <c r="A421" t="s">
        <v>581</v>
      </c>
      <c r="B421" s="14" t="s">
        <v>144</v>
      </c>
      <c r="C421" s="14" t="s">
        <v>156</v>
      </c>
      <c r="D421" s="14">
        <v>1</v>
      </c>
      <c r="E421" s="14">
        <v>1</v>
      </c>
      <c r="F421" s="14">
        <v>1</v>
      </c>
      <c r="G421" s="14">
        <v>0</v>
      </c>
      <c r="H421" s="14">
        <v>24</v>
      </c>
      <c r="I421" s="8" t="s">
        <v>120</v>
      </c>
      <c r="J421" s="8" t="s">
        <v>38</v>
      </c>
      <c r="K421">
        <v>41.75</v>
      </c>
      <c r="L421">
        <v>55.375</v>
      </c>
      <c r="M421" s="14">
        <v>4.5</v>
      </c>
      <c r="N421" s="14">
        <v>1</v>
      </c>
      <c r="R421" t="str">
        <f t="shared" si="21"/>
        <v xml:space="preserve">XX8X_PV_0733:    Front abuts stile:TRUE       Back abuts stile:TRUE          Panel Section: TOP           Stile in the back Width: 24           Cutout A: B-386          Cutout B:      F.C.:4.5 in.         C.C.:1 in.   </v>
      </c>
      <c r="S421" t="str">
        <f t="shared" si="20"/>
        <v>TRUE</v>
      </c>
      <c r="T421" t="str">
        <f t="shared" si="22"/>
        <v>TRUE</v>
      </c>
    </row>
    <row r="422" spans="1:20">
      <c r="A422" t="s">
        <v>582</v>
      </c>
      <c r="B422" s="14" t="s">
        <v>144</v>
      </c>
      <c r="C422" s="14" t="s">
        <v>156</v>
      </c>
      <c r="D422" s="14">
        <v>1</v>
      </c>
      <c r="E422" s="14">
        <v>1</v>
      </c>
      <c r="F422" s="14">
        <v>1</v>
      </c>
      <c r="G422" s="14">
        <v>0</v>
      </c>
      <c r="H422" s="14"/>
      <c r="I422" s="8" t="s">
        <v>38</v>
      </c>
      <c r="J422" s="8" t="s">
        <v>38</v>
      </c>
      <c r="K422">
        <v>24.6875</v>
      </c>
      <c r="L422">
        <v>79.125</v>
      </c>
      <c r="M422" s="14">
        <v>4.5</v>
      </c>
      <c r="N422" s="14">
        <v>4.5625</v>
      </c>
      <c r="R422" t="str">
        <f t="shared" si="21"/>
        <v xml:space="preserve">XX8X_PV_0734:    Front abuts stile:TRUE       Back abuts stile:TRUE          Panel Section: TOP           Stile in the back Width:            Cutout A:           Cutout B:      F.C.:4.5 in.         C.C.:4.5625 in.   </v>
      </c>
      <c r="S422" t="str">
        <f t="shared" si="20"/>
        <v>TRUE</v>
      </c>
      <c r="T422" t="str">
        <f t="shared" si="22"/>
        <v>TRUE</v>
      </c>
    </row>
    <row r="423" spans="1:20">
      <c r="A423" t="s">
        <v>583</v>
      </c>
      <c r="B423" s="14" t="s">
        <v>144</v>
      </c>
      <c r="C423" s="14" t="s">
        <v>156</v>
      </c>
      <c r="D423" s="14">
        <v>1</v>
      </c>
      <c r="E423" s="14">
        <v>1</v>
      </c>
      <c r="F423" s="14">
        <v>1</v>
      </c>
      <c r="G423" s="14">
        <v>1</v>
      </c>
      <c r="H423" s="14"/>
      <c r="I423" s="8" t="s">
        <v>38</v>
      </c>
      <c r="J423" s="8" t="s">
        <v>38</v>
      </c>
      <c r="K423">
        <v>16.375</v>
      </c>
      <c r="L423">
        <v>56</v>
      </c>
      <c r="M423" s="14">
        <v>2.75</v>
      </c>
      <c r="N423" s="14">
        <v>1</v>
      </c>
      <c r="R423" t="str">
        <f t="shared" si="21"/>
        <v xml:space="preserve">XX8X_PV_0735:    Front abuts stile:TRUE       Back abuts stile:TRUE          Panel Section: TOP           Stile in the back Width:            Cutout A:           Cutout B:      F.C.:2.75 in.         C.C.:1 in.   </v>
      </c>
      <c r="S423" t="str">
        <f t="shared" si="20"/>
        <v>TRUE</v>
      </c>
      <c r="T423" t="str">
        <f t="shared" si="22"/>
        <v>TRUE</v>
      </c>
    </row>
    <row r="424" spans="1:20">
      <c r="A424" t="s">
        <v>584</v>
      </c>
      <c r="B424" s="14" t="s">
        <v>144</v>
      </c>
      <c r="C424" s="14" t="s">
        <v>157</v>
      </c>
      <c r="D424" s="14">
        <v>0</v>
      </c>
      <c r="E424" s="14"/>
      <c r="F424" s="14">
        <v>0</v>
      </c>
      <c r="G424" s="14"/>
      <c r="H424" s="14"/>
      <c r="I424" s="8" t="s">
        <v>150</v>
      </c>
      <c r="J424" s="8" t="s">
        <v>38</v>
      </c>
      <c r="K424">
        <v>60</v>
      </c>
      <c r="L424">
        <v>46.875</v>
      </c>
      <c r="M424" s="14">
        <v>9</v>
      </c>
      <c r="N424" s="14">
        <v>1</v>
      </c>
      <c r="R424" t="str">
        <f t="shared" si="21"/>
        <v xml:space="preserve">XX8X_PV_0751:    Front abuts stile:FALSE       Back abuts stile:FALSE          Panel Section: BOTTOM           Stile in the back Width:            Cutout A: B-3571          Cutout B:      F.C.:9 in.         C.C.:1 in.   </v>
      </c>
      <c r="S424" t="str">
        <f t="shared" si="20"/>
        <v>FALSE</v>
      </c>
      <c r="T424" t="str">
        <f t="shared" si="22"/>
        <v>FALSE</v>
      </c>
    </row>
    <row r="425" spans="1:20">
      <c r="A425" t="s">
        <v>585</v>
      </c>
      <c r="B425" s="14" t="s">
        <v>144</v>
      </c>
      <c r="C425" s="14" t="s">
        <v>157</v>
      </c>
      <c r="D425" s="14">
        <v>0</v>
      </c>
      <c r="E425" s="14"/>
      <c r="F425" s="14">
        <v>1</v>
      </c>
      <c r="G425" s="14">
        <v>0</v>
      </c>
      <c r="H425" s="14">
        <v>12</v>
      </c>
      <c r="I425" s="8" t="s">
        <v>35</v>
      </c>
      <c r="J425" s="8" t="s">
        <v>38</v>
      </c>
      <c r="K425">
        <v>60</v>
      </c>
      <c r="L425">
        <v>67.0625</v>
      </c>
      <c r="M425" s="14">
        <v>12</v>
      </c>
      <c r="N425" s="14">
        <v>4</v>
      </c>
      <c r="R425" t="str">
        <f t="shared" si="21"/>
        <v xml:space="preserve">XX8X_PV_0752:    Front abuts stile:FALSE       Back abuts stile:TRUE          Panel Section: BOTTOM           Stile in the back Width: 12           Cutout A: B-357          Cutout B:      F.C.:12 in.         C.C.:4 in.   </v>
      </c>
      <c r="S425" t="str">
        <f t="shared" si="20"/>
        <v>FALSE</v>
      </c>
      <c r="T425" t="str">
        <f t="shared" si="22"/>
        <v>TRUE</v>
      </c>
    </row>
    <row r="426" spans="1:20">
      <c r="A426" t="s">
        <v>586</v>
      </c>
      <c r="B426" s="14" t="s">
        <v>144</v>
      </c>
      <c r="C426" s="14" t="s">
        <v>157</v>
      </c>
      <c r="D426" s="14">
        <v>0</v>
      </c>
      <c r="E426" s="14"/>
      <c r="F426" s="14">
        <v>1</v>
      </c>
      <c r="G426" s="14">
        <v>0</v>
      </c>
      <c r="H426" s="14">
        <v>24</v>
      </c>
      <c r="I426" s="8" t="s">
        <v>38</v>
      </c>
      <c r="J426" s="8" t="s">
        <v>38</v>
      </c>
      <c r="K426">
        <v>60</v>
      </c>
      <c r="L426">
        <v>75.375</v>
      </c>
      <c r="M426" s="14">
        <v>8.5</v>
      </c>
      <c r="N426" s="14">
        <v>8.3125</v>
      </c>
      <c r="R426" t="str">
        <f t="shared" si="21"/>
        <v xml:space="preserve">XX8X_PV_0753:    Front abuts stile:FALSE       Back abuts stile:TRUE          Panel Section: BOTTOM           Stile in the back Width: 24           Cutout A:           Cutout B:      F.C.:8.5 in.         C.C.:8.3125 in.   </v>
      </c>
      <c r="S426" t="str">
        <f t="shared" si="20"/>
        <v>FALSE</v>
      </c>
      <c r="T426" t="str">
        <f t="shared" si="22"/>
        <v>TRUE</v>
      </c>
    </row>
    <row r="427" spans="1:20">
      <c r="A427" t="s">
        <v>587</v>
      </c>
      <c r="B427" s="14" t="s">
        <v>144</v>
      </c>
      <c r="C427" s="14" t="s">
        <v>157</v>
      </c>
      <c r="D427" s="14">
        <v>0</v>
      </c>
      <c r="E427" s="14"/>
      <c r="F427" s="14">
        <v>1</v>
      </c>
      <c r="G427" s="14">
        <v>0</v>
      </c>
      <c r="H427" s="14"/>
      <c r="I427" s="8" t="s">
        <v>38</v>
      </c>
      <c r="J427" s="8" t="s">
        <v>38</v>
      </c>
      <c r="K427">
        <v>60</v>
      </c>
      <c r="L427">
        <v>70.4375</v>
      </c>
      <c r="M427" s="14">
        <v>9</v>
      </c>
      <c r="N427" s="14">
        <v>7.3125</v>
      </c>
      <c r="R427" t="str">
        <f t="shared" si="21"/>
        <v xml:space="preserve">XX8X_PV_0754:    Front abuts stile:FALSE       Back abuts stile:TRUE          Panel Section: BOTTOM           Stile in the back Width:            Cutout A:           Cutout B:      F.C.:9 in.         C.C.:7.3125 in.   </v>
      </c>
      <c r="S427" t="str">
        <f t="shared" si="20"/>
        <v>FALSE</v>
      </c>
      <c r="T427" t="str">
        <f t="shared" si="22"/>
        <v>TRUE</v>
      </c>
    </row>
    <row r="428" spans="1:20">
      <c r="A428" t="s">
        <v>588</v>
      </c>
      <c r="B428" s="14" t="s">
        <v>144</v>
      </c>
      <c r="C428" s="14" t="s">
        <v>157</v>
      </c>
      <c r="D428" s="14">
        <v>0</v>
      </c>
      <c r="E428" s="14"/>
      <c r="F428" s="14">
        <v>1</v>
      </c>
      <c r="G428" s="14">
        <v>1</v>
      </c>
      <c r="H428" s="14"/>
      <c r="I428" s="8" t="s">
        <v>38</v>
      </c>
      <c r="J428" s="8" t="s">
        <v>38</v>
      </c>
      <c r="K428">
        <v>60</v>
      </c>
      <c r="L428">
        <v>71.5625</v>
      </c>
      <c r="M428" s="14">
        <v>9</v>
      </c>
      <c r="N428" s="14">
        <v>2.625</v>
      </c>
      <c r="R428" t="str">
        <f t="shared" si="21"/>
        <v xml:space="preserve">XX8X_PV_0755:    Front abuts stile:FALSE       Back abuts stile:TRUE          Panel Section: BOTTOM           Stile in the back Width:            Cutout A:           Cutout B:      F.C.:9 in.         C.C.:2.625 in.   </v>
      </c>
      <c r="S428" t="str">
        <f t="shared" si="20"/>
        <v>FALSE</v>
      </c>
      <c r="T428" t="str">
        <f t="shared" si="22"/>
        <v>TRUE</v>
      </c>
    </row>
    <row r="429" spans="1:20">
      <c r="A429" t="s">
        <v>589</v>
      </c>
      <c r="B429" s="14" t="s">
        <v>144</v>
      </c>
      <c r="C429" s="14" t="s">
        <v>157</v>
      </c>
      <c r="D429" s="14">
        <v>1</v>
      </c>
      <c r="E429" s="14">
        <v>0</v>
      </c>
      <c r="F429" s="14">
        <v>0</v>
      </c>
      <c r="G429" s="14"/>
      <c r="H429" s="14"/>
      <c r="I429" s="8" t="s">
        <v>38</v>
      </c>
      <c r="J429" s="8" t="s">
        <v>38</v>
      </c>
      <c r="K429">
        <v>60</v>
      </c>
      <c r="L429">
        <v>11.9375</v>
      </c>
      <c r="M429" s="14">
        <v>4.5</v>
      </c>
      <c r="N429" s="14">
        <v>4.875</v>
      </c>
      <c r="R429" t="str">
        <f t="shared" si="21"/>
        <v xml:space="preserve">XX8X_PV_0756:    Front abuts stile:TRUE       Back abuts stile:FALSE          Panel Section: BOTTOM           Stile in the back Width:            Cutout A:           Cutout B:      F.C.:4.5 in.         C.C.:4.875 in.   </v>
      </c>
      <c r="S429" t="str">
        <f t="shared" si="20"/>
        <v>TRUE</v>
      </c>
      <c r="T429" t="str">
        <f t="shared" si="22"/>
        <v>FALSE</v>
      </c>
    </row>
    <row r="430" spans="1:20">
      <c r="A430" t="s">
        <v>590</v>
      </c>
      <c r="B430" s="14" t="s">
        <v>144</v>
      </c>
      <c r="C430" s="14" t="s">
        <v>157</v>
      </c>
      <c r="D430" s="14">
        <v>1</v>
      </c>
      <c r="E430" s="14">
        <v>0</v>
      </c>
      <c r="F430" s="14">
        <v>1</v>
      </c>
      <c r="G430" s="14">
        <v>0</v>
      </c>
      <c r="H430" s="14">
        <v>12</v>
      </c>
      <c r="I430" s="8" t="s">
        <v>120</v>
      </c>
      <c r="J430" s="8" t="s">
        <v>38</v>
      </c>
      <c r="K430">
        <v>60</v>
      </c>
      <c r="L430">
        <v>62.25</v>
      </c>
      <c r="M430" s="14">
        <v>4.125</v>
      </c>
      <c r="N430" s="14">
        <v>2.1875</v>
      </c>
      <c r="R430" t="str">
        <f t="shared" si="21"/>
        <v xml:space="preserve">XX8X_PV_0757:    Front abuts stile:TRUE       Back abuts stile:TRUE          Panel Section: BOTTOM           Stile in the back Width: 12           Cutout A: B-386          Cutout B:      F.C.:4.125 in.         C.C.:2.1875 in.   </v>
      </c>
      <c r="S430" t="str">
        <f t="shared" si="20"/>
        <v>TRUE</v>
      </c>
      <c r="T430" t="str">
        <f t="shared" si="22"/>
        <v>TRUE</v>
      </c>
    </row>
    <row r="431" spans="1:20">
      <c r="A431" t="s">
        <v>591</v>
      </c>
      <c r="B431" s="14" t="s">
        <v>144</v>
      </c>
      <c r="C431" s="14" t="s">
        <v>157</v>
      </c>
      <c r="D431" s="14">
        <v>1</v>
      </c>
      <c r="E431" s="14">
        <v>0</v>
      </c>
      <c r="F431" s="14">
        <v>1</v>
      </c>
      <c r="G431" s="14">
        <v>0</v>
      </c>
      <c r="H431" s="14">
        <v>24</v>
      </c>
      <c r="I431" s="8" t="s">
        <v>120</v>
      </c>
      <c r="J431" s="8" t="s">
        <v>38</v>
      </c>
      <c r="K431">
        <v>60</v>
      </c>
      <c r="L431">
        <v>47.1875</v>
      </c>
      <c r="M431" s="14">
        <v>9</v>
      </c>
      <c r="N431" s="14">
        <v>8.1875</v>
      </c>
      <c r="R431" t="str">
        <f t="shared" si="21"/>
        <v xml:space="preserve">XX8X_PV_0758:    Front abuts stile:TRUE       Back abuts stile:TRUE          Panel Section: BOTTOM           Stile in the back Width: 24           Cutout A: B-386          Cutout B:      F.C.:9 in.         C.C.:8.1875 in.   </v>
      </c>
      <c r="S431" t="str">
        <f t="shared" si="20"/>
        <v>TRUE</v>
      </c>
      <c r="T431" t="str">
        <f t="shared" si="22"/>
        <v>TRUE</v>
      </c>
    </row>
    <row r="432" spans="1:20">
      <c r="A432" t="s">
        <v>592</v>
      </c>
      <c r="B432" s="14" t="s">
        <v>144</v>
      </c>
      <c r="C432" s="14" t="s">
        <v>157</v>
      </c>
      <c r="D432" s="14">
        <v>1</v>
      </c>
      <c r="E432" s="14">
        <v>0</v>
      </c>
      <c r="F432" s="14">
        <v>1</v>
      </c>
      <c r="G432" s="14">
        <v>0</v>
      </c>
      <c r="H432" s="14"/>
      <c r="I432" s="8" t="s">
        <v>38</v>
      </c>
      <c r="J432" s="8" t="s">
        <v>38</v>
      </c>
      <c r="K432">
        <v>60</v>
      </c>
      <c r="L432">
        <v>64.5</v>
      </c>
      <c r="M432" s="14">
        <v>1.6875</v>
      </c>
      <c r="N432" s="14">
        <v>1</v>
      </c>
      <c r="R432" t="str">
        <f t="shared" si="21"/>
        <v xml:space="preserve">XX8X_PV_0759:    Front abuts stile:TRUE       Back abuts stile:TRUE          Panel Section: BOTTOM           Stile in the back Width:            Cutout A:           Cutout B:      F.C.:1.6875 in.         C.C.:1 in.   </v>
      </c>
      <c r="S432" t="str">
        <f t="shared" si="20"/>
        <v>TRUE</v>
      </c>
      <c r="T432" t="str">
        <f t="shared" si="22"/>
        <v>TRUE</v>
      </c>
    </row>
    <row r="433" spans="1:20">
      <c r="A433" t="s">
        <v>593</v>
      </c>
      <c r="B433" s="14" t="s">
        <v>144</v>
      </c>
      <c r="C433" s="14" t="s">
        <v>157</v>
      </c>
      <c r="D433" s="14">
        <v>1</v>
      </c>
      <c r="E433" s="14">
        <v>0</v>
      </c>
      <c r="F433" s="14">
        <v>1</v>
      </c>
      <c r="G433" s="14">
        <v>1</v>
      </c>
      <c r="H433" s="14"/>
      <c r="I433" s="8" t="s">
        <v>38</v>
      </c>
      <c r="J433" s="8" t="s">
        <v>38</v>
      </c>
      <c r="K433">
        <v>60</v>
      </c>
      <c r="L433">
        <v>64.8125</v>
      </c>
      <c r="M433" s="14">
        <v>1</v>
      </c>
      <c r="N433" s="14">
        <v>1</v>
      </c>
      <c r="R433" t="str">
        <f t="shared" si="21"/>
        <v xml:space="preserve">XX8X_PV_0760:    Front abuts stile:TRUE       Back abuts stile:TRUE          Panel Section: BOTTOM           Stile in the back Width:            Cutout A:           Cutout B:      F.C.:1 in.         C.C.:1 in.   </v>
      </c>
      <c r="S433" t="str">
        <f t="shared" si="20"/>
        <v>TRUE</v>
      </c>
      <c r="T433" t="str">
        <f t="shared" si="22"/>
        <v>TRUE</v>
      </c>
    </row>
    <row r="434" spans="1:20">
      <c r="A434" t="s">
        <v>594</v>
      </c>
      <c r="B434" s="14" t="s">
        <v>144</v>
      </c>
      <c r="C434" s="14" t="s">
        <v>157</v>
      </c>
      <c r="D434" s="14">
        <v>1</v>
      </c>
      <c r="E434" s="14">
        <v>1</v>
      </c>
      <c r="F434" s="14">
        <v>0</v>
      </c>
      <c r="G434" s="14"/>
      <c r="H434" s="14"/>
      <c r="I434" s="8" t="s">
        <v>120</v>
      </c>
      <c r="J434" s="8" t="s">
        <v>38</v>
      </c>
      <c r="K434">
        <v>60</v>
      </c>
      <c r="L434">
        <v>47.5</v>
      </c>
      <c r="M434" s="14">
        <v>1</v>
      </c>
      <c r="N434" s="14">
        <v>1.6875</v>
      </c>
      <c r="R434" t="str">
        <f t="shared" si="21"/>
        <v xml:space="preserve">XX8X_PV_0761:    Front abuts stile:TRUE       Back abuts stile:FALSE          Panel Section: BOTTOM           Stile in the back Width:            Cutout A: B-386          Cutout B:      F.C.:1 in.         C.C.:1.6875 in.   </v>
      </c>
      <c r="S434" t="str">
        <f t="shared" si="20"/>
        <v>TRUE</v>
      </c>
      <c r="T434" t="str">
        <f t="shared" si="22"/>
        <v>FALSE</v>
      </c>
    </row>
    <row r="435" spans="1:20">
      <c r="A435" t="s">
        <v>595</v>
      </c>
      <c r="B435" s="14" t="s">
        <v>144</v>
      </c>
      <c r="C435" s="14" t="s">
        <v>157</v>
      </c>
      <c r="D435" s="14">
        <v>1</v>
      </c>
      <c r="E435" s="14">
        <v>1</v>
      </c>
      <c r="F435" s="14">
        <v>1</v>
      </c>
      <c r="G435" s="14">
        <v>0</v>
      </c>
      <c r="H435" s="14">
        <v>12</v>
      </c>
      <c r="I435" s="8" t="s">
        <v>145</v>
      </c>
      <c r="J435" s="8" t="s">
        <v>38</v>
      </c>
      <c r="K435">
        <v>60</v>
      </c>
      <c r="L435">
        <v>74.6875</v>
      </c>
      <c r="M435" s="14">
        <v>10.375</v>
      </c>
      <c r="N435" s="14">
        <v>7</v>
      </c>
      <c r="R435" t="str">
        <f t="shared" si="21"/>
        <v xml:space="preserve">XX8X_PV_0762:    Front abuts stile:TRUE       Back abuts stile:TRUE          Panel Section: BOTTOM           Stile in the back Width: 12           Cutout A: B-347          Cutout B:      F.C.:10.375 in.         C.C.:7 in.   </v>
      </c>
      <c r="S435" t="str">
        <f t="shared" si="20"/>
        <v>TRUE</v>
      </c>
      <c r="T435" t="str">
        <f t="shared" si="22"/>
        <v>TRUE</v>
      </c>
    </row>
    <row r="436" spans="1:20">
      <c r="A436" t="s">
        <v>596</v>
      </c>
      <c r="B436" s="14" t="s">
        <v>144</v>
      </c>
      <c r="C436" s="14" t="s">
        <v>157</v>
      </c>
      <c r="D436" s="14">
        <v>1</v>
      </c>
      <c r="E436" s="14">
        <v>1</v>
      </c>
      <c r="F436" s="14">
        <v>1</v>
      </c>
      <c r="G436" s="14">
        <v>0</v>
      </c>
      <c r="H436" s="14">
        <v>24</v>
      </c>
      <c r="I436" s="8" t="s">
        <v>38</v>
      </c>
      <c r="J436" s="8" t="s">
        <v>38</v>
      </c>
      <c r="K436">
        <v>60</v>
      </c>
      <c r="L436">
        <v>28.5625</v>
      </c>
      <c r="M436" s="14">
        <v>1</v>
      </c>
      <c r="N436" s="14">
        <v>4.125</v>
      </c>
      <c r="R436" t="str">
        <f t="shared" si="21"/>
        <v xml:space="preserve">XX8X_PV_0763:    Front abuts stile:TRUE       Back abuts stile:TRUE          Panel Section: BOTTOM           Stile in the back Width: 24           Cutout A:           Cutout B:      F.C.:1 in.         C.C.:4.125 in.   </v>
      </c>
      <c r="S436" t="str">
        <f t="shared" si="20"/>
        <v>TRUE</v>
      </c>
      <c r="T436" t="str">
        <f t="shared" si="22"/>
        <v>TRUE</v>
      </c>
    </row>
    <row r="437" spans="1:20">
      <c r="A437" t="s">
        <v>597</v>
      </c>
      <c r="B437" s="14" t="s">
        <v>144</v>
      </c>
      <c r="C437" s="14" t="s">
        <v>157</v>
      </c>
      <c r="D437" s="14">
        <v>1</v>
      </c>
      <c r="E437" s="14">
        <v>1</v>
      </c>
      <c r="F437" s="14">
        <v>1</v>
      </c>
      <c r="G437" s="14">
        <v>0</v>
      </c>
      <c r="H437" s="14"/>
      <c r="I437" s="8" t="s">
        <v>38</v>
      </c>
      <c r="J437" s="8" t="s">
        <v>38</v>
      </c>
      <c r="K437">
        <v>60</v>
      </c>
      <c r="L437">
        <v>63.125</v>
      </c>
      <c r="M437" s="14">
        <v>1</v>
      </c>
      <c r="N437" s="14">
        <v>2.6875</v>
      </c>
      <c r="R437" t="str">
        <f t="shared" si="21"/>
        <v xml:space="preserve">XX8X_PV_0764:    Front abuts stile:TRUE       Back abuts stile:TRUE          Panel Section: BOTTOM           Stile in the back Width:            Cutout A:           Cutout B:      F.C.:1 in.         C.C.:2.6875 in.   </v>
      </c>
      <c r="S437" t="str">
        <f t="shared" si="20"/>
        <v>TRUE</v>
      </c>
      <c r="T437" t="str">
        <f t="shared" si="22"/>
        <v>TRUE</v>
      </c>
    </row>
    <row r="438" spans="1:20">
      <c r="A438" t="s">
        <v>598</v>
      </c>
      <c r="B438" s="14" t="s">
        <v>144</v>
      </c>
      <c r="C438" s="14" t="s">
        <v>157</v>
      </c>
      <c r="D438" s="14">
        <v>1</v>
      </c>
      <c r="E438" s="14">
        <v>1</v>
      </c>
      <c r="F438" s="14">
        <v>1</v>
      </c>
      <c r="G438" s="14">
        <v>1</v>
      </c>
      <c r="H438" s="14"/>
      <c r="I438" s="8" t="s">
        <v>38</v>
      </c>
      <c r="J438" s="8" t="s">
        <v>38</v>
      </c>
      <c r="K438">
        <v>60</v>
      </c>
      <c r="L438">
        <v>65.1875</v>
      </c>
      <c r="M438" s="14">
        <v>1.9375</v>
      </c>
      <c r="N438" s="14">
        <v>2</v>
      </c>
      <c r="R438" t="str">
        <f t="shared" si="21"/>
        <v xml:space="preserve">XX8X_PV_0765:    Front abuts stile:TRUE       Back abuts stile:TRUE          Panel Section: BOTTOM           Stile in the back Width:            Cutout A:           Cutout B:      F.C.:1.9375 in.         C.C.:2 in.   </v>
      </c>
      <c r="S438" t="str">
        <f t="shared" si="20"/>
        <v>TRUE</v>
      </c>
      <c r="T438" t="str">
        <f t="shared" si="22"/>
        <v>TRUE</v>
      </c>
    </row>
    <row r="439" spans="1:20">
      <c r="A439" t="s">
        <v>599</v>
      </c>
      <c r="B439" s="14" t="s">
        <v>144</v>
      </c>
      <c r="C439" s="14" t="s">
        <v>21</v>
      </c>
      <c r="D439" s="14">
        <v>0</v>
      </c>
      <c r="E439" s="14"/>
      <c r="F439" s="14">
        <v>0</v>
      </c>
      <c r="G439" s="14"/>
      <c r="H439" s="14"/>
      <c r="I439" s="8" t="s">
        <v>38</v>
      </c>
      <c r="J439" s="8" t="s">
        <v>38</v>
      </c>
      <c r="K439">
        <v>95.875</v>
      </c>
      <c r="L439">
        <v>35.4375</v>
      </c>
      <c r="M439" s="14">
        <v>1</v>
      </c>
      <c r="N439" s="14">
        <v>4.8125</v>
      </c>
      <c r="R439" t="str">
        <f t="shared" si="21"/>
        <v xml:space="preserve">XX8X_PV_0781:    Front abuts stile:FALSE       Back abuts stile:FALSE          Panel Section: WHOLE           Stile in the back Width:            Cutout A:           Cutout B:      F.C.:1 in.         C.C.:4.8125 in.   </v>
      </c>
      <c r="S439" t="str">
        <f t="shared" si="20"/>
        <v>FALSE</v>
      </c>
      <c r="T439" t="str">
        <f t="shared" si="22"/>
        <v>FALSE</v>
      </c>
    </row>
    <row r="440" spans="1:20">
      <c r="A440" t="s">
        <v>600</v>
      </c>
      <c r="B440" s="14" t="s">
        <v>144</v>
      </c>
      <c r="C440" s="14" t="s">
        <v>21</v>
      </c>
      <c r="D440" s="14">
        <v>0</v>
      </c>
      <c r="E440" s="14"/>
      <c r="F440" s="14">
        <v>1</v>
      </c>
      <c r="G440" s="14">
        <v>0</v>
      </c>
      <c r="H440" s="14">
        <v>12</v>
      </c>
      <c r="I440" s="8" t="s">
        <v>145</v>
      </c>
      <c r="J440" s="8" t="s">
        <v>38</v>
      </c>
      <c r="K440">
        <v>104.9375</v>
      </c>
      <c r="L440">
        <v>68.5625</v>
      </c>
      <c r="M440" s="14">
        <v>1</v>
      </c>
      <c r="N440" s="14">
        <v>2.25</v>
      </c>
      <c r="R440" t="str">
        <f t="shared" si="21"/>
        <v xml:space="preserve">XX8X_PV_0782:    Front abuts stile:FALSE       Back abuts stile:TRUE          Panel Section: WHOLE           Stile in the back Width: 12           Cutout A: B-347          Cutout B:      F.C.:1 in.         C.C.:2.25 in.   </v>
      </c>
      <c r="S440" t="str">
        <f t="shared" si="20"/>
        <v>FALSE</v>
      </c>
      <c r="T440" t="str">
        <f t="shared" si="22"/>
        <v>TRUE</v>
      </c>
    </row>
    <row r="441" spans="1:20">
      <c r="A441" t="s">
        <v>601</v>
      </c>
      <c r="B441" s="14" t="s">
        <v>144</v>
      </c>
      <c r="C441" s="14" t="s">
        <v>21</v>
      </c>
      <c r="D441" s="14">
        <v>0</v>
      </c>
      <c r="E441" s="14"/>
      <c r="F441" s="14">
        <v>1</v>
      </c>
      <c r="G441" s="14">
        <v>0</v>
      </c>
      <c r="H441" s="14">
        <v>24</v>
      </c>
      <c r="I441" s="8" t="s">
        <v>120</v>
      </c>
      <c r="J441" s="8" t="s">
        <v>38</v>
      </c>
      <c r="K441">
        <v>96</v>
      </c>
      <c r="L441">
        <v>40.875</v>
      </c>
      <c r="M441" s="14">
        <v>9</v>
      </c>
      <c r="N441" s="14">
        <v>3.5625</v>
      </c>
      <c r="R441" t="str">
        <f t="shared" si="21"/>
        <v xml:space="preserve">XX8X_PV_0783:    Front abuts stile:FALSE       Back abuts stile:TRUE          Panel Section: WHOLE           Stile in the back Width: 24           Cutout A: B-386          Cutout B:      F.C.:9 in.         C.C.:3.5625 in.   </v>
      </c>
      <c r="S441" t="str">
        <f t="shared" si="20"/>
        <v>FALSE</v>
      </c>
      <c r="T441" t="str">
        <f t="shared" si="22"/>
        <v>TRUE</v>
      </c>
    </row>
    <row r="442" spans="1:20">
      <c r="A442" t="s">
        <v>602</v>
      </c>
      <c r="B442" s="14" t="s">
        <v>144</v>
      </c>
      <c r="C442" s="14" t="s">
        <v>21</v>
      </c>
      <c r="D442" s="14">
        <v>0</v>
      </c>
      <c r="E442" s="14"/>
      <c r="F442" s="14">
        <v>1</v>
      </c>
      <c r="G442" s="14">
        <v>0</v>
      </c>
      <c r="H442" s="14"/>
      <c r="I442" s="8" t="s">
        <v>38</v>
      </c>
      <c r="J442" s="8" t="s">
        <v>38</v>
      </c>
      <c r="K442">
        <v>86.1875</v>
      </c>
      <c r="L442">
        <v>44.4375</v>
      </c>
      <c r="M442" s="14">
        <v>5.5</v>
      </c>
      <c r="N442" s="14">
        <v>5.5</v>
      </c>
      <c r="R442" t="str">
        <f t="shared" si="21"/>
        <v xml:space="preserve">XX8X_PV_0784:    Front abuts stile:FALSE       Back abuts stile:TRUE          Panel Section: WHOLE           Stile in the back Width:            Cutout A:           Cutout B:      F.C.:5.5 in.         C.C.:5.5 in.   </v>
      </c>
      <c r="S442" t="str">
        <f t="shared" si="20"/>
        <v>FALSE</v>
      </c>
      <c r="T442" t="str">
        <f t="shared" si="22"/>
        <v>TRUE</v>
      </c>
    </row>
    <row r="443" spans="1:20">
      <c r="A443" t="s">
        <v>603</v>
      </c>
      <c r="B443" s="14" t="s">
        <v>144</v>
      </c>
      <c r="C443" s="14" t="s">
        <v>21</v>
      </c>
      <c r="D443" s="14">
        <v>0</v>
      </c>
      <c r="E443" s="14"/>
      <c r="F443" s="14">
        <v>1</v>
      </c>
      <c r="G443" s="14">
        <v>1</v>
      </c>
      <c r="H443" s="14"/>
      <c r="I443" s="8" t="s">
        <v>38</v>
      </c>
      <c r="J443" s="8" t="s">
        <v>38</v>
      </c>
      <c r="K443">
        <v>38.5625</v>
      </c>
      <c r="L443">
        <v>18.4375</v>
      </c>
      <c r="M443" s="14">
        <v>12</v>
      </c>
      <c r="N443" s="14">
        <v>2.75</v>
      </c>
      <c r="R443" t="str">
        <f t="shared" si="21"/>
        <v xml:space="preserve">XX8X_PV_0785:    Front abuts stile:FALSE       Back abuts stile:TRUE          Panel Section: WHOLE           Stile in the back Width:            Cutout A:           Cutout B:      F.C.:12 in.         C.C.:2.75 in.   </v>
      </c>
      <c r="S443" t="str">
        <f t="shared" si="20"/>
        <v>FALSE</v>
      </c>
      <c r="T443" t="str">
        <f t="shared" si="22"/>
        <v>TRUE</v>
      </c>
    </row>
    <row r="444" spans="1:20">
      <c r="A444" t="s">
        <v>604</v>
      </c>
      <c r="B444" s="14" t="s">
        <v>144</v>
      </c>
      <c r="C444" s="14" t="s">
        <v>21</v>
      </c>
      <c r="D444" s="14">
        <v>1</v>
      </c>
      <c r="E444" s="14">
        <v>0</v>
      </c>
      <c r="F444" s="14">
        <v>0</v>
      </c>
      <c r="G444" s="14"/>
      <c r="H444" s="14"/>
      <c r="I444" s="8" t="s">
        <v>119</v>
      </c>
      <c r="J444" s="8" t="s">
        <v>120</v>
      </c>
      <c r="K444">
        <v>74.4375</v>
      </c>
      <c r="L444">
        <v>55.1875</v>
      </c>
      <c r="M444" s="14">
        <v>4.25</v>
      </c>
      <c r="N444" s="14">
        <v>7.5625</v>
      </c>
      <c r="R444" t="str">
        <f t="shared" si="21"/>
        <v xml:space="preserve">XX8X_PV_0786:    Front abuts stile:TRUE       Back abuts stile:FALSE          Panel Section: WHOLE           Stile in the back Width:            Cutout A: B-354          Cutout B:B-386      F.C.:4.25 in.         C.C.:7.5625 in.   </v>
      </c>
      <c r="S444" t="str">
        <f t="shared" si="20"/>
        <v>TRUE</v>
      </c>
      <c r="T444" t="str">
        <f t="shared" si="22"/>
        <v>FALSE</v>
      </c>
    </row>
    <row r="445" spans="1:20">
      <c r="A445" t="s">
        <v>605</v>
      </c>
      <c r="B445" s="14" t="s">
        <v>143</v>
      </c>
      <c r="C445" s="14" t="s">
        <v>21</v>
      </c>
      <c r="D445" s="14">
        <v>1</v>
      </c>
      <c r="E445" s="14">
        <v>0</v>
      </c>
      <c r="F445" s="14">
        <v>1</v>
      </c>
      <c r="G445" s="14">
        <v>0</v>
      </c>
      <c r="H445" s="14">
        <v>12</v>
      </c>
      <c r="I445" s="8" t="s">
        <v>149</v>
      </c>
      <c r="J445" s="8" t="s">
        <v>38</v>
      </c>
      <c r="K445">
        <v>50.9375</v>
      </c>
      <c r="L445">
        <v>75.1875</v>
      </c>
      <c r="M445" s="14">
        <v>9</v>
      </c>
      <c r="N445" s="14">
        <v>6.125</v>
      </c>
      <c r="R445" t="str">
        <f t="shared" si="21"/>
        <v xml:space="preserve">XX8X_PV_0787:    Front abuts stile:TRUE       Back abuts stile:TRUE          Panel Section: WHOLE           Stile in the back Width: 12           Cutout A: B-34715          Cutout B:      F.C.:9 in.         C.C.:6.125 in.   </v>
      </c>
      <c r="S445" t="str">
        <f t="shared" si="20"/>
        <v>TRUE</v>
      </c>
      <c r="T445" t="str">
        <f t="shared" si="22"/>
        <v>TRUE</v>
      </c>
    </row>
    <row r="446" spans="1:20">
      <c r="A446" t="s">
        <v>606</v>
      </c>
      <c r="B446" s="14" t="s">
        <v>144</v>
      </c>
      <c r="C446" s="14" t="s">
        <v>21</v>
      </c>
      <c r="D446" s="14">
        <v>1</v>
      </c>
      <c r="E446" s="14">
        <v>0</v>
      </c>
      <c r="F446" s="14">
        <v>1</v>
      </c>
      <c r="G446" s="14">
        <v>0</v>
      </c>
      <c r="H446" s="14">
        <v>24</v>
      </c>
      <c r="I446" s="8" t="s">
        <v>120</v>
      </c>
      <c r="J446" s="8" t="s">
        <v>38</v>
      </c>
      <c r="K446">
        <v>82.4375</v>
      </c>
      <c r="L446">
        <v>66.625</v>
      </c>
      <c r="M446" s="14">
        <v>3.0625</v>
      </c>
      <c r="N446" s="14">
        <v>1</v>
      </c>
      <c r="R446" t="str">
        <f t="shared" si="21"/>
        <v xml:space="preserve">XX8X_PV_0788:    Front abuts stile:TRUE       Back abuts stile:TRUE          Panel Section: WHOLE           Stile in the back Width: 24           Cutout A: B-386          Cutout B:      F.C.:3.0625 in.         C.C.:1 in.   </v>
      </c>
      <c r="S446" t="str">
        <f t="shared" si="20"/>
        <v>TRUE</v>
      </c>
      <c r="T446" t="str">
        <f t="shared" si="22"/>
        <v>TRUE</v>
      </c>
    </row>
    <row r="447" spans="1:20">
      <c r="A447" t="s">
        <v>607</v>
      </c>
      <c r="B447" s="14" t="s">
        <v>144</v>
      </c>
      <c r="C447" s="14" t="s">
        <v>21</v>
      </c>
      <c r="D447" s="14">
        <v>1</v>
      </c>
      <c r="E447" s="14">
        <v>0</v>
      </c>
      <c r="F447" s="14">
        <v>1</v>
      </c>
      <c r="G447" s="14">
        <v>0</v>
      </c>
      <c r="H447" s="14"/>
      <c r="I447" s="8" t="s">
        <v>38</v>
      </c>
      <c r="J447" s="8" t="s">
        <v>38</v>
      </c>
      <c r="K447">
        <v>96</v>
      </c>
      <c r="L447">
        <v>77</v>
      </c>
      <c r="M447" s="14">
        <v>1</v>
      </c>
      <c r="N447" s="14">
        <v>1</v>
      </c>
      <c r="R447" t="str">
        <f t="shared" si="21"/>
        <v xml:space="preserve">XX8X_PV_0789:    Front abuts stile:TRUE       Back abuts stile:TRUE          Panel Section: WHOLE           Stile in the back Width:            Cutout A:           Cutout B:      F.C.:1 in.         C.C.:1 in.   </v>
      </c>
      <c r="S447" t="str">
        <f t="shared" si="20"/>
        <v>TRUE</v>
      </c>
      <c r="T447" t="str">
        <f t="shared" si="22"/>
        <v>TRUE</v>
      </c>
    </row>
    <row r="448" spans="1:20">
      <c r="A448" t="s">
        <v>608</v>
      </c>
      <c r="B448" s="14" t="s">
        <v>144</v>
      </c>
      <c r="C448" s="14" t="s">
        <v>21</v>
      </c>
      <c r="D448" s="14">
        <v>1</v>
      </c>
      <c r="E448" s="14">
        <v>0</v>
      </c>
      <c r="F448" s="14">
        <v>1</v>
      </c>
      <c r="G448" s="14">
        <v>1</v>
      </c>
      <c r="H448" s="14"/>
      <c r="I448" s="8" t="s">
        <v>38</v>
      </c>
      <c r="J448" s="8" t="s">
        <v>38</v>
      </c>
      <c r="K448">
        <v>59.5625</v>
      </c>
      <c r="L448">
        <v>68.8125</v>
      </c>
      <c r="M448" s="14">
        <v>5.1875</v>
      </c>
      <c r="N448" s="14">
        <v>4.875</v>
      </c>
      <c r="R448" t="str">
        <f t="shared" si="21"/>
        <v xml:space="preserve">XX8X_PV_0790:    Front abuts stile:TRUE       Back abuts stile:TRUE          Panel Section: WHOLE           Stile in the back Width:            Cutout A:           Cutout B:      F.C.:5.1875 in.         C.C.:4.875 in.   </v>
      </c>
      <c r="S448" t="str">
        <f t="shared" si="20"/>
        <v>TRUE</v>
      </c>
      <c r="T448" t="str">
        <f t="shared" si="22"/>
        <v>TRUE</v>
      </c>
    </row>
    <row r="449" spans="1:20">
      <c r="A449" t="s">
        <v>609</v>
      </c>
      <c r="B449" s="14" t="s">
        <v>144</v>
      </c>
      <c r="C449" s="14" t="s">
        <v>21</v>
      </c>
      <c r="D449" s="14">
        <v>1</v>
      </c>
      <c r="E449" s="14">
        <v>1</v>
      </c>
      <c r="F449" s="14">
        <v>0</v>
      </c>
      <c r="G449" s="14"/>
      <c r="H449" s="14"/>
      <c r="I449" s="8" t="s">
        <v>38</v>
      </c>
      <c r="J449" s="8" t="s">
        <v>38</v>
      </c>
      <c r="K449">
        <v>39.125</v>
      </c>
      <c r="L449">
        <v>10.3125</v>
      </c>
      <c r="M449" s="14">
        <v>9</v>
      </c>
      <c r="N449" s="14">
        <v>1</v>
      </c>
      <c r="R449" t="str">
        <f t="shared" si="21"/>
        <v xml:space="preserve">XX8X_PV_0791:    Front abuts stile:TRUE       Back abuts stile:FALSE          Panel Section: WHOLE           Stile in the back Width:            Cutout A:           Cutout B:      F.C.:9 in.         C.C.:1 in.   </v>
      </c>
      <c r="S449" t="str">
        <f t="shared" si="20"/>
        <v>TRUE</v>
      </c>
      <c r="T449" t="str">
        <f t="shared" si="22"/>
        <v>FALSE</v>
      </c>
    </row>
    <row r="450" spans="1:20">
      <c r="A450" t="s">
        <v>610</v>
      </c>
      <c r="B450" s="14" t="s">
        <v>144</v>
      </c>
      <c r="C450" s="14" t="s">
        <v>21</v>
      </c>
      <c r="D450" s="14">
        <v>1</v>
      </c>
      <c r="E450" s="14">
        <v>1</v>
      </c>
      <c r="F450" s="14">
        <v>1</v>
      </c>
      <c r="G450" s="14">
        <v>0</v>
      </c>
      <c r="H450" s="14">
        <v>12</v>
      </c>
      <c r="I450" s="8" t="s">
        <v>120</v>
      </c>
      <c r="J450" s="8" t="s">
        <v>38</v>
      </c>
      <c r="K450">
        <v>96</v>
      </c>
      <c r="L450">
        <v>52.75</v>
      </c>
      <c r="M450" s="14">
        <v>6.25</v>
      </c>
      <c r="N450" s="14">
        <v>1</v>
      </c>
      <c r="R450" t="str">
        <f t="shared" si="21"/>
        <v xml:space="preserve">XX8X_PV_0792:    Front abuts stile:TRUE       Back abuts stile:TRUE          Panel Section: WHOLE           Stile in the back Width: 12           Cutout A: B-386          Cutout B:      F.C.:6.25 in.         C.C.:1 in.   </v>
      </c>
      <c r="S450" t="str">
        <f t="shared" si="20"/>
        <v>TRUE</v>
      </c>
      <c r="T450" t="str">
        <f t="shared" si="22"/>
        <v>TRUE</v>
      </c>
    </row>
    <row r="451" spans="1:20">
      <c r="A451" t="s">
        <v>611</v>
      </c>
      <c r="B451" s="14" t="s">
        <v>144</v>
      </c>
      <c r="C451" s="14" t="s">
        <v>21</v>
      </c>
      <c r="D451" s="14">
        <v>1</v>
      </c>
      <c r="E451" s="14">
        <v>1</v>
      </c>
      <c r="F451" s="14">
        <v>1</v>
      </c>
      <c r="G451" s="14">
        <v>0</v>
      </c>
      <c r="H451" s="14">
        <v>24</v>
      </c>
      <c r="I451" s="8" t="s">
        <v>120</v>
      </c>
      <c r="J451" s="8" t="s">
        <v>38</v>
      </c>
      <c r="K451">
        <v>96</v>
      </c>
      <c r="L451">
        <v>79.6875</v>
      </c>
      <c r="M451" s="14">
        <v>7.75</v>
      </c>
      <c r="N451" s="14">
        <v>1</v>
      </c>
      <c r="R451" t="str">
        <f t="shared" si="21"/>
        <v xml:space="preserve">XX8X_PV_0793:    Front abuts stile:TRUE       Back abuts stile:TRUE          Panel Section: WHOLE           Stile in the back Width: 24           Cutout A: B-386          Cutout B:      F.C.:7.75 in.         C.C.:1 in.   </v>
      </c>
      <c r="S451" t="str">
        <f t="shared" si="20"/>
        <v>TRUE</v>
      </c>
      <c r="T451" t="str">
        <f t="shared" si="22"/>
        <v>TRUE</v>
      </c>
    </row>
    <row r="452" spans="1:20">
      <c r="A452" t="s">
        <v>612</v>
      </c>
      <c r="B452" s="14" t="s">
        <v>144</v>
      </c>
      <c r="C452" s="14" t="s">
        <v>21</v>
      </c>
      <c r="D452" s="14">
        <v>1</v>
      </c>
      <c r="E452" s="14">
        <v>1</v>
      </c>
      <c r="F452" s="14">
        <v>1</v>
      </c>
      <c r="G452" s="14">
        <v>0</v>
      </c>
      <c r="H452" s="14"/>
      <c r="I452" s="8" t="s">
        <v>38</v>
      </c>
      <c r="J452" s="8" t="s">
        <v>38</v>
      </c>
      <c r="K452">
        <v>96</v>
      </c>
      <c r="L452">
        <v>18.875</v>
      </c>
      <c r="M452" s="14">
        <v>12</v>
      </c>
      <c r="N452" s="14">
        <v>5.25</v>
      </c>
      <c r="R452" t="str">
        <f t="shared" si="21"/>
        <v xml:space="preserve">XX8X_PV_0794:    Front abuts stile:TRUE       Back abuts stile:TRUE          Panel Section: WHOLE           Stile in the back Width:            Cutout A:           Cutout B:      F.C.:12 in.         C.C.:5.25 in.   </v>
      </c>
      <c r="S452" t="str">
        <f t="shared" ref="S452:S515" si="23">IF(D452=1, "TRUE", "FALSE")</f>
        <v>TRUE</v>
      </c>
      <c r="T452" t="str">
        <f t="shared" si="22"/>
        <v>TRUE</v>
      </c>
    </row>
    <row r="453" spans="1:20">
      <c r="A453" t="s">
        <v>613</v>
      </c>
      <c r="B453" s="14" t="s">
        <v>144</v>
      </c>
      <c r="C453" s="14" t="s">
        <v>21</v>
      </c>
      <c r="D453" s="14">
        <v>1</v>
      </c>
      <c r="E453" s="14">
        <v>1</v>
      </c>
      <c r="F453" s="14">
        <v>1</v>
      </c>
      <c r="G453" s="14">
        <v>1</v>
      </c>
      <c r="H453" s="14"/>
      <c r="I453" s="8" t="s">
        <v>38</v>
      </c>
      <c r="J453" s="8" t="s">
        <v>38</v>
      </c>
      <c r="K453">
        <v>39.0625</v>
      </c>
      <c r="L453">
        <v>55.3125</v>
      </c>
      <c r="M453" s="14">
        <v>4.0625</v>
      </c>
      <c r="N453" s="14">
        <v>1</v>
      </c>
      <c r="R453" t="str">
        <f t="shared" si="21"/>
        <v xml:space="preserve">XX8X_PV_0795:    Front abuts stile:TRUE       Back abuts stile:TRUE          Panel Section: WHOLE           Stile in the back Width:            Cutout A:           Cutout B:      F.C.:4.0625 in.         C.C.:1 in.   </v>
      </c>
      <c r="S453" t="str">
        <f t="shared" si="23"/>
        <v>TRUE</v>
      </c>
      <c r="T453" t="str">
        <f t="shared" si="22"/>
        <v>TRUE</v>
      </c>
    </row>
    <row r="454" spans="1:20">
      <c r="A454" t="s">
        <v>614</v>
      </c>
      <c r="B454" s="14" t="s">
        <v>144</v>
      </c>
      <c r="C454" s="14" t="s">
        <v>156</v>
      </c>
      <c r="D454" s="19">
        <v>0</v>
      </c>
      <c r="E454" s="19"/>
      <c r="F454" s="19">
        <v>0</v>
      </c>
      <c r="G454" s="19"/>
      <c r="H454" s="14"/>
      <c r="I454" s="8" t="s">
        <v>119</v>
      </c>
      <c r="J454" s="8" t="s">
        <v>38</v>
      </c>
      <c r="K454">
        <v>18.0625</v>
      </c>
      <c r="L454">
        <v>58.375</v>
      </c>
      <c r="M454" s="14">
        <v>11</v>
      </c>
      <c r="N454" s="14">
        <v>4</v>
      </c>
      <c r="R454" t="str">
        <f t="shared" si="21"/>
        <v xml:space="preserve">XX8X_PV_0811:    Front abuts stile:FALSE       Back abuts stile:FALSE          Panel Section: TOP           Stile in the back Width:            Cutout A: B-354          Cutout B:      F.C.:11 in.         C.C.:4 in.   </v>
      </c>
      <c r="S454" t="str">
        <f t="shared" si="23"/>
        <v>FALSE</v>
      </c>
      <c r="T454" t="str">
        <f t="shared" si="22"/>
        <v>FALSE</v>
      </c>
    </row>
    <row r="455" spans="1:20">
      <c r="A455" t="s">
        <v>615</v>
      </c>
      <c r="B455" s="14" t="s">
        <v>144</v>
      </c>
      <c r="C455" s="14" t="s">
        <v>156</v>
      </c>
      <c r="D455" s="14">
        <v>0</v>
      </c>
      <c r="E455" s="14"/>
      <c r="F455" s="14">
        <v>1</v>
      </c>
      <c r="G455" s="14">
        <v>0</v>
      </c>
      <c r="H455" s="14">
        <v>12</v>
      </c>
      <c r="I455" s="8" t="s">
        <v>145</v>
      </c>
      <c r="J455" s="8" t="s">
        <v>38</v>
      </c>
      <c r="K455">
        <v>6</v>
      </c>
      <c r="L455">
        <v>61.875</v>
      </c>
      <c r="M455" s="14">
        <v>9</v>
      </c>
      <c r="N455" s="14">
        <v>7.4375</v>
      </c>
      <c r="R455" t="str">
        <f t="shared" ref="R455:R518" si="24">A455&amp;":    Front abuts stile:"&amp;S455&amp;"       Back abuts stile:"&amp;T455&amp;"          Panel Section: "&amp;C455&amp;"           Stile in the back Width: "&amp;H455&amp;"           Cutout A: "&amp;I455&amp;"          Cutout B:"&amp;J455&amp;"      F.C.:"&amp;M455&amp;" in. "&amp;"        C.C.:"&amp;N455&amp;" in. "&amp;"  "</f>
        <v xml:space="preserve">XX8X_PV_0812:    Front abuts stile:FALSE       Back abuts stile:TRUE          Panel Section: TOP           Stile in the back Width: 12           Cutout A: B-347          Cutout B:      F.C.:9 in.         C.C.:7.4375 in.   </v>
      </c>
      <c r="S455" t="str">
        <f t="shared" si="23"/>
        <v>FALSE</v>
      </c>
      <c r="T455" t="str">
        <f t="shared" si="22"/>
        <v>TRUE</v>
      </c>
    </row>
    <row r="456" spans="1:20">
      <c r="A456" t="s">
        <v>616</v>
      </c>
      <c r="B456" s="14" t="s">
        <v>144</v>
      </c>
      <c r="C456" s="14" t="s">
        <v>156</v>
      </c>
      <c r="D456" s="14">
        <v>0</v>
      </c>
      <c r="E456" s="14"/>
      <c r="F456" s="14">
        <v>1</v>
      </c>
      <c r="G456" s="14">
        <v>0</v>
      </c>
      <c r="H456" s="14">
        <v>24</v>
      </c>
      <c r="I456" s="8" t="s">
        <v>120</v>
      </c>
      <c r="J456" s="8" t="s">
        <v>38</v>
      </c>
      <c r="K456">
        <v>10.5625</v>
      </c>
      <c r="L456">
        <v>58.875</v>
      </c>
      <c r="M456" s="14">
        <v>9</v>
      </c>
      <c r="N456" s="14">
        <v>3.6875</v>
      </c>
      <c r="R456" t="str">
        <f t="shared" si="24"/>
        <v xml:space="preserve">XX8X_PV_0813:    Front abuts stile:FALSE       Back abuts stile:TRUE          Panel Section: TOP           Stile in the back Width: 24           Cutout A: B-386          Cutout B:      F.C.:9 in.         C.C.:3.6875 in.   </v>
      </c>
      <c r="S456" t="str">
        <f t="shared" si="23"/>
        <v>FALSE</v>
      </c>
      <c r="T456" t="str">
        <f t="shared" si="22"/>
        <v>TRUE</v>
      </c>
    </row>
    <row r="457" spans="1:20">
      <c r="A457" t="s">
        <v>617</v>
      </c>
      <c r="B457" s="14" t="s">
        <v>144</v>
      </c>
      <c r="C457" s="14" t="s">
        <v>156</v>
      </c>
      <c r="D457" s="14">
        <v>0</v>
      </c>
      <c r="E457" s="14"/>
      <c r="F457" s="14">
        <v>1</v>
      </c>
      <c r="G457" s="14">
        <v>0</v>
      </c>
      <c r="H457" s="14"/>
      <c r="I457" s="8" t="s">
        <v>38</v>
      </c>
      <c r="J457" s="8" t="s">
        <v>38</v>
      </c>
      <c r="K457">
        <v>42.875</v>
      </c>
      <c r="L457">
        <v>76.75</v>
      </c>
      <c r="M457" s="14">
        <v>12</v>
      </c>
      <c r="N457" s="14">
        <v>1.1875</v>
      </c>
      <c r="R457" t="str">
        <f t="shared" si="24"/>
        <v xml:space="preserve">XX8X_PV_0814:    Front abuts stile:FALSE       Back abuts stile:TRUE          Panel Section: TOP           Stile in the back Width:            Cutout A:           Cutout B:      F.C.:12 in.         C.C.:1.1875 in.   </v>
      </c>
      <c r="S457" t="str">
        <f t="shared" si="23"/>
        <v>FALSE</v>
      </c>
      <c r="T457" t="str">
        <f t="shared" si="22"/>
        <v>TRUE</v>
      </c>
    </row>
    <row r="458" spans="1:20">
      <c r="A458" t="s">
        <v>618</v>
      </c>
      <c r="B458" s="14" t="s">
        <v>144</v>
      </c>
      <c r="C458" s="14" t="s">
        <v>156</v>
      </c>
      <c r="D458" s="14">
        <v>0</v>
      </c>
      <c r="E458" s="14"/>
      <c r="F458" s="14">
        <v>1</v>
      </c>
      <c r="G458" s="14">
        <v>1</v>
      </c>
      <c r="H458" s="14"/>
      <c r="I458" s="8" t="s">
        <v>38</v>
      </c>
      <c r="J458" s="8" t="s">
        <v>38</v>
      </c>
      <c r="K458">
        <v>11.4375</v>
      </c>
      <c r="L458">
        <v>64.8125</v>
      </c>
      <c r="M458" s="14">
        <v>3.375</v>
      </c>
      <c r="N458" s="14">
        <v>3.9375</v>
      </c>
      <c r="R458" t="str">
        <f t="shared" si="24"/>
        <v xml:space="preserve">XX8X_PV_0815:    Front abuts stile:FALSE       Back abuts stile:TRUE          Panel Section: TOP           Stile in the back Width:            Cutout A:           Cutout B:      F.C.:3.375 in.         C.C.:3.9375 in.   </v>
      </c>
      <c r="S458" t="str">
        <f t="shared" si="23"/>
        <v>FALSE</v>
      </c>
      <c r="T458" t="str">
        <f t="shared" si="22"/>
        <v>TRUE</v>
      </c>
    </row>
    <row r="459" spans="1:20">
      <c r="A459" t="s">
        <v>619</v>
      </c>
      <c r="B459" s="14" t="s">
        <v>144</v>
      </c>
      <c r="C459" s="14" t="s">
        <v>156</v>
      </c>
      <c r="D459" s="14">
        <v>1</v>
      </c>
      <c r="E459" s="14">
        <v>0</v>
      </c>
      <c r="F459" s="14">
        <v>0</v>
      </c>
      <c r="G459" s="14"/>
      <c r="H459" s="14"/>
      <c r="I459" s="8" t="s">
        <v>149</v>
      </c>
      <c r="J459" s="8" t="s">
        <v>38</v>
      </c>
      <c r="K459">
        <v>20.6875</v>
      </c>
      <c r="L459">
        <v>53.0625</v>
      </c>
      <c r="M459" s="14">
        <v>4.5</v>
      </c>
      <c r="N459" s="14">
        <v>4.5</v>
      </c>
      <c r="R459" t="str">
        <f t="shared" si="24"/>
        <v xml:space="preserve">XX8X_PV_0816:    Front abuts stile:TRUE       Back abuts stile:FALSE          Panel Section: TOP           Stile in the back Width:            Cutout A: B-34715          Cutout B:      F.C.:4.5 in.         C.C.:4.5 in.   </v>
      </c>
      <c r="S459" t="str">
        <f t="shared" si="23"/>
        <v>TRUE</v>
      </c>
      <c r="T459" t="str">
        <f t="shared" si="22"/>
        <v>FALSE</v>
      </c>
    </row>
    <row r="460" spans="1:20">
      <c r="A460" t="s">
        <v>620</v>
      </c>
      <c r="B460" s="14" t="s">
        <v>144</v>
      </c>
      <c r="C460" s="14" t="s">
        <v>156</v>
      </c>
      <c r="D460" s="14">
        <v>1</v>
      </c>
      <c r="E460" s="14">
        <v>0</v>
      </c>
      <c r="F460" s="14">
        <v>1</v>
      </c>
      <c r="G460" s="14">
        <v>0</v>
      </c>
      <c r="H460" s="14">
        <v>12</v>
      </c>
      <c r="I460" s="8" t="s">
        <v>35</v>
      </c>
      <c r="J460" s="8" t="s">
        <v>38</v>
      </c>
      <c r="K460">
        <v>20.625</v>
      </c>
      <c r="L460">
        <v>72.25</v>
      </c>
      <c r="M460" s="14">
        <v>4</v>
      </c>
      <c r="N460" s="14">
        <v>1</v>
      </c>
      <c r="R460" t="str">
        <f t="shared" si="24"/>
        <v xml:space="preserve">XX8X_PV_0817:    Front abuts stile:TRUE       Back abuts stile:TRUE          Panel Section: TOP           Stile in the back Width: 12           Cutout A: B-357          Cutout B:      F.C.:4 in.         C.C.:1 in.   </v>
      </c>
      <c r="S460" t="str">
        <f t="shared" si="23"/>
        <v>TRUE</v>
      </c>
      <c r="T460" t="str">
        <f t="shared" si="22"/>
        <v>TRUE</v>
      </c>
    </row>
    <row r="461" spans="1:20">
      <c r="A461" t="s">
        <v>621</v>
      </c>
      <c r="B461" s="14" t="s">
        <v>144</v>
      </c>
      <c r="C461" s="14" t="s">
        <v>156</v>
      </c>
      <c r="D461" s="14">
        <v>1</v>
      </c>
      <c r="E461" s="14">
        <v>0</v>
      </c>
      <c r="F461" s="14">
        <v>1</v>
      </c>
      <c r="G461" s="14">
        <v>0</v>
      </c>
      <c r="H461" s="14">
        <v>24</v>
      </c>
      <c r="I461" s="8" t="s">
        <v>120</v>
      </c>
      <c r="J461" s="8" t="s">
        <v>38</v>
      </c>
      <c r="K461">
        <v>29.625</v>
      </c>
      <c r="L461">
        <v>76.8125</v>
      </c>
      <c r="M461" s="14">
        <v>1</v>
      </c>
      <c r="N461" s="14">
        <v>6.5</v>
      </c>
      <c r="R461" t="str">
        <f t="shared" si="24"/>
        <v xml:space="preserve">XX8X_PV_0818:    Front abuts stile:TRUE       Back abuts stile:TRUE          Panel Section: TOP           Stile in the back Width: 24           Cutout A: B-386          Cutout B:      F.C.:1 in.         C.C.:6.5 in.   </v>
      </c>
      <c r="S461" t="str">
        <f t="shared" si="23"/>
        <v>TRUE</v>
      </c>
      <c r="T461" t="str">
        <f t="shared" si="22"/>
        <v>TRUE</v>
      </c>
    </row>
    <row r="462" spans="1:20">
      <c r="A462" t="s">
        <v>622</v>
      </c>
      <c r="B462" s="14" t="s">
        <v>144</v>
      </c>
      <c r="C462" s="14" t="s">
        <v>156</v>
      </c>
      <c r="D462" s="14">
        <v>1</v>
      </c>
      <c r="E462" s="14">
        <v>0</v>
      </c>
      <c r="F462" s="14">
        <v>1</v>
      </c>
      <c r="G462" s="14">
        <v>0</v>
      </c>
      <c r="H462" s="14"/>
      <c r="I462" s="8" t="s">
        <v>38</v>
      </c>
      <c r="J462" s="8" t="s">
        <v>38</v>
      </c>
      <c r="K462">
        <v>47.375</v>
      </c>
      <c r="L462">
        <v>71.875</v>
      </c>
      <c r="M462" s="14">
        <v>1.375</v>
      </c>
      <c r="N462" s="14">
        <v>1</v>
      </c>
      <c r="R462" t="str">
        <f t="shared" si="24"/>
        <v xml:space="preserve">XX8X_PV_0819:    Front abuts stile:TRUE       Back abuts stile:TRUE          Panel Section: TOP           Stile in the back Width:            Cutout A:           Cutout B:      F.C.:1.375 in.         C.C.:1 in.   </v>
      </c>
      <c r="S462" t="str">
        <f t="shared" si="23"/>
        <v>TRUE</v>
      </c>
      <c r="T462" t="str">
        <f t="shared" si="22"/>
        <v>TRUE</v>
      </c>
    </row>
    <row r="463" spans="1:20">
      <c r="A463" t="s">
        <v>623</v>
      </c>
      <c r="B463" s="14" t="s">
        <v>144</v>
      </c>
      <c r="C463" s="14" t="s">
        <v>156</v>
      </c>
      <c r="D463" s="14">
        <v>1</v>
      </c>
      <c r="E463" s="14">
        <v>0</v>
      </c>
      <c r="F463" s="14">
        <v>1</v>
      </c>
      <c r="G463" s="14">
        <v>1</v>
      </c>
      <c r="H463" s="14"/>
      <c r="I463" s="8" t="s">
        <v>38</v>
      </c>
      <c r="J463" s="8" t="s">
        <v>38</v>
      </c>
      <c r="K463">
        <v>48.1875</v>
      </c>
      <c r="L463">
        <v>67.3125</v>
      </c>
      <c r="M463" s="14">
        <v>1</v>
      </c>
      <c r="N463" s="14">
        <v>1</v>
      </c>
      <c r="R463" t="str">
        <f t="shared" si="24"/>
        <v xml:space="preserve">XX8X_PV_0820:    Front abuts stile:TRUE       Back abuts stile:TRUE          Panel Section: TOP           Stile in the back Width:            Cutout A:           Cutout B:      F.C.:1 in.         C.C.:1 in.   </v>
      </c>
      <c r="S463" t="str">
        <f t="shared" si="23"/>
        <v>TRUE</v>
      </c>
      <c r="T463" t="str">
        <f t="shared" si="22"/>
        <v>TRUE</v>
      </c>
    </row>
    <row r="464" spans="1:20">
      <c r="A464" t="s">
        <v>624</v>
      </c>
      <c r="B464" s="14" t="s">
        <v>144</v>
      </c>
      <c r="C464" s="14" t="s">
        <v>156</v>
      </c>
      <c r="D464" s="14">
        <v>1</v>
      </c>
      <c r="E464" s="14">
        <v>1</v>
      </c>
      <c r="F464" s="14">
        <v>0</v>
      </c>
      <c r="G464" s="14"/>
      <c r="H464" s="14"/>
      <c r="I464" s="8" t="s">
        <v>119</v>
      </c>
      <c r="J464" s="8" t="s">
        <v>38</v>
      </c>
      <c r="K464">
        <v>10.6875</v>
      </c>
      <c r="L464">
        <v>55.125</v>
      </c>
      <c r="M464" s="14">
        <v>9</v>
      </c>
      <c r="N464" s="14">
        <v>8.0625</v>
      </c>
      <c r="R464" t="str">
        <f t="shared" si="24"/>
        <v xml:space="preserve">XX8X_PV_0821:    Front abuts stile:TRUE       Back abuts stile:FALSE          Panel Section: TOP           Stile in the back Width:            Cutout A: B-354          Cutout B:      F.C.:9 in.         C.C.:8.0625 in.   </v>
      </c>
      <c r="S464" t="str">
        <f t="shared" si="23"/>
        <v>TRUE</v>
      </c>
      <c r="T464" t="str">
        <f t="shared" si="22"/>
        <v>FALSE</v>
      </c>
    </row>
    <row r="465" spans="1:20">
      <c r="A465" t="s">
        <v>625</v>
      </c>
      <c r="B465" s="14" t="s">
        <v>144</v>
      </c>
      <c r="C465" s="14" t="s">
        <v>156</v>
      </c>
      <c r="D465" s="14">
        <v>1</v>
      </c>
      <c r="E465" s="14">
        <v>1</v>
      </c>
      <c r="F465" s="14">
        <v>1</v>
      </c>
      <c r="G465" s="14">
        <v>0</v>
      </c>
      <c r="H465" s="14">
        <v>12</v>
      </c>
      <c r="I465" s="8" t="s">
        <v>38</v>
      </c>
      <c r="J465" s="8" t="s">
        <v>38</v>
      </c>
      <c r="K465">
        <v>15.75</v>
      </c>
      <c r="L465">
        <v>22.8125</v>
      </c>
      <c r="M465" s="14">
        <v>1</v>
      </c>
      <c r="N465" s="14">
        <v>1</v>
      </c>
      <c r="R465" t="str">
        <f t="shared" si="24"/>
        <v xml:space="preserve">XX8X_PV_0822:    Front abuts stile:TRUE       Back abuts stile:TRUE          Panel Section: TOP           Stile in the back Width: 12           Cutout A:           Cutout B:      F.C.:1 in.         C.C.:1 in.   </v>
      </c>
      <c r="S465" t="str">
        <f t="shared" si="23"/>
        <v>TRUE</v>
      </c>
      <c r="T465" t="str">
        <f t="shared" si="22"/>
        <v>TRUE</v>
      </c>
    </row>
    <row r="466" spans="1:20">
      <c r="A466" t="s">
        <v>626</v>
      </c>
      <c r="B466" s="14" t="s">
        <v>144</v>
      </c>
      <c r="C466" s="14" t="s">
        <v>156</v>
      </c>
      <c r="D466" s="14">
        <v>1</v>
      </c>
      <c r="E466" s="14">
        <v>1</v>
      </c>
      <c r="F466" s="14">
        <v>1</v>
      </c>
      <c r="G466" s="14">
        <v>0</v>
      </c>
      <c r="H466" s="14">
        <v>24</v>
      </c>
      <c r="I466" s="8" t="s">
        <v>120</v>
      </c>
      <c r="J466" s="8" t="s">
        <v>38</v>
      </c>
      <c r="K466">
        <v>7.0625</v>
      </c>
      <c r="L466">
        <v>75.625</v>
      </c>
      <c r="M466" s="14">
        <v>4.5</v>
      </c>
      <c r="N466" s="14">
        <v>8.0625</v>
      </c>
      <c r="R466" t="str">
        <f t="shared" si="24"/>
        <v xml:space="preserve">XX8X_PV_0823:    Front abuts stile:TRUE       Back abuts stile:TRUE          Panel Section: TOP           Stile in the back Width: 24           Cutout A: B-386          Cutout B:      F.C.:4.5 in.         C.C.:8.0625 in.   </v>
      </c>
      <c r="S466" t="str">
        <f t="shared" si="23"/>
        <v>TRUE</v>
      </c>
      <c r="T466" t="str">
        <f t="shared" ref="T466:T529" si="25">IF(F466=1, "TRUE", "FALSE")</f>
        <v>TRUE</v>
      </c>
    </row>
    <row r="467" spans="1:20">
      <c r="A467" t="s">
        <v>627</v>
      </c>
      <c r="B467" s="14" t="s">
        <v>144</v>
      </c>
      <c r="C467" s="14" t="s">
        <v>156</v>
      </c>
      <c r="D467" s="14">
        <v>1</v>
      </c>
      <c r="E467" s="14">
        <v>1</v>
      </c>
      <c r="F467" s="14">
        <v>1</v>
      </c>
      <c r="G467" s="14">
        <v>0</v>
      </c>
      <c r="H467" s="14"/>
      <c r="I467" s="8" t="s">
        <v>38</v>
      </c>
      <c r="J467" s="8" t="s">
        <v>38</v>
      </c>
      <c r="K467">
        <v>32.4375</v>
      </c>
      <c r="L467">
        <v>40.1875</v>
      </c>
      <c r="M467" s="14">
        <v>7.6875</v>
      </c>
      <c r="N467" s="14">
        <v>3.3125</v>
      </c>
      <c r="R467" t="str">
        <f t="shared" si="24"/>
        <v xml:space="preserve">XX8X_PV_0824:    Front abuts stile:TRUE       Back abuts stile:TRUE          Panel Section: TOP           Stile in the back Width:            Cutout A:           Cutout B:      F.C.:7.6875 in.         C.C.:3.3125 in.   </v>
      </c>
      <c r="S467" t="str">
        <f t="shared" si="23"/>
        <v>TRUE</v>
      </c>
      <c r="T467" t="str">
        <f t="shared" si="25"/>
        <v>TRUE</v>
      </c>
    </row>
    <row r="468" spans="1:20">
      <c r="A468" t="s">
        <v>628</v>
      </c>
      <c r="B468" s="14" t="s">
        <v>144</v>
      </c>
      <c r="C468" s="14" t="s">
        <v>156</v>
      </c>
      <c r="D468" s="14">
        <v>1</v>
      </c>
      <c r="E468" s="14">
        <v>1</v>
      </c>
      <c r="F468" s="14">
        <v>1</v>
      </c>
      <c r="G468" s="14">
        <v>1</v>
      </c>
      <c r="H468" s="14"/>
      <c r="I468" s="8" t="s">
        <v>38</v>
      </c>
      <c r="J468" s="8" t="s">
        <v>38</v>
      </c>
      <c r="K468">
        <v>45.5625</v>
      </c>
      <c r="L468">
        <v>61</v>
      </c>
      <c r="M468" s="14">
        <v>1</v>
      </c>
      <c r="N468" s="14">
        <v>8.4375</v>
      </c>
      <c r="R468" t="str">
        <f t="shared" si="24"/>
        <v xml:space="preserve">XX8X_PV_0825:    Front abuts stile:TRUE       Back abuts stile:TRUE          Panel Section: TOP           Stile in the back Width:            Cutout A:           Cutout B:      F.C.:1 in.         C.C.:8.4375 in.   </v>
      </c>
      <c r="S468" t="str">
        <f t="shared" si="23"/>
        <v>TRUE</v>
      </c>
      <c r="T468" t="str">
        <f t="shared" si="25"/>
        <v>TRUE</v>
      </c>
    </row>
    <row r="469" spans="1:20">
      <c r="A469" t="s">
        <v>629</v>
      </c>
      <c r="B469" s="14" t="s">
        <v>144</v>
      </c>
      <c r="C469" s="14" t="s">
        <v>157</v>
      </c>
      <c r="D469" s="14">
        <v>0</v>
      </c>
      <c r="E469" s="14"/>
      <c r="F469" s="14">
        <v>0</v>
      </c>
      <c r="G469" s="14"/>
      <c r="H469" s="14"/>
      <c r="I469" s="8" t="s">
        <v>38</v>
      </c>
      <c r="J469" s="8" t="s">
        <v>38</v>
      </c>
      <c r="K469">
        <v>60</v>
      </c>
      <c r="L469">
        <v>33.1875</v>
      </c>
      <c r="M469" s="14">
        <v>7.4375</v>
      </c>
      <c r="N469" s="14">
        <v>8.3125</v>
      </c>
      <c r="R469" t="str">
        <f t="shared" si="24"/>
        <v xml:space="preserve">XX8X_PV_0841:    Front abuts stile:FALSE       Back abuts stile:FALSE          Panel Section: BOTTOM           Stile in the back Width:            Cutout A:           Cutout B:      F.C.:7.4375 in.         C.C.:8.3125 in.   </v>
      </c>
      <c r="S469" t="str">
        <f t="shared" si="23"/>
        <v>FALSE</v>
      </c>
      <c r="T469" t="str">
        <f t="shared" si="25"/>
        <v>FALSE</v>
      </c>
    </row>
    <row r="470" spans="1:20">
      <c r="A470" t="s">
        <v>630</v>
      </c>
      <c r="B470" s="14" t="s">
        <v>144</v>
      </c>
      <c r="C470" s="14" t="s">
        <v>157</v>
      </c>
      <c r="D470" s="14">
        <v>0</v>
      </c>
      <c r="E470" s="14"/>
      <c r="F470" s="14">
        <v>1</v>
      </c>
      <c r="G470" s="14">
        <v>0</v>
      </c>
      <c r="H470" s="14">
        <v>12</v>
      </c>
      <c r="I470" s="8" t="s">
        <v>120</v>
      </c>
      <c r="J470" s="8" t="s">
        <v>38</v>
      </c>
      <c r="K470">
        <v>60</v>
      </c>
      <c r="L470">
        <v>58.375</v>
      </c>
      <c r="M470" s="14">
        <v>9</v>
      </c>
      <c r="N470" s="14">
        <v>5.5625</v>
      </c>
      <c r="R470" t="str">
        <f t="shared" si="24"/>
        <v xml:space="preserve">XX8X_PV_0842:    Front abuts stile:FALSE       Back abuts stile:TRUE          Panel Section: BOTTOM           Stile in the back Width: 12           Cutout A: B-386          Cutout B:      F.C.:9 in.         C.C.:5.5625 in.   </v>
      </c>
      <c r="S470" t="str">
        <f t="shared" si="23"/>
        <v>FALSE</v>
      </c>
      <c r="T470" t="str">
        <f t="shared" si="25"/>
        <v>TRUE</v>
      </c>
    </row>
    <row r="471" spans="1:20">
      <c r="A471" t="s">
        <v>631</v>
      </c>
      <c r="B471" s="14" t="s">
        <v>144</v>
      </c>
      <c r="C471" s="14" t="s">
        <v>157</v>
      </c>
      <c r="D471" s="14">
        <v>0</v>
      </c>
      <c r="E471" s="14"/>
      <c r="F471" s="14">
        <v>1</v>
      </c>
      <c r="G471" s="14">
        <v>0</v>
      </c>
      <c r="H471" s="14">
        <v>24</v>
      </c>
      <c r="I471" s="8" t="s">
        <v>38</v>
      </c>
      <c r="J471" s="8" t="s">
        <v>38</v>
      </c>
      <c r="K471">
        <v>60</v>
      </c>
      <c r="L471">
        <v>62.625</v>
      </c>
      <c r="M471" s="14">
        <v>9</v>
      </c>
      <c r="N471" s="14">
        <v>2.5</v>
      </c>
      <c r="R471" t="str">
        <f t="shared" si="24"/>
        <v xml:space="preserve">XX8X_PV_0843:    Front abuts stile:FALSE       Back abuts stile:TRUE          Panel Section: BOTTOM           Stile in the back Width: 24           Cutout A:           Cutout B:      F.C.:9 in.         C.C.:2.5 in.   </v>
      </c>
      <c r="S471" t="str">
        <f t="shared" si="23"/>
        <v>FALSE</v>
      </c>
      <c r="T471" t="str">
        <f t="shared" si="25"/>
        <v>TRUE</v>
      </c>
    </row>
    <row r="472" spans="1:20">
      <c r="A472" t="s">
        <v>632</v>
      </c>
      <c r="B472" s="14" t="s">
        <v>144</v>
      </c>
      <c r="C472" s="14" t="s">
        <v>157</v>
      </c>
      <c r="D472" s="14">
        <v>0</v>
      </c>
      <c r="E472" s="14"/>
      <c r="F472" s="14">
        <v>1</v>
      </c>
      <c r="G472" s="14">
        <v>0</v>
      </c>
      <c r="H472" s="14"/>
      <c r="I472" s="8" t="s">
        <v>38</v>
      </c>
      <c r="J472" s="8" t="s">
        <v>38</v>
      </c>
      <c r="K472">
        <v>60</v>
      </c>
      <c r="L472">
        <v>50.8125</v>
      </c>
      <c r="M472" s="14">
        <v>9</v>
      </c>
      <c r="N472" s="14">
        <v>1</v>
      </c>
      <c r="R472" t="str">
        <f t="shared" si="24"/>
        <v xml:space="preserve">XX8X_PV_0844:    Front abuts stile:FALSE       Back abuts stile:TRUE          Panel Section: BOTTOM           Stile in the back Width:            Cutout A:           Cutout B:      F.C.:9 in.         C.C.:1 in.   </v>
      </c>
      <c r="S472" t="str">
        <f t="shared" si="23"/>
        <v>FALSE</v>
      </c>
      <c r="T472" t="str">
        <f t="shared" si="25"/>
        <v>TRUE</v>
      </c>
    </row>
    <row r="473" spans="1:20">
      <c r="A473" t="s">
        <v>633</v>
      </c>
      <c r="B473" s="14" t="s">
        <v>144</v>
      </c>
      <c r="C473" s="14" t="s">
        <v>157</v>
      </c>
      <c r="D473" s="14">
        <v>0</v>
      </c>
      <c r="E473" s="14"/>
      <c r="F473" s="14">
        <v>1</v>
      </c>
      <c r="G473" s="14">
        <v>1</v>
      </c>
      <c r="H473" s="14"/>
      <c r="I473" s="8" t="s">
        <v>38</v>
      </c>
      <c r="J473" s="8" t="s">
        <v>38</v>
      </c>
      <c r="K473">
        <v>60</v>
      </c>
      <c r="L473">
        <v>32.4375</v>
      </c>
      <c r="M473" s="14">
        <v>4.5</v>
      </c>
      <c r="N473" s="14">
        <v>1</v>
      </c>
      <c r="R473" t="str">
        <f t="shared" si="24"/>
        <v xml:space="preserve">XX8X_PV_0845:    Front abuts stile:FALSE       Back abuts stile:TRUE          Panel Section: BOTTOM           Stile in the back Width:            Cutout A:           Cutout B:      F.C.:4.5 in.         C.C.:1 in.   </v>
      </c>
      <c r="S473" t="str">
        <f t="shared" si="23"/>
        <v>FALSE</v>
      </c>
      <c r="T473" t="str">
        <f t="shared" si="25"/>
        <v>TRUE</v>
      </c>
    </row>
    <row r="474" spans="1:20">
      <c r="A474" t="s">
        <v>634</v>
      </c>
      <c r="B474" s="14" t="s">
        <v>144</v>
      </c>
      <c r="C474" s="14" t="s">
        <v>157</v>
      </c>
      <c r="D474" s="14">
        <v>1</v>
      </c>
      <c r="E474" s="14">
        <v>0</v>
      </c>
      <c r="F474" s="14">
        <v>0</v>
      </c>
      <c r="G474" s="14"/>
      <c r="H474" s="14"/>
      <c r="I474" s="8" t="s">
        <v>38</v>
      </c>
      <c r="J474" s="8" t="s">
        <v>38</v>
      </c>
      <c r="K474">
        <v>60</v>
      </c>
      <c r="L474">
        <v>15.5</v>
      </c>
      <c r="M474" s="14">
        <v>3.5</v>
      </c>
      <c r="N474" s="14">
        <v>4.125</v>
      </c>
      <c r="R474" t="str">
        <f t="shared" si="24"/>
        <v xml:space="preserve">XX8X_PV_0846:    Front abuts stile:TRUE       Back abuts stile:FALSE          Panel Section: BOTTOM           Stile in the back Width:            Cutout A:           Cutout B:      F.C.:3.5 in.         C.C.:4.125 in.   </v>
      </c>
      <c r="S474" t="str">
        <f t="shared" si="23"/>
        <v>TRUE</v>
      </c>
      <c r="T474" t="str">
        <f t="shared" si="25"/>
        <v>FALSE</v>
      </c>
    </row>
    <row r="475" spans="1:20">
      <c r="A475" t="s">
        <v>635</v>
      </c>
      <c r="B475" s="14" t="s">
        <v>144</v>
      </c>
      <c r="C475" s="14" t="s">
        <v>157</v>
      </c>
      <c r="D475" s="14">
        <v>1</v>
      </c>
      <c r="E475" s="14">
        <v>0</v>
      </c>
      <c r="F475" s="14">
        <v>1</v>
      </c>
      <c r="G475" s="14">
        <v>0</v>
      </c>
      <c r="H475" s="14">
        <v>12</v>
      </c>
      <c r="I475" s="8" t="s">
        <v>38</v>
      </c>
      <c r="J475" s="8" t="s">
        <v>38</v>
      </c>
      <c r="K475">
        <v>60</v>
      </c>
      <c r="L475">
        <v>45.5</v>
      </c>
      <c r="M475" s="14">
        <v>8.75</v>
      </c>
      <c r="N475" s="14">
        <v>8.1875</v>
      </c>
      <c r="R475" t="str">
        <f t="shared" si="24"/>
        <v xml:space="preserve">XX8X_PV_0847:    Front abuts stile:TRUE       Back abuts stile:TRUE          Panel Section: BOTTOM           Stile in the back Width: 12           Cutout A:           Cutout B:      F.C.:8.75 in.         C.C.:8.1875 in.   </v>
      </c>
      <c r="S475" t="str">
        <f t="shared" si="23"/>
        <v>TRUE</v>
      </c>
      <c r="T475" t="str">
        <f t="shared" si="25"/>
        <v>TRUE</v>
      </c>
    </row>
    <row r="476" spans="1:20">
      <c r="A476" t="s">
        <v>636</v>
      </c>
      <c r="B476" s="14" t="s">
        <v>144</v>
      </c>
      <c r="C476" s="14" t="s">
        <v>157</v>
      </c>
      <c r="D476" s="14">
        <v>1</v>
      </c>
      <c r="E476" s="14">
        <v>0</v>
      </c>
      <c r="F476" s="14">
        <v>1</v>
      </c>
      <c r="G476" s="14">
        <v>0</v>
      </c>
      <c r="H476" s="14">
        <v>24</v>
      </c>
      <c r="I476" s="8" t="s">
        <v>38</v>
      </c>
      <c r="J476" s="8" t="s">
        <v>38</v>
      </c>
      <c r="K476">
        <v>60</v>
      </c>
      <c r="L476">
        <v>76.4375</v>
      </c>
      <c r="M476" s="14">
        <v>3.25</v>
      </c>
      <c r="N476" s="14">
        <v>4.9375</v>
      </c>
      <c r="R476" t="str">
        <f t="shared" si="24"/>
        <v xml:space="preserve">XX8X_PV_0848:    Front abuts stile:TRUE       Back abuts stile:TRUE          Panel Section: BOTTOM           Stile in the back Width: 24           Cutout A:           Cutout B:      F.C.:3.25 in.         C.C.:4.9375 in.   </v>
      </c>
      <c r="S476" t="str">
        <f t="shared" si="23"/>
        <v>TRUE</v>
      </c>
      <c r="T476" t="str">
        <f t="shared" si="25"/>
        <v>TRUE</v>
      </c>
    </row>
    <row r="477" spans="1:20">
      <c r="A477" t="s">
        <v>637</v>
      </c>
      <c r="B477" s="14" t="s">
        <v>144</v>
      </c>
      <c r="C477" s="14" t="s">
        <v>157</v>
      </c>
      <c r="D477" s="14">
        <v>1</v>
      </c>
      <c r="E477" s="14">
        <v>0</v>
      </c>
      <c r="F477" s="14">
        <v>1</v>
      </c>
      <c r="G477" s="14">
        <v>0</v>
      </c>
      <c r="H477" s="14"/>
      <c r="I477" s="8" t="s">
        <v>38</v>
      </c>
      <c r="J477" s="8" t="s">
        <v>38</v>
      </c>
      <c r="K477">
        <v>60</v>
      </c>
      <c r="L477">
        <v>41.625</v>
      </c>
      <c r="M477" s="14">
        <v>4.5</v>
      </c>
      <c r="N477" s="14">
        <v>1</v>
      </c>
      <c r="R477" t="str">
        <f t="shared" si="24"/>
        <v xml:space="preserve">XX8X_PV_0849:    Front abuts stile:TRUE       Back abuts stile:TRUE          Panel Section: BOTTOM           Stile in the back Width:            Cutout A:           Cutout B:      F.C.:4.5 in.         C.C.:1 in.   </v>
      </c>
      <c r="S477" t="str">
        <f t="shared" si="23"/>
        <v>TRUE</v>
      </c>
      <c r="T477" t="str">
        <f t="shared" si="25"/>
        <v>TRUE</v>
      </c>
    </row>
    <row r="478" spans="1:20">
      <c r="A478" t="s">
        <v>638</v>
      </c>
      <c r="B478" s="14" t="s">
        <v>144</v>
      </c>
      <c r="C478" s="14" t="s">
        <v>157</v>
      </c>
      <c r="D478" s="14">
        <v>1</v>
      </c>
      <c r="E478" s="14">
        <v>0</v>
      </c>
      <c r="F478" s="14">
        <v>1</v>
      </c>
      <c r="G478" s="14">
        <v>1</v>
      </c>
      <c r="H478" s="14"/>
      <c r="I478" s="8" t="s">
        <v>38</v>
      </c>
      <c r="J478" s="8" t="s">
        <v>38</v>
      </c>
      <c r="K478">
        <v>60</v>
      </c>
      <c r="L478">
        <v>37.125</v>
      </c>
      <c r="M478" s="14">
        <v>1</v>
      </c>
      <c r="N478" s="14">
        <v>2.1875</v>
      </c>
      <c r="R478" t="str">
        <f t="shared" si="24"/>
        <v xml:space="preserve">XX8X_PV_0850:    Front abuts stile:TRUE       Back abuts stile:TRUE          Panel Section: BOTTOM           Stile in the back Width:            Cutout A:           Cutout B:      F.C.:1 in.         C.C.:2.1875 in.   </v>
      </c>
      <c r="S478" t="str">
        <f t="shared" si="23"/>
        <v>TRUE</v>
      </c>
      <c r="T478" t="str">
        <f t="shared" si="25"/>
        <v>TRUE</v>
      </c>
    </row>
    <row r="479" spans="1:20">
      <c r="A479" t="s">
        <v>639</v>
      </c>
      <c r="B479" s="14" t="s">
        <v>144</v>
      </c>
      <c r="C479" s="14" t="s">
        <v>157</v>
      </c>
      <c r="D479" s="14">
        <v>1</v>
      </c>
      <c r="E479" s="14">
        <v>1</v>
      </c>
      <c r="F479" s="14">
        <v>0</v>
      </c>
      <c r="G479" s="14"/>
      <c r="H479" s="14"/>
      <c r="I479" s="8" t="s">
        <v>121</v>
      </c>
      <c r="J479" s="8" t="s">
        <v>120</v>
      </c>
      <c r="K479">
        <v>60</v>
      </c>
      <c r="L479">
        <v>40.75</v>
      </c>
      <c r="M479" s="14">
        <v>1</v>
      </c>
      <c r="N479" s="14">
        <v>3.3125</v>
      </c>
      <c r="R479" t="str">
        <f t="shared" si="24"/>
        <v xml:space="preserve">XX8X_PV_0851:    Front abuts stile:TRUE       Back abuts stile:FALSE          Panel Section: BOTTOM           Stile in the back Width:            Cutout A: B-4354          Cutout B:B-386      F.C.:1 in.         C.C.:3.3125 in.   </v>
      </c>
      <c r="S479" t="str">
        <f t="shared" si="23"/>
        <v>TRUE</v>
      </c>
      <c r="T479" t="str">
        <f t="shared" si="25"/>
        <v>FALSE</v>
      </c>
    </row>
    <row r="480" spans="1:20">
      <c r="A480" t="s">
        <v>640</v>
      </c>
      <c r="B480" s="14" t="s">
        <v>144</v>
      </c>
      <c r="C480" s="14" t="s">
        <v>157</v>
      </c>
      <c r="D480" s="14">
        <v>1</v>
      </c>
      <c r="E480" s="14">
        <v>1</v>
      </c>
      <c r="F480" s="14">
        <v>1</v>
      </c>
      <c r="G480" s="14">
        <v>0</v>
      </c>
      <c r="H480" s="14">
        <v>12</v>
      </c>
      <c r="I480" s="8" t="s">
        <v>38</v>
      </c>
      <c r="J480" s="8" t="s">
        <v>38</v>
      </c>
      <c r="K480">
        <v>60</v>
      </c>
      <c r="L480">
        <v>6.5625</v>
      </c>
      <c r="M480" s="14">
        <v>12</v>
      </c>
      <c r="N480" s="14">
        <v>1</v>
      </c>
      <c r="R480" t="str">
        <f t="shared" si="24"/>
        <v xml:space="preserve">XX8X_PV_0852:    Front abuts stile:TRUE       Back abuts stile:TRUE          Panel Section: BOTTOM           Stile in the back Width: 12           Cutout A:           Cutout B:      F.C.:12 in.         C.C.:1 in.   </v>
      </c>
      <c r="S480" t="str">
        <f t="shared" si="23"/>
        <v>TRUE</v>
      </c>
      <c r="T480" t="str">
        <f t="shared" si="25"/>
        <v>TRUE</v>
      </c>
    </row>
    <row r="481" spans="1:20">
      <c r="A481" t="s">
        <v>641</v>
      </c>
      <c r="B481" s="14" t="s">
        <v>144</v>
      </c>
      <c r="C481" s="14" t="s">
        <v>157</v>
      </c>
      <c r="D481" s="14">
        <v>1</v>
      </c>
      <c r="E481" s="14">
        <v>1</v>
      </c>
      <c r="F481" s="14">
        <v>1</v>
      </c>
      <c r="G481" s="14">
        <v>0</v>
      </c>
      <c r="H481" s="14">
        <v>24</v>
      </c>
      <c r="I481" s="8" t="s">
        <v>120</v>
      </c>
      <c r="J481" s="8" t="s">
        <v>38</v>
      </c>
      <c r="K481">
        <v>60</v>
      </c>
      <c r="L481">
        <v>65.125</v>
      </c>
      <c r="M481" s="14">
        <v>1</v>
      </c>
      <c r="N481" s="14">
        <v>2</v>
      </c>
      <c r="R481" t="str">
        <f t="shared" si="24"/>
        <v xml:space="preserve">XX8X_PV_0853:    Front abuts stile:TRUE       Back abuts stile:TRUE          Panel Section: BOTTOM           Stile in the back Width: 24           Cutout A: B-386          Cutout B:      F.C.:1 in.         C.C.:2 in.   </v>
      </c>
      <c r="S481" t="str">
        <f t="shared" si="23"/>
        <v>TRUE</v>
      </c>
      <c r="T481" t="str">
        <f t="shared" si="25"/>
        <v>TRUE</v>
      </c>
    </row>
    <row r="482" spans="1:20">
      <c r="A482" t="s">
        <v>642</v>
      </c>
      <c r="B482" s="14" t="s">
        <v>144</v>
      </c>
      <c r="C482" s="14" t="s">
        <v>157</v>
      </c>
      <c r="D482" s="14">
        <v>1</v>
      </c>
      <c r="E482" s="14">
        <v>1</v>
      </c>
      <c r="F482" s="14">
        <v>1</v>
      </c>
      <c r="G482" s="14">
        <v>0</v>
      </c>
      <c r="H482" s="14"/>
      <c r="I482" s="8" t="s">
        <v>38</v>
      </c>
      <c r="J482" s="8" t="s">
        <v>38</v>
      </c>
      <c r="K482">
        <v>60</v>
      </c>
      <c r="L482">
        <v>63.4375</v>
      </c>
      <c r="M482" s="14">
        <v>12</v>
      </c>
      <c r="N482" s="14">
        <v>2.875</v>
      </c>
      <c r="R482" t="str">
        <f t="shared" si="24"/>
        <v xml:space="preserve">XX8X_PV_0854:    Front abuts stile:TRUE       Back abuts stile:TRUE          Panel Section: BOTTOM           Stile in the back Width:            Cutout A:           Cutout B:      F.C.:12 in.         C.C.:2.875 in.   </v>
      </c>
      <c r="S482" t="str">
        <f t="shared" si="23"/>
        <v>TRUE</v>
      </c>
      <c r="T482" t="str">
        <f t="shared" si="25"/>
        <v>TRUE</v>
      </c>
    </row>
    <row r="483" spans="1:20">
      <c r="A483" t="s">
        <v>643</v>
      </c>
      <c r="B483" s="14" t="s">
        <v>144</v>
      </c>
      <c r="C483" s="14" t="s">
        <v>157</v>
      </c>
      <c r="D483" s="14">
        <v>1</v>
      </c>
      <c r="E483" s="14">
        <v>1</v>
      </c>
      <c r="F483" s="14">
        <v>1</v>
      </c>
      <c r="G483" s="14">
        <v>1</v>
      </c>
      <c r="H483" s="14"/>
      <c r="I483" s="8" t="s">
        <v>38</v>
      </c>
      <c r="J483" s="8" t="s">
        <v>38</v>
      </c>
      <c r="K483">
        <v>60</v>
      </c>
      <c r="L483">
        <v>52</v>
      </c>
      <c r="M483" s="14">
        <v>9</v>
      </c>
      <c r="N483" s="14">
        <v>1</v>
      </c>
      <c r="R483" t="str">
        <f t="shared" si="24"/>
        <v xml:space="preserve">XX8X_PV_0855:    Front abuts stile:TRUE       Back abuts stile:TRUE          Panel Section: BOTTOM           Stile in the back Width:            Cutout A:           Cutout B:      F.C.:9 in.         C.C.:1 in.   </v>
      </c>
      <c r="S483" t="str">
        <f t="shared" si="23"/>
        <v>TRUE</v>
      </c>
      <c r="T483" t="str">
        <f t="shared" si="25"/>
        <v>TRUE</v>
      </c>
    </row>
    <row r="484" spans="1:20">
      <c r="A484" t="s">
        <v>644</v>
      </c>
      <c r="B484" s="14" t="s">
        <v>144</v>
      </c>
      <c r="C484" s="14" t="s">
        <v>21</v>
      </c>
      <c r="D484" s="14">
        <v>0</v>
      </c>
      <c r="E484" s="14"/>
      <c r="F484" s="14">
        <v>0</v>
      </c>
      <c r="G484" s="14"/>
      <c r="H484" s="14"/>
      <c r="I484" s="8" t="s">
        <v>38</v>
      </c>
      <c r="J484" s="8" t="s">
        <v>38</v>
      </c>
      <c r="K484">
        <v>41.1875</v>
      </c>
      <c r="L484">
        <v>74.375</v>
      </c>
      <c r="M484" s="14">
        <v>12</v>
      </c>
      <c r="N484" s="14">
        <v>1</v>
      </c>
      <c r="R484" t="str">
        <f t="shared" si="24"/>
        <v xml:space="preserve">XX8X_PV_0871:    Front abuts stile:FALSE       Back abuts stile:FALSE          Panel Section: WHOLE           Stile in the back Width:            Cutout A:           Cutout B:      F.C.:12 in.         C.C.:1 in.   </v>
      </c>
      <c r="S484" t="str">
        <f t="shared" si="23"/>
        <v>FALSE</v>
      </c>
      <c r="T484" t="str">
        <f t="shared" si="25"/>
        <v>FALSE</v>
      </c>
    </row>
    <row r="485" spans="1:20">
      <c r="A485" t="s">
        <v>645</v>
      </c>
      <c r="B485" s="14" t="s">
        <v>144</v>
      </c>
      <c r="C485" s="14" t="s">
        <v>21</v>
      </c>
      <c r="D485" s="14">
        <v>0</v>
      </c>
      <c r="E485" s="14"/>
      <c r="F485" s="14">
        <v>1</v>
      </c>
      <c r="G485" s="14">
        <v>0</v>
      </c>
      <c r="H485" s="14">
        <v>12</v>
      </c>
      <c r="I485" s="8" t="s">
        <v>120</v>
      </c>
      <c r="J485" s="8" t="s">
        <v>38</v>
      </c>
      <c r="K485">
        <v>96</v>
      </c>
      <c r="L485">
        <v>48.625</v>
      </c>
      <c r="M485" s="14">
        <v>9</v>
      </c>
      <c r="N485" s="14">
        <v>6.5625</v>
      </c>
      <c r="R485" t="str">
        <f t="shared" si="24"/>
        <v xml:space="preserve">XX8X_PV_0872:    Front abuts stile:FALSE       Back abuts stile:TRUE          Panel Section: WHOLE           Stile in the back Width: 12           Cutout A: B-386          Cutout B:      F.C.:9 in.         C.C.:6.5625 in.   </v>
      </c>
      <c r="S485" t="str">
        <f t="shared" si="23"/>
        <v>FALSE</v>
      </c>
      <c r="T485" t="str">
        <f t="shared" si="25"/>
        <v>TRUE</v>
      </c>
    </row>
    <row r="486" spans="1:20">
      <c r="A486" t="s">
        <v>646</v>
      </c>
      <c r="B486" s="14" t="s">
        <v>144</v>
      </c>
      <c r="C486" s="14" t="s">
        <v>21</v>
      </c>
      <c r="D486" s="14">
        <v>0</v>
      </c>
      <c r="E486" s="14"/>
      <c r="F486" s="14">
        <v>1</v>
      </c>
      <c r="G486" s="14">
        <v>0</v>
      </c>
      <c r="H486" s="14">
        <v>24</v>
      </c>
      <c r="I486" s="8" t="s">
        <v>120</v>
      </c>
      <c r="J486" s="8" t="s">
        <v>38</v>
      </c>
      <c r="K486">
        <v>54</v>
      </c>
      <c r="L486">
        <v>77.75</v>
      </c>
      <c r="M486" s="14">
        <v>1.4375</v>
      </c>
      <c r="N486" s="14">
        <v>2.5625</v>
      </c>
      <c r="R486" t="str">
        <f t="shared" si="24"/>
        <v xml:space="preserve">XX8X_PV_0873:    Front abuts stile:FALSE       Back abuts stile:TRUE          Panel Section: WHOLE           Stile in the back Width: 24           Cutout A: B-386          Cutout B:      F.C.:1.4375 in.         C.C.:2.5625 in.   </v>
      </c>
      <c r="S486" t="str">
        <f t="shared" si="23"/>
        <v>FALSE</v>
      </c>
      <c r="T486" t="str">
        <f t="shared" si="25"/>
        <v>TRUE</v>
      </c>
    </row>
    <row r="487" spans="1:20">
      <c r="A487" t="s">
        <v>647</v>
      </c>
      <c r="B487" s="14" t="s">
        <v>144</v>
      </c>
      <c r="C487" s="14" t="s">
        <v>21</v>
      </c>
      <c r="D487" s="14">
        <v>0</v>
      </c>
      <c r="E487" s="14"/>
      <c r="F487" s="14">
        <v>1</v>
      </c>
      <c r="G487" s="14">
        <v>0</v>
      </c>
      <c r="H487" s="14"/>
      <c r="I487" s="8" t="s">
        <v>38</v>
      </c>
      <c r="J487" s="8" t="s">
        <v>38</v>
      </c>
      <c r="K487">
        <v>98.0625</v>
      </c>
      <c r="L487">
        <v>10.6875</v>
      </c>
      <c r="M487" s="14">
        <v>10.875</v>
      </c>
      <c r="N487" s="14">
        <v>5.1875</v>
      </c>
      <c r="R487" t="str">
        <f t="shared" si="24"/>
        <v xml:space="preserve">XX8X_PV_0874:    Front abuts stile:FALSE       Back abuts stile:TRUE          Panel Section: WHOLE           Stile in the back Width:            Cutout A:           Cutout B:      F.C.:10.875 in.         C.C.:5.1875 in.   </v>
      </c>
      <c r="S487" t="str">
        <f t="shared" si="23"/>
        <v>FALSE</v>
      </c>
      <c r="T487" t="str">
        <f t="shared" si="25"/>
        <v>TRUE</v>
      </c>
    </row>
    <row r="488" spans="1:20">
      <c r="A488" t="s">
        <v>648</v>
      </c>
      <c r="B488" s="14" t="s">
        <v>144</v>
      </c>
      <c r="C488" s="14" t="s">
        <v>21</v>
      </c>
      <c r="D488" s="14">
        <v>0</v>
      </c>
      <c r="E488" s="14"/>
      <c r="F488" s="14">
        <v>1</v>
      </c>
      <c r="G488" s="14">
        <v>1</v>
      </c>
      <c r="H488" s="14"/>
      <c r="I488" s="8" t="s">
        <v>38</v>
      </c>
      <c r="J488" s="8" t="s">
        <v>38</v>
      </c>
      <c r="K488">
        <v>96</v>
      </c>
      <c r="L488">
        <v>79.25</v>
      </c>
      <c r="M488" s="14">
        <v>1</v>
      </c>
      <c r="N488" s="14">
        <v>1</v>
      </c>
      <c r="R488" t="str">
        <f t="shared" si="24"/>
        <v xml:space="preserve">XX8X_PV_0875:    Front abuts stile:FALSE       Back abuts stile:TRUE          Panel Section: WHOLE           Stile in the back Width:            Cutout A:           Cutout B:      F.C.:1 in.         C.C.:1 in.   </v>
      </c>
      <c r="S488" t="str">
        <f t="shared" si="23"/>
        <v>FALSE</v>
      </c>
      <c r="T488" t="str">
        <f t="shared" si="25"/>
        <v>TRUE</v>
      </c>
    </row>
    <row r="489" spans="1:20">
      <c r="A489" t="s">
        <v>649</v>
      </c>
      <c r="B489" s="14" t="s">
        <v>144</v>
      </c>
      <c r="C489" s="14" t="s">
        <v>21</v>
      </c>
      <c r="D489" s="14">
        <v>1</v>
      </c>
      <c r="E489" s="14">
        <v>0</v>
      </c>
      <c r="F489" s="14">
        <v>0</v>
      </c>
      <c r="G489" s="14"/>
      <c r="H489" s="14"/>
      <c r="I489" s="8" t="s">
        <v>121</v>
      </c>
      <c r="J489" s="8" t="s">
        <v>120</v>
      </c>
      <c r="K489">
        <v>40.5625</v>
      </c>
      <c r="L489">
        <v>78.4375</v>
      </c>
      <c r="M489" s="14">
        <v>4.5</v>
      </c>
      <c r="N489" s="14">
        <v>5.875</v>
      </c>
      <c r="R489" t="str">
        <f t="shared" si="24"/>
        <v xml:space="preserve">XX8X_PV_0876:    Front abuts stile:TRUE       Back abuts stile:FALSE          Panel Section: WHOLE           Stile in the back Width:            Cutout A: B-4354          Cutout B:B-386      F.C.:4.5 in.         C.C.:5.875 in.   </v>
      </c>
      <c r="S489" t="str">
        <f t="shared" si="23"/>
        <v>TRUE</v>
      </c>
      <c r="T489" t="str">
        <f t="shared" si="25"/>
        <v>FALSE</v>
      </c>
    </row>
    <row r="490" spans="1:20">
      <c r="A490" t="s">
        <v>650</v>
      </c>
      <c r="B490" s="14" t="s">
        <v>144</v>
      </c>
      <c r="C490" s="14" t="s">
        <v>21</v>
      </c>
      <c r="D490" s="14">
        <v>1</v>
      </c>
      <c r="E490" s="14">
        <v>0</v>
      </c>
      <c r="F490" s="14">
        <v>1</v>
      </c>
      <c r="G490" s="14">
        <v>0</v>
      </c>
      <c r="H490" s="14">
        <v>12</v>
      </c>
      <c r="I490" s="8" t="s">
        <v>150</v>
      </c>
      <c r="J490" s="8" t="s">
        <v>38</v>
      </c>
      <c r="K490">
        <v>36.3125</v>
      </c>
      <c r="L490">
        <v>61.3125</v>
      </c>
      <c r="M490" s="14">
        <v>12</v>
      </c>
      <c r="N490" s="14">
        <v>8.125</v>
      </c>
      <c r="R490" t="str">
        <f t="shared" si="24"/>
        <v xml:space="preserve">XX8X_PV_0877:    Front abuts stile:TRUE       Back abuts stile:TRUE          Panel Section: WHOLE           Stile in the back Width: 12           Cutout A: B-3571          Cutout B:      F.C.:12 in.         C.C.:8.125 in.   </v>
      </c>
      <c r="S490" t="str">
        <f t="shared" si="23"/>
        <v>TRUE</v>
      </c>
      <c r="T490" t="str">
        <f t="shared" si="25"/>
        <v>TRUE</v>
      </c>
    </row>
    <row r="491" spans="1:20">
      <c r="A491" t="s">
        <v>651</v>
      </c>
      <c r="B491" s="14" t="s">
        <v>144</v>
      </c>
      <c r="C491" s="14" t="s">
        <v>21</v>
      </c>
      <c r="D491" s="14">
        <v>1</v>
      </c>
      <c r="E491" s="14">
        <v>0</v>
      </c>
      <c r="F491" s="14">
        <v>1</v>
      </c>
      <c r="G491" s="14">
        <v>0</v>
      </c>
      <c r="H491" s="14">
        <v>24</v>
      </c>
      <c r="I491" s="8" t="s">
        <v>38</v>
      </c>
      <c r="J491" s="8" t="s">
        <v>38</v>
      </c>
      <c r="K491">
        <v>87.625</v>
      </c>
      <c r="L491">
        <v>63.8125</v>
      </c>
      <c r="M491" s="14">
        <v>4.5</v>
      </c>
      <c r="N491" s="14">
        <v>1</v>
      </c>
      <c r="R491" t="str">
        <f t="shared" si="24"/>
        <v xml:space="preserve">XX8X_PV_0878:    Front abuts stile:TRUE       Back abuts stile:TRUE          Panel Section: WHOLE           Stile in the back Width: 24           Cutout A:           Cutout B:      F.C.:4.5 in.         C.C.:1 in.   </v>
      </c>
      <c r="S491" t="str">
        <f t="shared" si="23"/>
        <v>TRUE</v>
      </c>
      <c r="T491" t="str">
        <f t="shared" si="25"/>
        <v>TRUE</v>
      </c>
    </row>
    <row r="492" spans="1:20">
      <c r="A492" t="s">
        <v>652</v>
      </c>
      <c r="B492" s="14" t="s">
        <v>144</v>
      </c>
      <c r="C492" s="14" t="s">
        <v>21</v>
      </c>
      <c r="D492" s="14">
        <v>1</v>
      </c>
      <c r="E492" s="14">
        <v>0</v>
      </c>
      <c r="F492" s="14">
        <v>1</v>
      </c>
      <c r="G492" s="14">
        <v>0</v>
      </c>
      <c r="H492" s="14"/>
      <c r="I492" s="8" t="s">
        <v>38</v>
      </c>
      <c r="J492" s="8" t="s">
        <v>38</v>
      </c>
      <c r="K492">
        <v>78.0625</v>
      </c>
      <c r="L492">
        <v>65.9375</v>
      </c>
      <c r="M492" s="14">
        <v>1</v>
      </c>
      <c r="N492" s="14">
        <v>2.625</v>
      </c>
      <c r="R492" t="str">
        <f t="shared" si="24"/>
        <v xml:space="preserve">XX8X_PV_0879:    Front abuts stile:TRUE       Back abuts stile:TRUE          Panel Section: WHOLE           Stile in the back Width:            Cutout A:           Cutout B:      F.C.:1 in.         C.C.:2.625 in.   </v>
      </c>
      <c r="S492" t="str">
        <f t="shared" si="23"/>
        <v>TRUE</v>
      </c>
      <c r="T492" t="str">
        <f t="shared" si="25"/>
        <v>TRUE</v>
      </c>
    </row>
    <row r="493" spans="1:20">
      <c r="A493" t="s">
        <v>653</v>
      </c>
      <c r="B493" s="14" t="s">
        <v>144</v>
      </c>
      <c r="C493" s="14" t="s">
        <v>21</v>
      </c>
      <c r="D493" s="14">
        <v>1</v>
      </c>
      <c r="E493" s="14">
        <v>0</v>
      </c>
      <c r="F493" s="14">
        <v>1</v>
      </c>
      <c r="G493" s="14">
        <v>1</v>
      </c>
      <c r="H493" s="14"/>
      <c r="I493" s="8" t="s">
        <v>38</v>
      </c>
      <c r="J493" s="8" t="s">
        <v>38</v>
      </c>
      <c r="K493">
        <v>105.8125</v>
      </c>
      <c r="L493">
        <v>40.5625</v>
      </c>
      <c r="M493" s="14">
        <v>9</v>
      </c>
      <c r="N493" s="14">
        <v>1</v>
      </c>
      <c r="R493" t="str">
        <f t="shared" si="24"/>
        <v xml:space="preserve">XX8X_PV_0880:    Front abuts stile:TRUE       Back abuts stile:TRUE          Panel Section: WHOLE           Stile in the back Width:            Cutout A:           Cutout B:      F.C.:9 in.         C.C.:1 in.   </v>
      </c>
      <c r="S493" t="str">
        <f t="shared" si="23"/>
        <v>TRUE</v>
      </c>
      <c r="T493" t="str">
        <f t="shared" si="25"/>
        <v>TRUE</v>
      </c>
    </row>
    <row r="494" spans="1:20">
      <c r="A494" t="s">
        <v>654</v>
      </c>
      <c r="B494" s="14" t="s">
        <v>144</v>
      </c>
      <c r="C494" s="14" t="s">
        <v>21</v>
      </c>
      <c r="D494" s="14">
        <v>1</v>
      </c>
      <c r="E494" s="14">
        <v>1</v>
      </c>
      <c r="F494" s="14">
        <v>0</v>
      </c>
      <c r="G494" s="14"/>
      <c r="H494" s="14"/>
      <c r="I494" s="8" t="s">
        <v>38</v>
      </c>
      <c r="J494" s="8" t="s">
        <v>38</v>
      </c>
      <c r="K494">
        <v>73.8125</v>
      </c>
      <c r="L494">
        <v>74.6875</v>
      </c>
      <c r="M494" s="14">
        <v>9</v>
      </c>
      <c r="N494" s="14">
        <v>1</v>
      </c>
      <c r="R494" t="str">
        <f t="shared" si="24"/>
        <v xml:space="preserve">XX8X_PV_0881:    Front abuts stile:TRUE       Back abuts stile:FALSE          Panel Section: WHOLE           Stile in the back Width:            Cutout A:           Cutout B:      F.C.:9 in.         C.C.:1 in.   </v>
      </c>
      <c r="S494" t="str">
        <f t="shared" si="23"/>
        <v>TRUE</v>
      </c>
      <c r="T494" t="str">
        <f t="shared" si="25"/>
        <v>FALSE</v>
      </c>
    </row>
    <row r="495" spans="1:20">
      <c r="A495" t="s">
        <v>655</v>
      </c>
      <c r="B495" s="14" t="s">
        <v>144</v>
      </c>
      <c r="C495" s="14" t="s">
        <v>21</v>
      </c>
      <c r="D495" s="14">
        <v>1</v>
      </c>
      <c r="E495" s="14">
        <v>1</v>
      </c>
      <c r="F495" s="14">
        <v>1</v>
      </c>
      <c r="G495" s="14">
        <v>0</v>
      </c>
      <c r="H495" s="14">
        <v>12</v>
      </c>
      <c r="I495" s="8" t="s">
        <v>150</v>
      </c>
      <c r="J495" s="8" t="s">
        <v>38</v>
      </c>
      <c r="K495">
        <v>68.4375</v>
      </c>
      <c r="L495">
        <v>56.75</v>
      </c>
      <c r="M495" s="14">
        <v>4.5</v>
      </c>
      <c r="N495" s="14">
        <v>1</v>
      </c>
      <c r="R495" t="str">
        <f t="shared" si="24"/>
        <v xml:space="preserve">XX8X_PV_0882:    Front abuts stile:TRUE       Back abuts stile:TRUE          Panel Section: WHOLE           Stile in the back Width: 12           Cutout A: B-3571          Cutout B:      F.C.:4.5 in.         C.C.:1 in.   </v>
      </c>
      <c r="S495" t="str">
        <f t="shared" si="23"/>
        <v>TRUE</v>
      </c>
      <c r="T495" t="str">
        <f t="shared" si="25"/>
        <v>TRUE</v>
      </c>
    </row>
    <row r="496" spans="1:20">
      <c r="A496" t="s">
        <v>656</v>
      </c>
      <c r="B496" s="14" t="s">
        <v>144</v>
      </c>
      <c r="C496" s="14" t="s">
        <v>21</v>
      </c>
      <c r="D496" s="14">
        <v>1</v>
      </c>
      <c r="E496" s="14">
        <v>1</v>
      </c>
      <c r="F496" s="14">
        <v>1</v>
      </c>
      <c r="G496" s="14">
        <v>0</v>
      </c>
      <c r="H496" s="14">
        <v>24</v>
      </c>
      <c r="I496" s="8" t="s">
        <v>38</v>
      </c>
      <c r="J496" s="8" t="s">
        <v>38</v>
      </c>
      <c r="K496">
        <v>88.625</v>
      </c>
      <c r="L496">
        <v>42.8125</v>
      </c>
      <c r="M496" s="14">
        <v>12</v>
      </c>
      <c r="N496" s="14">
        <v>1.3125</v>
      </c>
      <c r="R496" t="str">
        <f t="shared" si="24"/>
        <v xml:space="preserve">XX8X_PV_0883:    Front abuts stile:TRUE       Back abuts stile:TRUE          Panel Section: WHOLE           Stile in the back Width: 24           Cutout A:           Cutout B:      F.C.:12 in.         C.C.:1.3125 in.   </v>
      </c>
      <c r="S496" t="str">
        <f t="shared" si="23"/>
        <v>TRUE</v>
      </c>
      <c r="T496" t="str">
        <f t="shared" si="25"/>
        <v>TRUE</v>
      </c>
    </row>
    <row r="497" spans="1:20">
      <c r="A497" t="s">
        <v>657</v>
      </c>
      <c r="B497" s="14" t="s">
        <v>144</v>
      </c>
      <c r="C497" s="14" t="s">
        <v>21</v>
      </c>
      <c r="D497" s="14">
        <v>1</v>
      </c>
      <c r="E497" s="14">
        <v>1</v>
      </c>
      <c r="F497" s="14">
        <v>1</v>
      </c>
      <c r="G497" s="14">
        <v>0</v>
      </c>
      <c r="H497" s="14"/>
      <c r="I497" s="8" t="s">
        <v>38</v>
      </c>
      <c r="J497" s="8" t="s">
        <v>38</v>
      </c>
      <c r="K497">
        <v>99.5</v>
      </c>
      <c r="L497">
        <v>61.125</v>
      </c>
      <c r="M497" s="14">
        <v>9.625</v>
      </c>
      <c r="N497" s="14">
        <v>1</v>
      </c>
      <c r="R497" t="str">
        <f t="shared" si="24"/>
        <v xml:space="preserve">XX8X_PV_0884:    Front abuts stile:TRUE       Back abuts stile:TRUE          Panel Section: WHOLE           Stile in the back Width:            Cutout A:           Cutout B:      F.C.:9.625 in.         C.C.:1 in.   </v>
      </c>
      <c r="S497" t="str">
        <f t="shared" si="23"/>
        <v>TRUE</v>
      </c>
      <c r="T497" t="str">
        <f t="shared" si="25"/>
        <v>TRUE</v>
      </c>
    </row>
    <row r="498" spans="1:20">
      <c r="A498" t="s">
        <v>658</v>
      </c>
      <c r="B498" s="14" t="s">
        <v>144</v>
      </c>
      <c r="C498" s="14" t="s">
        <v>21</v>
      </c>
      <c r="D498" s="14">
        <v>1</v>
      </c>
      <c r="E498" s="14">
        <v>1</v>
      </c>
      <c r="F498" s="14">
        <v>1</v>
      </c>
      <c r="G498" s="14">
        <v>1</v>
      </c>
      <c r="H498" s="14"/>
      <c r="I498" s="8" t="s">
        <v>38</v>
      </c>
      <c r="J498" s="8" t="s">
        <v>38</v>
      </c>
      <c r="K498">
        <v>96</v>
      </c>
      <c r="L498">
        <v>52.3125</v>
      </c>
      <c r="M498" s="14">
        <v>12</v>
      </c>
      <c r="N498" s="14">
        <v>3.5625</v>
      </c>
      <c r="R498" t="str">
        <f t="shared" si="24"/>
        <v xml:space="preserve">XX8X_PV_0885:    Front abuts stile:TRUE       Back abuts stile:TRUE          Panel Section: WHOLE           Stile in the back Width:            Cutout A:           Cutout B:      F.C.:12 in.         C.C.:3.5625 in.   </v>
      </c>
      <c r="S498" t="str">
        <f t="shared" si="23"/>
        <v>TRUE</v>
      </c>
      <c r="T498" t="str">
        <f t="shared" si="25"/>
        <v>TRUE</v>
      </c>
    </row>
    <row r="499" spans="1:20">
      <c r="A499" t="s">
        <v>659</v>
      </c>
      <c r="B499" s="14" t="s">
        <v>144</v>
      </c>
      <c r="C499" s="14" t="s">
        <v>156</v>
      </c>
      <c r="D499" s="19">
        <v>0</v>
      </c>
      <c r="E499" s="19"/>
      <c r="F499" s="19">
        <v>0</v>
      </c>
      <c r="G499" s="19"/>
      <c r="H499" s="14"/>
      <c r="I499" s="8" t="s">
        <v>149</v>
      </c>
      <c r="J499" s="8" t="s">
        <v>38</v>
      </c>
      <c r="K499">
        <v>28.125</v>
      </c>
      <c r="L499">
        <v>46</v>
      </c>
      <c r="M499" s="14">
        <v>12</v>
      </c>
      <c r="N499" s="14">
        <v>4.5</v>
      </c>
      <c r="R499" t="str">
        <f t="shared" si="24"/>
        <v xml:space="preserve">XX8X_PV_0901:    Front abuts stile:FALSE       Back abuts stile:FALSE          Panel Section: TOP           Stile in the back Width:            Cutout A: B-34715          Cutout B:      F.C.:12 in.         C.C.:4.5 in.   </v>
      </c>
      <c r="S499" t="str">
        <f t="shared" si="23"/>
        <v>FALSE</v>
      </c>
      <c r="T499" t="str">
        <f t="shared" si="25"/>
        <v>FALSE</v>
      </c>
    </row>
    <row r="500" spans="1:20">
      <c r="A500" t="s">
        <v>660</v>
      </c>
      <c r="B500" s="14" t="s">
        <v>144</v>
      </c>
      <c r="C500" s="14" t="s">
        <v>156</v>
      </c>
      <c r="D500" s="14">
        <v>0</v>
      </c>
      <c r="E500" s="14"/>
      <c r="F500" s="14">
        <v>1</v>
      </c>
      <c r="G500" s="14">
        <v>0</v>
      </c>
      <c r="H500" s="14">
        <v>12</v>
      </c>
      <c r="I500" s="8" t="s">
        <v>145</v>
      </c>
      <c r="J500" s="8" t="s">
        <v>38</v>
      </c>
      <c r="K500">
        <v>4.6875</v>
      </c>
      <c r="L500">
        <v>66.25</v>
      </c>
      <c r="M500" s="14">
        <v>12</v>
      </c>
      <c r="N500" s="14">
        <v>7.75</v>
      </c>
      <c r="R500" t="str">
        <f t="shared" si="24"/>
        <v xml:space="preserve">XX8X_PV_0902:    Front abuts stile:FALSE       Back abuts stile:TRUE          Panel Section: TOP           Stile in the back Width: 12           Cutout A: B-347          Cutout B:      F.C.:12 in.         C.C.:7.75 in.   </v>
      </c>
      <c r="S500" t="str">
        <f t="shared" si="23"/>
        <v>FALSE</v>
      </c>
      <c r="T500" t="str">
        <f t="shared" si="25"/>
        <v>TRUE</v>
      </c>
    </row>
    <row r="501" spans="1:20">
      <c r="A501" t="s">
        <v>661</v>
      </c>
      <c r="B501" s="14" t="s">
        <v>144</v>
      </c>
      <c r="C501" s="14" t="s">
        <v>156</v>
      </c>
      <c r="D501" s="14">
        <v>0</v>
      </c>
      <c r="E501" s="14"/>
      <c r="F501" s="14">
        <v>1</v>
      </c>
      <c r="G501" s="14">
        <v>0</v>
      </c>
      <c r="H501" s="14">
        <v>24</v>
      </c>
      <c r="I501" s="8" t="s">
        <v>120</v>
      </c>
      <c r="J501" s="8" t="s">
        <v>38</v>
      </c>
      <c r="K501">
        <v>19.3125</v>
      </c>
      <c r="L501">
        <v>59.625</v>
      </c>
      <c r="M501" s="14">
        <v>5.25</v>
      </c>
      <c r="N501" s="14">
        <v>2.1875</v>
      </c>
      <c r="R501" t="str">
        <f t="shared" si="24"/>
        <v xml:space="preserve">XX8X_PV_0903:    Front abuts stile:FALSE       Back abuts stile:TRUE          Panel Section: TOP           Stile in the back Width: 24           Cutout A: B-386          Cutout B:      F.C.:5.25 in.         C.C.:2.1875 in.   </v>
      </c>
      <c r="S501" t="str">
        <f t="shared" si="23"/>
        <v>FALSE</v>
      </c>
      <c r="T501" t="str">
        <f t="shared" si="25"/>
        <v>TRUE</v>
      </c>
    </row>
    <row r="502" spans="1:20">
      <c r="A502" t="s">
        <v>662</v>
      </c>
      <c r="B502" s="14" t="s">
        <v>144</v>
      </c>
      <c r="C502" s="14" t="s">
        <v>156</v>
      </c>
      <c r="D502" s="14">
        <v>0</v>
      </c>
      <c r="E502" s="14"/>
      <c r="F502" s="14">
        <v>1</v>
      </c>
      <c r="G502" s="14">
        <v>0</v>
      </c>
      <c r="H502" s="14"/>
      <c r="I502" s="8" t="s">
        <v>38</v>
      </c>
      <c r="J502" s="8" t="s">
        <v>38</v>
      </c>
      <c r="K502">
        <v>10.5</v>
      </c>
      <c r="L502">
        <v>47.5</v>
      </c>
      <c r="M502" s="14">
        <v>1</v>
      </c>
      <c r="N502" s="14">
        <v>4.875</v>
      </c>
      <c r="R502" t="str">
        <f t="shared" si="24"/>
        <v xml:space="preserve">XX8X_PV_0904:    Front abuts stile:FALSE       Back abuts stile:TRUE          Panel Section: TOP           Stile in the back Width:            Cutout A:           Cutout B:      F.C.:1 in.         C.C.:4.875 in.   </v>
      </c>
      <c r="S502" t="str">
        <f t="shared" si="23"/>
        <v>FALSE</v>
      </c>
      <c r="T502" t="str">
        <f t="shared" si="25"/>
        <v>TRUE</v>
      </c>
    </row>
    <row r="503" spans="1:20">
      <c r="A503" t="s">
        <v>663</v>
      </c>
      <c r="B503" s="14" t="s">
        <v>144</v>
      </c>
      <c r="C503" s="14" t="s">
        <v>156</v>
      </c>
      <c r="D503" s="14">
        <v>0</v>
      </c>
      <c r="E503" s="14"/>
      <c r="F503" s="14">
        <v>1</v>
      </c>
      <c r="G503" s="14">
        <v>1</v>
      </c>
      <c r="H503" s="14"/>
      <c r="I503" s="8" t="s">
        <v>38</v>
      </c>
      <c r="J503" s="8" t="s">
        <v>38</v>
      </c>
      <c r="K503">
        <v>10.625</v>
      </c>
      <c r="L503">
        <v>74.0625</v>
      </c>
      <c r="M503" s="14">
        <v>9</v>
      </c>
      <c r="N503" s="14">
        <v>4.25</v>
      </c>
      <c r="R503" t="str">
        <f t="shared" si="24"/>
        <v xml:space="preserve">XX8X_PV_0905:    Front abuts stile:FALSE       Back abuts stile:TRUE          Panel Section: TOP           Stile in the back Width:            Cutout A:           Cutout B:      F.C.:9 in.         C.C.:4.25 in.   </v>
      </c>
      <c r="S503" t="str">
        <f t="shared" si="23"/>
        <v>FALSE</v>
      </c>
      <c r="T503" t="str">
        <f t="shared" si="25"/>
        <v>TRUE</v>
      </c>
    </row>
    <row r="504" spans="1:20">
      <c r="A504" t="s">
        <v>664</v>
      </c>
      <c r="B504" s="14" t="s">
        <v>144</v>
      </c>
      <c r="C504" s="14" t="s">
        <v>156</v>
      </c>
      <c r="D504" s="14">
        <v>1</v>
      </c>
      <c r="E504" s="14">
        <v>0</v>
      </c>
      <c r="F504" s="14">
        <v>0</v>
      </c>
      <c r="G504" s="14"/>
      <c r="H504" s="14"/>
      <c r="I504" s="8" t="s">
        <v>150</v>
      </c>
      <c r="J504" s="8" t="s">
        <v>38</v>
      </c>
      <c r="K504">
        <v>7.25</v>
      </c>
      <c r="L504">
        <v>42.3125</v>
      </c>
      <c r="M504" s="14">
        <v>12</v>
      </c>
      <c r="N504" s="14">
        <v>1</v>
      </c>
      <c r="R504" t="str">
        <f t="shared" si="24"/>
        <v xml:space="preserve">XX8X_PV_0906:    Front abuts stile:TRUE       Back abuts stile:FALSE          Panel Section: TOP           Stile in the back Width:            Cutout A: B-3571          Cutout B:      F.C.:12 in.         C.C.:1 in.   </v>
      </c>
      <c r="S504" t="str">
        <f t="shared" si="23"/>
        <v>TRUE</v>
      </c>
      <c r="T504" t="str">
        <f t="shared" si="25"/>
        <v>FALSE</v>
      </c>
    </row>
    <row r="505" spans="1:20">
      <c r="A505" t="s">
        <v>665</v>
      </c>
      <c r="B505" s="14" t="s">
        <v>144</v>
      </c>
      <c r="C505" s="14" t="s">
        <v>156</v>
      </c>
      <c r="D505" s="14">
        <v>1</v>
      </c>
      <c r="E505" s="14">
        <v>0</v>
      </c>
      <c r="F505" s="14">
        <v>1</v>
      </c>
      <c r="G505" s="14">
        <v>0</v>
      </c>
      <c r="H505" s="14">
        <v>12</v>
      </c>
      <c r="I505" s="8" t="s">
        <v>120</v>
      </c>
      <c r="J505" s="8" t="s">
        <v>38</v>
      </c>
      <c r="K505">
        <v>46.625</v>
      </c>
      <c r="L505">
        <v>64.5</v>
      </c>
      <c r="M505" s="14">
        <v>9</v>
      </c>
      <c r="N505" s="14">
        <v>4.875</v>
      </c>
      <c r="R505" t="str">
        <f t="shared" si="24"/>
        <v xml:space="preserve">XX8X_PV_0907:    Front abuts stile:TRUE       Back abuts stile:TRUE          Panel Section: TOP           Stile in the back Width: 12           Cutout A: B-386          Cutout B:      F.C.:9 in.         C.C.:4.875 in.   </v>
      </c>
      <c r="S505" t="str">
        <f t="shared" si="23"/>
        <v>TRUE</v>
      </c>
      <c r="T505" t="str">
        <f t="shared" si="25"/>
        <v>TRUE</v>
      </c>
    </row>
    <row r="506" spans="1:20">
      <c r="A506" t="s">
        <v>666</v>
      </c>
      <c r="B506" s="14" t="s">
        <v>144</v>
      </c>
      <c r="C506" s="14" t="s">
        <v>156</v>
      </c>
      <c r="D506" s="14">
        <v>1</v>
      </c>
      <c r="E506" s="14">
        <v>0</v>
      </c>
      <c r="F506" s="14">
        <v>1</v>
      </c>
      <c r="G506" s="14">
        <v>0</v>
      </c>
      <c r="H506" s="14">
        <v>24</v>
      </c>
      <c r="I506" s="8" t="s">
        <v>120</v>
      </c>
      <c r="J506" s="8" t="s">
        <v>38</v>
      </c>
      <c r="K506">
        <v>10.125</v>
      </c>
      <c r="L506">
        <v>79.8125</v>
      </c>
      <c r="M506" s="14">
        <v>9</v>
      </c>
      <c r="N506" s="14">
        <v>7.1875</v>
      </c>
      <c r="R506" t="str">
        <f t="shared" si="24"/>
        <v xml:space="preserve">XX8X_PV_0908:    Front abuts stile:TRUE       Back abuts stile:TRUE          Panel Section: TOP           Stile in the back Width: 24           Cutout A: B-386          Cutout B:      F.C.:9 in.         C.C.:7.1875 in.   </v>
      </c>
      <c r="S506" t="str">
        <f t="shared" si="23"/>
        <v>TRUE</v>
      </c>
      <c r="T506" t="str">
        <f t="shared" si="25"/>
        <v>TRUE</v>
      </c>
    </row>
    <row r="507" spans="1:20">
      <c r="A507" t="s">
        <v>667</v>
      </c>
      <c r="B507" s="14" t="s">
        <v>144</v>
      </c>
      <c r="C507" s="14" t="s">
        <v>156</v>
      </c>
      <c r="D507" s="14">
        <v>1</v>
      </c>
      <c r="E507" s="14">
        <v>0</v>
      </c>
      <c r="F507" s="14">
        <v>1</v>
      </c>
      <c r="G507" s="14">
        <v>0</v>
      </c>
      <c r="H507" s="14"/>
      <c r="I507" s="8" t="s">
        <v>38</v>
      </c>
      <c r="J507" s="8" t="s">
        <v>38</v>
      </c>
      <c r="K507">
        <v>39.375</v>
      </c>
      <c r="L507">
        <v>42.5625</v>
      </c>
      <c r="M507" s="14">
        <v>1.125</v>
      </c>
      <c r="N507" s="14">
        <v>4.4375</v>
      </c>
      <c r="R507" t="str">
        <f t="shared" si="24"/>
        <v xml:space="preserve">XX8X_PV_0909:    Front abuts stile:TRUE       Back abuts stile:TRUE          Panel Section: TOP           Stile in the back Width:            Cutout A:           Cutout B:      F.C.:1.125 in.         C.C.:4.4375 in.   </v>
      </c>
      <c r="S507" t="str">
        <f t="shared" si="23"/>
        <v>TRUE</v>
      </c>
      <c r="T507" t="str">
        <f t="shared" si="25"/>
        <v>TRUE</v>
      </c>
    </row>
    <row r="508" spans="1:20">
      <c r="A508" t="s">
        <v>668</v>
      </c>
      <c r="B508" s="14" t="s">
        <v>144</v>
      </c>
      <c r="C508" s="14" t="s">
        <v>156</v>
      </c>
      <c r="D508" s="14">
        <v>1</v>
      </c>
      <c r="E508" s="14">
        <v>0</v>
      </c>
      <c r="F508" s="14">
        <v>1</v>
      </c>
      <c r="G508" s="14">
        <v>1</v>
      </c>
      <c r="H508" s="14"/>
      <c r="I508" s="8" t="s">
        <v>38</v>
      </c>
      <c r="J508" s="8" t="s">
        <v>38</v>
      </c>
      <c r="K508">
        <v>12</v>
      </c>
      <c r="L508">
        <v>43.8125</v>
      </c>
      <c r="M508" s="14">
        <v>9</v>
      </c>
      <c r="N508" s="14">
        <v>3.5</v>
      </c>
      <c r="R508" t="str">
        <f t="shared" si="24"/>
        <v xml:space="preserve">XX8X_PV_0910:    Front abuts stile:TRUE       Back abuts stile:TRUE          Panel Section: TOP           Stile in the back Width:            Cutout A:           Cutout B:      F.C.:9 in.         C.C.:3.5 in.   </v>
      </c>
      <c r="S508" t="str">
        <f t="shared" si="23"/>
        <v>TRUE</v>
      </c>
      <c r="T508" t="str">
        <f t="shared" si="25"/>
        <v>TRUE</v>
      </c>
    </row>
    <row r="509" spans="1:20">
      <c r="A509" t="s">
        <v>669</v>
      </c>
      <c r="B509" s="14" t="s">
        <v>144</v>
      </c>
      <c r="C509" s="14" t="s">
        <v>156</v>
      </c>
      <c r="D509" s="14">
        <v>1</v>
      </c>
      <c r="E509" s="14">
        <v>1</v>
      </c>
      <c r="F509" s="14">
        <v>0</v>
      </c>
      <c r="G509" s="14"/>
      <c r="H509" s="14"/>
      <c r="I509" s="8" t="s">
        <v>151</v>
      </c>
      <c r="J509" s="8" t="s">
        <v>38</v>
      </c>
      <c r="K509">
        <v>23.8125</v>
      </c>
      <c r="L509">
        <v>44.0625</v>
      </c>
      <c r="M509" s="14">
        <v>1</v>
      </c>
      <c r="N509" s="14">
        <v>8.4375</v>
      </c>
      <c r="R509" t="str">
        <f t="shared" si="24"/>
        <v xml:space="preserve">XX8X_PV_0911:    Front abuts stile:TRUE       Back abuts stile:FALSE          Panel Section: TOP           Stile in the back Width:            Cutout A: B-35715          Cutout B:      F.C.:1 in.         C.C.:8.4375 in.   </v>
      </c>
      <c r="S509" t="str">
        <f t="shared" si="23"/>
        <v>TRUE</v>
      </c>
      <c r="T509" t="str">
        <f t="shared" si="25"/>
        <v>FALSE</v>
      </c>
    </row>
    <row r="510" spans="1:20">
      <c r="A510" t="s">
        <v>670</v>
      </c>
      <c r="B510" s="14" t="s">
        <v>144</v>
      </c>
      <c r="C510" s="14" t="s">
        <v>156</v>
      </c>
      <c r="D510" s="14">
        <v>1</v>
      </c>
      <c r="E510" s="14">
        <v>1</v>
      </c>
      <c r="F510" s="14">
        <v>1</v>
      </c>
      <c r="G510" s="14">
        <v>0</v>
      </c>
      <c r="H510" s="14">
        <v>12</v>
      </c>
      <c r="I510" s="8" t="s">
        <v>38</v>
      </c>
      <c r="J510" s="8" t="s">
        <v>38</v>
      </c>
      <c r="K510">
        <v>3.375</v>
      </c>
      <c r="L510">
        <v>5.1875</v>
      </c>
      <c r="M510" s="14">
        <v>4.5625</v>
      </c>
      <c r="N510" s="14">
        <v>1</v>
      </c>
      <c r="R510" t="str">
        <f t="shared" si="24"/>
        <v xml:space="preserve">XX8X_PV_0912:    Front abuts stile:TRUE       Back abuts stile:TRUE          Panel Section: TOP           Stile in the back Width: 12           Cutout A:           Cutout B:      F.C.:4.5625 in.         C.C.:1 in.   </v>
      </c>
      <c r="S510" t="str">
        <f t="shared" si="23"/>
        <v>TRUE</v>
      </c>
      <c r="T510" t="str">
        <f t="shared" si="25"/>
        <v>TRUE</v>
      </c>
    </row>
    <row r="511" spans="1:20">
      <c r="A511" t="s">
        <v>671</v>
      </c>
      <c r="B511" s="14" t="s">
        <v>144</v>
      </c>
      <c r="C511" s="14" t="s">
        <v>156</v>
      </c>
      <c r="D511" s="14">
        <v>1</v>
      </c>
      <c r="E511" s="14">
        <v>1</v>
      </c>
      <c r="F511" s="14">
        <v>1</v>
      </c>
      <c r="G511" s="14">
        <v>0</v>
      </c>
      <c r="H511" s="14">
        <v>24</v>
      </c>
      <c r="I511" s="8" t="s">
        <v>120</v>
      </c>
      <c r="J511" s="8" t="s">
        <v>38</v>
      </c>
      <c r="K511">
        <v>40.875</v>
      </c>
      <c r="L511">
        <v>62.5625</v>
      </c>
      <c r="M511" s="14">
        <v>12</v>
      </c>
      <c r="N511" s="14">
        <v>1.125</v>
      </c>
      <c r="R511" t="str">
        <f t="shared" si="24"/>
        <v xml:space="preserve">XX8X_PV_0913:    Front abuts stile:TRUE       Back abuts stile:TRUE          Panel Section: TOP           Stile in the back Width: 24           Cutout A: B-386          Cutout B:      F.C.:12 in.         C.C.:1.125 in.   </v>
      </c>
      <c r="S511" t="str">
        <f t="shared" si="23"/>
        <v>TRUE</v>
      </c>
      <c r="T511" t="str">
        <f t="shared" si="25"/>
        <v>TRUE</v>
      </c>
    </row>
    <row r="512" spans="1:20">
      <c r="A512" t="s">
        <v>672</v>
      </c>
      <c r="B512" s="14" t="s">
        <v>144</v>
      </c>
      <c r="C512" s="14" t="s">
        <v>156</v>
      </c>
      <c r="D512" s="14">
        <v>1</v>
      </c>
      <c r="E512" s="14">
        <v>1</v>
      </c>
      <c r="F512" s="14">
        <v>1</v>
      </c>
      <c r="G512" s="14">
        <v>0</v>
      </c>
      <c r="H512" s="14"/>
      <c r="I512" s="8" t="s">
        <v>38</v>
      </c>
      <c r="J512" s="8" t="s">
        <v>38</v>
      </c>
      <c r="K512">
        <v>34.75</v>
      </c>
      <c r="L512">
        <v>53.25</v>
      </c>
      <c r="M512" s="14">
        <v>4.375</v>
      </c>
      <c r="N512" s="14">
        <v>5</v>
      </c>
      <c r="R512" t="str">
        <f t="shared" si="24"/>
        <v xml:space="preserve">XX8X_PV_0914:    Front abuts stile:TRUE       Back abuts stile:TRUE          Panel Section: TOP           Stile in the back Width:            Cutout A:           Cutout B:      F.C.:4.375 in.         C.C.:5 in.   </v>
      </c>
      <c r="S512" t="str">
        <f t="shared" si="23"/>
        <v>TRUE</v>
      </c>
      <c r="T512" t="str">
        <f t="shared" si="25"/>
        <v>TRUE</v>
      </c>
    </row>
    <row r="513" spans="1:20">
      <c r="A513" t="s">
        <v>673</v>
      </c>
      <c r="B513" s="14" t="s">
        <v>144</v>
      </c>
      <c r="C513" s="14" t="s">
        <v>156</v>
      </c>
      <c r="D513" s="14">
        <v>1</v>
      </c>
      <c r="E513" s="14">
        <v>1</v>
      </c>
      <c r="F513" s="14">
        <v>1</v>
      </c>
      <c r="G513" s="14">
        <v>1</v>
      </c>
      <c r="H513" s="14"/>
      <c r="I513" s="8" t="s">
        <v>38</v>
      </c>
      <c r="J513" s="8" t="s">
        <v>38</v>
      </c>
      <c r="K513">
        <v>26.9375</v>
      </c>
      <c r="L513">
        <v>51.75</v>
      </c>
      <c r="M513" s="14">
        <v>4.5</v>
      </c>
      <c r="N513" s="14">
        <v>2.8125</v>
      </c>
      <c r="R513" t="str">
        <f t="shared" si="24"/>
        <v xml:space="preserve">XX8X_PV_0915:    Front abuts stile:TRUE       Back abuts stile:TRUE          Panel Section: TOP           Stile in the back Width:            Cutout A:           Cutout B:      F.C.:4.5 in.         C.C.:2.8125 in.   </v>
      </c>
      <c r="S513" t="str">
        <f t="shared" si="23"/>
        <v>TRUE</v>
      </c>
      <c r="T513" t="str">
        <f t="shared" si="25"/>
        <v>TRUE</v>
      </c>
    </row>
    <row r="514" spans="1:20">
      <c r="A514" t="s">
        <v>674</v>
      </c>
      <c r="B514" s="14" t="s">
        <v>144</v>
      </c>
      <c r="C514" s="14" t="s">
        <v>157</v>
      </c>
      <c r="D514" s="14">
        <v>0</v>
      </c>
      <c r="E514" s="14"/>
      <c r="F514" s="14">
        <v>0</v>
      </c>
      <c r="G514" s="14"/>
      <c r="H514" s="14"/>
      <c r="I514" s="8" t="s">
        <v>148</v>
      </c>
      <c r="J514" s="8" t="s">
        <v>38</v>
      </c>
      <c r="K514">
        <v>60</v>
      </c>
      <c r="L514">
        <v>58.375</v>
      </c>
      <c r="M514" s="14">
        <v>12</v>
      </c>
      <c r="N514" s="14">
        <v>2.5</v>
      </c>
      <c r="R514" t="str">
        <f t="shared" si="24"/>
        <v xml:space="preserve">XX8X_PV_0931:    Front abuts stile:FALSE       Back abuts stile:FALSE          Panel Section: BOTTOM           Stile in the back Width:            Cutout A: B-3471          Cutout B:      F.C.:12 in.         C.C.:2.5 in.   </v>
      </c>
      <c r="S514" t="str">
        <f t="shared" si="23"/>
        <v>FALSE</v>
      </c>
      <c r="T514" t="str">
        <f t="shared" si="25"/>
        <v>FALSE</v>
      </c>
    </row>
    <row r="515" spans="1:20">
      <c r="A515" t="s">
        <v>675</v>
      </c>
      <c r="B515" s="14" t="s">
        <v>144</v>
      </c>
      <c r="C515" s="14" t="s">
        <v>157</v>
      </c>
      <c r="D515" s="14">
        <v>0</v>
      </c>
      <c r="E515" s="14"/>
      <c r="F515" s="14">
        <v>1</v>
      </c>
      <c r="G515" s="14">
        <v>0</v>
      </c>
      <c r="H515" s="14">
        <v>12</v>
      </c>
      <c r="I515" s="8" t="s">
        <v>120</v>
      </c>
      <c r="J515" s="8" t="s">
        <v>38</v>
      </c>
      <c r="K515">
        <v>60</v>
      </c>
      <c r="L515">
        <v>70.5</v>
      </c>
      <c r="M515" s="14">
        <v>4.5</v>
      </c>
      <c r="N515" s="14">
        <v>7.9375</v>
      </c>
      <c r="R515" t="str">
        <f t="shared" si="24"/>
        <v xml:space="preserve">XX8X_PV_0932:    Front abuts stile:FALSE       Back abuts stile:TRUE          Panel Section: BOTTOM           Stile in the back Width: 12           Cutout A: B-386          Cutout B:      F.C.:4.5 in.         C.C.:7.9375 in.   </v>
      </c>
      <c r="S515" t="str">
        <f t="shared" si="23"/>
        <v>FALSE</v>
      </c>
      <c r="T515" t="str">
        <f t="shared" si="25"/>
        <v>TRUE</v>
      </c>
    </row>
    <row r="516" spans="1:20">
      <c r="A516" t="s">
        <v>676</v>
      </c>
      <c r="B516" s="14" t="s">
        <v>144</v>
      </c>
      <c r="C516" s="14" t="s">
        <v>157</v>
      </c>
      <c r="D516" s="14">
        <v>0</v>
      </c>
      <c r="E516" s="14"/>
      <c r="F516" s="14">
        <v>1</v>
      </c>
      <c r="G516" s="14">
        <v>0</v>
      </c>
      <c r="H516" s="14">
        <v>24</v>
      </c>
      <c r="I516" s="8" t="s">
        <v>38</v>
      </c>
      <c r="J516" s="8" t="s">
        <v>38</v>
      </c>
      <c r="K516">
        <v>60</v>
      </c>
      <c r="L516">
        <v>56.4375</v>
      </c>
      <c r="M516" s="14">
        <v>1</v>
      </c>
      <c r="N516" s="14">
        <v>4.0625</v>
      </c>
      <c r="R516" t="str">
        <f t="shared" si="24"/>
        <v xml:space="preserve">XX8X_PV_0933:    Front abuts stile:FALSE       Back abuts stile:TRUE          Panel Section: BOTTOM           Stile in the back Width: 24           Cutout A:           Cutout B:      F.C.:1 in.         C.C.:4.0625 in.   </v>
      </c>
      <c r="S516" t="str">
        <f t="shared" ref="S516:S579" si="26">IF(D516=1, "TRUE", "FALSE")</f>
        <v>FALSE</v>
      </c>
      <c r="T516" t="str">
        <f t="shared" si="25"/>
        <v>TRUE</v>
      </c>
    </row>
    <row r="517" spans="1:20">
      <c r="A517" t="s">
        <v>677</v>
      </c>
      <c r="B517" s="14" t="s">
        <v>144</v>
      </c>
      <c r="C517" s="14" t="s">
        <v>157</v>
      </c>
      <c r="D517" s="14">
        <v>0</v>
      </c>
      <c r="E517" s="14"/>
      <c r="F517" s="14">
        <v>1</v>
      </c>
      <c r="G517" s="14">
        <v>0</v>
      </c>
      <c r="H517" s="14"/>
      <c r="I517" s="8" t="s">
        <v>38</v>
      </c>
      <c r="J517" s="8" t="s">
        <v>38</v>
      </c>
      <c r="K517">
        <v>60</v>
      </c>
      <c r="L517">
        <v>69.125</v>
      </c>
      <c r="M517" s="14">
        <v>12</v>
      </c>
      <c r="N517" s="14">
        <v>4</v>
      </c>
      <c r="R517" t="str">
        <f t="shared" si="24"/>
        <v xml:space="preserve">XX8X_PV_0934:    Front abuts stile:FALSE       Back abuts stile:TRUE          Panel Section: BOTTOM           Stile in the back Width:            Cutout A:           Cutout B:      F.C.:12 in.         C.C.:4 in.   </v>
      </c>
      <c r="S517" t="str">
        <f t="shared" si="26"/>
        <v>FALSE</v>
      </c>
      <c r="T517" t="str">
        <f t="shared" si="25"/>
        <v>TRUE</v>
      </c>
    </row>
    <row r="518" spans="1:20">
      <c r="A518" t="s">
        <v>678</v>
      </c>
      <c r="B518" s="14" t="s">
        <v>144</v>
      </c>
      <c r="C518" s="14" t="s">
        <v>157</v>
      </c>
      <c r="D518" s="14">
        <v>0</v>
      </c>
      <c r="E518" s="14"/>
      <c r="F518" s="14">
        <v>1</v>
      </c>
      <c r="G518" s="14">
        <v>1</v>
      </c>
      <c r="H518" s="14"/>
      <c r="I518" s="8" t="s">
        <v>38</v>
      </c>
      <c r="J518" s="8" t="s">
        <v>38</v>
      </c>
      <c r="K518">
        <v>60</v>
      </c>
      <c r="L518">
        <v>23.1875</v>
      </c>
      <c r="M518" s="14">
        <v>3.625</v>
      </c>
      <c r="N518" s="14">
        <v>2.875</v>
      </c>
      <c r="R518" t="str">
        <f t="shared" si="24"/>
        <v xml:space="preserve">XX8X_PV_0935:    Front abuts stile:FALSE       Back abuts stile:TRUE          Panel Section: BOTTOM           Stile in the back Width:            Cutout A:           Cutout B:      F.C.:3.625 in.         C.C.:2.875 in.   </v>
      </c>
      <c r="S518" t="str">
        <f t="shared" si="26"/>
        <v>FALSE</v>
      </c>
      <c r="T518" t="str">
        <f t="shared" si="25"/>
        <v>TRUE</v>
      </c>
    </row>
    <row r="519" spans="1:20">
      <c r="A519" t="s">
        <v>679</v>
      </c>
      <c r="B519" s="14" t="s">
        <v>144</v>
      </c>
      <c r="C519" s="14" t="s">
        <v>157</v>
      </c>
      <c r="D519" s="14">
        <v>1</v>
      </c>
      <c r="E519" s="14">
        <v>0</v>
      </c>
      <c r="F519" s="14">
        <v>0</v>
      </c>
      <c r="G519" s="14"/>
      <c r="H519" s="14"/>
      <c r="I519" s="8" t="s">
        <v>119</v>
      </c>
      <c r="J519" s="8" t="s">
        <v>38</v>
      </c>
      <c r="K519">
        <v>60</v>
      </c>
      <c r="L519">
        <v>60.1875</v>
      </c>
      <c r="M519" s="14">
        <v>12</v>
      </c>
      <c r="N519" s="14">
        <v>8.125</v>
      </c>
      <c r="R519" t="str">
        <f t="shared" ref="R519:R582" si="27">A519&amp;":    Front abuts stile:"&amp;S519&amp;"       Back abuts stile:"&amp;T519&amp;"          Panel Section: "&amp;C519&amp;"           Stile in the back Width: "&amp;H519&amp;"           Cutout A: "&amp;I519&amp;"          Cutout B:"&amp;J519&amp;"      F.C.:"&amp;M519&amp;" in. "&amp;"        C.C.:"&amp;N519&amp;" in. "&amp;"  "</f>
        <v xml:space="preserve">XX8X_PV_0936:    Front abuts stile:TRUE       Back abuts stile:FALSE          Panel Section: BOTTOM           Stile in the back Width:            Cutout A: B-354          Cutout B:      F.C.:12 in.         C.C.:8.125 in.   </v>
      </c>
      <c r="S519" t="str">
        <f t="shared" si="26"/>
        <v>TRUE</v>
      </c>
      <c r="T519" t="str">
        <f t="shared" si="25"/>
        <v>FALSE</v>
      </c>
    </row>
    <row r="520" spans="1:20">
      <c r="A520" t="s">
        <v>680</v>
      </c>
      <c r="B520" s="14" t="s">
        <v>144</v>
      </c>
      <c r="C520" s="14" t="s">
        <v>157</v>
      </c>
      <c r="D520" s="14">
        <v>1</v>
      </c>
      <c r="E520" s="14">
        <v>0</v>
      </c>
      <c r="F520" s="14">
        <v>1</v>
      </c>
      <c r="G520" s="14">
        <v>0</v>
      </c>
      <c r="H520" s="14">
        <v>12</v>
      </c>
      <c r="I520" s="8" t="s">
        <v>149</v>
      </c>
      <c r="J520" s="8" t="s">
        <v>38</v>
      </c>
      <c r="K520">
        <v>60</v>
      </c>
      <c r="L520">
        <v>67.125</v>
      </c>
      <c r="M520" s="14">
        <v>9</v>
      </c>
      <c r="N520" s="14">
        <v>1</v>
      </c>
      <c r="R520" t="str">
        <f t="shared" si="27"/>
        <v xml:space="preserve">XX8X_PV_0937:    Front abuts stile:TRUE       Back abuts stile:TRUE          Panel Section: BOTTOM           Stile in the back Width: 12           Cutout A: B-34715          Cutout B:      F.C.:9 in.         C.C.:1 in.   </v>
      </c>
      <c r="S520" t="str">
        <f t="shared" si="26"/>
        <v>TRUE</v>
      </c>
      <c r="T520" t="str">
        <f t="shared" si="25"/>
        <v>TRUE</v>
      </c>
    </row>
    <row r="521" spans="1:20">
      <c r="A521" t="s">
        <v>681</v>
      </c>
      <c r="B521" s="14" t="s">
        <v>144</v>
      </c>
      <c r="C521" s="14" t="s">
        <v>157</v>
      </c>
      <c r="D521" s="14">
        <v>1</v>
      </c>
      <c r="E521" s="14">
        <v>0</v>
      </c>
      <c r="F521" s="14">
        <v>1</v>
      </c>
      <c r="G521" s="14">
        <v>0</v>
      </c>
      <c r="H521" s="14">
        <v>24</v>
      </c>
      <c r="I521" s="8" t="s">
        <v>120</v>
      </c>
      <c r="J521" s="8" t="s">
        <v>38</v>
      </c>
      <c r="K521">
        <v>60</v>
      </c>
      <c r="L521">
        <v>77</v>
      </c>
      <c r="M521" s="14">
        <v>7.75</v>
      </c>
      <c r="N521" s="14">
        <v>1.75</v>
      </c>
      <c r="R521" t="str">
        <f t="shared" si="27"/>
        <v xml:space="preserve">XX8X_PV_0938:    Front abuts stile:TRUE       Back abuts stile:TRUE          Panel Section: BOTTOM           Stile in the back Width: 24           Cutout A: B-386          Cutout B:      F.C.:7.75 in.         C.C.:1.75 in.   </v>
      </c>
      <c r="S521" t="str">
        <f t="shared" si="26"/>
        <v>TRUE</v>
      </c>
      <c r="T521" t="str">
        <f t="shared" si="25"/>
        <v>TRUE</v>
      </c>
    </row>
    <row r="522" spans="1:20">
      <c r="A522" t="s">
        <v>682</v>
      </c>
      <c r="B522" s="14" t="s">
        <v>144</v>
      </c>
      <c r="C522" s="14" t="s">
        <v>157</v>
      </c>
      <c r="D522" s="14">
        <v>1</v>
      </c>
      <c r="E522" s="14">
        <v>0</v>
      </c>
      <c r="F522" s="14">
        <v>1</v>
      </c>
      <c r="G522" s="14">
        <v>0</v>
      </c>
      <c r="H522" s="14"/>
      <c r="I522" s="8" t="s">
        <v>38</v>
      </c>
      <c r="J522" s="8" t="s">
        <v>38</v>
      </c>
      <c r="K522">
        <v>60</v>
      </c>
      <c r="L522">
        <v>62.75</v>
      </c>
      <c r="M522" s="14">
        <v>4.125</v>
      </c>
      <c r="N522" s="14">
        <v>2.875</v>
      </c>
      <c r="R522" t="str">
        <f t="shared" si="27"/>
        <v xml:space="preserve">XX8X_PV_0939:    Front abuts stile:TRUE       Back abuts stile:TRUE          Panel Section: BOTTOM           Stile in the back Width:            Cutout A:           Cutout B:      F.C.:4.125 in.         C.C.:2.875 in.   </v>
      </c>
      <c r="S522" t="str">
        <f t="shared" si="26"/>
        <v>TRUE</v>
      </c>
      <c r="T522" t="str">
        <f t="shared" si="25"/>
        <v>TRUE</v>
      </c>
    </row>
    <row r="523" spans="1:20">
      <c r="A523" t="s">
        <v>683</v>
      </c>
      <c r="B523" s="14" t="s">
        <v>144</v>
      </c>
      <c r="C523" s="14" t="s">
        <v>157</v>
      </c>
      <c r="D523" s="14">
        <v>1</v>
      </c>
      <c r="E523" s="14">
        <v>0</v>
      </c>
      <c r="F523" s="14">
        <v>1</v>
      </c>
      <c r="G523" s="14">
        <v>1</v>
      </c>
      <c r="H523" s="14"/>
      <c r="I523" s="8" t="s">
        <v>38</v>
      </c>
      <c r="J523" s="8" t="s">
        <v>38</v>
      </c>
      <c r="K523">
        <v>60</v>
      </c>
      <c r="L523">
        <v>66.125</v>
      </c>
      <c r="M523" s="14">
        <v>4.5</v>
      </c>
      <c r="N523" s="14">
        <v>1</v>
      </c>
      <c r="R523" t="str">
        <f t="shared" si="27"/>
        <v xml:space="preserve">XX8X_PV_0940:    Front abuts stile:TRUE       Back abuts stile:TRUE          Panel Section: BOTTOM           Stile in the back Width:            Cutout A:           Cutout B:      F.C.:4.5 in.         C.C.:1 in.   </v>
      </c>
      <c r="S523" t="str">
        <f t="shared" si="26"/>
        <v>TRUE</v>
      </c>
      <c r="T523" t="str">
        <f t="shared" si="25"/>
        <v>TRUE</v>
      </c>
    </row>
    <row r="524" spans="1:20">
      <c r="A524" t="s">
        <v>684</v>
      </c>
      <c r="B524" s="14" t="s">
        <v>144</v>
      </c>
      <c r="C524" s="14" t="s">
        <v>157</v>
      </c>
      <c r="D524" s="14">
        <v>1</v>
      </c>
      <c r="E524" s="14">
        <v>1</v>
      </c>
      <c r="F524" s="14">
        <v>0</v>
      </c>
      <c r="G524" s="14"/>
      <c r="H524" s="14"/>
      <c r="I524" s="8" t="s">
        <v>121</v>
      </c>
      <c r="J524" s="8" t="s">
        <v>120</v>
      </c>
      <c r="K524">
        <v>60</v>
      </c>
      <c r="L524">
        <v>47.75</v>
      </c>
      <c r="M524" s="14">
        <v>9</v>
      </c>
      <c r="N524" s="14">
        <v>1</v>
      </c>
      <c r="R524" t="str">
        <f t="shared" si="27"/>
        <v xml:space="preserve">XX8X_PV_0941:    Front abuts stile:TRUE       Back abuts stile:FALSE          Panel Section: BOTTOM           Stile in the back Width:            Cutout A: B-4354          Cutout B:B-386      F.C.:9 in.         C.C.:1 in.   </v>
      </c>
      <c r="S524" t="str">
        <f t="shared" si="26"/>
        <v>TRUE</v>
      </c>
      <c r="T524" t="str">
        <f t="shared" si="25"/>
        <v>FALSE</v>
      </c>
    </row>
    <row r="525" spans="1:20">
      <c r="A525" t="s">
        <v>685</v>
      </c>
      <c r="B525" s="14" t="s">
        <v>144</v>
      </c>
      <c r="C525" s="14" t="s">
        <v>157</v>
      </c>
      <c r="D525" s="14">
        <v>1</v>
      </c>
      <c r="E525" s="14">
        <v>1</v>
      </c>
      <c r="F525" s="14">
        <v>1</v>
      </c>
      <c r="G525" s="14">
        <v>0</v>
      </c>
      <c r="H525" s="14">
        <v>12</v>
      </c>
      <c r="I525" s="8" t="s">
        <v>120</v>
      </c>
      <c r="J525" s="8" t="s">
        <v>38</v>
      </c>
      <c r="K525">
        <v>60</v>
      </c>
      <c r="L525">
        <v>72.1875</v>
      </c>
      <c r="M525" s="14">
        <v>12</v>
      </c>
      <c r="N525" s="14">
        <v>7.5625</v>
      </c>
      <c r="R525" t="str">
        <f t="shared" si="27"/>
        <v xml:space="preserve">XX8X_PV_0942:    Front abuts stile:TRUE       Back abuts stile:TRUE          Panel Section: BOTTOM           Stile in the back Width: 12           Cutout A: B-386          Cutout B:      F.C.:12 in.         C.C.:7.5625 in.   </v>
      </c>
      <c r="S525" t="str">
        <f t="shared" si="26"/>
        <v>TRUE</v>
      </c>
      <c r="T525" t="str">
        <f t="shared" si="25"/>
        <v>TRUE</v>
      </c>
    </row>
    <row r="526" spans="1:20">
      <c r="A526" t="s">
        <v>686</v>
      </c>
      <c r="B526" s="14" t="s">
        <v>144</v>
      </c>
      <c r="C526" s="14" t="s">
        <v>157</v>
      </c>
      <c r="D526" s="14">
        <v>1</v>
      </c>
      <c r="E526" s="14">
        <v>1</v>
      </c>
      <c r="F526" s="14">
        <v>1</v>
      </c>
      <c r="G526" s="14">
        <v>0</v>
      </c>
      <c r="H526" s="14">
        <v>24</v>
      </c>
      <c r="I526" s="8" t="s">
        <v>120</v>
      </c>
      <c r="J526" s="8" t="s">
        <v>38</v>
      </c>
      <c r="K526">
        <v>60</v>
      </c>
      <c r="L526">
        <v>61.3125</v>
      </c>
      <c r="M526" s="14">
        <v>4.5</v>
      </c>
      <c r="N526" s="14">
        <v>3.4375</v>
      </c>
      <c r="R526" t="str">
        <f t="shared" si="27"/>
        <v xml:space="preserve">XX8X_PV_0943:    Front abuts stile:TRUE       Back abuts stile:TRUE          Panel Section: BOTTOM           Stile in the back Width: 24           Cutout A: B-386          Cutout B:      F.C.:4.5 in.         C.C.:3.4375 in.   </v>
      </c>
      <c r="S526" t="str">
        <f t="shared" si="26"/>
        <v>TRUE</v>
      </c>
      <c r="T526" t="str">
        <f t="shared" si="25"/>
        <v>TRUE</v>
      </c>
    </row>
    <row r="527" spans="1:20">
      <c r="A527" t="s">
        <v>687</v>
      </c>
      <c r="B527" s="14" t="s">
        <v>144</v>
      </c>
      <c r="C527" s="14" t="s">
        <v>157</v>
      </c>
      <c r="D527" s="14">
        <v>1</v>
      </c>
      <c r="E527" s="14">
        <v>1</v>
      </c>
      <c r="F527" s="14">
        <v>1</v>
      </c>
      <c r="G527" s="14">
        <v>0</v>
      </c>
      <c r="H527" s="14"/>
      <c r="I527" s="8" t="s">
        <v>38</v>
      </c>
      <c r="J527" s="8" t="s">
        <v>38</v>
      </c>
      <c r="K527">
        <v>60</v>
      </c>
      <c r="L527">
        <v>64.375</v>
      </c>
      <c r="M527" s="14">
        <v>1</v>
      </c>
      <c r="N527" s="14">
        <v>6.4375</v>
      </c>
      <c r="R527" t="str">
        <f t="shared" si="27"/>
        <v xml:space="preserve">XX8X_PV_0944:    Front abuts stile:TRUE       Back abuts stile:TRUE          Panel Section: BOTTOM           Stile in the back Width:            Cutout A:           Cutout B:      F.C.:1 in.         C.C.:6.4375 in.   </v>
      </c>
      <c r="S527" t="str">
        <f t="shared" si="26"/>
        <v>TRUE</v>
      </c>
      <c r="T527" t="str">
        <f t="shared" si="25"/>
        <v>TRUE</v>
      </c>
    </row>
    <row r="528" spans="1:20">
      <c r="A528" t="s">
        <v>688</v>
      </c>
      <c r="B528" s="14" t="s">
        <v>144</v>
      </c>
      <c r="C528" s="14" t="s">
        <v>157</v>
      </c>
      <c r="D528" s="14">
        <v>1</v>
      </c>
      <c r="E528" s="14">
        <v>1</v>
      </c>
      <c r="F528" s="14">
        <v>1</v>
      </c>
      <c r="G528" s="14">
        <v>1</v>
      </c>
      <c r="H528" s="14"/>
      <c r="I528" s="8" t="s">
        <v>38</v>
      </c>
      <c r="J528" s="8" t="s">
        <v>38</v>
      </c>
      <c r="K528">
        <v>60</v>
      </c>
      <c r="L528">
        <v>46.75</v>
      </c>
      <c r="M528" s="14">
        <v>10.1875</v>
      </c>
      <c r="N528" s="14">
        <v>8.4375</v>
      </c>
      <c r="R528" t="str">
        <f t="shared" si="27"/>
        <v xml:space="preserve">XX8X_PV_0945:    Front abuts stile:TRUE       Back abuts stile:TRUE          Panel Section: BOTTOM           Stile in the back Width:            Cutout A:           Cutout B:      F.C.:10.1875 in.         C.C.:8.4375 in.   </v>
      </c>
      <c r="S528" t="str">
        <f t="shared" si="26"/>
        <v>TRUE</v>
      </c>
      <c r="T528" t="str">
        <f t="shared" si="25"/>
        <v>TRUE</v>
      </c>
    </row>
    <row r="529" spans="1:20">
      <c r="A529" t="s">
        <v>689</v>
      </c>
      <c r="B529" s="14" t="s">
        <v>144</v>
      </c>
      <c r="C529" s="14" t="s">
        <v>21</v>
      </c>
      <c r="D529" s="14">
        <v>0</v>
      </c>
      <c r="E529" s="14"/>
      <c r="F529" s="14">
        <v>0</v>
      </c>
      <c r="G529" s="14"/>
      <c r="H529" s="14"/>
      <c r="I529" s="8" t="s">
        <v>121</v>
      </c>
      <c r="J529" s="8" t="s">
        <v>38</v>
      </c>
      <c r="K529">
        <v>90.125</v>
      </c>
      <c r="L529">
        <v>52.9375</v>
      </c>
      <c r="M529" s="14">
        <v>9</v>
      </c>
      <c r="N529" s="14">
        <v>7.875</v>
      </c>
      <c r="R529" t="str">
        <f t="shared" si="27"/>
        <v xml:space="preserve">XX8X_PV_0961:    Front abuts stile:FALSE       Back abuts stile:FALSE          Panel Section: WHOLE           Stile in the back Width:            Cutout A: B-4354          Cutout B:      F.C.:9 in.         C.C.:7.875 in.   </v>
      </c>
      <c r="S529" t="str">
        <f t="shared" si="26"/>
        <v>FALSE</v>
      </c>
      <c r="T529" t="str">
        <f t="shared" si="25"/>
        <v>FALSE</v>
      </c>
    </row>
    <row r="530" spans="1:20">
      <c r="A530" t="s">
        <v>690</v>
      </c>
      <c r="B530" s="14" t="s">
        <v>144</v>
      </c>
      <c r="C530" s="14" t="s">
        <v>21</v>
      </c>
      <c r="D530" s="14">
        <v>0</v>
      </c>
      <c r="E530" s="14"/>
      <c r="F530" s="14">
        <v>1</v>
      </c>
      <c r="G530" s="14">
        <v>0</v>
      </c>
      <c r="H530" s="14">
        <v>12</v>
      </c>
      <c r="I530" s="8" t="s">
        <v>149</v>
      </c>
      <c r="J530" s="8" t="s">
        <v>38</v>
      </c>
      <c r="K530">
        <v>70.25</v>
      </c>
      <c r="L530">
        <v>58.6875</v>
      </c>
      <c r="M530" s="14">
        <v>7.5625</v>
      </c>
      <c r="N530" s="14">
        <v>1</v>
      </c>
      <c r="R530" t="str">
        <f t="shared" si="27"/>
        <v xml:space="preserve">XX8X_PV_0962:    Front abuts stile:FALSE       Back abuts stile:TRUE          Panel Section: WHOLE           Stile in the back Width: 12           Cutout A: B-34715          Cutout B:      F.C.:7.5625 in.         C.C.:1 in.   </v>
      </c>
      <c r="S530" t="str">
        <f t="shared" si="26"/>
        <v>FALSE</v>
      </c>
      <c r="T530" t="str">
        <f t="shared" ref="T530:T593" si="28">IF(F530=1, "TRUE", "FALSE")</f>
        <v>TRUE</v>
      </c>
    </row>
    <row r="531" spans="1:20">
      <c r="A531" t="s">
        <v>691</v>
      </c>
      <c r="B531" s="14" t="s">
        <v>144</v>
      </c>
      <c r="C531" s="14" t="s">
        <v>21</v>
      </c>
      <c r="D531" s="14">
        <v>0</v>
      </c>
      <c r="E531" s="14"/>
      <c r="F531" s="14">
        <v>1</v>
      </c>
      <c r="G531" s="14">
        <v>0</v>
      </c>
      <c r="H531" s="14">
        <v>24</v>
      </c>
      <c r="I531" s="8" t="s">
        <v>38</v>
      </c>
      <c r="J531" s="8" t="s">
        <v>38</v>
      </c>
      <c r="K531">
        <v>96</v>
      </c>
      <c r="L531">
        <v>60.125</v>
      </c>
      <c r="M531" s="14">
        <v>2.875</v>
      </c>
      <c r="N531" s="14">
        <v>1.8125</v>
      </c>
      <c r="R531" t="str">
        <f t="shared" si="27"/>
        <v xml:space="preserve">XX8X_PV_0963:    Front abuts stile:FALSE       Back abuts stile:TRUE          Panel Section: WHOLE           Stile in the back Width: 24           Cutout A:           Cutout B:      F.C.:2.875 in.         C.C.:1.8125 in.   </v>
      </c>
      <c r="S531" t="str">
        <f t="shared" si="26"/>
        <v>FALSE</v>
      </c>
      <c r="T531" t="str">
        <f t="shared" si="28"/>
        <v>TRUE</v>
      </c>
    </row>
    <row r="532" spans="1:20">
      <c r="A532" t="s">
        <v>692</v>
      </c>
      <c r="B532" s="14" t="s">
        <v>144</v>
      </c>
      <c r="C532" s="14" t="s">
        <v>21</v>
      </c>
      <c r="D532" s="14">
        <v>0</v>
      </c>
      <c r="E532" s="14"/>
      <c r="F532" s="14">
        <v>1</v>
      </c>
      <c r="G532" s="14">
        <v>0</v>
      </c>
      <c r="H532" s="14"/>
      <c r="I532" s="8" t="s">
        <v>38</v>
      </c>
      <c r="J532" s="8" t="s">
        <v>38</v>
      </c>
      <c r="K532">
        <v>48.375</v>
      </c>
      <c r="L532">
        <v>78.8125</v>
      </c>
      <c r="M532" s="14">
        <v>2.0625</v>
      </c>
      <c r="N532" s="14">
        <v>1</v>
      </c>
      <c r="R532" t="str">
        <f t="shared" si="27"/>
        <v xml:space="preserve">XX8X_PV_0964:    Front abuts stile:FALSE       Back abuts stile:TRUE          Panel Section: WHOLE           Stile in the back Width:            Cutout A:           Cutout B:      F.C.:2.0625 in.         C.C.:1 in.   </v>
      </c>
      <c r="S532" t="str">
        <f t="shared" si="26"/>
        <v>FALSE</v>
      </c>
      <c r="T532" t="str">
        <f t="shared" si="28"/>
        <v>TRUE</v>
      </c>
    </row>
    <row r="533" spans="1:20">
      <c r="A533" t="s">
        <v>693</v>
      </c>
      <c r="B533" s="14" t="s">
        <v>144</v>
      </c>
      <c r="C533" s="14" t="s">
        <v>21</v>
      </c>
      <c r="D533" s="14">
        <v>0</v>
      </c>
      <c r="E533" s="14"/>
      <c r="F533" s="14">
        <v>1</v>
      </c>
      <c r="G533" s="14">
        <v>1</v>
      </c>
      <c r="H533" s="14"/>
      <c r="I533" s="8" t="s">
        <v>38</v>
      </c>
      <c r="J533" s="8" t="s">
        <v>38</v>
      </c>
      <c r="K533">
        <v>72.75</v>
      </c>
      <c r="L533">
        <v>43.5625</v>
      </c>
      <c r="M533" s="14">
        <v>12</v>
      </c>
      <c r="N533" s="14">
        <v>2.625</v>
      </c>
      <c r="R533" t="str">
        <f t="shared" si="27"/>
        <v xml:space="preserve">XX8X_PV_0965:    Front abuts stile:FALSE       Back abuts stile:TRUE          Panel Section: WHOLE           Stile in the back Width:            Cutout A:           Cutout B:      F.C.:12 in.         C.C.:2.625 in.   </v>
      </c>
      <c r="S533" t="str">
        <f t="shared" si="26"/>
        <v>FALSE</v>
      </c>
      <c r="T533" t="str">
        <f t="shared" si="28"/>
        <v>TRUE</v>
      </c>
    </row>
    <row r="534" spans="1:20">
      <c r="A534" t="s">
        <v>694</v>
      </c>
      <c r="B534" s="14" t="s">
        <v>144</v>
      </c>
      <c r="C534" s="14" t="s">
        <v>21</v>
      </c>
      <c r="D534" s="14">
        <v>1</v>
      </c>
      <c r="E534" s="14">
        <v>0</v>
      </c>
      <c r="F534" s="14">
        <v>0</v>
      </c>
      <c r="G534" s="14"/>
      <c r="H534" s="14"/>
      <c r="I534" s="8" t="s">
        <v>150</v>
      </c>
      <c r="J534" s="8" t="s">
        <v>38</v>
      </c>
      <c r="K534">
        <v>62.6875</v>
      </c>
      <c r="L534">
        <v>66.5</v>
      </c>
      <c r="M534" s="14">
        <v>12</v>
      </c>
      <c r="N534" s="14">
        <v>1.4375</v>
      </c>
      <c r="R534" t="str">
        <f t="shared" si="27"/>
        <v xml:space="preserve">XX8X_PV_0966:    Front abuts stile:TRUE       Back abuts stile:FALSE          Panel Section: WHOLE           Stile in the back Width:            Cutout A: B-3571          Cutout B:      F.C.:12 in.         C.C.:1.4375 in.   </v>
      </c>
      <c r="S534" t="str">
        <f t="shared" si="26"/>
        <v>TRUE</v>
      </c>
      <c r="T534" t="str">
        <f t="shared" si="28"/>
        <v>FALSE</v>
      </c>
    </row>
    <row r="535" spans="1:20">
      <c r="A535" t="s">
        <v>695</v>
      </c>
      <c r="B535" s="14" t="s">
        <v>144</v>
      </c>
      <c r="C535" s="14" t="s">
        <v>21</v>
      </c>
      <c r="D535" s="14">
        <v>1</v>
      </c>
      <c r="E535" s="14">
        <v>0</v>
      </c>
      <c r="F535" s="14">
        <v>1</v>
      </c>
      <c r="G535" s="14">
        <v>0</v>
      </c>
      <c r="H535" s="14">
        <v>12</v>
      </c>
      <c r="I535" s="8" t="s">
        <v>120</v>
      </c>
      <c r="J535" s="8" t="s">
        <v>38</v>
      </c>
      <c r="K535">
        <v>106.4375</v>
      </c>
      <c r="L535">
        <v>65.1875</v>
      </c>
      <c r="M535" s="14">
        <v>12</v>
      </c>
      <c r="N535" s="14">
        <v>2.875</v>
      </c>
      <c r="R535" t="str">
        <f t="shared" si="27"/>
        <v xml:space="preserve">XX8X_PV_0967:    Front abuts stile:TRUE       Back abuts stile:TRUE          Panel Section: WHOLE           Stile in the back Width: 12           Cutout A: B-386          Cutout B:      F.C.:12 in.         C.C.:2.875 in.   </v>
      </c>
      <c r="S535" t="str">
        <f t="shared" si="26"/>
        <v>TRUE</v>
      </c>
      <c r="T535" t="str">
        <f t="shared" si="28"/>
        <v>TRUE</v>
      </c>
    </row>
    <row r="536" spans="1:20">
      <c r="A536" t="s">
        <v>696</v>
      </c>
      <c r="B536" s="14" t="s">
        <v>144</v>
      </c>
      <c r="C536" s="14" t="s">
        <v>21</v>
      </c>
      <c r="D536" s="14">
        <v>1</v>
      </c>
      <c r="E536" s="14">
        <v>0</v>
      </c>
      <c r="F536" s="14">
        <v>1</v>
      </c>
      <c r="G536" s="14">
        <v>0</v>
      </c>
      <c r="H536" s="14">
        <v>24</v>
      </c>
      <c r="I536" s="8" t="s">
        <v>38</v>
      </c>
      <c r="J536" s="8" t="s">
        <v>38</v>
      </c>
      <c r="K536">
        <v>52.4375</v>
      </c>
      <c r="L536">
        <v>5.875</v>
      </c>
      <c r="M536" s="14">
        <v>8.5</v>
      </c>
      <c r="N536" s="14">
        <v>4</v>
      </c>
      <c r="R536" t="str">
        <f t="shared" si="27"/>
        <v xml:space="preserve">XX8X_PV_0968:    Front abuts stile:TRUE       Back abuts stile:TRUE          Panel Section: WHOLE           Stile in the back Width: 24           Cutout A:           Cutout B:      F.C.:8.5 in.         C.C.:4 in.   </v>
      </c>
      <c r="S536" t="str">
        <f t="shared" si="26"/>
        <v>TRUE</v>
      </c>
      <c r="T536" t="str">
        <f t="shared" si="28"/>
        <v>TRUE</v>
      </c>
    </row>
    <row r="537" spans="1:20">
      <c r="A537" t="s">
        <v>697</v>
      </c>
      <c r="B537" s="14" t="s">
        <v>144</v>
      </c>
      <c r="C537" s="14" t="s">
        <v>21</v>
      </c>
      <c r="D537" s="14">
        <v>1</v>
      </c>
      <c r="E537" s="14">
        <v>0</v>
      </c>
      <c r="F537" s="14">
        <v>1</v>
      </c>
      <c r="G537" s="14">
        <v>0</v>
      </c>
      <c r="H537" s="14"/>
      <c r="I537" s="8" t="s">
        <v>38</v>
      </c>
      <c r="J537" s="8" t="s">
        <v>38</v>
      </c>
      <c r="K537">
        <v>86.4375</v>
      </c>
      <c r="L537">
        <v>69.9375</v>
      </c>
      <c r="M537" s="14">
        <v>1.625</v>
      </c>
      <c r="N537" s="14">
        <v>6.1875</v>
      </c>
      <c r="R537" t="str">
        <f t="shared" si="27"/>
        <v xml:space="preserve">XX8X_PV_0969:    Front abuts stile:TRUE       Back abuts stile:TRUE          Panel Section: WHOLE           Stile in the back Width:            Cutout A:           Cutout B:      F.C.:1.625 in.         C.C.:6.1875 in.   </v>
      </c>
      <c r="S537" t="str">
        <f t="shared" si="26"/>
        <v>TRUE</v>
      </c>
      <c r="T537" t="str">
        <f t="shared" si="28"/>
        <v>TRUE</v>
      </c>
    </row>
    <row r="538" spans="1:20">
      <c r="A538" t="s">
        <v>698</v>
      </c>
      <c r="B538" s="14" t="s">
        <v>144</v>
      </c>
      <c r="C538" s="14" t="s">
        <v>21</v>
      </c>
      <c r="D538" s="14">
        <v>1</v>
      </c>
      <c r="E538" s="14">
        <v>0</v>
      </c>
      <c r="F538" s="14">
        <v>1</v>
      </c>
      <c r="G538" s="14">
        <v>1</v>
      </c>
      <c r="H538" s="14"/>
      <c r="I538" s="8" t="s">
        <v>38</v>
      </c>
      <c r="J538" s="8" t="s">
        <v>38</v>
      </c>
      <c r="K538">
        <v>90.125</v>
      </c>
      <c r="L538">
        <v>46.625</v>
      </c>
      <c r="M538" s="14">
        <v>3.3125</v>
      </c>
      <c r="N538" s="14">
        <v>1.375</v>
      </c>
      <c r="R538" t="str">
        <f t="shared" si="27"/>
        <v xml:space="preserve">XX8X_PV_0970:    Front abuts stile:TRUE       Back abuts stile:TRUE          Panel Section: WHOLE           Stile in the back Width:            Cutout A:           Cutout B:      F.C.:3.3125 in.         C.C.:1.375 in.   </v>
      </c>
      <c r="S538" t="str">
        <f t="shared" si="26"/>
        <v>TRUE</v>
      </c>
      <c r="T538" t="str">
        <f t="shared" si="28"/>
        <v>TRUE</v>
      </c>
    </row>
    <row r="539" spans="1:20">
      <c r="A539" t="s">
        <v>699</v>
      </c>
      <c r="B539" s="14" t="s">
        <v>144</v>
      </c>
      <c r="C539" s="14" t="s">
        <v>21</v>
      </c>
      <c r="D539" s="14">
        <v>1</v>
      </c>
      <c r="E539" s="14">
        <v>1</v>
      </c>
      <c r="F539" s="14">
        <v>0</v>
      </c>
      <c r="G539" s="14"/>
      <c r="H539" s="14"/>
      <c r="I539" s="8" t="s">
        <v>151</v>
      </c>
      <c r="J539" s="8" t="s">
        <v>38</v>
      </c>
      <c r="K539">
        <v>57.5625</v>
      </c>
      <c r="L539">
        <v>50.1875</v>
      </c>
      <c r="M539" s="14">
        <v>9</v>
      </c>
      <c r="N539" s="14">
        <v>3.75</v>
      </c>
      <c r="R539" t="str">
        <f t="shared" si="27"/>
        <v xml:space="preserve">XX8X_PV_0971:    Front abuts stile:TRUE       Back abuts stile:FALSE          Panel Section: WHOLE           Stile in the back Width:            Cutout A: B-35715          Cutout B:      F.C.:9 in.         C.C.:3.75 in.   </v>
      </c>
      <c r="S539" t="str">
        <f t="shared" si="26"/>
        <v>TRUE</v>
      </c>
      <c r="T539" t="str">
        <f t="shared" si="28"/>
        <v>FALSE</v>
      </c>
    </row>
    <row r="540" spans="1:20">
      <c r="A540" t="s">
        <v>700</v>
      </c>
      <c r="B540" s="14" t="s">
        <v>144</v>
      </c>
      <c r="C540" s="14" t="s">
        <v>21</v>
      </c>
      <c r="D540" s="14">
        <v>1</v>
      </c>
      <c r="E540" s="14">
        <v>1</v>
      </c>
      <c r="F540" s="14">
        <v>1</v>
      </c>
      <c r="G540" s="14">
        <v>0</v>
      </c>
      <c r="H540" s="14">
        <v>12</v>
      </c>
      <c r="I540" s="8" t="s">
        <v>120</v>
      </c>
      <c r="J540" s="8" t="s">
        <v>38</v>
      </c>
      <c r="K540">
        <v>96</v>
      </c>
      <c r="L540">
        <v>48.1875</v>
      </c>
      <c r="M540" s="14">
        <v>1</v>
      </c>
      <c r="N540" s="14">
        <v>1</v>
      </c>
      <c r="R540" t="str">
        <f t="shared" si="27"/>
        <v xml:space="preserve">XX8X_PV_0972:    Front abuts stile:TRUE       Back abuts stile:TRUE          Panel Section: WHOLE           Stile in the back Width: 12           Cutout A: B-386          Cutout B:      F.C.:1 in.         C.C.:1 in.   </v>
      </c>
      <c r="S540" t="str">
        <f t="shared" si="26"/>
        <v>TRUE</v>
      </c>
      <c r="T540" t="str">
        <f t="shared" si="28"/>
        <v>TRUE</v>
      </c>
    </row>
    <row r="541" spans="1:20">
      <c r="A541" t="s">
        <v>701</v>
      </c>
      <c r="B541" s="14" t="s">
        <v>144</v>
      </c>
      <c r="C541" s="14" t="s">
        <v>21</v>
      </c>
      <c r="D541" s="14">
        <v>1</v>
      </c>
      <c r="E541" s="14">
        <v>1</v>
      </c>
      <c r="F541" s="14">
        <v>1</v>
      </c>
      <c r="G541" s="14">
        <v>0</v>
      </c>
      <c r="H541" s="14">
        <v>24</v>
      </c>
      <c r="I541" s="8" t="s">
        <v>120</v>
      </c>
      <c r="J541" s="8" t="s">
        <v>38</v>
      </c>
      <c r="K541">
        <v>87.3125</v>
      </c>
      <c r="L541">
        <v>56.6875</v>
      </c>
      <c r="M541" s="14">
        <v>3.5625</v>
      </c>
      <c r="N541" s="14">
        <v>1</v>
      </c>
      <c r="R541" t="str">
        <f t="shared" si="27"/>
        <v xml:space="preserve">XX8X_PV_0973:    Front abuts stile:TRUE       Back abuts stile:TRUE          Panel Section: WHOLE           Stile in the back Width: 24           Cutout A: B-386          Cutout B:      F.C.:3.5625 in.         C.C.:1 in.   </v>
      </c>
      <c r="S541" t="str">
        <f t="shared" si="26"/>
        <v>TRUE</v>
      </c>
      <c r="T541" t="str">
        <f t="shared" si="28"/>
        <v>TRUE</v>
      </c>
    </row>
    <row r="542" spans="1:20">
      <c r="A542" t="s">
        <v>702</v>
      </c>
      <c r="B542" s="14" t="s">
        <v>144</v>
      </c>
      <c r="C542" s="14" t="s">
        <v>21</v>
      </c>
      <c r="D542" s="14">
        <v>1</v>
      </c>
      <c r="E542" s="14">
        <v>1</v>
      </c>
      <c r="F542" s="14">
        <v>1</v>
      </c>
      <c r="G542" s="14">
        <v>0</v>
      </c>
      <c r="H542" s="14"/>
      <c r="I542" s="8" t="s">
        <v>38</v>
      </c>
      <c r="J542" s="8" t="s">
        <v>38</v>
      </c>
      <c r="K542">
        <v>98.5</v>
      </c>
      <c r="L542">
        <v>78.125</v>
      </c>
      <c r="M542" s="14">
        <v>1</v>
      </c>
      <c r="N542" s="14">
        <v>8</v>
      </c>
      <c r="R542" t="str">
        <f t="shared" si="27"/>
        <v xml:space="preserve">XX8X_PV_0974:    Front abuts stile:TRUE       Back abuts stile:TRUE          Panel Section: WHOLE           Stile in the back Width:            Cutout A:           Cutout B:      F.C.:1 in.         C.C.:8 in.   </v>
      </c>
      <c r="S542" t="str">
        <f t="shared" si="26"/>
        <v>TRUE</v>
      </c>
      <c r="T542" t="str">
        <f t="shared" si="28"/>
        <v>TRUE</v>
      </c>
    </row>
    <row r="543" spans="1:20">
      <c r="A543" t="s">
        <v>703</v>
      </c>
      <c r="B543" s="14" t="s">
        <v>144</v>
      </c>
      <c r="C543" s="14" t="s">
        <v>21</v>
      </c>
      <c r="D543" s="14">
        <v>1</v>
      </c>
      <c r="E543" s="14">
        <v>1</v>
      </c>
      <c r="F543" s="14">
        <v>1</v>
      </c>
      <c r="G543" s="14">
        <v>1</v>
      </c>
      <c r="H543" s="14"/>
      <c r="I543" s="8" t="s">
        <v>38</v>
      </c>
      <c r="J543" s="8" t="s">
        <v>38</v>
      </c>
      <c r="K543">
        <v>36</v>
      </c>
      <c r="L543">
        <v>40.9375</v>
      </c>
      <c r="M543" s="14">
        <v>3.9375</v>
      </c>
      <c r="N543" s="14">
        <v>5</v>
      </c>
      <c r="R543" t="str">
        <f t="shared" si="27"/>
        <v xml:space="preserve">XX8X_PV_0975:    Front abuts stile:TRUE       Back abuts stile:TRUE          Panel Section: WHOLE           Stile in the back Width:            Cutout A:           Cutout B:      F.C.:3.9375 in.         C.C.:5 in.   </v>
      </c>
      <c r="S543" t="str">
        <f t="shared" si="26"/>
        <v>TRUE</v>
      </c>
      <c r="T543" t="str">
        <f t="shared" si="28"/>
        <v>TRUE</v>
      </c>
    </row>
    <row r="544" spans="1:20">
      <c r="A544" t="s">
        <v>704</v>
      </c>
      <c r="B544" s="14" t="s">
        <v>144</v>
      </c>
      <c r="C544" s="14" t="s">
        <v>156</v>
      </c>
      <c r="D544" s="19">
        <v>0</v>
      </c>
      <c r="E544" s="19"/>
      <c r="F544" s="19">
        <v>0</v>
      </c>
      <c r="G544" s="19"/>
      <c r="H544" s="14"/>
      <c r="I544" s="8" t="s">
        <v>145</v>
      </c>
      <c r="J544" s="8" t="s">
        <v>38</v>
      </c>
      <c r="K544">
        <v>9.25</v>
      </c>
      <c r="L544">
        <v>66.1875</v>
      </c>
      <c r="M544" s="14">
        <v>12</v>
      </c>
      <c r="N544" s="14">
        <v>8.375</v>
      </c>
      <c r="R544" t="str">
        <f t="shared" si="27"/>
        <v xml:space="preserve">XX8X_PV_0991:    Front abuts stile:FALSE       Back abuts stile:FALSE          Panel Section: TOP           Stile in the back Width:            Cutout A: B-347          Cutout B:      F.C.:12 in.         C.C.:8.375 in.   </v>
      </c>
      <c r="S544" t="str">
        <f t="shared" si="26"/>
        <v>FALSE</v>
      </c>
      <c r="T544" t="str">
        <f t="shared" si="28"/>
        <v>FALSE</v>
      </c>
    </row>
    <row r="545" spans="1:20">
      <c r="A545" t="s">
        <v>705</v>
      </c>
      <c r="B545" s="14" t="s">
        <v>144</v>
      </c>
      <c r="C545" s="14" t="s">
        <v>156</v>
      </c>
      <c r="D545" s="14">
        <v>0</v>
      </c>
      <c r="E545" s="14"/>
      <c r="F545" s="14">
        <v>1</v>
      </c>
      <c r="G545" s="14">
        <v>0</v>
      </c>
      <c r="H545" s="14">
        <v>12</v>
      </c>
      <c r="I545" s="8" t="s">
        <v>120</v>
      </c>
      <c r="J545" s="8" t="s">
        <v>38</v>
      </c>
      <c r="K545">
        <v>27.5</v>
      </c>
      <c r="L545">
        <v>75.5</v>
      </c>
      <c r="M545" s="14">
        <v>2.8125</v>
      </c>
      <c r="N545" s="14">
        <v>3.75</v>
      </c>
      <c r="R545" t="str">
        <f t="shared" si="27"/>
        <v xml:space="preserve">XX8X_PV_0992:    Front abuts stile:FALSE       Back abuts stile:TRUE          Panel Section: TOP           Stile in the back Width: 12           Cutout A: B-386          Cutout B:      F.C.:2.8125 in.         C.C.:3.75 in.   </v>
      </c>
      <c r="S545" t="str">
        <f t="shared" si="26"/>
        <v>FALSE</v>
      </c>
      <c r="T545" t="str">
        <f t="shared" si="28"/>
        <v>TRUE</v>
      </c>
    </row>
    <row r="546" spans="1:20">
      <c r="A546" t="s">
        <v>706</v>
      </c>
      <c r="B546" s="14" t="s">
        <v>144</v>
      </c>
      <c r="C546" s="14" t="s">
        <v>156</v>
      </c>
      <c r="D546" s="14">
        <v>0</v>
      </c>
      <c r="E546" s="14"/>
      <c r="F546" s="14">
        <v>1</v>
      </c>
      <c r="G546" s="14">
        <v>0</v>
      </c>
      <c r="H546" s="14">
        <v>24</v>
      </c>
      <c r="I546" s="8" t="s">
        <v>38</v>
      </c>
      <c r="J546" s="8" t="s">
        <v>38</v>
      </c>
      <c r="K546">
        <v>47.5</v>
      </c>
      <c r="L546">
        <v>48.6875</v>
      </c>
      <c r="M546" s="14">
        <v>3.5</v>
      </c>
      <c r="N546" s="14">
        <v>1</v>
      </c>
      <c r="R546" t="str">
        <f t="shared" si="27"/>
        <v xml:space="preserve">XX8X_PV_0993:    Front abuts stile:FALSE       Back abuts stile:TRUE          Panel Section: TOP           Stile in the back Width: 24           Cutout A:           Cutout B:      F.C.:3.5 in.         C.C.:1 in.   </v>
      </c>
      <c r="S546" t="str">
        <f t="shared" si="26"/>
        <v>FALSE</v>
      </c>
      <c r="T546" t="str">
        <f t="shared" si="28"/>
        <v>TRUE</v>
      </c>
    </row>
    <row r="547" spans="1:20">
      <c r="A547" t="s">
        <v>707</v>
      </c>
      <c r="B547" s="14" t="s">
        <v>144</v>
      </c>
      <c r="C547" s="14" t="s">
        <v>156</v>
      </c>
      <c r="D547" s="14">
        <v>0</v>
      </c>
      <c r="E547" s="14"/>
      <c r="F547" s="14">
        <v>1</v>
      </c>
      <c r="G547" s="14">
        <v>0</v>
      </c>
      <c r="H547" s="14"/>
      <c r="I547" s="8" t="s">
        <v>38</v>
      </c>
      <c r="J547" s="8" t="s">
        <v>38</v>
      </c>
      <c r="K547">
        <v>35.9375</v>
      </c>
      <c r="L547">
        <v>55.5625</v>
      </c>
      <c r="M547" s="14">
        <v>1</v>
      </c>
      <c r="N547" s="14">
        <v>1</v>
      </c>
      <c r="R547" t="str">
        <f t="shared" si="27"/>
        <v xml:space="preserve">XX8X_PV_0994:    Front abuts stile:FALSE       Back abuts stile:TRUE          Panel Section: TOP           Stile in the back Width:            Cutout A:           Cutout B:      F.C.:1 in.         C.C.:1 in.   </v>
      </c>
      <c r="S547" t="str">
        <f t="shared" si="26"/>
        <v>FALSE</v>
      </c>
      <c r="T547" t="str">
        <f t="shared" si="28"/>
        <v>TRUE</v>
      </c>
    </row>
    <row r="548" spans="1:20">
      <c r="A548" t="s">
        <v>708</v>
      </c>
      <c r="B548" s="14" t="s">
        <v>144</v>
      </c>
      <c r="C548" s="14" t="s">
        <v>156</v>
      </c>
      <c r="D548" s="14">
        <v>0</v>
      </c>
      <c r="E548" s="14"/>
      <c r="F548" s="14">
        <v>1</v>
      </c>
      <c r="G548" s="14">
        <v>1</v>
      </c>
      <c r="H548" s="14"/>
      <c r="I548" s="8" t="s">
        <v>38</v>
      </c>
      <c r="J548" s="8" t="s">
        <v>38</v>
      </c>
      <c r="K548">
        <v>6.625</v>
      </c>
      <c r="L548">
        <v>79.0625</v>
      </c>
      <c r="M548" s="14">
        <v>12</v>
      </c>
      <c r="N548" s="14">
        <v>1</v>
      </c>
      <c r="R548" t="str">
        <f t="shared" si="27"/>
        <v xml:space="preserve">XX8X_PV_0995:    Front abuts stile:FALSE       Back abuts stile:TRUE          Panel Section: TOP           Stile in the back Width:            Cutout A:           Cutout B:      F.C.:12 in.         C.C.:1 in.   </v>
      </c>
      <c r="S548" t="str">
        <f t="shared" si="26"/>
        <v>FALSE</v>
      </c>
      <c r="T548" t="str">
        <f t="shared" si="28"/>
        <v>TRUE</v>
      </c>
    </row>
    <row r="549" spans="1:20">
      <c r="A549" t="s">
        <v>709</v>
      </c>
      <c r="B549" s="14" t="s">
        <v>144</v>
      </c>
      <c r="C549" s="14" t="s">
        <v>156</v>
      </c>
      <c r="D549" s="14">
        <v>1</v>
      </c>
      <c r="E549" s="14">
        <v>0</v>
      </c>
      <c r="F549" s="14">
        <v>0</v>
      </c>
      <c r="G549" s="14"/>
      <c r="H549" s="14"/>
      <c r="I549" s="8" t="s">
        <v>120</v>
      </c>
      <c r="J549" s="8" t="s">
        <v>38</v>
      </c>
      <c r="K549">
        <v>15.4375</v>
      </c>
      <c r="L549">
        <v>71.5625</v>
      </c>
      <c r="M549" s="14">
        <v>2.875</v>
      </c>
      <c r="N549" s="14">
        <v>3.625</v>
      </c>
      <c r="R549" t="str">
        <f t="shared" si="27"/>
        <v xml:space="preserve">XX8X_PV_0996:    Front abuts stile:TRUE       Back abuts stile:FALSE          Panel Section: TOP           Stile in the back Width:            Cutout A: B-386          Cutout B:      F.C.:2.875 in.         C.C.:3.625 in.   </v>
      </c>
      <c r="S549" t="str">
        <f t="shared" si="26"/>
        <v>TRUE</v>
      </c>
      <c r="T549" t="str">
        <f t="shared" si="28"/>
        <v>FALSE</v>
      </c>
    </row>
    <row r="550" spans="1:20">
      <c r="A550" t="s">
        <v>710</v>
      </c>
      <c r="B550" s="14" t="s">
        <v>144</v>
      </c>
      <c r="C550" s="14" t="s">
        <v>156</v>
      </c>
      <c r="D550" s="14">
        <v>1</v>
      </c>
      <c r="E550" s="14">
        <v>0</v>
      </c>
      <c r="F550" s="14">
        <v>1</v>
      </c>
      <c r="G550" s="14">
        <v>0</v>
      </c>
      <c r="H550" s="14">
        <v>12</v>
      </c>
      <c r="I550" s="8" t="s">
        <v>35</v>
      </c>
      <c r="J550" s="8" t="s">
        <v>38</v>
      </c>
      <c r="K550">
        <v>30.3125</v>
      </c>
      <c r="L550">
        <v>54.375</v>
      </c>
      <c r="M550" s="14">
        <v>12</v>
      </c>
      <c r="N550" s="14">
        <v>7.3125</v>
      </c>
      <c r="R550" t="str">
        <f t="shared" si="27"/>
        <v xml:space="preserve">XX8X_PV_0997:    Front abuts stile:TRUE       Back abuts stile:TRUE          Panel Section: TOP           Stile in the back Width: 12           Cutout A: B-357          Cutout B:      F.C.:12 in.         C.C.:7.3125 in.   </v>
      </c>
      <c r="S550" t="str">
        <f t="shared" si="26"/>
        <v>TRUE</v>
      </c>
      <c r="T550" t="str">
        <f t="shared" si="28"/>
        <v>TRUE</v>
      </c>
    </row>
    <row r="551" spans="1:20">
      <c r="A551" t="s">
        <v>711</v>
      </c>
      <c r="B551" s="14" t="s">
        <v>144</v>
      </c>
      <c r="C551" s="14" t="s">
        <v>156</v>
      </c>
      <c r="D551" s="14">
        <v>1</v>
      </c>
      <c r="E551" s="14">
        <v>0</v>
      </c>
      <c r="F551" s="14">
        <v>1</v>
      </c>
      <c r="G551" s="14">
        <v>0</v>
      </c>
      <c r="H551" s="14">
        <v>24</v>
      </c>
      <c r="I551" s="8" t="s">
        <v>120</v>
      </c>
      <c r="J551" s="8" t="s">
        <v>38</v>
      </c>
      <c r="K551">
        <v>5.4375</v>
      </c>
      <c r="L551">
        <v>40.75</v>
      </c>
      <c r="M551" s="14">
        <v>10.1875</v>
      </c>
      <c r="N551" s="14">
        <v>1</v>
      </c>
      <c r="R551" t="str">
        <f t="shared" si="27"/>
        <v xml:space="preserve">XX8X_PV_0998:    Front abuts stile:TRUE       Back abuts stile:TRUE          Panel Section: TOP           Stile in the back Width: 24           Cutout A: B-386          Cutout B:      F.C.:10.1875 in.         C.C.:1 in.   </v>
      </c>
      <c r="S551" t="str">
        <f t="shared" si="26"/>
        <v>TRUE</v>
      </c>
      <c r="T551" t="str">
        <f t="shared" si="28"/>
        <v>TRUE</v>
      </c>
    </row>
    <row r="552" spans="1:20">
      <c r="A552" t="s">
        <v>712</v>
      </c>
      <c r="B552" s="14" t="s">
        <v>144</v>
      </c>
      <c r="C552" s="14" t="s">
        <v>156</v>
      </c>
      <c r="D552" s="14">
        <v>1</v>
      </c>
      <c r="E552" s="14">
        <v>0</v>
      </c>
      <c r="F552" s="14">
        <v>1</v>
      </c>
      <c r="G552" s="14">
        <v>0</v>
      </c>
      <c r="H552" s="14"/>
      <c r="I552" s="8" t="s">
        <v>38</v>
      </c>
      <c r="J552" s="8" t="s">
        <v>38</v>
      </c>
      <c r="K552">
        <v>5.125</v>
      </c>
      <c r="L552">
        <v>42.875</v>
      </c>
      <c r="M552" s="14">
        <v>3.5625</v>
      </c>
      <c r="N552" s="14">
        <v>1</v>
      </c>
      <c r="R552" t="str">
        <f t="shared" si="27"/>
        <v xml:space="preserve">XX8X_PV_0999:    Front abuts stile:TRUE       Back abuts stile:TRUE          Panel Section: TOP           Stile in the back Width:            Cutout A:           Cutout B:      F.C.:3.5625 in.         C.C.:1 in.   </v>
      </c>
      <c r="S552" t="str">
        <f t="shared" si="26"/>
        <v>TRUE</v>
      </c>
      <c r="T552" t="str">
        <f t="shared" si="28"/>
        <v>TRUE</v>
      </c>
    </row>
    <row r="553" spans="1:20">
      <c r="A553" t="s">
        <v>713</v>
      </c>
      <c r="B553" s="14" t="s">
        <v>144</v>
      </c>
      <c r="C553" s="14" t="s">
        <v>156</v>
      </c>
      <c r="D553" s="14">
        <v>1</v>
      </c>
      <c r="E553" s="14">
        <v>0</v>
      </c>
      <c r="F553" s="14">
        <v>1</v>
      </c>
      <c r="G553" s="14">
        <v>1</v>
      </c>
      <c r="H553" s="14"/>
      <c r="I553" s="8" t="s">
        <v>38</v>
      </c>
      <c r="J553" s="8" t="s">
        <v>38</v>
      </c>
      <c r="K553">
        <v>37.125</v>
      </c>
      <c r="L553">
        <v>78.75</v>
      </c>
      <c r="M553" s="14">
        <v>1</v>
      </c>
      <c r="N553" s="14">
        <v>5</v>
      </c>
      <c r="R553" t="str">
        <f t="shared" si="27"/>
        <v xml:space="preserve">XX8X_PV_1000:    Front abuts stile:TRUE       Back abuts stile:TRUE          Panel Section: TOP           Stile in the back Width:            Cutout A:           Cutout B:      F.C.:1 in.         C.C.:5 in.   </v>
      </c>
      <c r="S553" t="str">
        <f t="shared" si="26"/>
        <v>TRUE</v>
      </c>
      <c r="T553" t="str">
        <f t="shared" si="28"/>
        <v>TRUE</v>
      </c>
    </row>
    <row r="554" spans="1:20">
      <c r="A554" t="s">
        <v>714</v>
      </c>
      <c r="B554" s="14" t="s">
        <v>144</v>
      </c>
      <c r="C554" s="14" t="s">
        <v>156</v>
      </c>
      <c r="D554" s="14">
        <v>1</v>
      </c>
      <c r="E554" s="14">
        <v>1</v>
      </c>
      <c r="F554" s="14">
        <v>0</v>
      </c>
      <c r="G554" s="14"/>
      <c r="H554" s="14"/>
      <c r="I554" s="8" t="s">
        <v>120</v>
      </c>
      <c r="J554" s="8" t="s">
        <v>38</v>
      </c>
      <c r="K554">
        <v>42.3125</v>
      </c>
      <c r="L554">
        <v>42.0625</v>
      </c>
      <c r="M554" s="14">
        <v>12</v>
      </c>
      <c r="N554" s="14">
        <v>2.0625</v>
      </c>
      <c r="R554" t="str">
        <f t="shared" si="27"/>
        <v xml:space="preserve">XX8X_PV_1001:    Front abuts stile:TRUE       Back abuts stile:FALSE          Panel Section: TOP           Stile in the back Width:            Cutout A: B-386          Cutout B:      F.C.:12 in.         C.C.:2.0625 in.   </v>
      </c>
      <c r="S554" t="str">
        <f t="shared" si="26"/>
        <v>TRUE</v>
      </c>
      <c r="T554" t="str">
        <f t="shared" si="28"/>
        <v>FALSE</v>
      </c>
    </row>
    <row r="555" spans="1:20">
      <c r="A555" t="s">
        <v>715</v>
      </c>
      <c r="B555" s="14" t="s">
        <v>144</v>
      </c>
      <c r="C555" s="14" t="s">
        <v>156</v>
      </c>
      <c r="D555" s="14">
        <v>1</v>
      </c>
      <c r="E555" s="14">
        <v>1</v>
      </c>
      <c r="F555" s="14">
        <v>1</v>
      </c>
      <c r="G555" s="14">
        <v>0</v>
      </c>
      <c r="H555" s="14">
        <v>12</v>
      </c>
      <c r="I555" s="8" t="s">
        <v>149</v>
      </c>
      <c r="J555" s="8" t="s">
        <v>38</v>
      </c>
      <c r="K555">
        <v>12.3125</v>
      </c>
      <c r="L555">
        <v>44.25</v>
      </c>
      <c r="M555" s="14">
        <v>12</v>
      </c>
      <c r="N555" s="14">
        <v>2.875</v>
      </c>
      <c r="R555" t="str">
        <f t="shared" si="27"/>
        <v xml:space="preserve">XX8X_PV_1002:    Front abuts stile:TRUE       Back abuts stile:TRUE          Panel Section: TOP           Stile in the back Width: 12           Cutout A: B-34715          Cutout B:      F.C.:12 in.         C.C.:2.875 in.   </v>
      </c>
      <c r="S555" t="str">
        <f t="shared" si="26"/>
        <v>TRUE</v>
      </c>
      <c r="T555" t="str">
        <f t="shared" si="28"/>
        <v>TRUE</v>
      </c>
    </row>
    <row r="556" spans="1:20">
      <c r="A556" t="s">
        <v>716</v>
      </c>
      <c r="B556" s="14" t="s">
        <v>144</v>
      </c>
      <c r="C556" s="14" t="s">
        <v>156</v>
      </c>
      <c r="D556" s="14">
        <v>1</v>
      </c>
      <c r="E556" s="14">
        <v>1</v>
      </c>
      <c r="F556" s="14">
        <v>1</v>
      </c>
      <c r="G556" s="14">
        <v>0</v>
      </c>
      <c r="H556" s="14">
        <v>24</v>
      </c>
      <c r="I556" s="8" t="s">
        <v>120</v>
      </c>
      <c r="J556" s="8" t="s">
        <v>38</v>
      </c>
      <c r="K556">
        <v>38.4375</v>
      </c>
      <c r="L556">
        <v>74.875</v>
      </c>
      <c r="M556" s="14">
        <v>9</v>
      </c>
      <c r="N556" s="14">
        <v>1</v>
      </c>
      <c r="R556" t="str">
        <f t="shared" si="27"/>
        <v xml:space="preserve">XX8X_PV_1003:    Front abuts stile:TRUE       Back abuts stile:TRUE          Panel Section: TOP           Stile in the back Width: 24           Cutout A: B-386          Cutout B:      F.C.:9 in.         C.C.:1 in.   </v>
      </c>
      <c r="S556" t="str">
        <f t="shared" si="26"/>
        <v>TRUE</v>
      </c>
      <c r="T556" t="str">
        <f t="shared" si="28"/>
        <v>TRUE</v>
      </c>
    </row>
    <row r="557" spans="1:20">
      <c r="A557" t="s">
        <v>717</v>
      </c>
      <c r="B557" s="14" t="s">
        <v>144</v>
      </c>
      <c r="C557" s="14" t="s">
        <v>156</v>
      </c>
      <c r="D557" s="14">
        <v>1</v>
      </c>
      <c r="E557" s="14">
        <v>1</v>
      </c>
      <c r="F557" s="14">
        <v>1</v>
      </c>
      <c r="G557" s="14">
        <v>0</v>
      </c>
      <c r="H557" s="14"/>
      <c r="I557" s="8" t="s">
        <v>38</v>
      </c>
      <c r="J557" s="8" t="s">
        <v>38</v>
      </c>
      <c r="K557">
        <v>31</v>
      </c>
      <c r="L557">
        <v>44.375</v>
      </c>
      <c r="M557" s="14">
        <v>4.5</v>
      </c>
      <c r="N557" s="14">
        <v>8.375</v>
      </c>
      <c r="R557" t="str">
        <f t="shared" si="27"/>
        <v xml:space="preserve">XX8X_PV_1004:    Front abuts stile:TRUE       Back abuts stile:TRUE          Panel Section: TOP           Stile in the back Width:            Cutout A:           Cutout B:      F.C.:4.5 in.         C.C.:8.375 in.   </v>
      </c>
      <c r="S557" t="str">
        <f t="shared" si="26"/>
        <v>TRUE</v>
      </c>
      <c r="T557" t="str">
        <f t="shared" si="28"/>
        <v>TRUE</v>
      </c>
    </row>
    <row r="558" spans="1:20">
      <c r="A558" t="s">
        <v>718</v>
      </c>
      <c r="B558" s="14" t="s">
        <v>144</v>
      </c>
      <c r="C558" s="14" t="s">
        <v>156</v>
      </c>
      <c r="D558" s="14">
        <v>1</v>
      </c>
      <c r="E558" s="14">
        <v>1</v>
      </c>
      <c r="F558" s="14">
        <v>1</v>
      </c>
      <c r="G558" s="14">
        <v>1</v>
      </c>
      <c r="H558" s="14"/>
      <c r="I558" s="8" t="s">
        <v>38</v>
      </c>
      <c r="J558" s="8" t="s">
        <v>38</v>
      </c>
      <c r="K558">
        <v>39.625</v>
      </c>
      <c r="L558">
        <v>35.5</v>
      </c>
      <c r="M558" s="14">
        <v>1</v>
      </c>
      <c r="N558" s="14">
        <v>8</v>
      </c>
      <c r="R558" t="str">
        <f t="shared" si="27"/>
        <v xml:space="preserve">XX8X_PV_1005:    Front abuts stile:TRUE       Back abuts stile:TRUE          Panel Section: TOP           Stile in the back Width:            Cutout A:           Cutout B:      F.C.:1 in.         C.C.:8 in.   </v>
      </c>
      <c r="S558" t="str">
        <f t="shared" si="26"/>
        <v>TRUE</v>
      </c>
      <c r="T558" t="str">
        <f t="shared" si="28"/>
        <v>TRUE</v>
      </c>
    </row>
    <row r="559" spans="1:20">
      <c r="A559" t="s">
        <v>719</v>
      </c>
      <c r="B559" s="14" t="s">
        <v>144</v>
      </c>
      <c r="C559" s="14" t="s">
        <v>157</v>
      </c>
      <c r="D559" s="14">
        <v>0</v>
      </c>
      <c r="E559" s="14"/>
      <c r="F559" s="14">
        <v>0</v>
      </c>
      <c r="G559" s="14"/>
      <c r="H559" s="14"/>
      <c r="I559" s="8" t="s">
        <v>119</v>
      </c>
      <c r="J559" s="8" t="s">
        <v>120</v>
      </c>
      <c r="K559">
        <v>60</v>
      </c>
      <c r="L559">
        <v>56.875</v>
      </c>
      <c r="M559" s="14">
        <v>4.5</v>
      </c>
      <c r="N559" s="14">
        <v>8.125</v>
      </c>
      <c r="R559" t="str">
        <f t="shared" si="27"/>
        <v xml:space="preserve">XX8X_PV_1021:    Front abuts stile:FALSE       Back abuts stile:FALSE          Panel Section: BOTTOM           Stile in the back Width:            Cutout A: B-354          Cutout B:B-386      F.C.:4.5 in.         C.C.:8.125 in.   </v>
      </c>
      <c r="S559" t="str">
        <f t="shared" si="26"/>
        <v>FALSE</v>
      </c>
      <c r="T559" t="str">
        <f t="shared" si="28"/>
        <v>FALSE</v>
      </c>
    </row>
    <row r="560" spans="1:20">
      <c r="A560" t="s">
        <v>720</v>
      </c>
      <c r="B560" s="14" t="s">
        <v>144</v>
      </c>
      <c r="C560" s="14" t="s">
        <v>157</v>
      </c>
      <c r="D560" s="14">
        <v>0</v>
      </c>
      <c r="E560" s="14"/>
      <c r="F560" s="14">
        <v>1</v>
      </c>
      <c r="G560" s="14">
        <v>0</v>
      </c>
      <c r="H560" s="14">
        <v>12</v>
      </c>
      <c r="I560" s="8" t="s">
        <v>145</v>
      </c>
      <c r="J560" s="8" t="s">
        <v>38</v>
      </c>
      <c r="K560">
        <v>60</v>
      </c>
      <c r="L560">
        <v>48.4375</v>
      </c>
      <c r="M560" s="14">
        <v>12</v>
      </c>
      <c r="N560" s="14">
        <v>5.5625</v>
      </c>
      <c r="R560" t="str">
        <f t="shared" si="27"/>
        <v xml:space="preserve">XX8X_PV_1022:    Front abuts stile:FALSE       Back abuts stile:TRUE          Panel Section: BOTTOM           Stile in the back Width: 12           Cutout A: B-347          Cutout B:      F.C.:12 in.         C.C.:5.5625 in.   </v>
      </c>
      <c r="S560" t="str">
        <f t="shared" si="26"/>
        <v>FALSE</v>
      </c>
      <c r="T560" t="str">
        <f t="shared" si="28"/>
        <v>TRUE</v>
      </c>
    </row>
    <row r="561" spans="1:20">
      <c r="A561" t="s">
        <v>721</v>
      </c>
      <c r="B561" s="14" t="s">
        <v>144</v>
      </c>
      <c r="C561" s="14" t="s">
        <v>157</v>
      </c>
      <c r="D561" s="14">
        <v>0</v>
      </c>
      <c r="E561" s="14"/>
      <c r="F561" s="14">
        <v>1</v>
      </c>
      <c r="G561" s="14">
        <v>0</v>
      </c>
      <c r="H561" s="14">
        <v>24</v>
      </c>
      <c r="I561" s="8" t="s">
        <v>120</v>
      </c>
      <c r="J561" s="8" t="s">
        <v>38</v>
      </c>
      <c r="K561">
        <v>60</v>
      </c>
      <c r="L561">
        <v>75.4375</v>
      </c>
      <c r="M561" s="14">
        <v>3.125</v>
      </c>
      <c r="N561" s="14">
        <v>1</v>
      </c>
      <c r="R561" t="str">
        <f t="shared" si="27"/>
        <v xml:space="preserve">XX8X_PV_1023:    Front abuts stile:FALSE       Back abuts stile:TRUE          Panel Section: BOTTOM           Stile in the back Width: 24           Cutout A: B-386          Cutout B:      F.C.:3.125 in.         C.C.:1 in.   </v>
      </c>
      <c r="S561" t="str">
        <f t="shared" si="26"/>
        <v>FALSE</v>
      </c>
      <c r="T561" t="str">
        <f t="shared" si="28"/>
        <v>TRUE</v>
      </c>
    </row>
    <row r="562" spans="1:20">
      <c r="A562" t="s">
        <v>722</v>
      </c>
      <c r="B562" s="14" t="s">
        <v>144</v>
      </c>
      <c r="C562" s="14" t="s">
        <v>157</v>
      </c>
      <c r="D562" s="14">
        <v>0</v>
      </c>
      <c r="E562" s="14"/>
      <c r="F562" s="14">
        <v>1</v>
      </c>
      <c r="G562" s="14">
        <v>0</v>
      </c>
      <c r="H562" s="14"/>
      <c r="I562" s="8" t="s">
        <v>38</v>
      </c>
      <c r="J562" s="8" t="s">
        <v>38</v>
      </c>
      <c r="K562">
        <v>60</v>
      </c>
      <c r="L562">
        <v>50.9375</v>
      </c>
      <c r="M562" s="14">
        <v>1</v>
      </c>
      <c r="N562" s="14">
        <v>4.25</v>
      </c>
      <c r="R562" t="str">
        <f t="shared" si="27"/>
        <v xml:space="preserve">XX8X_PV_1024:    Front abuts stile:FALSE       Back abuts stile:TRUE          Panel Section: BOTTOM           Stile in the back Width:            Cutout A:           Cutout B:      F.C.:1 in.         C.C.:4.25 in.   </v>
      </c>
      <c r="S562" t="str">
        <f t="shared" si="26"/>
        <v>FALSE</v>
      </c>
      <c r="T562" t="str">
        <f t="shared" si="28"/>
        <v>TRUE</v>
      </c>
    </row>
    <row r="563" spans="1:20">
      <c r="A563" t="s">
        <v>723</v>
      </c>
      <c r="B563" s="14" t="s">
        <v>144</v>
      </c>
      <c r="C563" s="14" t="s">
        <v>157</v>
      </c>
      <c r="D563" s="14">
        <v>0</v>
      </c>
      <c r="E563" s="14"/>
      <c r="F563" s="14">
        <v>1</v>
      </c>
      <c r="G563" s="14">
        <v>1</v>
      </c>
      <c r="H563" s="14"/>
      <c r="I563" s="8" t="s">
        <v>38</v>
      </c>
      <c r="J563" s="8" t="s">
        <v>38</v>
      </c>
      <c r="K563">
        <v>60</v>
      </c>
      <c r="L563">
        <v>61.5</v>
      </c>
      <c r="M563" s="14">
        <v>5.625</v>
      </c>
      <c r="N563" s="14">
        <v>1</v>
      </c>
      <c r="R563" t="str">
        <f t="shared" si="27"/>
        <v xml:space="preserve">XX8X_PV_1025:    Front abuts stile:FALSE       Back abuts stile:TRUE          Panel Section: BOTTOM           Stile in the back Width:            Cutout A:           Cutout B:      F.C.:5.625 in.         C.C.:1 in.   </v>
      </c>
      <c r="S563" t="str">
        <f t="shared" si="26"/>
        <v>FALSE</v>
      </c>
      <c r="T563" t="str">
        <f t="shared" si="28"/>
        <v>TRUE</v>
      </c>
    </row>
    <row r="564" spans="1:20">
      <c r="A564" t="s">
        <v>724</v>
      </c>
      <c r="B564" s="14" t="s">
        <v>144</v>
      </c>
      <c r="C564" s="14" t="s">
        <v>157</v>
      </c>
      <c r="D564" s="14">
        <v>1</v>
      </c>
      <c r="E564" s="14">
        <v>0</v>
      </c>
      <c r="F564" s="14">
        <v>0</v>
      </c>
      <c r="G564" s="14"/>
      <c r="H564" s="14"/>
      <c r="I564" s="8" t="s">
        <v>35</v>
      </c>
      <c r="J564" s="8" t="s">
        <v>38</v>
      </c>
      <c r="K564">
        <v>60</v>
      </c>
      <c r="L564">
        <v>64.875</v>
      </c>
      <c r="M564" s="14">
        <v>1.0625</v>
      </c>
      <c r="N564" s="14">
        <v>2.625</v>
      </c>
      <c r="R564" t="str">
        <f t="shared" si="27"/>
        <v xml:space="preserve">XX8X_PV_1026:    Front abuts stile:TRUE       Back abuts stile:FALSE          Panel Section: BOTTOM           Stile in the back Width:            Cutout A: B-357          Cutout B:      F.C.:1.0625 in.         C.C.:2.625 in.   </v>
      </c>
      <c r="S564" t="str">
        <f t="shared" si="26"/>
        <v>TRUE</v>
      </c>
      <c r="T564" t="str">
        <f t="shared" si="28"/>
        <v>FALSE</v>
      </c>
    </row>
    <row r="565" spans="1:20">
      <c r="A565" t="s">
        <v>725</v>
      </c>
      <c r="B565" s="14" t="s">
        <v>144</v>
      </c>
      <c r="C565" s="14" t="s">
        <v>157</v>
      </c>
      <c r="D565" s="14">
        <v>1</v>
      </c>
      <c r="E565" s="14">
        <v>0</v>
      </c>
      <c r="F565" s="14">
        <v>1</v>
      </c>
      <c r="G565" s="14">
        <v>0</v>
      </c>
      <c r="H565" s="14">
        <v>12</v>
      </c>
      <c r="I565" s="8" t="s">
        <v>35</v>
      </c>
      <c r="J565" s="8" t="s">
        <v>38</v>
      </c>
      <c r="K565">
        <v>60</v>
      </c>
      <c r="L565">
        <v>45.0625</v>
      </c>
      <c r="M565" s="14">
        <v>12</v>
      </c>
      <c r="N565" s="14">
        <v>2.5625</v>
      </c>
      <c r="R565" t="str">
        <f t="shared" si="27"/>
        <v xml:space="preserve">XX8X_PV_1027:    Front abuts stile:TRUE       Back abuts stile:TRUE          Panel Section: BOTTOM           Stile in the back Width: 12           Cutout A: B-357          Cutout B:      F.C.:12 in.         C.C.:2.5625 in.   </v>
      </c>
      <c r="S565" t="str">
        <f t="shared" si="26"/>
        <v>TRUE</v>
      </c>
      <c r="T565" t="str">
        <f t="shared" si="28"/>
        <v>TRUE</v>
      </c>
    </row>
    <row r="566" spans="1:20">
      <c r="A566" t="s">
        <v>726</v>
      </c>
      <c r="B566" s="14" t="s">
        <v>144</v>
      </c>
      <c r="C566" s="14" t="s">
        <v>157</v>
      </c>
      <c r="D566" s="14">
        <v>1</v>
      </c>
      <c r="E566" s="14">
        <v>0</v>
      </c>
      <c r="F566" s="14">
        <v>1</v>
      </c>
      <c r="G566" s="14">
        <v>0</v>
      </c>
      <c r="H566" s="14">
        <v>24</v>
      </c>
      <c r="I566" s="8" t="s">
        <v>120</v>
      </c>
      <c r="J566" s="8" t="s">
        <v>38</v>
      </c>
      <c r="K566">
        <v>60</v>
      </c>
      <c r="L566">
        <v>58.3125</v>
      </c>
      <c r="M566" s="14">
        <v>10.875</v>
      </c>
      <c r="N566" s="14">
        <v>2.4375</v>
      </c>
      <c r="R566" t="str">
        <f t="shared" si="27"/>
        <v xml:space="preserve">XX8X_PV_1028:    Front abuts stile:TRUE       Back abuts stile:TRUE          Panel Section: BOTTOM           Stile in the back Width: 24           Cutout A: B-386          Cutout B:      F.C.:10.875 in.         C.C.:2.4375 in.   </v>
      </c>
      <c r="S566" t="str">
        <f t="shared" si="26"/>
        <v>TRUE</v>
      </c>
      <c r="T566" t="str">
        <f t="shared" si="28"/>
        <v>TRUE</v>
      </c>
    </row>
    <row r="567" spans="1:20">
      <c r="A567" t="s">
        <v>727</v>
      </c>
      <c r="B567" s="14" t="s">
        <v>144</v>
      </c>
      <c r="C567" s="14" t="s">
        <v>157</v>
      </c>
      <c r="D567" s="14">
        <v>1</v>
      </c>
      <c r="E567" s="14">
        <v>0</v>
      </c>
      <c r="F567" s="14">
        <v>1</v>
      </c>
      <c r="G567" s="14">
        <v>0</v>
      </c>
      <c r="H567" s="14"/>
      <c r="I567" s="8" t="s">
        <v>38</v>
      </c>
      <c r="J567" s="8" t="s">
        <v>38</v>
      </c>
      <c r="K567">
        <v>60</v>
      </c>
      <c r="L567">
        <v>68.25</v>
      </c>
      <c r="M567" s="14">
        <v>1</v>
      </c>
      <c r="N567" s="14">
        <v>7.0625</v>
      </c>
      <c r="R567" t="str">
        <f t="shared" si="27"/>
        <v xml:space="preserve">XX8X_PV_1029:    Front abuts stile:TRUE       Back abuts stile:TRUE          Panel Section: BOTTOM           Stile in the back Width:            Cutout A:           Cutout B:      F.C.:1 in.         C.C.:7.0625 in.   </v>
      </c>
      <c r="S567" t="str">
        <f t="shared" si="26"/>
        <v>TRUE</v>
      </c>
      <c r="T567" t="str">
        <f t="shared" si="28"/>
        <v>TRUE</v>
      </c>
    </row>
    <row r="568" spans="1:20">
      <c r="A568" t="s">
        <v>728</v>
      </c>
      <c r="B568" s="14" t="s">
        <v>144</v>
      </c>
      <c r="C568" s="14" t="s">
        <v>157</v>
      </c>
      <c r="D568" s="14">
        <v>1</v>
      </c>
      <c r="E568" s="14">
        <v>0</v>
      </c>
      <c r="F568" s="14">
        <v>1</v>
      </c>
      <c r="G568" s="14">
        <v>1</v>
      </c>
      <c r="H568" s="14"/>
      <c r="I568" s="8" t="s">
        <v>38</v>
      </c>
      <c r="J568" s="8" t="s">
        <v>38</v>
      </c>
      <c r="K568">
        <v>60</v>
      </c>
      <c r="L568">
        <v>43.4375</v>
      </c>
      <c r="M568" s="14">
        <v>6.3125</v>
      </c>
      <c r="N568" s="14">
        <v>1</v>
      </c>
      <c r="R568" t="str">
        <f t="shared" si="27"/>
        <v xml:space="preserve">XX8X_PV_1030:    Front abuts stile:TRUE       Back abuts stile:TRUE          Panel Section: BOTTOM           Stile in the back Width:            Cutout A:           Cutout B:      F.C.:6.3125 in.         C.C.:1 in.   </v>
      </c>
      <c r="S568" t="str">
        <f t="shared" si="26"/>
        <v>TRUE</v>
      </c>
      <c r="T568" t="str">
        <f t="shared" si="28"/>
        <v>TRUE</v>
      </c>
    </row>
    <row r="569" spans="1:20">
      <c r="A569" t="s">
        <v>729</v>
      </c>
      <c r="B569" s="14" t="s">
        <v>144</v>
      </c>
      <c r="C569" s="14" t="s">
        <v>157</v>
      </c>
      <c r="D569" s="14">
        <v>1</v>
      </c>
      <c r="E569" s="14">
        <v>1</v>
      </c>
      <c r="F569" s="14">
        <v>0</v>
      </c>
      <c r="G569" s="14"/>
      <c r="H569" s="14"/>
      <c r="I569" s="8" t="s">
        <v>119</v>
      </c>
      <c r="J569" s="8" t="s">
        <v>38</v>
      </c>
      <c r="K569">
        <v>60</v>
      </c>
      <c r="L569">
        <v>76.125</v>
      </c>
      <c r="M569" s="14">
        <v>10.8125</v>
      </c>
      <c r="N569" s="14">
        <v>2.5</v>
      </c>
      <c r="R569" t="str">
        <f t="shared" si="27"/>
        <v xml:space="preserve">XX8X_PV_1031:    Front abuts stile:TRUE       Back abuts stile:FALSE          Panel Section: BOTTOM           Stile in the back Width:            Cutout A: B-354          Cutout B:      F.C.:10.8125 in.         C.C.:2.5 in.   </v>
      </c>
      <c r="S569" t="str">
        <f t="shared" si="26"/>
        <v>TRUE</v>
      </c>
      <c r="T569" t="str">
        <f t="shared" si="28"/>
        <v>FALSE</v>
      </c>
    </row>
    <row r="570" spans="1:20">
      <c r="A570" t="s">
        <v>730</v>
      </c>
      <c r="B570" s="14" t="s">
        <v>144</v>
      </c>
      <c r="C570" s="14" t="s">
        <v>157</v>
      </c>
      <c r="D570" s="14">
        <v>1</v>
      </c>
      <c r="E570" s="14">
        <v>1</v>
      </c>
      <c r="F570" s="14">
        <v>1</v>
      </c>
      <c r="G570" s="14">
        <v>0</v>
      </c>
      <c r="H570" s="14">
        <v>12</v>
      </c>
      <c r="I570" s="8" t="s">
        <v>35</v>
      </c>
      <c r="J570" s="8" t="s">
        <v>38</v>
      </c>
      <c r="K570">
        <v>60</v>
      </c>
      <c r="L570">
        <v>67.8125</v>
      </c>
      <c r="M570" s="14">
        <v>12</v>
      </c>
      <c r="N570" s="14">
        <v>4.8125</v>
      </c>
      <c r="R570" t="str">
        <f t="shared" si="27"/>
        <v xml:space="preserve">XX8X_PV_1032:    Front abuts stile:TRUE       Back abuts stile:TRUE          Panel Section: BOTTOM           Stile in the back Width: 12           Cutout A: B-357          Cutout B:      F.C.:12 in.         C.C.:4.8125 in.   </v>
      </c>
      <c r="S570" t="str">
        <f t="shared" si="26"/>
        <v>TRUE</v>
      </c>
      <c r="T570" t="str">
        <f t="shared" si="28"/>
        <v>TRUE</v>
      </c>
    </row>
    <row r="571" spans="1:20">
      <c r="A571" t="s">
        <v>731</v>
      </c>
      <c r="B571" s="14" t="s">
        <v>144</v>
      </c>
      <c r="C571" s="14" t="s">
        <v>157</v>
      </c>
      <c r="D571" s="14">
        <v>1</v>
      </c>
      <c r="E571" s="14">
        <v>1</v>
      </c>
      <c r="F571" s="14">
        <v>1</v>
      </c>
      <c r="G571" s="14">
        <v>0</v>
      </c>
      <c r="H571" s="14">
        <v>24</v>
      </c>
      <c r="I571" s="8" t="s">
        <v>38</v>
      </c>
      <c r="J571" s="8" t="s">
        <v>38</v>
      </c>
      <c r="K571">
        <v>60</v>
      </c>
      <c r="L571">
        <v>19.25</v>
      </c>
      <c r="M571" s="14">
        <v>12</v>
      </c>
      <c r="N571" s="14">
        <v>7.375</v>
      </c>
      <c r="R571" t="str">
        <f t="shared" si="27"/>
        <v xml:space="preserve">XX8X_PV_1033:    Front abuts stile:TRUE       Back abuts stile:TRUE          Panel Section: BOTTOM           Stile in the back Width: 24           Cutout A:           Cutout B:      F.C.:12 in.         C.C.:7.375 in.   </v>
      </c>
      <c r="S571" t="str">
        <f t="shared" si="26"/>
        <v>TRUE</v>
      </c>
      <c r="T571" t="str">
        <f t="shared" si="28"/>
        <v>TRUE</v>
      </c>
    </row>
    <row r="572" spans="1:20">
      <c r="A572" t="s">
        <v>732</v>
      </c>
      <c r="B572" s="14" t="s">
        <v>144</v>
      </c>
      <c r="C572" s="14" t="s">
        <v>157</v>
      </c>
      <c r="D572" s="14">
        <v>1</v>
      </c>
      <c r="E572" s="14">
        <v>1</v>
      </c>
      <c r="F572" s="14">
        <v>1</v>
      </c>
      <c r="G572" s="14">
        <v>0</v>
      </c>
      <c r="H572" s="14"/>
      <c r="I572" s="8" t="s">
        <v>38</v>
      </c>
      <c r="J572" s="8" t="s">
        <v>38</v>
      </c>
      <c r="K572">
        <v>60</v>
      </c>
      <c r="L572">
        <v>42.3125</v>
      </c>
      <c r="M572" s="14">
        <v>2.625</v>
      </c>
      <c r="N572" s="14">
        <v>6.5625</v>
      </c>
      <c r="R572" t="str">
        <f t="shared" si="27"/>
        <v xml:space="preserve">XX8X_PV_1034:    Front abuts stile:TRUE       Back abuts stile:TRUE          Panel Section: BOTTOM           Stile in the back Width:            Cutout A:           Cutout B:      F.C.:2.625 in.         C.C.:6.5625 in.   </v>
      </c>
      <c r="S572" t="str">
        <f t="shared" si="26"/>
        <v>TRUE</v>
      </c>
      <c r="T572" t="str">
        <f t="shared" si="28"/>
        <v>TRUE</v>
      </c>
    </row>
    <row r="573" spans="1:20">
      <c r="A573" t="s">
        <v>733</v>
      </c>
      <c r="B573" s="14" t="s">
        <v>144</v>
      </c>
      <c r="C573" s="14" t="s">
        <v>157</v>
      </c>
      <c r="D573" s="14">
        <v>1</v>
      </c>
      <c r="E573" s="14">
        <v>1</v>
      </c>
      <c r="F573" s="14">
        <v>1</v>
      </c>
      <c r="G573" s="14">
        <v>1</v>
      </c>
      <c r="H573" s="14"/>
      <c r="I573" s="8" t="s">
        <v>38</v>
      </c>
      <c r="J573" s="8" t="s">
        <v>38</v>
      </c>
      <c r="K573">
        <v>60</v>
      </c>
      <c r="L573">
        <v>70</v>
      </c>
      <c r="M573" s="14">
        <v>1</v>
      </c>
      <c r="N573" s="14">
        <v>5.875</v>
      </c>
      <c r="R573" t="str">
        <f t="shared" si="27"/>
        <v xml:space="preserve">XX8X_PV_1035:    Front abuts stile:TRUE       Back abuts stile:TRUE          Panel Section: BOTTOM           Stile in the back Width:            Cutout A:           Cutout B:      F.C.:1 in.         C.C.:5.875 in.   </v>
      </c>
      <c r="S573" t="str">
        <f t="shared" si="26"/>
        <v>TRUE</v>
      </c>
      <c r="T573" t="str">
        <f t="shared" si="28"/>
        <v>TRUE</v>
      </c>
    </row>
    <row r="574" spans="1:20">
      <c r="A574" t="s">
        <v>734</v>
      </c>
      <c r="B574" s="14" t="s">
        <v>144</v>
      </c>
      <c r="C574" s="14" t="s">
        <v>21</v>
      </c>
      <c r="D574" s="14">
        <v>0</v>
      </c>
      <c r="E574" s="14"/>
      <c r="F574" s="14">
        <v>0</v>
      </c>
      <c r="G574" s="14"/>
      <c r="H574" s="14"/>
      <c r="I574" s="8" t="s">
        <v>151</v>
      </c>
      <c r="J574" s="8" t="s">
        <v>38</v>
      </c>
      <c r="K574">
        <v>48.0625</v>
      </c>
      <c r="L574">
        <v>66.5</v>
      </c>
      <c r="M574" s="14">
        <v>3.9375</v>
      </c>
      <c r="N574" s="14">
        <v>6.125</v>
      </c>
      <c r="R574" t="str">
        <f t="shared" si="27"/>
        <v xml:space="preserve">XX8X_PV_1051:    Front abuts stile:FALSE       Back abuts stile:FALSE          Panel Section: WHOLE           Stile in the back Width:            Cutout A: B-35715          Cutout B:      F.C.:3.9375 in.         C.C.:6.125 in.   </v>
      </c>
      <c r="S574" t="str">
        <f t="shared" si="26"/>
        <v>FALSE</v>
      </c>
      <c r="T574" t="str">
        <f t="shared" si="28"/>
        <v>FALSE</v>
      </c>
    </row>
    <row r="575" spans="1:20">
      <c r="A575" t="s">
        <v>735</v>
      </c>
      <c r="B575" s="14" t="s">
        <v>144</v>
      </c>
      <c r="C575" s="14" t="s">
        <v>21</v>
      </c>
      <c r="D575" s="14">
        <v>0</v>
      </c>
      <c r="E575" s="14"/>
      <c r="F575" s="14">
        <v>1</v>
      </c>
      <c r="G575" s="14">
        <v>0</v>
      </c>
      <c r="H575" s="14">
        <v>12</v>
      </c>
      <c r="I575" s="8" t="s">
        <v>120</v>
      </c>
      <c r="J575" s="8" t="s">
        <v>38</v>
      </c>
      <c r="K575">
        <v>83.6875</v>
      </c>
      <c r="L575">
        <v>63.4375</v>
      </c>
      <c r="M575" s="14">
        <v>11.9375</v>
      </c>
      <c r="N575" s="14">
        <v>1</v>
      </c>
      <c r="R575" t="str">
        <f t="shared" si="27"/>
        <v xml:space="preserve">XX8X_PV_1052:    Front abuts stile:FALSE       Back abuts stile:TRUE          Panel Section: WHOLE           Stile in the back Width: 12           Cutout A: B-386          Cutout B:      F.C.:11.9375 in.         C.C.:1 in.   </v>
      </c>
      <c r="S575" t="str">
        <f t="shared" si="26"/>
        <v>FALSE</v>
      </c>
      <c r="T575" t="str">
        <f t="shared" si="28"/>
        <v>TRUE</v>
      </c>
    </row>
    <row r="576" spans="1:20">
      <c r="A576" t="s">
        <v>736</v>
      </c>
      <c r="B576" s="14" t="s">
        <v>144</v>
      </c>
      <c r="C576" s="14" t="s">
        <v>21</v>
      </c>
      <c r="D576" s="14">
        <v>0</v>
      </c>
      <c r="E576" s="14"/>
      <c r="F576" s="14">
        <v>1</v>
      </c>
      <c r="G576" s="14">
        <v>0</v>
      </c>
      <c r="H576" s="14">
        <v>24</v>
      </c>
      <c r="I576" s="8" t="s">
        <v>120</v>
      </c>
      <c r="J576" s="8" t="s">
        <v>38</v>
      </c>
      <c r="K576">
        <v>81.6875</v>
      </c>
      <c r="L576">
        <v>69.0625</v>
      </c>
      <c r="M576" s="14">
        <v>4.5</v>
      </c>
      <c r="N576" s="14">
        <v>3</v>
      </c>
      <c r="R576" t="str">
        <f t="shared" si="27"/>
        <v xml:space="preserve">XX8X_PV_1053:    Front abuts stile:FALSE       Back abuts stile:TRUE          Panel Section: WHOLE           Stile in the back Width: 24           Cutout A: B-386          Cutout B:      F.C.:4.5 in.         C.C.:3 in.   </v>
      </c>
      <c r="S576" t="str">
        <f t="shared" si="26"/>
        <v>FALSE</v>
      </c>
      <c r="T576" t="str">
        <f t="shared" si="28"/>
        <v>TRUE</v>
      </c>
    </row>
    <row r="577" spans="1:20">
      <c r="A577" t="s">
        <v>737</v>
      </c>
      <c r="B577" s="14" t="s">
        <v>144</v>
      </c>
      <c r="C577" s="14" t="s">
        <v>21</v>
      </c>
      <c r="D577" s="14">
        <v>0</v>
      </c>
      <c r="E577" s="14"/>
      <c r="F577" s="14">
        <v>1</v>
      </c>
      <c r="G577" s="14">
        <v>0</v>
      </c>
      <c r="H577" s="14"/>
      <c r="I577" s="8" t="s">
        <v>38</v>
      </c>
      <c r="J577" s="8" t="s">
        <v>38</v>
      </c>
      <c r="K577">
        <v>104.1875</v>
      </c>
      <c r="L577">
        <v>61.25</v>
      </c>
      <c r="M577" s="14">
        <v>3.75</v>
      </c>
      <c r="N577" s="14">
        <v>8.375</v>
      </c>
      <c r="R577" t="str">
        <f t="shared" si="27"/>
        <v xml:space="preserve">XX8X_PV_1054:    Front abuts stile:FALSE       Back abuts stile:TRUE          Panel Section: WHOLE           Stile in the back Width:            Cutout A:           Cutout B:      F.C.:3.75 in.         C.C.:8.375 in.   </v>
      </c>
      <c r="S577" t="str">
        <f t="shared" si="26"/>
        <v>FALSE</v>
      </c>
      <c r="T577" t="str">
        <f t="shared" si="28"/>
        <v>TRUE</v>
      </c>
    </row>
    <row r="578" spans="1:20">
      <c r="A578" t="s">
        <v>738</v>
      </c>
      <c r="B578" s="14" t="s">
        <v>144</v>
      </c>
      <c r="C578" s="14" t="s">
        <v>21</v>
      </c>
      <c r="D578" s="14">
        <v>0</v>
      </c>
      <c r="E578" s="14"/>
      <c r="F578" s="14">
        <v>1</v>
      </c>
      <c r="G578" s="14">
        <v>1</v>
      </c>
      <c r="H578" s="14"/>
      <c r="I578" s="8" t="s">
        <v>38</v>
      </c>
      <c r="J578" s="8" t="s">
        <v>38</v>
      </c>
      <c r="K578">
        <v>96</v>
      </c>
      <c r="L578">
        <v>52.125</v>
      </c>
      <c r="M578" s="14">
        <v>1</v>
      </c>
      <c r="N578" s="14">
        <v>3.8125</v>
      </c>
      <c r="R578" t="str">
        <f t="shared" si="27"/>
        <v xml:space="preserve">XX8X_PV_1055:    Front abuts stile:FALSE       Back abuts stile:TRUE          Panel Section: WHOLE           Stile in the back Width:            Cutout A:           Cutout B:      F.C.:1 in.         C.C.:3.8125 in.   </v>
      </c>
      <c r="S578" t="str">
        <f t="shared" si="26"/>
        <v>FALSE</v>
      </c>
      <c r="T578" t="str">
        <f t="shared" si="28"/>
        <v>TRUE</v>
      </c>
    </row>
    <row r="579" spans="1:20">
      <c r="A579" t="s">
        <v>739</v>
      </c>
      <c r="B579" s="14" t="s">
        <v>144</v>
      </c>
      <c r="C579" s="14" t="s">
        <v>21</v>
      </c>
      <c r="D579" s="14">
        <v>1</v>
      </c>
      <c r="E579" s="14">
        <v>0</v>
      </c>
      <c r="F579" s="14">
        <v>0</v>
      </c>
      <c r="G579" s="14"/>
      <c r="H579" s="14"/>
      <c r="I579" s="8" t="s">
        <v>38</v>
      </c>
      <c r="J579" s="8" t="s">
        <v>38</v>
      </c>
      <c r="K579">
        <v>66.125</v>
      </c>
      <c r="L579">
        <v>70.375</v>
      </c>
      <c r="M579" s="14">
        <v>12</v>
      </c>
      <c r="N579" s="14">
        <v>8</v>
      </c>
      <c r="R579" t="str">
        <f t="shared" si="27"/>
        <v xml:space="preserve">XX8X_PV_1056:    Front abuts stile:TRUE       Back abuts stile:FALSE          Panel Section: WHOLE           Stile in the back Width:            Cutout A:           Cutout B:      F.C.:12 in.         C.C.:8 in.   </v>
      </c>
      <c r="S579" t="str">
        <f t="shared" si="26"/>
        <v>TRUE</v>
      </c>
      <c r="T579" t="str">
        <f t="shared" si="28"/>
        <v>FALSE</v>
      </c>
    </row>
    <row r="580" spans="1:20">
      <c r="A580" t="s">
        <v>740</v>
      </c>
      <c r="B580" s="14" t="s">
        <v>144</v>
      </c>
      <c r="C580" s="14" t="s">
        <v>21</v>
      </c>
      <c r="D580" s="14">
        <v>1</v>
      </c>
      <c r="E580" s="14">
        <v>0</v>
      </c>
      <c r="F580" s="14">
        <v>1</v>
      </c>
      <c r="G580" s="14">
        <v>0</v>
      </c>
      <c r="H580" s="14">
        <v>12</v>
      </c>
      <c r="I580" s="8" t="s">
        <v>38</v>
      </c>
      <c r="J580" s="8" t="s">
        <v>38</v>
      </c>
      <c r="K580">
        <v>101</v>
      </c>
      <c r="L580">
        <v>67.8125</v>
      </c>
      <c r="M580" s="14">
        <v>4.5</v>
      </c>
      <c r="N580" s="14">
        <v>4.125</v>
      </c>
      <c r="R580" t="str">
        <f t="shared" si="27"/>
        <v xml:space="preserve">XX8X_PV_1057:    Front abuts stile:TRUE       Back abuts stile:TRUE          Panel Section: WHOLE           Stile in the back Width: 12           Cutout A:           Cutout B:      F.C.:4.5 in.         C.C.:4.125 in.   </v>
      </c>
      <c r="S580" t="str">
        <f t="shared" ref="S580:S643" si="29">IF(D580=1, "TRUE", "FALSE")</f>
        <v>TRUE</v>
      </c>
      <c r="T580" t="str">
        <f t="shared" si="28"/>
        <v>TRUE</v>
      </c>
    </row>
    <row r="581" spans="1:20">
      <c r="A581" t="s">
        <v>741</v>
      </c>
      <c r="B581" s="14" t="s">
        <v>144</v>
      </c>
      <c r="C581" s="14" t="s">
        <v>21</v>
      </c>
      <c r="D581" s="14">
        <v>1</v>
      </c>
      <c r="E581" s="14">
        <v>0</v>
      </c>
      <c r="F581" s="14">
        <v>1</v>
      </c>
      <c r="G581" s="14">
        <v>0</v>
      </c>
      <c r="H581" s="14">
        <v>24</v>
      </c>
      <c r="I581" s="8" t="s">
        <v>120</v>
      </c>
      <c r="J581" s="8" t="s">
        <v>38</v>
      </c>
      <c r="K581">
        <v>94.9375</v>
      </c>
      <c r="L581">
        <v>50.8125</v>
      </c>
      <c r="M581" s="14">
        <v>12</v>
      </c>
      <c r="N581" s="14">
        <v>2.6875</v>
      </c>
      <c r="R581" t="str">
        <f t="shared" si="27"/>
        <v xml:space="preserve">XX8X_PV_1058:    Front abuts stile:TRUE       Back abuts stile:TRUE          Panel Section: WHOLE           Stile in the back Width: 24           Cutout A: B-386          Cutout B:      F.C.:12 in.         C.C.:2.6875 in.   </v>
      </c>
      <c r="S581" t="str">
        <f t="shared" si="29"/>
        <v>TRUE</v>
      </c>
      <c r="T581" t="str">
        <f t="shared" si="28"/>
        <v>TRUE</v>
      </c>
    </row>
    <row r="582" spans="1:20">
      <c r="A582" t="s">
        <v>742</v>
      </c>
      <c r="B582" s="14" t="s">
        <v>144</v>
      </c>
      <c r="C582" s="14" t="s">
        <v>21</v>
      </c>
      <c r="D582" s="14">
        <v>1</v>
      </c>
      <c r="E582" s="14">
        <v>0</v>
      </c>
      <c r="F582" s="14">
        <v>1</v>
      </c>
      <c r="G582" s="14">
        <v>0</v>
      </c>
      <c r="H582" s="14"/>
      <c r="I582" s="8" t="s">
        <v>38</v>
      </c>
      <c r="J582" s="8" t="s">
        <v>38</v>
      </c>
      <c r="K582">
        <v>96</v>
      </c>
      <c r="L582">
        <v>73.625</v>
      </c>
      <c r="M582" s="14">
        <v>8.125</v>
      </c>
      <c r="N582" s="14">
        <v>4.75</v>
      </c>
      <c r="R582" t="str">
        <f t="shared" si="27"/>
        <v xml:space="preserve">XX8X_PV_1059:    Front abuts stile:TRUE       Back abuts stile:TRUE          Panel Section: WHOLE           Stile in the back Width:            Cutout A:           Cutout B:      F.C.:8.125 in.         C.C.:4.75 in.   </v>
      </c>
      <c r="S582" t="str">
        <f t="shared" si="29"/>
        <v>TRUE</v>
      </c>
      <c r="T582" t="str">
        <f t="shared" si="28"/>
        <v>TRUE</v>
      </c>
    </row>
    <row r="583" spans="1:20">
      <c r="A583" t="s">
        <v>743</v>
      </c>
      <c r="B583" s="14" t="s">
        <v>144</v>
      </c>
      <c r="C583" s="14" t="s">
        <v>21</v>
      </c>
      <c r="D583" s="14">
        <v>1</v>
      </c>
      <c r="E583" s="14">
        <v>0</v>
      </c>
      <c r="F583" s="14">
        <v>1</v>
      </c>
      <c r="G583" s="14">
        <v>1</v>
      </c>
      <c r="H583" s="14"/>
      <c r="I583" s="8" t="s">
        <v>38</v>
      </c>
      <c r="J583" s="8" t="s">
        <v>38</v>
      </c>
      <c r="K583">
        <v>96</v>
      </c>
      <c r="L583">
        <v>19.8125</v>
      </c>
      <c r="M583" s="14">
        <v>12</v>
      </c>
      <c r="N583" s="14">
        <v>2</v>
      </c>
      <c r="R583" t="str">
        <f t="shared" ref="R583:R646" si="30">A583&amp;":    Front abuts stile:"&amp;S583&amp;"       Back abuts stile:"&amp;T583&amp;"          Panel Section: "&amp;C583&amp;"           Stile in the back Width: "&amp;H583&amp;"           Cutout A: "&amp;I583&amp;"          Cutout B:"&amp;J583&amp;"      F.C.:"&amp;M583&amp;" in. "&amp;"        C.C.:"&amp;N583&amp;" in. "&amp;"  "</f>
        <v xml:space="preserve">XX8X_PV_1060:    Front abuts stile:TRUE       Back abuts stile:TRUE          Panel Section: WHOLE           Stile in the back Width:            Cutout A:           Cutout B:      F.C.:12 in.         C.C.:2 in.   </v>
      </c>
      <c r="S583" t="str">
        <f t="shared" si="29"/>
        <v>TRUE</v>
      </c>
      <c r="T583" t="str">
        <f t="shared" si="28"/>
        <v>TRUE</v>
      </c>
    </row>
    <row r="584" spans="1:20">
      <c r="A584" t="s">
        <v>744</v>
      </c>
      <c r="B584" s="14" t="s">
        <v>144</v>
      </c>
      <c r="C584" s="14" t="s">
        <v>21</v>
      </c>
      <c r="D584" s="14">
        <v>1</v>
      </c>
      <c r="E584" s="14">
        <v>1</v>
      </c>
      <c r="F584" s="14">
        <v>0</v>
      </c>
      <c r="G584" s="14"/>
      <c r="H584" s="14"/>
      <c r="I584" s="8" t="s">
        <v>119</v>
      </c>
      <c r="J584" s="8" t="s">
        <v>120</v>
      </c>
      <c r="K584">
        <v>78.5</v>
      </c>
      <c r="L584">
        <v>53.5</v>
      </c>
      <c r="M584" s="14">
        <v>9</v>
      </c>
      <c r="N584" s="14">
        <v>1</v>
      </c>
      <c r="R584" t="str">
        <f t="shared" si="30"/>
        <v xml:space="preserve">XX8X_PV_1061:    Front abuts stile:TRUE       Back abuts stile:FALSE          Panel Section: WHOLE           Stile in the back Width:            Cutout A: B-354          Cutout B:B-386      F.C.:9 in.         C.C.:1 in.   </v>
      </c>
      <c r="S584" t="str">
        <f t="shared" si="29"/>
        <v>TRUE</v>
      </c>
      <c r="T584" t="str">
        <f t="shared" si="28"/>
        <v>FALSE</v>
      </c>
    </row>
    <row r="585" spans="1:20">
      <c r="A585" t="s">
        <v>745</v>
      </c>
      <c r="B585" s="14" t="s">
        <v>144</v>
      </c>
      <c r="C585" s="14" t="s">
        <v>21</v>
      </c>
      <c r="D585" s="14">
        <v>1</v>
      </c>
      <c r="E585" s="14">
        <v>1</v>
      </c>
      <c r="F585" s="14">
        <v>1</v>
      </c>
      <c r="G585" s="14">
        <v>0</v>
      </c>
      <c r="H585" s="14">
        <v>12</v>
      </c>
      <c r="I585" s="8" t="s">
        <v>38</v>
      </c>
      <c r="J585" s="8" t="s">
        <v>38</v>
      </c>
      <c r="K585">
        <v>96</v>
      </c>
      <c r="L585">
        <v>67.5</v>
      </c>
      <c r="M585" s="14">
        <v>1</v>
      </c>
      <c r="N585" s="14">
        <v>4.3125</v>
      </c>
      <c r="R585" t="str">
        <f t="shared" si="30"/>
        <v xml:space="preserve">XX8X_PV_1062:    Front abuts stile:TRUE       Back abuts stile:TRUE          Panel Section: WHOLE           Stile in the back Width: 12           Cutout A:           Cutout B:      F.C.:1 in.         C.C.:4.3125 in.   </v>
      </c>
      <c r="S585" t="str">
        <f t="shared" si="29"/>
        <v>TRUE</v>
      </c>
      <c r="T585" t="str">
        <f t="shared" si="28"/>
        <v>TRUE</v>
      </c>
    </row>
    <row r="586" spans="1:20">
      <c r="A586" t="s">
        <v>746</v>
      </c>
      <c r="B586" s="14" t="s">
        <v>144</v>
      </c>
      <c r="C586" s="14" t="s">
        <v>21</v>
      </c>
      <c r="D586" s="14">
        <v>1</v>
      </c>
      <c r="E586" s="14">
        <v>1</v>
      </c>
      <c r="F586" s="14">
        <v>1</v>
      </c>
      <c r="G586" s="14">
        <v>0</v>
      </c>
      <c r="H586" s="14">
        <v>24</v>
      </c>
      <c r="I586" s="8" t="s">
        <v>120</v>
      </c>
      <c r="J586" s="8" t="s">
        <v>38</v>
      </c>
      <c r="K586">
        <v>96</v>
      </c>
      <c r="L586">
        <v>47.375</v>
      </c>
      <c r="M586" s="14">
        <v>1.875</v>
      </c>
      <c r="N586" s="14">
        <v>3.75</v>
      </c>
      <c r="R586" t="str">
        <f t="shared" si="30"/>
        <v xml:space="preserve">XX8X_PV_1063:    Front abuts stile:TRUE       Back abuts stile:TRUE          Panel Section: WHOLE           Stile in the back Width: 24           Cutout A: B-386          Cutout B:      F.C.:1.875 in.         C.C.:3.75 in.   </v>
      </c>
      <c r="S586" t="str">
        <f t="shared" si="29"/>
        <v>TRUE</v>
      </c>
      <c r="T586" t="str">
        <f t="shared" si="28"/>
        <v>TRUE</v>
      </c>
    </row>
    <row r="587" spans="1:20">
      <c r="A587" t="s">
        <v>747</v>
      </c>
      <c r="B587" s="14" t="s">
        <v>144</v>
      </c>
      <c r="C587" s="14" t="s">
        <v>21</v>
      </c>
      <c r="D587" s="14">
        <v>1</v>
      </c>
      <c r="E587" s="14">
        <v>1</v>
      </c>
      <c r="F587" s="14">
        <v>1</v>
      </c>
      <c r="G587" s="14">
        <v>0</v>
      </c>
      <c r="H587" s="14"/>
      <c r="I587" s="8" t="s">
        <v>38</v>
      </c>
      <c r="J587" s="8" t="s">
        <v>38</v>
      </c>
      <c r="K587">
        <v>104.5625</v>
      </c>
      <c r="L587">
        <v>58.75</v>
      </c>
      <c r="M587" s="14">
        <v>1</v>
      </c>
      <c r="N587" s="14">
        <v>4.75</v>
      </c>
      <c r="R587" t="str">
        <f t="shared" si="30"/>
        <v xml:space="preserve">XX8X_PV_1064:    Front abuts stile:TRUE       Back abuts stile:TRUE          Panel Section: WHOLE           Stile in the back Width:            Cutout A:           Cutout B:      F.C.:1 in.         C.C.:4.75 in.   </v>
      </c>
      <c r="S587" t="str">
        <f t="shared" si="29"/>
        <v>TRUE</v>
      </c>
      <c r="T587" t="str">
        <f t="shared" si="28"/>
        <v>TRUE</v>
      </c>
    </row>
    <row r="588" spans="1:20">
      <c r="A588" t="s">
        <v>748</v>
      </c>
      <c r="B588" s="14" t="s">
        <v>144</v>
      </c>
      <c r="C588" s="14" t="s">
        <v>21</v>
      </c>
      <c r="D588" s="14">
        <v>1</v>
      </c>
      <c r="E588" s="14">
        <v>1</v>
      </c>
      <c r="F588" s="14">
        <v>1</v>
      </c>
      <c r="G588" s="14">
        <v>1</v>
      </c>
      <c r="H588" s="14"/>
      <c r="I588" s="8" t="s">
        <v>38</v>
      </c>
      <c r="J588" s="8" t="s">
        <v>38</v>
      </c>
      <c r="K588">
        <v>58.625</v>
      </c>
      <c r="L588">
        <v>72.4375</v>
      </c>
      <c r="M588" s="14">
        <v>4.5</v>
      </c>
      <c r="N588" s="14">
        <v>2.0625</v>
      </c>
      <c r="R588" t="str">
        <f t="shared" si="30"/>
        <v xml:space="preserve">XX8X_PV_1065:    Front abuts stile:TRUE       Back abuts stile:TRUE          Panel Section: WHOLE           Stile in the back Width:            Cutout A:           Cutout B:      F.C.:4.5 in.         C.C.:2.0625 in.   </v>
      </c>
      <c r="S588" t="str">
        <f t="shared" si="29"/>
        <v>TRUE</v>
      </c>
      <c r="T588" t="str">
        <f t="shared" si="28"/>
        <v>TRUE</v>
      </c>
    </row>
    <row r="589" spans="1:20">
      <c r="A589" t="s">
        <v>749</v>
      </c>
      <c r="B589" s="14" t="s">
        <v>144</v>
      </c>
      <c r="C589" s="14" t="s">
        <v>156</v>
      </c>
      <c r="D589" s="19">
        <v>0</v>
      </c>
      <c r="E589" s="19"/>
      <c r="F589" s="19">
        <v>0</v>
      </c>
      <c r="G589" s="19"/>
      <c r="H589" s="14"/>
      <c r="I589" s="8" t="s">
        <v>145</v>
      </c>
      <c r="J589" s="8" t="s">
        <v>38</v>
      </c>
      <c r="K589">
        <v>23.5</v>
      </c>
      <c r="L589">
        <v>76.75</v>
      </c>
      <c r="M589" s="14">
        <v>9.125</v>
      </c>
      <c r="N589" s="14">
        <v>1</v>
      </c>
      <c r="R589" t="str">
        <f t="shared" si="30"/>
        <v xml:space="preserve">XX8X_PV_1081:    Front abuts stile:FALSE       Back abuts stile:FALSE          Panel Section: TOP           Stile in the back Width:            Cutout A: B-347          Cutout B:      F.C.:9.125 in.         C.C.:1 in.   </v>
      </c>
      <c r="S589" t="str">
        <f t="shared" si="29"/>
        <v>FALSE</v>
      </c>
      <c r="T589" t="str">
        <f t="shared" si="28"/>
        <v>FALSE</v>
      </c>
    </row>
    <row r="590" spans="1:20">
      <c r="A590" t="s">
        <v>750</v>
      </c>
      <c r="B590" s="14" t="s">
        <v>144</v>
      </c>
      <c r="C590" s="14" t="s">
        <v>156</v>
      </c>
      <c r="D590" s="14">
        <v>0</v>
      </c>
      <c r="E590" s="14"/>
      <c r="F590" s="14">
        <v>1</v>
      </c>
      <c r="G590" s="14">
        <v>0</v>
      </c>
      <c r="H590" s="14">
        <v>12</v>
      </c>
      <c r="I590" s="8" t="s">
        <v>35</v>
      </c>
      <c r="J590" s="8" t="s">
        <v>38</v>
      </c>
      <c r="K590">
        <v>46.125</v>
      </c>
      <c r="L590">
        <v>42.5625</v>
      </c>
      <c r="M590" s="14">
        <v>9</v>
      </c>
      <c r="N590" s="14">
        <v>3.6875</v>
      </c>
      <c r="R590" t="str">
        <f t="shared" si="30"/>
        <v xml:space="preserve">XX8X_PV_1082:    Front abuts stile:FALSE       Back abuts stile:TRUE          Panel Section: TOP           Stile in the back Width: 12           Cutout A: B-357          Cutout B:      F.C.:9 in.         C.C.:3.6875 in.   </v>
      </c>
      <c r="S590" t="str">
        <f t="shared" si="29"/>
        <v>FALSE</v>
      </c>
      <c r="T590" t="str">
        <f t="shared" si="28"/>
        <v>TRUE</v>
      </c>
    </row>
    <row r="591" spans="1:20">
      <c r="A591" t="s">
        <v>751</v>
      </c>
      <c r="B591" s="14" t="s">
        <v>144</v>
      </c>
      <c r="C591" s="14" t="s">
        <v>156</v>
      </c>
      <c r="D591" s="14">
        <v>0</v>
      </c>
      <c r="E591" s="14"/>
      <c r="F591" s="14">
        <v>1</v>
      </c>
      <c r="G591" s="14">
        <v>0</v>
      </c>
      <c r="H591" s="14">
        <v>24</v>
      </c>
      <c r="I591" s="8" t="s">
        <v>120</v>
      </c>
      <c r="J591" s="8" t="s">
        <v>38</v>
      </c>
      <c r="K591">
        <v>16.8125</v>
      </c>
      <c r="L591">
        <v>72.3125</v>
      </c>
      <c r="M591" s="14">
        <v>3.6875</v>
      </c>
      <c r="N591" s="14">
        <v>1</v>
      </c>
      <c r="R591" t="str">
        <f t="shared" si="30"/>
        <v xml:space="preserve">XX8X_PV_1083:    Front abuts stile:FALSE       Back abuts stile:TRUE          Panel Section: TOP           Stile in the back Width: 24           Cutout A: B-386          Cutout B:      F.C.:3.6875 in.         C.C.:1 in.   </v>
      </c>
      <c r="S591" t="str">
        <f t="shared" si="29"/>
        <v>FALSE</v>
      </c>
      <c r="T591" t="str">
        <f t="shared" si="28"/>
        <v>TRUE</v>
      </c>
    </row>
    <row r="592" spans="1:20">
      <c r="A592" t="s">
        <v>752</v>
      </c>
      <c r="B592" s="14" t="s">
        <v>144</v>
      </c>
      <c r="C592" s="14" t="s">
        <v>156</v>
      </c>
      <c r="D592" s="14">
        <v>0</v>
      </c>
      <c r="E592" s="14"/>
      <c r="F592" s="14">
        <v>1</v>
      </c>
      <c r="G592" s="14">
        <v>0</v>
      </c>
      <c r="H592" s="14"/>
      <c r="I592" s="8" t="s">
        <v>38</v>
      </c>
      <c r="J592" s="8" t="s">
        <v>38</v>
      </c>
      <c r="K592">
        <v>36.5625</v>
      </c>
      <c r="L592">
        <v>48.125</v>
      </c>
      <c r="M592" s="14">
        <v>1</v>
      </c>
      <c r="N592" s="14">
        <v>3.75</v>
      </c>
      <c r="R592" t="str">
        <f t="shared" si="30"/>
        <v xml:space="preserve">XX8X_PV_1084:    Front abuts stile:FALSE       Back abuts stile:TRUE          Panel Section: TOP           Stile in the back Width:            Cutout A:           Cutout B:      F.C.:1 in.         C.C.:3.75 in.   </v>
      </c>
      <c r="S592" t="str">
        <f t="shared" si="29"/>
        <v>FALSE</v>
      </c>
      <c r="T592" t="str">
        <f t="shared" si="28"/>
        <v>TRUE</v>
      </c>
    </row>
    <row r="593" spans="1:20">
      <c r="A593" t="s">
        <v>753</v>
      </c>
      <c r="B593" s="14" t="s">
        <v>144</v>
      </c>
      <c r="C593" s="14" t="s">
        <v>156</v>
      </c>
      <c r="D593" s="14">
        <v>0</v>
      </c>
      <c r="E593" s="14"/>
      <c r="F593" s="14">
        <v>1</v>
      </c>
      <c r="G593" s="14">
        <v>1</v>
      </c>
      <c r="H593" s="14"/>
      <c r="I593" s="8" t="s">
        <v>38</v>
      </c>
      <c r="J593" s="8" t="s">
        <v>38</v>
      </c>
      <c r="K593">
        <v>27.8125</v>
      </c>
      <c r="L593">
        <v>54.5</v>
      </c>
      <c r="M593" s="14">
        <v>1.5625</v>
      </c>
      <c r="N593" s="14">
        <v>1</v>
      </c>
      <c r="R593" t="str">
        <f t="shared" si="30"/>
        <v xml:space="preserve">XX8X_PV_1085:    Front abuts stile:FALSE       Back abuts stile:TRUE          Panel Section: TOP           Stile in the back Width:            Cutout A:           Cutout B:      F.C.:1.5625 in.         C.C.:1 in.   </v>
      </c>
      <c r="S593" t="str">
        <f t="shared" si="29"/>
        <v>FALSE</v>
      </c>
      <c r="T593" t="str">
        <f t="shared" si="28"/>
        <v>TRUE</v>
      </c>
    </row>
    <row r="594" spans="1:20">
      <c r="A594" t="s">
        <v>754</v>
      </c>
      <c r="B594" s="14" t="s">
        <v>144</v>
      </c>
      <c r="C594" s="14" t="s">
        <v>156</v>
      </c>
      <c r="D594" s="14">
        <v>1</v>
      </c>
      <c r="E594" s="14">
        <v>0</v>
      </c>
      <c r="F594" s="14">
        <v>0</v>
      </c>
      <c r="G594" s="14"/>
      <c r="H594" s="14"/>
      <c r="I594" s="8" t="s">
        <v>150</v>
      </c>
      <c r="J594" s="8" t="s">
        <v>38</v>
      </c>
      <c r="K594">
        <v>24.625</v>
      </c>
      <c r="L594">
        <v>51.5625</v>
      </c>
      <c r="M594" s="14">
        <v>3</v>
      </c>
      <c r="N594" s="14">
        <v>5.875</v>
      </c>
      <c r="R594" t="str">
        <f t="shared" si="30"/>
        <v xml:space="preserve">XX8X_PV_1086:    Front abuts stile:TRUE       Back abuts stile:FALSE          Panel Section: TOP           Stile in the back Width:            Cutout A: B-3571          Cutout B:      F.C.:3 in.         C.C.:5.875 in.   </v>
      </c>
      <c r="S594" t="str">
        <f t="shared" si="29"/>
        <v>TRUE</v>
      </c>
      <c r="T594" t="str">
        <f t="shared" ref="T594:T658" si="31">IF(F594=1, "TRUE", "FALSE")</f>
        <v>FALSE</v>
      </c>
    </row>
    <row r="595" spans="1:20">
      <c r="A595" t="s">
        <v>755</v>
      </c>
      <c r="B595" s="14" t="s">
        <v>144</v>
      </c>
      <c r="C595" s="14" t="s">
        <v>156</v>
      </c>
      <c r="D595" s="14">
        <v>1</v>
      </c>
      <c r="E595" s="14">
        <v>0</v>
      </c>
      <c r="F595" s="14">
        <v>1</v>
      </c>
      <c r="G595" s="14">
        <v>0</v>
      </c>
      <c r="H595" s="14">
        <v>12</v>
      </c>
      <c r="I595" s="8" t="s">
        <v>149</v>
      </c>
      <c r="J595" s="8" t="s">
        <v>38</v>
      </c>
      <c r="K595">
        <v>47.875</v>
      </c>
      <c r="L595">
        <v>60.25</v>
      </c>
      <c r="M595" s="14">
        <v>1.8125</v>
      </c>
      <c r="N595" s="14">
        <v>4.8125</v>
      </c>
      <c r="R595" t="str">
        <f t="shared" si="30"/>
        <v xml:space="preserve">XX8X_PV_1087:    Front abuts stile:TRUE       Back abuts stile:TRUE          Panel Section: TOP           Stile in the back Width: 12           Cutout A: B-34715          Cutout B:      F.C.:1.8125 in.         C.C.:4.8125 in.   </v>
      </c>
      <c r="S595" t="str">
        <f t="shared" si="29"/>
        <v>TRUE</v>
      </c>
      <c r="T595" t="str">
        <f t="shared" si="31"/>
        <v>TRUE</v>
      </c>
    </row>
    <row r="596" spans="1:20">
      <c r="A596" t="s">
        <v>756</v>
      </c>
      <c r="B596" s="14" t="s">
        <v>144</v>
      </c>
      <c r="C596" s="14" t="s">
        <v>156</v>
      </c>
      <c r="D596" s="14">
        <v>1</v>
      </c>
      <c r="E596" s="14">
        <v>0</v>
      </c>
      <c r="F596" s="14">
        <v>1</v>
      </c>
      <c r="G596" s="14">
        <v>0</v>
      </c>
      <c r="H596" s="14">
        <v>24</v>
      </c>
      <c r="I596" s="8" t="s">
        <v>120</v>
      </c>
      <c r="J596" s="8" t="s">
        <v>38</v>
      </c>
      <c r="K596">
        <v>47.3125</v>
      </c>
      <c r="L596">
        <v>79.4375</v>
      </c>
      <c r="M596" s="14">
        <v>4.5</v>
      </c>
      <c r="N596" s="14">
        <v>8.25</v>
      </c>
      <c r="R596" t="str">
        <f t="shared" si="30"/>
        <v xml:space="preserve">XX8X_PV_1088:    Front abuts stile:TRUE       Back abuts stile:TRUE          Panel Section: TOP           Stile in the back Width: 24           Cutout A: B-386          Cutout B:      F.C.:4.5 in.         C.C.:8.25 in.   </v>
      </c>
      <c r="S596" t="str">
        <f t="shared" si="29"/>
        <v>TRUE</v>
      </c>
      <c r="T596" t="str">
        <f t="shared" si="31"/>
        <v>TRUE</v>
      </c>
    </row>
    <row r="597" spans="1:20">
      <c r="A597" t="s">
        <v>757</v>
      </c>
      <c r="B597" s="14" t="s">
        <v>144</v>
      </c>
      <c r="C597" s="14" t="s">
        <v>156</v>
      </c>
      <c r="D597" s="14">
        <v>1</v>
      </c>
      <c r="E597" s="14">
        <v>0</v>
      </c>
      <c r="F597" s="14">
        <v>1</v>
      </c>
      <c r="G597" s="14">
        <v>0</v>
      </c>
      <c r="H597" s="14"/>
      <c r="I597" s="8" t="s">
        <v>38</v>
      </c>
      <c r="J597" s="8" t="s">
        <v>38</v>
      </c>
      <c r="K597">
        <v>10.25</v>
      </c>
      <c r="L597">
        <v>79.0625</v>
      </c>
      <c r="M597" s="14">
        <v>4.5</v>
      </c>
      <c r="N597" s="14">
        <v>6.75</v>
      </c>
      <c r="R597" t="str">
        <f t="shared" si="30"/>
        <v xml:space="preserve">XX8X_PV_1089:    Front abuts stile:TRUE       Back abuts stile:TRUE          Panel Section: TOP           Stile in the back Width:            Cutout A:           Cutout B:      F.C.:4.5 in.         C.C.:6.75 in.   </v>
      </c>
      <c r="S597" t="str">
        <f t="shared" si="29"/>
        <v>TRUE</v>
      </c>
      <c r="T597" t="str">
        <f t="shared" si="31"/>
        <v>TRUE</v>
      </c>
    </row>
    <row r="598" spans="1:20">
      <c r="A598" t="s">
        <v>758</v>
      </c>
      <c r="B598" s="14" t="s">
        <v>144</v>
      </c>
      <c r="C598" s="14" t="s">
        <v>156</v>
      </c>
      <c r="D598" s="14">
        <v>1</v>
      </c>
      <c r="E598" s="14">
        <v>0</v>
      </c>
      <c r="F598" s="14">
        <v>1</v>
      </c>
      <c r="G598" s="14">
        <v>1</v>
      </c>
      <c r="H598" s="14"/>
      <c r="I598" s="8" t="s">
        <v>38</v>
      </c>
      <c r="J598" s="8" t="s">
        <v>38</v>
      </c>
      <c r="K598">
        <v>35.8125</v>
      </c>
      <c r="L598">
        <v>37.4375</v>
      </c>
      <c r="M598" s="14">
        <v>4.5</v>
      </c>
      <c r="N598" s="14">
        <v>7.0625</v>
      </c>
      <c r="R598" t="str">
        <f t="shared" si="30"/>
        <v xml:space="preserve">XX8X_PV_1090:    Front abuts stile:TRUE       Back abuts stile:TRUE          Panel Section: TOP           Stile in the back Width:            Cutout A:           Cutout B:      F.C.:4.5 in.         C.C.:7.0625 in.   </v>
      </c>
      <c r="S598" t="str">
        <f t="shared" si="29"/>
        <v>TRUE</v>
      </c>
      <c r="T598" t="str">
        <f t="shared" si="31"/>
        <v>TRUE</v>
      </c>
    </row>
    <row r="599" spans="1:20">
      <c r="A599" t="s">
        <v>759</v>
      </c>
      <c r="B599" s="14" t="s">
        <v>144</v>
      </c>
      <c r="C599" s="14" t="s">
        <v>156</v>
      </c>
      <c r="D599" s="14">
        <v>1</v>
      </c>
      <c r="E599" s="14">
        <v>1</v>
      </c>
      <c r="F599" s="14">
        <v>0</v>
      </c>
      <c r="G599" s="14"/>
      <c r="H599" s="14"/>
      <c r="I599" s="8" t="s">
        <v>35</v>
      </c>
      <c r="J599" s="8" t="s">
        <v>38</v>
      </c>
      <c r="K599">
        <v>24.1875</v>
      </c>
      <c r="L599">
        <v>45.125</v>
      </c>
      <c r="M599" s="14">
        <v>1</v>
      </c>
      <c r="N599" s="14">
        <v>4.8125</v>
      </c>
      <c r="R599" t="str">
        <f t="shared" si="30"/>
        <v xml:space="preserve">XX8X_PV_1091:    Front abuts stile:TRUE       Back abuts stile:FALSE          Panel Section: TOP           Stile in the back Width:            Cutout A: B-357          Cutout B:      F.C.:1 in.         C.C.:4.8125 in.   </v>
      </c>
      <c r="S599" t="str">
        <f t="shared" si="29"/>
        <v>TRUE</v>
      </c>
      <c r="T599" t="str">
        <f t="shared" si="31"/>
        <v>FALSE</v>
      </c>
    </row>
    <row r="600" spans="1:20">
      <c r="A600" t="s">
        <v>760</v>
      </c>
      <c r="B600" s="14" t="s">
        <v>144</v>
      </c>
      <c r="C600" s="14" t="s">
        <v>156</v>
      </c>
      <c r="D600" s="14">
        <v>1</v>
      </c>
      <c r="E600" s="14">
        <v>1</v>
      </c>
      <c r="F600" s="14">
        <v>1</v>
      </c>
      <c r="G600" s="14">
        <v>0</v>
      </c>
      <c r="H600" s="14">
        <v>12</v>
      </c>
      <c r="I600" s="8" t="s">
        <v>149</v>
      </c>
      <c r="J600" s="8" t="s">
        <v>38</v>
      </c>
      <c r="K600">
        <v>43.1875</v>
      </c>
      <c r="L600">
        <v>75.8125</v>
      </c>
      <c r="M600" s="14">
        <v>2.3125</v>
      </c>
      <c r="N600" s="14">
        <v>7.4375</v>
      </c>
      <c r="R600" t="str">
        <f t="shared" si="30"/>
        <v xml:space="preserve">XX8X_PV_1092:    Front abuts stile:TRUE       Back abuts stile:TRUE          Panel Section: TOP           Stile in the back Width: 12           Cutout A: B-34715          Cutout B:      F.C.:2.3125 in.         C.C.:7.4375 in.   </v>
      </c>
      <c r="S600" t="str">
        <f t="shared" si="29"/>
        <v>TRUE</v>
      </c>
      <c r="T600" t="str">
        <f t="shared" si="31"/>
        <v>TRUE</v>
      </c>
    </row>
    <row r="601" spans="1:20">
      <c r="A601" t="s">
        <v>761</v>
      </c>
      <c r="B601" s="14" t="s">
        <v>144</v>
      </c>
      <c r="C601" s="14" t="s">
        <v>156</v>
      </c>
      <c r="D601" s="14">
        <v>1</v>
      </c>
      <c r="E601" s="14">
        <v>1</v>
      </c>
      <c r="F601" s="14">
        <v>1</v>
      </c>
      <c r="G601" s="14">
        <v>0</v>
      </c>
      <c r="H601" s="14">
        <v>24</v>
      </c>
      <c r="I601" s="8" t="s">
        <v>120</v>
      </c>
      <c r="J601" s="8" t="s">
        <v>38</v>
      </c>
      <c r="K601">
        <v>34.5625</v>
      </c>
      <c r="L601">
        <v>57.25</v>
      </c>
      <c r="M601" s="14">
        <v>9</v>
      </c>
      <c r="N601" s="14">
        <v>1.4375</v>
      </c>
      <c r="R601" t="str">
        <f t="shared" si="30"/>
        <v xml:space="preserve">XX8X_PV_1093:    Front abuts stile:TRUE       Back abuts stile:TRUE          Panel Section: TOP           Stile in the back Width: 24           Cutout A: B-386          Cutout B:      F.C.:9 in.         C.C.:1.4375 in.   </v>
      </c>
      <c r="S601" t="str">
        <f t="shared" si="29"/>
        <v>TRUE</v>
      </c>
      <c r="T601" t="str">
        <f t="shared" si="31"/>
        <v>TRUE</v>
      </c>
    </row>
    <row r="602" spans="1:20">
      <c r="A602" t="s">
        <v>762</v>
      </c>
      <c r="B602" s="14" t="s">
        <v>144</v>
      </c>
      <c r="C602" s="14" t="s">
        <v>156</v>
      </c>
      <c r="D602" s="14">
        <v>1</v>
      </c>
      <c r="E602" s="14">
        <v>1</v>
      </c>
      <c r="F602" s="14">
        <v>1</v>
      </c>
      <c r="G602" s="14">
        <v>0</v>
      </c>
      <c r="H602" s="14"/>
      <c r="I602" s="8" t="s">
        <v>38</v>
      </c>
      <c r="J602" s="8" t="s">
        <v>38</v>
      </c>
      <c r="K602">
        <v>9.5625</v>
      </c>
      <c r="L602">
        <v>77.75</v>
      </c>
      <c r="M602" s="14">
        <v>1.625</v>
      </c>
      <c r="N602" s="14">
        <v>1</v>
      </c>
      <c r="R602" t="str">
        <f t="shared" si="30"/>
        <v xml:space="preserve">XX8X_PV_1094:    Front abuts stile:TRUE       Back abuts stile:TRUE          Panel Section: TOP           Stile in the back Width:            Cutout A:           Cutout B:      F.C.:1.625 in.         C.C.:1 in.   </v>
      </c>
      <c r="S602" t="str">
        <f t="shared" si="29"/>
        <v>TRUE</v>
      </c>
      <c r="T602" t="str">
        <f t="shared" si="31"/>
        <v>TRUE</v>
      </c>
    </row>
    <row r="603" spans="1:20">
      <c r="A603" t="s">
        <v>763</v>
      </c>
      <c r="B603" s="14" t="s">
        <v>144</v>
      </c>
      <c r="C603" s="14" t="s">
        <v>156</v>
      </c>
      <c r="D603" s="14">
        <v>1</v>
      </c>
      <c r="E603" s="14">
        <v>1</v>
      </c>
      <c r="F603" s="14">
        <v>1</v>
      </c>
      <c r="G603" s="14">
        <v>1</v>
      </c>
      <c r="H603" s="14"/>
      <c r="I603" s="8" t="s">
        <v>38</v>
      </c>
      <c r="J603" s="8" t="s">
        <v>38</v>
      </c>
      <c r="K603">
        <v>14.0625</v>
      </c>
      <c r="L603">
        <v>51.9375</v>
      </c>
      <c r="M603" s="14">
        <v>12</v>
      </c>
      <c r="N603" s="14">
        <v>7.6875</v>
      </c>
      <c r="R603" t="str">
        <f t="shared" si="30"/>
        <v xml:space="preserve">XX8X_PV_1095:    Front abuts stile:TRUE       Back abuts stile:TRUE          Panel Section: TOP           Stile in the back Width:            Cutout A:           Cutout B:      F.C.:12 in.         C.C.:7.6875 in.   </v>
      </c>
      <c r="S603" t="str">
        <f t="shared" si="29"/>
        <v>TRUE</v>
      </c>
      <c r="T603" t="str">
        <f t="shared" si="31"/>
        <v>TRUE</v>
      </c>
    </row>
    <row r="604" spans="1:20">
      <c r="A604" t="s">
        <v>764</v>
      </c>
      <c r="B604" s="14" t="s">
        <v>144</v>
      </c>
      <c r="C604" s="14" t="s">
        <v>157</v>
      </c>
      <c r="D604" s="14">
        <v>0</v>
      </c>
      <c r="E604" s="14"/>
      <c r="F604" s="14">
        <v>0</v>
      </c>
      <c r="G604" s="14"/>
      <c r="H604" s="14"/>
      <c r="I604" s="8" t="s">
        <v>119</v>
      </c>
      <c r="J604" s="8" t="s">
        <v>38</v>
      </c>
      <c r="K604">
        <v>60</v>
      </c>
      <c r="L604">
        <v>61.75</v>
      </c>
      <c r="M604" s="14">
        <v>9</v>
      </c>
      <c r="N604" s="14">
        <v>3.5</v>
      </c>
      <c r="R604" t="str">
        <f t="shared" si="30"/>
        <v xml:space="preserve">XX8X_PV_1111:    Front abuts stile:FALSE       Back abuts stile:FALSE          Panel Section: BOTTOM           Stile in the back Width:            Cutout A: B-354          Cutout B:      F.C.:9 in.         C.C.:3.5 in.   </v>
      </c>
      <c r="S604" t="str">
        <f t="shared" si="29"/>
        <v>FALSE</v>
      </c>
      <c r="T604" t="str">
        <f t="shared" si="31"/>
        <v>FALSE</v>
      </c>
    </row>
    <row r="605" spans="1:20">
      <c r="A605" t="s">
        <v>765</v>
      </c>
      <c r="B605" s="14" t="s">
        <v>144</v>
      </c>
      <c r="C605" s="14" t="s">
        <v>157</v>
      </c>
      <c r="D605" s="14">
        <v>0</v>
      </c>
      <c r="E605" s="14"/>
      <c r="F605" s="14">
        <v>1</v>
      </c>
      <c r="G605" s="14">
        <v>0</v>
      </c>
      <c r="H605" s="14">
        <v>12</v>
      </c>
      <c r="I605" s="8" t="s">
        <v>120</v>
      </c>
      <c r="J605" s="8" t="s">
        <v>38</v>
      </c>
      <c r="K605">
        <v>60</v>
      </c>
      <c r="L605">
        <v>45.5625</v>
      </c>
      <c r="M605" s="14">
        <v>3.1875</v>
      </c>
      <c r="N605" s="14">
        <v>1.1875</v>
      </c>
      <c r="R605" t="str">
        <f t="shared" si="30"/>
        <v xml:space="preserve">XX8X_PV_1112:    Front abuts stile:FALSE       Back abuts stile:TRUE          Panel Section: BOTTOM           Stile in the back Width: 12           Cutout A: B-386          Cutout B:      F.C.:3.1875 in.         C.C.:1.1875 in.   </v>
      </c>
      <c r="S605" t="str">
        <f t="shared" si="29"/>
        <v>FALSE</v>
      </c>
      <c r="T605" t="str">
        <f t="shared" si="31"/>
        <v>TRUE</v>
      </c>
    </row>
    <row r="606" spans="1:20">
      <c r="A606" t="s">
        <v>766</v>
      </c>
      <c r="B606" s="14" t="s">
        <v>144</v>
      </c>
      <c r="C606" s="14" t="s">
        <v>157</v>
      </c>
      <c r="D606" s="14">
        <v>0</v>
      </c>
      <c r="E606" s="14"/>
      <c r="F606" s="14">
        <v>1</v>
      </c>
      <c r="G606" s="14">
        <v>0</v>
      </c>
      <c r="H606" s="14">
        <v>24</v>
      </c>
      <c r="I606" s="8" t="s">
        <v>120</v>
      </c>
      <c r="J606" s="8" t="s">
        <v>38</v>
      </c>
      <c r="K606">
        <v>60</v>
      </c>
      <c r="L606">
        <v>66.375</v>
      </c>
      <c r="M606" s="14">
        <v>12</v>
      </c>
      <c r="N606" s="14">
        <v>1</v>
      </c>
      <c r="R606" t="str">
        <f t="shared" si="30"/>
        <v xml:space="preserve">XX8X_PV_1113:    Front abuts stile:FALSE       Back abuts stile:TRUE          Panel Section: BOTTOM           Stile in the back Width: 24           Cutout A: B-386          Cutout B:      F.C.:12 in.         C.C.:1 in.   </v>
      </c>
      <c r="S606" t="str">
        <f t="shared" si="29"/>
        <v>FALSE</v>
      </c>
      <c r="T606" t="str">
        <f t="shared" si="31"/>
        <v>TRUE</v>
      </c>
    </row>
    <row r="607" spans="1:20">
      <c r="A607" t="s">
        <v>767</v>
      </c>
      <c r="B607" s="14" t="s">
        <v>144</v>
      </c>
      <c r="C607" s="14" t="s">
        <v>157</v>
      </c>
      <c r="D607" s="14">
        <v>0</v>
      </c>
      <c r="E607" s="14"/>
      <c r="F607" s="14">
        <v>1</v>
      </c>
      <c r="G607" s="14">
        <v>0</v>
      </c>
      <c r="H607" s="14"/>
      <c r="I607" s="8" t="s">
        <v>38</v>
      </c>
      <c r="J607" s="8" t="s">
        <v>38</v>
      </c>
      <c r="K607">
        <v>60</v>
      </c>
      <c r="L607">
        <v>5.875</v>
      </c>
      <c r="M607" s="14">
        <v>7.6875</v>
      </c>
      <c r="N607" s="14">
        <v>1</v>
      </c>
      <c r="R607" t="str">
        <f t="shared" si="30"/>
        <v xml:space="preserve">XX8X_PV_1114:    Front abuts stile:FALSE       Back abuts stile:TRUE          Panel Section: BOTTOM           Stile in the back Width:            Cutout A:           Cutout B:      F.C.:7.6875 in.         C.C.:1 in.   </v>
      </c>
      <c r="S607" t="str">
        <f t="shared" si="29"/>
        <v>FALSE</v>
      </c>
      <c r="T607" t="str">
        <f t="shared" si="31"/>
        <v>TRUE</v>
      </c>
    </row>
    <row r="608" spans="1:20">
      <c r="A608" t="s">
        <v>768</v>
      </c>
      <c r="B608" s="14" t="s">
        <v>144</v>
      </c>
      <c r="C608" s="14" t="s">
        <v>157</v>
      </c>
      <c r="D608" s="14">
        <v>0</v>
      </c>
      <c r="E608" s="14"/>
      <c r="F608" s="14">
        <v>1</v>
      </c>
      <c r="G608" s="14">
        <v>1</v>
      </c>
      <c r="H608" s="14"/>
      <c r="I608" s="8" t="s">
        <v>38</v>
      </c>
      <c r="J608" s="8" t="s">
        <v>38</v>
      </c>
      <c r="K608">
        <v>60</v>
      </c>
      <c r="L608">
        <v>44.375</v>
      </c>
      <c r="M608" s="14">
        <v>12</v>
      </c>
      <c r="N608" s="14">
        <v>2</v>
      </c>
      <c r="R608" t="str">
        <f t="shared" si="30"/>
        <v xml:space="preserve">XX8X_PV_1115:    Front abuts stile:FALSE       Back abuts stile:TRUE          Panel Section: BOTTOM           Stile in the back Width:            Cutout A:           Cutout B:      F.C.:12 in.         C.C.:2 in.   </v>
      </c>
      <c r="S608" t="str">
        <f t="shared" si="29"/>
        <v>FALSE</v>
      </c>
      <c r="T608" t="str">
        <f t="shared" si="31"/>
        <v>TRUE</v>
      </c>
    </row>
    <row r="609" spans="1:20">
      <c r="A609" t="s">
        <v>769</v>
      </c>
      <c r="B609" s="14" t="s">
        <v>144</v>
      </c>
      <c r="C609" s="14" t="s">
        <v>157</v>
      </c>
      <c r="D609" s="14">
        <v>1</v>
      </c>
      <c r="E609" s="14">
        <v>0</v>
      </c>
      <c r="F609" s="14">
        <v>0</v>
      </c>
      <c r="G609" s="14"/>
      <c r="H609" s="14"/>
      <c r="I609" s="8" t="s">
        <v>151</v>
      </c>
      <c r="J609" s="8" t="s">
        <v>38</v>
      </c>
      <c r="K609">
        <v>60</v>
      </c>
      <c r="L609">
        <v>47.5625</v>
      </c>
      <c r="M609" s="14">
        <v>12</v>
      </c>
      <c r="N609" s="14">
        <v>1.75</v>
      </c>
      <c r="R609" t="str">
        <f t="shared" si="30"/>
        <v xml:space="preserve">XX8X_PV_1116:    Front abuts stile:TRUE       Back abuts stile:FALSE          Panel Section: BOTTOM           Stile in the back Width:            Cutout A: B-35715          Cutout B:      F.C.:12 in.         C.C.:1.75 in.   </v>
      </c>
      <c r="S609" t="str">
        <f t="shared" si="29"/>
        <v>TRUE</v>
      </c>
      <c r="T609" t="str">
        <f t="shared" si="31"/>
        <v>FALSE</v>
      </c>
    </row>
    <row r="610" spans="1:20">
      <c r="A610" t="s">
        <v>770</v>
      </c>
      <c r="B610" s="14" t="s">
        <v>144</v>
      </c>
      <c r="C610" s="14" t="s">
        <v>157</v>
      </c>
      <c r="D610" s="14">
        <v>1</v>
      </c>
      <c r="E610" s="14">
        <v>0</v>
      </c>
      <c r="F610" s="14">
        <v>1</v>
      </c>
      <c r="G610" s="14">
        <v>0</v>
      </c>
      <c r="H610" s="14">
        <v>12</v>
      </c>
      <c r="I610" s="8" t="s">
        <v>120</v>
      </c>
      <c r="J610" s="8" t="s">
        <v>38</v>
      </c>
      <c r="K610">
        <v>60</v>
      </c>
      <c r="L610">
        <v>50.25</v>
      </c>
      <c r="M610" s="14">
        <v>2.5625</v>
      </c>
      <c r="N610" s="14">
        <v>1</v>
      </c>
      <c r="R610" t="str">
        <f t="shared" si="30"/>
        <v xml:space="preserve">XX8X_PV_1117:    Front abuts stile:TRUE       Back abuts stile:TRUE          Panel Section: BOTTOM           Stile in the back Width: 12           Cutout A: B-386          Cutout B:      F.C.:2.5625 in.         C.C.:1 in.   </v>
      </c>
      <c r="S610" t="str">
        <f t="shared" si="29"/>
        <v>TRUE</v>
      </c>
      <c r="T610" t="str">
        <f t="shared" si="31"/>
        <v>TRUE</v>
      </c>
    </row>
    <row r="611" spans="1:20">
      <c r="A611" t="s">
        <v>771</v>
      </c>
      <c r="B611" s="14" t="s">
        <v>144</v>
      </c>
      <c r="C611" s="14" t="s">
        <v>157</v>
      </c>
      <c r="D611" s="14">
        <v>1</v>
      </c>
      <c r="E611" s="14">
        <v>0</v>
      </c>
      <c r="F611" s="14">
        <v>1</v>
      </c>
      <c r="G611" s="14">
        <v>0</v>
      </c>
      <c r="H611" s="14">
        <v>24</v>
      </c>
      <c r="I611" s="8" t="s">
        <v>120</v>
      </c>
      <c r="J611" s="8" t="s">
        <v>38</v>
      </c>
      <c r="K611">
        <v>60</v>
      </c>
      <c r="L611">
        <v>47.625</v>
      </c>
      <c r="M611" s="14">
        <v>10.0625</v>
      </c>
      <c r="N611" s="14">
        <v>4.6875</v>
      </c>
      <c r="R611" t="str">
        <f t="shared" si="30"/>
        <v xml:space="preserve">XX8X_PV_1118:    Front abuts stile:TRUE       Back abuts stile:TRUE          Panel Section: BOTTOM           Stile in the back Width: 24           Cutout A: B-386          Cutout B:      F.C.:10.0625 in.         C.C.:4.6875 in.   </v>
      </c>
      <c r="S611" t="str">
        <f t="shared" si="29"/>
        <v>TRUE</v>
      </c>
      <c r="T611" t="str">
        <f t="shared" si="31"/>
        <v>TRUE</v>
      </c>
    </row>
    <row r="612" spans="1:20">
      <c r="A612" t="s">
        <v>772</v>
      </c>
      <c r="B612" s="14" t="s">
        <v>144</v>
      </c>
      <c r="C612" s="14" t="s">
        <v>157</v>
      </c>
      <c r="D612" s="14">
        <v>1</v>
      </c>
      <c r="E612" s="14">
        <v>0</v>
      </c>
      <c r="F612" s="14">
        <v>1</v>
      </c>
      <c r="G612" s="14">
        <v>0</v>
      </c>
      <c r="H612" s="14"/>
      <c r="I612" s="8" t="s">
        <v>38</v>
      </c>
      <c r="J612" s="8" t="s">
        <v>38</v>
      </c>
      <c r="K612">
        <v>60</v>
      </c>
      <c r="L612">
        <v>79.5625</v>
      </c>
      <c r="M612" s="14">
        <v>1.9375</v>
      </c>
      <c r="N612" s="14">
        <v>1</v>
      </c>
      <c r="R612" t="str">
        <f t="shared" si="30"/>
        <v xml:space="preserve">XX8X_PV_1119:    Front abuts stile:TRUE       Back abuts stile:TRUE          Panel Section: BOTTOM           Stile in the back Width:            Cutout A:           Cutout B:      F.C.:1.9375 in.         C.C.:1 in.   </v>
      </c>
      <c r="S612" t="str">
        <f t="shared" si="29"/>
        <v>TRUE</v>
      </c>
      <c r="T612" t="str">
        <f t="shared" si="31"/>
        <v>TRUE</v>
      </c>
    </row>
    <row r="613" spans="1:20">
      <c r="A613" t="s">
        <v>773</v>
      </c>
      <c r="B613" s="14" t="s">
        <v>144</v>
      </c>
      <c r="C613" s="14" t="s">
        <v>157</v>
      </c>
      <c r="D613" s="14">
        <v>1</v>
      </c>
      <c r="E613" s="14">
        <v>0</v>
      </c>
      <c r="F613" s="14">
        <v>1</v>
      </c>
      <c r="G613" s="14">
        <v>1</v>
      </c>
      <c r="H613" s="14"/>
      <c r="I613" s="8" t="s">
        <v>38</v>
      </c>
      <c r="J613" s="8" t="s">
        <v>38</v>
      </c>
      <c r="K613">
        <v>60</v>
      </c>
      <c r="L613">
        <v>59.25</v>
      </c>
      <c r="M613" s="14">
        <v>9</v>
      </c>
      <c r="N613" s="14">
        <v>2.625</v>
      </c>
      <c r="R613" t="str">
        <f t="shared" si="30"/>
        <v xml:space="preserve">XX8X_PV_1120:    Front abuts stile:TRUE       Back abuts stile:TRUE          Panel Section: BOTTOM           Stile in the back Width:            Cutout A:           Cutout B:      F.C.:9 in.         C.C.:2.625 in.   </v>
      </c>
      <c r="S613" t="str">
        <f t="shared" si="29"/>
        <v>TRUE</v>
      </c>
      <c r="T613" t="str">
        <f t="shared" si="31"/>
        <v>TRUE</v>
      </c>
    </row>
    <row r="614" spans="1:20">
      <c r="A614" t="s">
        <v>774</v>
      </c>
      <c r="B614" s="14" t="s">
        <v>144</v>
      </c>
      <c r="C614" s="14" t="s">
        <v>157</v>
      </c>
      <c r="D614" s="14">
        <v>1</v>
      </c>
      <c r="E614" s="14">
        <v>1</v>
      </c>
      <c r="F614" s="14">
        <v>0</v>
      </c>
      <c r="G614" s="14"/>
      <c r="H614" s="14"/>
      <c r="I614" s="8" t="s">
        <v>121</v>
      </c>
      <c r="J614" s="8" t="s">
        <v>120</v>
      </c>
      <c r="K614">
        <v>60</v>
      </c>
      <c r="L614">
        <v>50.6875</v>
      </c>
      <c r="M614" s="14">
        <v>1.125</v>
      </c>
      <c r="N614" s="14">
        <v>8.3125</v>
      </c>
      <c r="R614" t="str">
        <f t="shared" si="30"/>
        <v xml:space="preserve">XX8X_PV_1121:    Front abuts stile:TRUE       Back abuts stile:FALSE          Panel Section: BOTTOM           Stile in the back Width:            Cutout A: B-4354          Cutout B:B-386      F.C.:1.125 in.         C.C.:8.3125 in.   </v>
      </c>
      <c r="S614" t="str">
        <f t="shared" si="29"/>
        <v>TRUE</v>
      </c>
      <c r="T614" t="str">
        <f t="shared" si="31"/>
        <v>FALSE</v>
      </c>
    </row>
    <row r="615" spans="1:20">
      <c r="A615" t="s">
        <v>775</v>
      </c>
      <c r="B615" s="14" t="s">
        <v>144</v>
      </c>
      <c r="C615" s="14" t="s">
        <v>157</v>
      </c>
      <c r="D615" s="14">
        <v>1</v>
      </c>
      <c r="E615" s="14">
        <v>1</v>
      </c>
      <c r="F615" s="14">
        <v>1</v>
      </c>
      <c r="G615" s="14">
        <v>0</v>
      </c>
      <c r="H615" s="14">
        <v>12</v>
      </c>
      <c r="I615" s="8" t="s">
        <v>38</v>
      </c>
      <c r="J615" s="8" t="s">
        <v>38</v>
      </c>
      <c r="K615">
        <v>60</v>
      </c>
      <c r="L615">
        <v>79</v>
      </c>
      <c r="M615" s="14">
        <v>10.4375</v>
      </c>
      <c r="N615" s="14">
        <v>3.25</v>
      </c>
      <c r="R615" t="str">
        <f t="shared" si="30"/>
        <v xml:space="preserve">XX8X_PV_1122:    Front abuts stile:TRUE       Back abuts stile:TRUE          Panel Section: BOTTOM           Stile in the back Width: 12           Cutout A:           Cutout B:      F.C.:10.4375 in.         C.C.:3.25 in.   </v>
      </c>
      <c r="S615" t="str">
        <f t="shared" si="29"/>
        <v>TRUE</v>
      </c>
      <c r="T615" t="str">
        <f t="shared" si="31"/>
        <v>TRUE</v>
      </c>
    </row>
    <row r="616" spans="1:20">
      <c r="A616" t="s">
        <v>776</v>
      </c>
      <c r="B616" s="14" t="s">
        <v>144</v>
      </c>
      <c r="C616" s="14" t="s">
        <v>157</v>
      </c>
      <c r="D616" s="14">
        <v>1</v>
      </c>
      <c r="E616" s="14">
        <v>1</v>
      </c>
      <c r="F616" s="14">
        <v>1</v>
      </c>
      <c r="G616" s="14">
        <v>0</v>
      </c>
      <c r="H616" s="14">
        <v>24</v>
      </c>
      <c r="I616" s="8" t="s">
        <v>120</v>
      </c>
      <c r="J616" s="8" t="s">
        <v>38</v>
      </c>
      <c r="K616">
        <v>60</v>
      </c>
      <c r="L616">
        <v>76.375</v>
      </c>
      <c r="M616" s="14">
        <v>12</v>
      </c>
      <c r="N616" s="14">
        <v>1</v>
      </c>
      <c r="R616" t="str">
        <f t="shared" si="30"/>
        <v xml:space="preserve">XX8X_PV_1123:    Front abuts stile:TRUE       Back abuts stile:TRUE          Panel Section: BOTTOM           Stile in the back Width: 24           Cutout A: B-386          Cutout B:      F.C.:12 in.         C.C.:1 in.   </v>
      </c>
      <c r="S616" t="str">
        <f t="shared" si="29"/>
        <v>TRUE</v>
      </c>
      <c r="T616" t="str">
        <f t="shared" si="31"/>
        <v>TRUE</v>
      </c>
    </row>
    <row r="617" spans="1:20">
      <c r="A617" t="s">
        <v>777</v>
      </c>
      <c r="B617" s="14" t="s">
        <v>144</v>
      </c>
      <c r="C617" s="14" t="s">
        <v>157</v>
      </c>
      <c r="D617" s="14">
        <v>1</v>
      </c>
      <c r="E617" s="14">
        <v>1</v>
      </c>
      <c r="F617" s="14">
        <v>1</v>
      </c>
      <c r="G617" s="14">
        <v>0</v>
      </c>
      <c r="H617" s="14"/>
      <c r="I617" s="8" t="s">
        <v>38</v>
      </c>
      <c r="J617" s="8" t="s">
        <v>38</v>
      </c>
      <c r="K617">
        <v>60</v>
      </c>
      <c r="L617">
        <v>45.0625</v>
      </c>
      <c r="M617" s="14">
        <v>4.5</v>
      </c>
      <c r="N617" s="14">
        <v>6</v>
      </c>
      <c r="R617" t="str">
        <f t="shared" si="30"/>
        <v xml:space="preserve">XX8X_PV_1124:    Front abuts stile:TRUE       Back abuts stile:TRUE          Panel Section: BOTTOM           Stile in the back Width:            Cutout A:           Cutout B:      F.C.:4.5 in.         C.C.:6 in.   </v>
      </c>
      <c r="S617" t="str">
        <f t="shared" si="29"/>
        <v>TRUE</v>
      </c>
      <c r="T617" t="str">
        <f t="shared" si="31"/>
        <v>TRUE</v>
      </c>
    </row>
    <row r="618" spans="1:20">
      <c r="A618" t="s">
        <v>778</v>
      </c>
      <c r="B618" s="14" t="s">
        <v>144</v>
      </c>
      <c r="C618" s="14" t="s">
        <v>157</v>
      </c>
      <c r="D618" s="14">
        <v>1</v>
      </c>
      <c r="E618" s="14">
        <v>1</v>
      </c>
      <c r="F618" s="14">
        <v>1</v>
      </c>
      <c r="G618" s="14">
        <v>1</v>
      </c>
      <c r="H618" s="14"/>
      <c r="I618" s="8" t="s">
        <v>38</v>
      </c>
      <c r="J618" s="8" t="s">
        <v>38</v>
      </c>
      <c r="K618">
        <v>60</v>
      </c>
      <c r="L618">
        <v>79.875</v>
      </c>
      <c r="M618" s="14">
        <v>4.5</v>
      </c>
      <c r="N618" s="14">
        <v>1</v>
      </c>
      <c r="R618" t="str">
        <f t="shared" si="30"/>
        <v xml:space="preserve">XX8X_PV_1125:    Front abuts stile:TRUE       Back abuts stile:TRUE          Panel Section: BOTTOM           Stile in the back Width:            Cutout A:           Cutout B:      F.C.:4.5 in.         C.C.:1 in.   </v>
      </c>
      <c r="S618" t="str">
        <f t="shared" si="29"/>
        <v>TRUE</v>
      </c>
      <c r="T618" t="str">
        <f t="shared" si="31"/>
        <v>TRUE</v>
      </c>
    </row>
    <row r="619" spans="1:20">
      <c r="A619" t="s">
        <v>779</v>
      </c>
      <c r="B619" s="14" t="s">
        <v>144</v>
      </c>
      <c r="C619" s="14" t="s">
        <v>21</v>
      </c>
      <c r="D619" s="14">
        <v>0</v>
      </c>
      <c r="E619" s="14"/>
      <c r="F619" s="14">
        <v>0</v>
      </c>
      <c r="G619" s="14"/>
      <c r="H619" s="14"/>
      <c r="I619" s="8" t="s">
        <v>121</v>
      </c>
      <c r="J619" s="8" t="s">
        <v>120</v>
      </c>
      <c r="K619">
        <v>99</v>
      </c>
      <c r="L619">
        <v>76.3125</v>
      </c>
      <c r="M619" s="14">
        <v>3.4375</v>
      </c>
      <c r="N619" s="14">
        <v>4.875</v>
      </c>
      <c r="R619" t="str">
        <f t="shared" si="30"/>
        <v xml:space="preserve">XX8X_PV_1141:    Front abuts stile:FALSE       Back abuts stile:FALSE          Panel Section: WHOLE           Stile in the back Width:            Cutout A: B-4354          Cutout B:B-386      F.C.:3.4375 in.         C.C.:4.875 in.   </v>
      </c>
      <c r="S619" t="str">
        <f t="shared" si="29"/>
        <v>FALSE</v>
      </c>
      <c r="T619" t="str">
        <f t="shared" si="31"/>
        <v>FALSE</v>
      </c>
    </row>
    <row r="620" spans="1:20">
      <c r="A620" t="s">
        <v>780</v>
      </c>
      <c r="B620" s="14" t="s">
        <v>144</v>
      </c>
      <c r="C620" s="14" t="s">
        <v>21</v>
      </c>
      <c r="D620" s="14">
        <v>0</v>
      </c>
      <c r="E620" s="14"/>
      <c r="F620" s="14">
        <v>1</v>
      </c>
      <c r="G620" s="14">
        <v>0</v>
      </c>
      <c r="H620" s="14">
        <v>12</v>
      </c>
      <c r="I620" s="8" t="s">
        <v>120</v>
      </c>
      <c r="J620" s="8" t="s">
        <v>38</v>
      </c>
      <c r="K620">
        <v>65.625</v>
      </c>
      <c r="L620">
        <v>52.5625</v>
      </c>
      <c r="M620" s="14">
        <v>8.8125</v>
      </c>
      <c r="N620" s="14">
        <v>1.9375</v>
      </c>
      <c r="R620" t="str">
        <f t="shared" si="30"/>
        <v xml:space="preserve">XX8X_PV_1142:    Front abuts stile:FALSE       Back abuts stile:TRUE          Panel Section: WHOLE           Stile in the back Width: 12           Cutout A: B-386          Cutout B:      F.C.:8.8125 in.         C.C.:1.9375 in.   </v>
      </c>
      <c r="S620" t="str">
        <f t="shared" si="29"/>
        <v>FALSE</v>
      </c>
      <c r="T620" t="str">
        <f t="shared" si="31"/>
        <v>TRUE</v>
      </c>
    </row>
    <row r="621" spans="1:20">
      <c r="A621" t="s">
        <v>781</v>
      </c>
      <c r="B621" s="14" t="s">
        <v>144</v>
      </c>
      <c r="C621" s="14" t="s">
        <v>21</v>
      </c>
      <c r="D621" s="14">
        <v>0</v>
      </c>
      <c r="E621" s="14"/>
      <c r="F621" s="14">
        <v>1</v>
      </c>
      <c r="G621" s="14">
        <v>0</v>
      </c>
      <c r="H621" s="14">
        <v>24</v>
      </c>
      <c r="I621" s="8" t="s">
        <v>120</v>
      </c>
      <c r="J621" s="8" t="s">
        <v>38</v>
      </c>
      <c r="K621">
        <v>96</v>
      </c>
      <c r="L621">
        <v>47.6875</v>
      </c>
      <c r="M621" s="14">
        <v>2.6875</v>
      </c>
      <c r="N621" s="14">
        <v>1</v>
      </c>
      <c r="R621" t="str">
        <f t="shared" si="30"/>
        <v xml:space="preserve">XX8X_PV_1143:    Front abuts stile:FALSE       Back abuts stile:TRUE          Panel Section: WHOLE           Stile in the back Width: 24           Cutout A: B-386          Cutout B:      F.C.:2.6875 in.         C.C.:1 in.   </v>
      </c>
      <c r="S621" t="str">
        <f t="shared" si="29"/>
        <v>FALSE</v>
      </c>
      <c r="T621" t="str">
        <f t="shared" si="31"/>
        <v>TRUE</v>
      </c>
    </row>
    <row r="622" spans="1:20">
      <c r="A622" t="s">
        <v>782</v>
      </c>
      <c r="B622" s="14" t="s">
        <v>144</v>
      </c>
      <c r="C622" s="14" t="s">
        <v>21</v>
      </c>
      <c r="D622" s="14">
        <v>0</v>
      </c>
      <c r="E622" s="14"/>
      <c r="F622" s="14">
        <v>1</v>
      </c>
      <c r="G622" s="14">
        <v>0</v>
      </c>
      <c r="H622" s="14"/>
      <c r="I622" s="8" t="s">
        <v>38</v>
      </c>
      <c r="J622" s="8" t="s">
        <v>38</v>
      </c>
      <c r="K622">
        <v>54.125</v>
      </c>
      <c r="L622">
        <v>59.375</v>
      </c>
      <c r="M622" s="14">
        <v>4.5</v>
      </c>
      <c r="N622" s="14">
        <v>3.75</v>
      </c>
      <c r="R622" t="str">
        <f t="shared" si="30"/>
        <v xml:space="preserve">XX8X_PV_1144:    Front abuts stile:FALSE       Back abuts stile:TRUE          Panel Section: WHOLE           Stile in the back Width:            Cutout A:           Cutout B:      F.C.:4.5 in.         C.C.:3.75 in.   </v>
      </c>
      <c r="S622" t="str">
        <f t="shared" si="29"/>
        <v>FALSE</v>
      </c>
      <c r="T622" t="str">
        <f t="shared" si="31"/>
        <v>TRUE</v>
      </c>
    </row>
    <row r="623" spans="1:20">
      <c r="A623" t="s">
        <v>783</v>
      </c>
      <c r="B623" s="14" t="s">
        <v>144</v>
      </c>
      <c r="C623" s="14" t="s">
        <v>21</v>
      </c>
      <c r="D623" s="14">
        <v>0</v>
      </c>
      <c r="E623" s="14"/>
      <c r="F623" s="14">
        <v>1</v>
      </c>
      <c r="G623" s="14">
        <v>1</v>
      </c>
      <c r="H623" s="14"/>
      <c r="I623" s="8" t="s">
        <v>38</v>
      </c>
      <c r="J623" s="8" t="s">
        <v>38</v>
      </c>
      <c r="K623">
        <v>64.75</v>
      </c>
      <c r="L623">
        <v>40.375</v>
      </c>
      <c r="M623" s="14">
        <v>12</v>
      </c>
      <c r="N623" s="14">
        <v>8.1875</v>
      </c>
      <c r="R623" t="str">
        <f t="shared" si="30"/>
        <v xml:space="preserve">XX8X_PV_1145:    Front abuts stile:FALSE       Back abuts stile:TRUE          Panel Section: WHOLE           Stile in the back Width:            Cutout A:           Cutout B:      F.C.:12 in.         C.C.:8.1875 in.   </v>
      </c>
      <c r="S623" t="str">
        <f t="shared" si="29"/>
        <v>FALSE</v>
      </c>
      <c r="T623" t="str">
        <f t="shared" si="31"/>
        <v>TRUE</v>
      </c>
    </row>
    <row r="624" spans="1:20">
      <c r="A624" t="s">
        <v>784</v>
      </c>
      <c r="B624" s="14" t="s">
        <v>144</v>
      </c>
      <c r="C624" s="14" t="s">
        <v>21</v>
      </c>
      <c r="D624" s="14">
        <v>1</v>
      </c>
      <c r="E624" s="14">
        <v>0</v>
      </c>
      <c r="F624" s="14">
        <v>0</v>
      </c>
      <c r="G624" s="14"/>
      <c r="H624" s="14"/>
      <c r="I624" s="8" t="s">
        <v>119</v>
      </c>
      <c r="J624" s="8" t="s">
        <v>120</v>
      </c>
      <c r="K624">
        <v>75.875</v>
      </c>
      <c r="L624">
        <v>48.3125</v>
      </c>
      <c r="M624" s="14">
        <v>4.5</v>
      </c>
      <c r="N624" s="14">
        <v>7.875</v>
      </c>
      <c r="R624" t="str">
        <f t="shared" si="30"/>
        <v xml:space="preserve">XX8X_PV_1146:    Front abuts stile:TRUE       Back abuts stile:FALSE          Panel Section: WHOLE           Stile in the back Width:            Cutout A: B-354          Cutout B:B-386      F.C.:4.5 in.         C.C.:7.875 in.   </v>
      </c>
      <c r="S624" t="str">
        <f t="shared" si="29"/>
        <v>TRUE</v>
      </c>
      <c r="T624" t="str">
        <f t="shared" si="31"/>
        <v>FALSE</v>
      </c>
    </row>
    <row r="625" spans="1:20">
      <c r="A625" t="s">
        <v>785</v>
      </c>
      <c r="B625" s="14" t="s">
        <v>144</v>
      </c>
      <c r="C625" s="14" t="s">
        <v>21</v>
      </c>
      <c r="D625" s="14">
        <v>1</v>
      </c>
      <c r="E625" s="14">
        <v>0</v>
      </c>
      <c r="F625" s="14">
        <v>1</v>
      </c>
      <c r="G625" s="14">
        <v>0</v>
      </c>
      <c r="H625" s="14">
        <v>12</v>
      </c>
      <c r="I625" s="8" t="s">
        <v>120</v>
      </c>
      <c r="J625" s="8" t="s">
        <v>38</v>
      </c>
      <c r="K625">
        <v>92.0625</v>
      </c>
      <c r="L625">
        <v>62.25</v>
      </c>
      <c r="M625" s="14">
        <v>1</v>
      </c>
      <c r="N625" s="14">
        <v>3.1875</v>
      </c>
      <c r="R625" t="str">
        <f t="shared" si="30"/>
        <v xml:space="preserve">XX8X_PV_1147:    Front abuts stile:TRUE       Back abuts stile:TRUE          Panel Section: WHOLE           Stile in the back Width: 12           Cutout A: B-386          Cutout B:      F.C.:1 in.         C.C.:3.1875 in.   </v>
      </c>
      <c r="S625" t="str">
        <f t="shared" si="29"/>
        <v>TRUE</v>
      </c>
      <c r="T625" t="str">
        <f t="shared" si="31"/>
        <v>TRUE</v>
      </c>
    </row>
    <row r="626" spans="1:20">
      <c r="A626" t="s">
        <v>786</v>
      </c>
      <c r="B626" s="14" t="s">
        <v>144</v>
      </c>
      <c r="C626" s="14" t="s">
        <v>21</v>
      </c>
      <c r="D626" s="14">
        <v>1</v>
      </c>
      <c r="E626" s="14">
        <v>0</v>
      </c>
      <c r="F626" s="14">
        <v>1</v>
      </c>
      <c r="G626" s="14">
        <v>0</v>
      </c>
      <c r="H626" s="14">
        <v>24</v>
      </c>
      <c r="I626" s="8" t="s">
        <v>120</v>
      </c>
      <c r="J626" s="8" t="s">
        <v>38</v>
      </c>
      <c r="K626">
        <v>85.0625</v>
      </c>
      <c r="L626">
        <v>46.25</v>
      </c>
      <c r="M626" s="14">
        <v>1.625</v>
      </c>
      <c r="N626" s="14">
        <v>3.625</v>
      </c>
      <c r="R626" t="str">
        <f t="shared" si="30"/>
        <v xml:space="preserve">XX8X_PV_1148:    Front abuts stile:TRUE       Back abuts stile:TRUE          Panel Section: WHOLE           Stile in the back Width: 24           Cutout A: B-386          Cutout B:      F.C.:1.625 in.         C.C.:3.625 in.   </v>
      </c>
      <c r="S626" t="str">
        <f t="shared" si="29"/>
        <v>TRUE</v>
      </c>
      <c r="T626" t="str">
        <f t="shared" si="31"/>
        <v>TRUE</v>
      </c>
    </row>
    <row r="627" spans="1:20">
      <c r="A627" t="s">
        <v>787</v>
      </c>
      <c r="B627" s="14" t="s">
        <v>144</v>
      </c>
      <c r="C627" s="14" t="s">
        <v>21</v>
      </c>
      <c r="D627" s="14">
        <v>1</v>
      </c>
      <c r="E627" s="14">
        <v>0</v>
      </c>
      <c r="F627" s="14">
        <v>1</v>
      </c>
      <c r="G627" s="14">
        <v>0</v>
      </c>
      <c r="H627" s="14"/>
      <c r="I627" s="8" t="s">
        <v>38</v>
      </c>
      <c r="J627" s="8" t="s">
        <v>38</v>
      </c>
      <c r="K627">
        <v>98.4375</v>
      </c>
      <c r="L627">
        <v>68.3125</v>
      </c>
      <c r="M627" s="14">
        <v>1</v>
      </c>
      <c r="N627" s="14">
        <v>5.5</v>
      </c>
      <c r="R627" t="str">
        <f t="shared" si="30"/>
        <v xml:space="preserve">XX8X_PV_1149:    Front abuts stile:TRUE       Back abuts stile:TRUE          Panel Section: WHOLE           Stile in the back Width:            Cutout A:           Cutout B:      F.C.:1 in.         C.C.:5.5 in.   </v>
      </c>
      <c r="S627" t="str">
        <f t="shared" si="29"/>
        <v>TRUE</v>
      </c>
      <c r="T627" t="str">
        <f t="shared" si="31"/>
        <v>TRUE</v>
      </c>
    </row>
    <row r="628" spans="1:20">
      <c r="A628" t="s">
        <v>788</v>
      </c>
      <c r="B628" s="14" t="s">
        <v>144</v>
      </c>
      <c r="C628" s="14" t="s">
        <v>21</v>
      </c>
      <c r="D628" s="14">
        <v>1</v>
      </c>
      <c r="E628" s="14">
        <v>0</v>
      </c>
      <c r="F628" s="14">
        <v>1</v>
      </c>
      <c r="G628" s="14">
        <v>1</v>
      </c>
      <c r="H628" s="14"/>
      <c r="I628" s="8" t="s">
        <v>38</v>
      </c>
      <c r="J628" s="8" t="s">
        <v>38</v>
      </c>
      <c r="K628">
        <v>61</v>
      </c>
      <c r="L628">
        <v>70.25</v>
      </c>
      <c r="M628" s="14">
        <v>10.6875</v>
      </c>
      <c r="N628" s="14">
        <v>5.625</v>
      </c>
      <c r="R628" t="str">
        <f t="shared" si="30"/>
        <v xml:space="preserve">XX8X_PV_1150:    Front abuts stile:TRUE       Back abuts stile:TRUE          Panel Section: WHOLE           Stile in the back Width:            Cutout A:           Cutout B:      F.C.:10.6875 in.         C.C.:5.625 in.   </v>
      </c>
      <c r="S628" t="str">
        <f t="shared" si="29"/>
        <v>TRUE</v>
      </c>
      <c r="T628" t="str">
        <f t="shared" si="31"/>
        <v>TRUE</v>
      </c>
    </row>
    <row r="629" spans="1:20">
      <c r="A629" t="s">
        <v>789</v>
      </c>
      <c r="B629" s="14" t="s">
        <v>144</v>
      </c>
      <c r="C629" s="14" t="s">
        <v>21</v>
      </c>
      <c r="D629" s="14">
        <v>1</v>
      </c>
      <c r="E629" s="14">
        <v>1</v>
      </c>
      <c r="F629" s="14">
        <v>0</v>
      </c>
      <c r="G629" s="14"/>
      <c r="H629" s="14"/>
      <c r="I629" s="8" t="s">
        <v>120</v>
      </c>
      <c r="J629" s="8" t="s">
        <v>38</v>
      </c>
      <c r="K629">
        <v>96</v>
      </c>
      <c r="L629">
        <v>63.3125</v>
      </c>
      <c r="M629" s="14">
        <v>1</v>
      </c>
      <c r="N629" s="14">
        <v>1</v>
      </c>
      <c r="R629" t="str">
        <f t="shared" si="30"/>
        <v xml:space="preserve">XX8X_PV_1151:    Front abuts stile:TRUE       Back abuts stile:FALSE          Panel Section: WHOLE           Stile in the back Width:            Cutout A: B-386          Cutout B:      F.C.:1 in.         C.C.:1 in.   </v>
      </c>
      <c r="S629" t="str">
        <f t="shared" si="29"/>
        <v>TRUE</v>
      </c>
      <c r="T629" t="str">
        <f t="shared" si="31"/>
        <v>FALSE</v>
      </c>
    </row>
    <row r="630" spans="1:20">
      <c r="A630" t="s">
        <v>790</v>
      </c>
      <c r="B630" s="14" t="s">
        <v>144</v>
      </c>
      <c r="C630" s="14" t="s">
        <v>21</v>
      </c>
      <c r="D630" s="14">
        <v>1</v>
      </c>
      <c r="E630" s="14">
        <v>1</v>
      </c>
      <c r="F630" s="14">
        <v>1</v>
      </c>
      <c r="G630" s="14">
        <v>0</v>
      </c>
      <c r="H630" s="14">
        <v>12</v>
      </c>
      <c r="I630" s="8" t="s">
        <v>38</v>
      </c>
      <c r="J630" s="8" t="s">
        <v>38</v>
      </c>
      <c r="K630">
        <v>96</v>
      </c>
      <c r="L630">
        <v>41.8125</v>
      </c>
      <c r="M630" s="14">
        <v>9</v>
      </c>
      <c r="N630" s="14">
        <v>5</v>
      </c>
      <c r="R630" t="str">
        <f t="shared" si="30"/>
        <v xml:space="preserve">XX8X_PV_1152:    Front abuts stile:TRUE       Back abuts stile:TRUE          Panel Section: WHOLE           Stile in the back Width: 12           Cutout A:           Cutout B:      F.C.:9 in.         C.C.:5 in.   </v>
      </c>
      <c r="S630" t="str">
        <f t="shared" si="29"/>
        <v>TRUE</v>
      </c>
      <c r="T630" t="str">
        <f t="shared" si="31"/>
        <v>TRUE</v>
      </c>
    </row>
    <row r="631" spans="1:20">
      <c r="A631" t="s">
        <v>791</v>
      </c>
      <c r="B631" s="14" t="s">
        <v>144</v>
      </c>
      <c r="C631" s="14" t="s">
        <v>21</v>
      </c>
      <c r="D631" s="14">
        <v>1</v>
      </c>
      <c r="E631" s="14">
        <v>1</v>
      </c>
      <c r="F631" s="14">
        <v>1</v>
      </c>
      <c r="G631" s="14">
        <v>0</v>
      </c>
      <c r="H631" s="14">
        <v>24</v>
      </c>
      <c r="I631" s="8" t="s">
        <v>38</v>
      </c>
      <c r="J631" s="8" t="s">
        <v>38</v>
      </c>
      <c r="K631">
        <v>60.5</v>
      </c>
      <c r="L631">
        <v>55.5</v>
      </c>
      <c r="M631" s="14">
        <v>4.5</v>
      </c>
      <c r="N631" s="14">
        <v>3.875</v>
      </c>
      <c r="R631" t="str">
        <f t="shared" si="30"/>
        <v xml:space="preserve">XX8X_PV_1153:    Front abuts stile:TRUE       Back abuts stile:TRUE          Panel Section: WHOLE           Stile in the back Width: 24           Cutout A:           Cutout B:      F.C.:4.5 in.         C.C.:3.875 in.   </v>
      </c>
      <c r="S631" t="str">
        <f t="shared" si="29"/>
        <v>TRUE</v>
      </c>
      <c r="T631" t="str">
        <f t="shared" si="31"/>
        <v>TRUE</v>
      </c>
    </row>
    <row r="632" spans="1:20">
      <c r="A632" t="s">
        <v>792</v>
      </c>
      <c r="B632" s="14" t="s">
        <v>144</v>
      </c>
      <c r="C632" s="14" t="s">
        <v>21</v>
      </c>
      <c r="D632" s="14">
        <v>1</v>
      </c>
      <c r="E632" s="14">
        <v>1</v>
      </c>
      <c r="F632" s="14">
        <v>1</v>
      </c>
      <c r="G632" s="14">
        <v>0</v>
      </c>
      <c r="H632" s="14"/>
      <c r="I632" s="8" t="s">
        <v>38</v>
      </c>
      <c r="J632" s="8" t="s">
        <v>38</v>
      </c>
      <c r="K632">
        <v>108.8125</v>
      </c>
      <c r="L632">
        <v>70.125</v>
      </c>
      <c r="M632" s="14">
        <v>9.5625</v>
      </c>
      <c r="N632" s="14">
        <v>6.0625</v>
      </c>
      <c r="R632" t="str">
        <f t="shared" si="30"/>
        <v xml:space="preserve">XX8X_PV_1154:    Front abuts stile:TRUE       Back abuts stile:TRUE          Panel Section: WHOLE           Stile in the back Width:            Cutout A:           Cutout B:      F.C.:9.5625 in.         C.C.:6.0625 in.   </v>
      </c>
      <c r="S632" t="str">
        <f t="shared" si="29"/>
        <v>TRUE</v>
      </c>
      <c r="T632" t="str">
        <f t="shared" si="31"/>
        <v>TRUE</v>
      </c>
    </row>
    <row r="633" spans="1:20">
      <c r="A633" t="s">
        <v>793</v>
      </c>
      <c r="B633" s="14" t="s">
        <v>144</v>
      </c>
      <c r="C633" s="14" t="s">
        <v>21</v>
      </c>
      <c r="D633" s="14">
        <v>1</v>
      </c>
      <c r="E633" s="14">
        <v>1</v>
      </c>
      <c r="F633" s="14">
        <v>1</v>
      </c>
      <c r="G633" s="14">
        <v>1</v>
      </c>
      <c r="H633" s="14"/>
      <c r="I633" s="8" t="s">
        <v>38</v>
      </c>
      <c r="J633" s="8" t="s">
        <v>38</v>
      </c>
      <c r="K633">
        <v>96</v>
      </c>
      <c r="L633">
        <v>45.6875</v>
      </c>
      <c r="M633" s="14">
        <v>1</v>
      </c>
      <c r="N633" s="14">
        <v>5.6875</v>
      </c>
      <c r="R633" t="str">
        <f t="shared" si="30"/>
        <v xml:space="preserve">XX8X_PV_1155:    Front abuts stile:TRUE       Back abuts stile:TRUE          Panel Section: WHOLE           Stile in the back Width:            Cutout A:           Cutout B:      F.C.:1 in.         C.C.:5.6875 in.   </v>
      </c>
      <c r="S633" t="str">
        <f t="shared" si="29"/>
        <v>TRUE</v>
      </c>
      <c r="T633" t="str">
        <f t="shared" si="31"/>
        <v>TRUE</v>
      </c>
    </row>
    <row r="634" spans="1:20">
      <c r="A634" t="s">
        <v>794</v>
      </c>
      <c r="B634" s="14" t="s">
        <v>144</v>
      </c>
      <c r="C634" s="14" t="s">
        <v>156</v>
      </c>
      <c r="D634" s="19">
        <v>0</v>
      </c>
      <c r="E634" s="19"/>
      <c r="F634" s="19">
        <v>0</v>
      </c>
      <c r="G634" s="19"/>
      <c r="H634" s="14"/>
      <c r="I634" s="8" t="s">
        <v>120</v>
      </c>
      <c r="J634" s="8" t="s">
        <v>121</v>
      </c>
      <c r="K634">
        <v>9.375</v>
      </c>
      <c r="L634">
        <v>71</v>
      </c>
      <c r="M634" s="14">
        <v>7.25</v>
      </c>
      <c r="N634" s="14">
        <v>3.0625</v>
      </c>
      <c r="R634" t="str">
        <f t="shared" si="30"/>
        <v xml:space="preserve">XX8X_PV_1171:    Front abuts stile:FALSE       Back abuts stile:FALSE          Panel Section: TOP           Stile in the back Width:            Cutout A: B-386          Cutout B:B-4354      F.C.:7.25 in.         C.C.:3.0625 in.   </v>
      </c>
      <c r="S634" t="str">
        <f t="shared" si="29"/>
        <v>FALSE</v>
      </c>
      <c r="T634" t="str">
        <f t="shared" si="31"/>
        <v>FALSE</v>
      </c>
    </row>
    <row r="635" spans="1:20">
      <c r="A635" t="s">
        <v>795</v>
      </c>
      <c r="B635" s="14" t="s">
        <v>144</v>
      </c>
      <c r="C635" s="14" t="s">
        <v>156</v>
      </c>
      <c r="D635" s="14">
        <v>0</v>
      </c>
      <c r="E635" s="14"/>
      <c r="F635" s="14">
        <v>1</v>
      </c>
      <c r="G635" s="14">
        <v>0</v>
      </c>
      <c r="H635" s="14">
        <v>12</v>
      </c>
      <c r="I635" s="8" t="s">
        <v>38</v>
      </c>
      <c r="J635" s="8" t="s">
        <v>38</v>
      </c>
      <c r="K635">
        <v>17.875</v>
      </c>
      <c r="L635">
        <v>25.0625</v>
      </c>
      <c r="M635" s="14">
        <v>9.75</v>
      </c>
      <c r="N635" s="14">
        <v>6.875</v>
      </c>
      <c r="R635" t="str">
        <f t="shared" si="30"/>
        <v xml:space="preserve">XX8X_PV_1172:    Front abuts stile:FALSE       Back abuts stile:TRUE          Panel Section: TOP           Stile in the back Width: 12           Cutout A:           Cutout B:      F.C.:9.75 in.         C.C.:6.875 in.   </v>
      </c>
      <c r="S635" t="str">
        <f t="shared" si="29"/>
        <v>FALSE</v>
      </c>
      <c r="T635" t="str">
        <f t="shared" si="31"/>
        <v>TRUE</v>
      </c>
    </row>
    <row r="636" spans="1:20">
      <c r="A636" t="s">
        <v>796</v>
      </c>
      <c r="B636" s="14" t="s">
        <v>144</v>
      </c>
      <c r="C636" s="14" t="s">
        <v>156</v>
      </c>
      <c r="D636" s="14">
        <v>0</v>
      </c>
      <c r="E636" s="14"/>
      <c r="F636" s="14">
        <v>1</v>
      </c>
      <c r="G636" s="14">
        <v>0</v>
      </c>
      <c r="H636" s="14">
        <v>24</v>
      </c>
      <c r="I636" s="8" t="s">
        <v>120</v>
      </c>
      <c r="J636" s="8" t="s">
        <v>38</v>
      </c>
      <c r="K636">
        <v>44.6875</v>
      </c>
      <c r="L636">
        <v>43.0625</v>
      </c>
      <c r="M636" s="14">
        <v>12</v>
      </c>
      <c r="N636" s="14">
        <v>1.5625</v>
      </c>
      <c r="R636" t="str">
        <f t="shared" si="30"/>
        <v xml:space="preserve">XX8X_PV_1173:    Front abuts stile:FALSE       Back abuts stile:TRUE          Panel Section: TOP           Stile in the back Width: 24           Cutout A: B-386          Cutout B:      F.C.:12 in.         C.C.:1.5625 in.   </v>
      </c>
      <c r="S636" t="str">
        <f t="shared" si="29"/>
        <v>FALSE</v>
      </c>
      <c r="T636" t="str">
        <f t="shared" si="31"/>
        <v>TRUE</v>
      </c>
    </row>
    <row r="637" spans="1:20">
      <c r="A637" t="s">
        <v>797</v>
      </c>
      <c r="B637" s="14" t="s">
        <v>144</v>
      </c>
      <c r="C637" s="14" t="s">
        <v>156</v>
      </c>
      <c r="D637" s="14">
        <v>0</v>
      </c>
      <c r="E637" s="14"/>
      <c r="F637" s="14">
        <v>1</v>
      </c>
      <c r="G637" s="14">
        <v>0</v>
      </c>
      <c r="H637" s="14"/>
      <c r="I637" s="8" t="s">
        <v>38</v>
      </c>
      <c r="J637" s="8" t="s">
        <v>38</v>
      </c>
      <c r="K637">
        <v>22.125</v>
      </c>
      <c r="L637">
        <v>77.9375</v>
      </c>
      <c r="M637" s="14">
        <v>1</v>
      </c>
      <c r="N637" s="14">
        <v>1.9375</v>
      </c>
      <c r="R637" t="str">
        <f t="shared" si="30"/>
        <v xml:space="preserve">XX8X_PV_1174:    Front abuts stile:FALSE       Back abuts stile:TRUE          Panel Section: TOP           Stile in the back Width:            Cutout A:           Cutout B:      F.C.:1 in.         C.C.:1.9375 in.   </v>
      </c>
      <c r="S637" t="str">
        <f t="shared" si="29"/>
        <v>FALSE</v>
      </c>
      <c r="T637" t="str">
        <f t="shared" si="31"/>
        <v>TRUE</v>
      </c>
    </row>
    <row r="638" spans="1:20">
      <c r="A638" t="s">
        <v>798</v>
      </c>
      <c r="B638" s="14" t="s">
        <v>144</v>
      </c>
      <c r="C638" s="14" t="s">
        <v>156</v>
      </c>
      <c r="D638" s="14">
        <v>0</v>
      </c>
      <c r="E638" s="14"/>
      <c r="F638" s="14">
        <v>1</v>
      </c>
      <c r="G638" s="14">
        <v>1</v>
      </c>
      <c r="H638" s="14"/>
      <c r="I638" s="8" t="s">
        <v>38</v>
      </c>
      <c r="J638" s="8" t="s">
        <v>38</v>
      </c>
      <c r="K638">
        <v>14.625</v>
      </c>
      <c r="L638">
        <v>55.5</v>
      </c>
      <c r="M638" s="14">
        <v>1</v>
      </c>
      <c r="N638" s="14">
        <v>5.6875</v>
      </c>
      <c r="R638" t="str">
        <f t="shared" si="30"/>
        <v xml:space="preserve">XX8X_PV_1175:    Front abuts stile:FALSE       Back abuts stile:TRUE          Panel Section: TOP           Stile in the back Width:            Cutout A:           Cutout B:      F.C.:1 in.         C.C.:5.6875 in.   </v>
      </c>
      <c r="S638" t="str">
        <f t="shared" si="29"/>
        <v>FALSE</v>
      </c>
      <c r="T638" t="str">
        <f t="shared" si="31"/>
        <v>TRUE</v>
      </c>
    </row>
    <row r="639" spans="1:20">
      <c r="A639" t="s">
        <v>799</v>
      </c>
      <c r="B639" s="14" t="s">
        <v>144</v>
      </c>
      <c r="C639" s="14" t="s">
        <v>156</v>
      </c>
      <c r="D639" s="14">
        <v>1</v>
      </c>
      <c r="E639" s="14">
        <v>0</v>
      </c>
      <c r="F639" s="14">
        <v>0</v>
      </c>
      <c r="G639" s="14"/>
      <c r="H639" s="14"/>
      <c r="I639" s="8" t="s">
        <v>121</v>
      </c>
      <c r="J639" s="8" t="s">
        <v>38</v>
      </c>
      <c r="K639">
        <v>39.3125</v>
      </c>
      <c r="L639">
        <v>52.5</v>
      </c>
      <c r="M639" s="14">
        <v>9</v>
      </c>
      <c r="N639" s="14">
        <v>3.9375</v>
      </c>
      <c r="R639" t="str">
        <f t="shared" si="30"/>
        <v xml:space="preserve">XX8X_PV_1176:    Front abuts stile:TRUE       Back abuts stile:FALSE          Panel Section: TOP           Stile in the back Width:            Cutout A: B-4354          Cutout B:      F.C.:9 in.         C.C.:3.9375 in.   </v>
      </c>
      <c r="S639" t="str">
        <f t="shared" si="29"/>
        <v>TRUE</v>
      </c>
      <c r="T639" t="str">
        <f t="shared" si="31"/>
        <v>FALSE</v>
      </c>
    </row>
    <row r="640" spans="1:20">
      <c r="A640" t="s">
        <v>800</v>
      </c>
      <c r="B640" s="14" t="s">
        <v>144</v>
      </c>
      <c r="C640" s="14" t="s">
        <v>156</v>
      </c>
      <c r="D640" s="14">
        <v>1</v>
      </c>
      <c r="E640" s="14">
        <v>0</v>
      </c>
      <c r="F640" s="14">
        <v>1</v>
      </c>
      <c r="G640" s="14">
        <v>0</v>
      </c>
      <c r="H640" s="14">
        <v>12</v>
      </c>
      <c r="I640" s="8" t="s">
        <v>150</v>
      </c>
      <c r="J640" s="8" t="s">
        <v>38</v>
      </c>
      <c r="K640">
        <v>26.9375</v>
      </c>
      <c r="L640">
        <v>46.8125</v>
      </c>
      <c r="M640" s="14">
        <v>12</v>
      </c>
      <c r="N640" s="14">
        <v>3.8125</v>
      </c>
      <c r="R640" t="str">
        <f t="shared" si="30"/>
        <v xml:space="preserve">XX8X_PV_1177:    Front abuts stile:TRUE       Back abuts stile:TRUE          Panel Section: TOP           Stile in the back Width: 12           Cutout A: B-3571          Cutout B:      F.C.:12 in.         C.C.:3.8125 in.   </v>
      </c>
      <c r="S640" t="str">
        <f t="shared" si="29"/>
        <v>TRUE</v>
      </c>
      <c r="T640" t="str">
        <f t="shared" si="31"/>
        <v>TRUE</v>
      </c>
    </row>
    <row r="641" spans="1:20">
      <c r="A641" t="s">
        <v>801</v>
      </c>
      <c r="B641" s="14" t="s">
        <v>144</v>
      </c>
      <c r="C641" s="14" t="s">
        <v>156</v>
      </c>
      <c r="D641" s="14">
        <v>1</v>
      </c>
      <c r="E641" s="14">
        <v>0</v>
      </c>
      <c r="F641" s="14">
        <v>1</v>
      </c>
      <c r="G641" s="14">
        <v>0</v>
      </c>
      <c r="H641" s="14">
        <v>24</v>
      </c>
      <c r="I641" s="8" t="s">
        <v>120</v>
      </c>
      <c r="J641" s="8" t="s">
        <v>38</v>
      </c>
      <c r="K641">
        <v>46</v>
      </c>
      <c r="L641">
        <v>65.125</v>
      </c>
      <c r="M641" s="14">
        <v>4.375</v>
      </c>
      <c r="N641" s="14">
        <v>3.0625</v>
      </c>
      <c r="R641" t="str">
        <f t="shared" si="30"/>
        <v xml:space="preserve">XX8X_PV_1178:    Front abuts stile:TRUE       Back abuts stile:TRUE          Panel Section: TOP           Stile in the back Width: 24           Cutout A: B-386          Cutout B:      F.C.:4.375 in.         C.C.:3.0625 in.   </v>
      </c>
      <c r="S641" t="str">
        <f t="shared" si="29"/>
        <v>TRUE</v>
      </c>
      <c r="T641" t="str">
        <f t="shared" si="31"/>
        <v>TRUE</v>
      </c>
    </row>
    <row r="642" spans="1:20">
      <c r="A642" t="s">
        <v>802</v>
      </c>
      <c r="B642" s="14" t="s">
        <v>144</v>
      </c>
      <c r="C642" s="14" t="s">
        <v>156</v>
      </c>
      <c r="D642" s="14">
        <v>1</v>
      </c>
      <c r="E642" s="14">
        <v>0</v>
      </c>
      <c r="F642" s="14">
        <v>1</v>
      </c>
      <c r="G642" s="14">
        <v>0</v>
      </c>
      <c r="H642" s="14"/>
      <c r="I642" s="8" t="s">
        <v>38</v>
      </c>
      <c r="J642" s="8" t="s">
        <v>38</v>
      </c>
      <c r="K642">
        <v>15.625</v>
      </c>
      <c r="L642">
        <v>25.8125</v>
      </c>
      <c r="M642" s="14">
        <v>4.5</v>
      </c>
      <c r="N642" s="14">
        <v>1</v>
      </c>
      <c r="R642" t="str">
        <f t="shared" si="30"/>
        <v xml:space="preserve">XX8X_PV_1179:    Front abuts stile:TRUE       Back abuts stile:TRUE          Panel Section: TOP           Stile in the back Width:            Cutout A:           Cutout B:      F.C.:4.5 in.         C.C.:1 in.   </v>
      </c>
      <c r="S642" t="str">
        <f t="shared" si="29"/>
        <v>TRUE</v>
      </c>
      <c r="T642" t="str">
        <f t="shared" si="31"/>
        <v>TRUE</v>
      </c>
    </row>
    <row r="643" spans="1:20">
      <c r="A643" t="s">
        <v>803</v>
      </c>
      <c r="B643" s="14" t="s">
        <v>144</v>
      </c>
      <c r="C643" s="14" t="s">
        <v>156</v>
      </c>
      <c r="D643" s="14">
        <v>1</v>
      </c>
      <c r="E643" s="14">
        <v>0</v>
      </c>
      <c r="F643" s="14">
        <v>1</v>
      </c>
      <c r="G643" s="14">
        <v>1</v>
      </c>
      <c r="H643" s="14"/>
      <c r="I643" s="8" t="s">
        <v>38</v>
      </c>
      <c r="J643" s="8" t="s">
        <v>38</v>
      </c>
      <c r="K643">
        <v>29.375</v>
      </c>
      <c r="L643">
        <v>78.625</v>
      </c>
      <c r="M643" s="14">
        <v>3.0625</v>
      </c>
      <c r="N643" s="14">
        <v>4.625</v>
      </c>
      <c r="R643" t="str">
        <f t="shared" si="30"/>
        <v xml:space="preserve">XX8X_PV_1180:    Front abuts stile:TRUE       Back abuts stile:TRUE          Panel Section: TOP           Stile in the back Width:            Cutout A:           Cutout B:      F.C.:3.0625 in.         C.C.:4.625 in.   </v>
      </c>
      <c r="S643" t="str">
        <f t="shared" si="29"/>
        <v>TRUE</v>
      </c>
      <c r="T643" t="str">
        <f t="shared" si="31"/>
        <v>TRUE</v>
      </c>
    </row>
    <row r="644" spans="1:20">
      <c r="A644" t="s">
        <v>804</v>
      </c>
      <c r="B644" s="14" t="s">
        <v>144</v>
      </c>
      <c r="C644" s="14" t="s">
        <v>156</v>
      </c>
      <c r="D644" s="14">
        <v>1</v>
      </c>
      <c r="E644" s="14">
        <v>1</v>
      </c>
      <c r="F644" s="14">
        <v>0</v>
      </c>
      <c r="G644" s="14"/>
      <c r="H644" s="14"/>
      <c r="I644" s="8" t="s">
        <v>38</v>
      </c>
      <c r="J644" s="8" t="s">
        <v>38</v>
      </c>
      <c r="K644">
        <v>47.625</v>
      </c>
      <c r="L644">
        <v>56.3125</v>
      </c>
      <c r="M644" s="14">
        <v>4.8125</v>
      </c>
      <c r="N644" s="14">
        <v>1</v>
      </c>
      <c r="R644" t="str">
        <f t="shared" si="30"/>
        <v xml:space="preserve">XX8X_PV_1181:    Front abuts stile:TRUE       Back abuts stile:FALSE          Panel Section: TOP           Stile in the back Width:            Cutout A:           Cutout B:      F.C.:4.8125 in.         C.C.:1 in.   </v>
      </c>
      <c r="S644" t="str">
        <f t="shared" ref="S644:S658" si="32">IF(D644=1, "TRUE", "FALSE")</f>
        <v>TRUE</v>
      </c>
      <c r="T644" t="str">
        <f t="shared" si="31"/>
        <v>FALSE</v>
      </c>
    </row>
    <row r="645" spans="1:20">
      <c r="A645" t="s">
        <v>805</v>
      </c>
      <c r="B645" s="14" t="s">
        <v>144</v>
      </c>
      <c r="C645" s="14" t="s">
        <v>156</v>
      </c>
      <c r="D645" s="14">
        <v>1</v>
      </c>
      <c r="E645" s="14">
        <v>1</v>
      </c>
      <c r="F645" s="14">
        <v>1</v>
      </c>
      <c r="G645" s="14">
        <v>0</v>
      </c>
      <c r="H645" s="14">
        <v>12</v>
      </c>
      <c r="I645" s="8" t="s">
        <v>38</v>
      </c>
      <c r="J645" s="8" t="s">
        <v>38</v>
      </c>
      <c r="K645">
        <v>23.3125</v>
      </c>
      <c r="L645">
        <v>75.4375</v>
      </c>
      <c r="M645" s="14">
        <v>12</v>
      </c>
      <c r="N645" s="14">
        <v>4.25</v>
      </c>
      <c r="R645" t="str">
        <f t="shared" si="30"/>
        <v xml:space="preserve">XX8X_PV_1182:    Front abuts stile:TRUE       Back abuts stile:TRUE          Panel Section: TOP           Stile in the back Width: 12           Cutout A:           Cutout B:      F.C.:12 in.         C.C.:4.25 in.   </v>
      </c>
      <c r="S645" t="str">
        <f t="shared" si="32"/>
        <v>TRUE</v>
      </c>
      <c r="T645" t="str">
        <f t="shared" si="31"/>
        <v>TRUE</v>
      </c>
    </row>
    <row r="646" spans="1:20">
      <c r="A646" t="s">
        <v>806</v>
      </c>
      <c r="B646" s="14" t="s">
        <v>144</v>
      </c>
      <c r="C646" s="14" t="s">
        <v>156</v>
      </c>
      <c r="D646" s="14">
        <v>1</v>
      </c>
      <c r="E646" s="14">
        <v>1</v>
      </c>
      <c r="F646" s="14">
        <v>1</v>
      </c>
      <c r="G646" s="14">
        <v>0</v>
      </c>
      <c r="H646" s="14">
        <v>24</v>
      </c>
      <c r="I646" s="8" t="s">
        <v>120</v>
      </c>
      <c r="J646" s="8" t="s">
        <v>38</v>
      </c>
      <c r="K646">
        <v>12.875</v>
      </c>
      <c r="L646">
        <v>67.75</v>
      </c>
      <c r="M646" s="14">
        <v>3.1875</v>
      </c>
      <c r="N646" s="14">
        <v>1</v>
      </c>
      <c r="R646" t="str">
        <f t="shared" si="30"/>
        <v xml:space="preserve">XX8X_PV_1183:    Front abuts stile:TRUE       Back abuts stile:TRUE          Panel Section: TOP           Stile in the back Width: 24           Cutout A: B-386          Cutout B:      F.C.:3.1875 in.         C.C.:1 in.   </v>
      </c>
      <c r="S646" t="str">
        <f t="shared" si="32"/>
        <v>TRUE</v>
      </c>
      <c r="T646" t="str">
        <f t="shared" si="31"/>
        <v>TRUE</v>
      </c>
    </row>
    <row r="647" spans="1:20">
      <c r="A647" t="s">
        <v>807</v>
      </c>
      <c r="B647" s="14" t="s">
        <v>144</v>
      </c>
      <c r="C647" s="14" t="s">
        <v>156</v>
      </c>
      <c r="D647" s="14">
        <v>1</v>
      </c>
      <c r="E647" s="14">
        <v>1</v>
      </c>
      <c r="F647" s="14">
        <v>1</v>
      </c>
      <c r="G647" s="14">
        <v>0</v>
      </c>
      <c r="H647" s="14"/>
      <c r="I647" s="8" t="s">
        <v>38</v>
      </c>
      <c r="J647" s="8" t="s">
        <v>38</v>
      </c>
      <c r="K647">
        <v>35.1875</v>
      </c>
      <c r="L647">
        <v>52.5</v>
      </c>
      <c r="M647" s="14">
        <v>9</v>
      </c>
      <c r="N647" s="14">
        <v>6.9375</v>
      </c>
      <c r="R647" t="str">
        <f t="shared" ref="R647:R658" si="33">A647&amp;":    Front abuts stile:"&amp;S647&amp;"       Back abuts stile:"&amp;T647&amp;"          Panel Section: "&amp;C647&amp;"           Stile in the back Width: "&amp;H647&amp;"           Cutout A: "&amp;I647&amp;"          Cutout B:"&amp;J647&amp;"      F.C.:"&amp;M647&amp;" in. "&amp;"        C.C.:"&amp;N647&amp;" in. "&amp;"  "</f>
        <v xml:space="preserve">XX8X_PV_1184:    Front abuts stile:TRUE       Back abuts stile:TRUE          Panel Section: TOP           Stile in the back Width:            Cutout A:           Cutout B:      F.C.:9 in.         C.C.:6.9375 in.   </v>
      </c>
      <c r="S647" t="str">
        <f t="shared" si="32"/>
        <v>TRUE</v>
      </c>
      <c r="T647" t="str">
        <f t="shared" si="31"/>
        <v>TRUE</v>
      </c>
    </row>
    <row r="648" spans="1:20">
      <c r="A648" t="s">
        <v>808</v>
      </c>
      <c r="B648" s="14" t="s">
        <v>144</v>
      </c>
      <c r="C648" s="14" t="s">
        <v>156</v>
      </c>
      <c r="D648" s="14">
        <v>1</v>
      </c>
      <c r="E648" s="14">
        <v>1</v>
      </c>
      <c r="F648" s="14">
        <v>1</v>
      </c>
      <c r="G648" s="14">
        <v>1</v>
      </c>
      <c r="H648" s="14"/>
      <c r="I648" s="8" t="s">
        <v>38</v>
      </c>
      <c r="J648" s="8" t="s">
        <v>38</v>
      </c>
      <c r="K648">
        <v>13.5625</v>
      </c>
      <c r="L648">
        <v>46.125</v>
      </c>
      <c r="M648" s="14">
        <v>1.375</v>
      </c>
      <c r="N648" s="14">
        <v>1</v>
      </c>
      <c r="R648" t="str">
        <f t="shared" si="33"/>
        <v xml:space="preserve">XX8X_PV_1185:    Front abuts stile:TRUE       Back abuts stile:TRUE          Panel Section: TOP           Stile in the back Width:            Cutout A:           Cutout B:      F.C.:1.375 in.         C.C.:1 in.   </v>
      </c>
      <c r="S648" t="str">
        <f t="shared" si="32"/>
        <v>TRUE</v>
      </c>
      <c r="T648" t="str">
        <f t="shared" si="31"/>
        <v>TRUE</v>
      </c>
    </row>
    <row r="649" spans="1:20">
      <c r="A649" t="s">
        <v>809</v>
      </c>
      <c r="B649" s="14" t="s">
        <v>144</v>
      </c>
      <c r="C649" s="14" t="s">
        <v>157</v>
      </c>
      <c r="D649" s="14">
        <v>0</v>
      </c>
      <c r="E649" s="14"/>
      <c r="F649" s="14">
        <v>0</v>
      </c>
      <c r="G649" s="14"/>
      <c r="H649" s="14"/>
      <c r="I649" s="8" t="s">
        <v>121</v>
      </c>
      <c r="J649" s="8" t="s">
        <v>120</v>
      </c>
      <c r="K649">
        <v>60</v>
      </c>
      <c r="L649">
        <v>61</v>
      </c>
      <c r="M649" s="14">
        <v>3</v>
      </c>
      <c r="N649" s="14">
        <v>1</v>
      </c>
      <c r="R649" t="str">
        <f t="shared" si="33"/>
        <v xml:space="preserve">XX8X_PV_1201:    Front abuts stile:FALSE       Back abuts stile:FALSE          Panel Section: BOTTOM           Stile in the back Width:            Cutout A: B-4354          Cutout B:B-386      F.C.:3 in.         C.C.:1 in.   </v>
      </c>
      <c r="S649" t="str">
        <f t="shared" si="32"/>
        <v>FALSE</v>
      </c>
      <c r="T649" t="str">
        <f t="shared" si="31"/>
        <v>FALSE</v>
      </c>
    </row>
    <row r="650" spans="1:20">
      <c r="A650" t="s">
        <v>810</v>
      </c>
      <c r="B650" s="14" t="s">
        <v>144</v>
      </c>
      <c r="C650" s="14" t="s">
        <v>157</v>
      </c>
      <c r="D650" s="14">
        <v>0</v>
      </c>
      <c r="E650" s="14"/>
      <c r="F650" s="14">
        <v>1</v>
      </c>
      <c r="G650" s="14">
        <v>0</v>
      </c>
      <c r="H650" s="14">
        <v>12</v>
      </c>
      <c r="I650" s="8" t="s">
        <v>145</v>
      </c>
      <c r="J650" s="8" t="s">
        <v>38</v>
      </c>
      <c r="K650">
        <v>60</v>
      </c>
      <c r="L650">
        <v>47.375</v>
      </c>
      <c r="M650" s="14">
        <v>1</v>
      </c>
      <c r="N650" s="14">
        <v>3</v>
      </c>
      <c r="R650" t="str">
        <f t="shared" si="33"/>
        <v xml:space="preserve">XX8X_PV_1202:    Front abuts stile:FALSE       Back abuts stile:TRUE          Panel Section: BOTTOM           Stile in the back Width: 12           Cutout A: B-347          Cutout B:      F.C.:1 in.         C.C.:3 in.   </v>
      </c>
      <c r="S650" t="str">
        <f t="shared" si="32"/>
        <v>FALSE</v>
      </c>
      <c r="T650" t="str">
        <f t="shared" si="31"/>
        <v>TRUE</v>
      </c>
    </row>
    <row r="651" spans="1:20">
      <c r="A651" t="s">
        <v>811</v>
      </c>
      <c r="B651" s="14" t="s">
        <v>144</v>
      </c>
      <c r="C651" s="14" t="s">
        <v>157</v>
      </c>
      <c r="D651" s="14">
        <v>0</v>
      </c>
      <c r="E651" s="14"/>
      <c r="F651" s="14">
        <v>1</v>
      </c>
      <c r="G651" s="14">
        <v>0</v>
      </c>
      <c r="H651" s="14">
        <v>24</v>
      </c>
      <c r="I651" s="8" t="s">
        <v>120</v>
      </c>
      <c r="J651" s="8" t="s">
        <v>38</v>
      </c>
      <c r="K651">
        <v>60</v>
      </c>
      <c r="L651">
        <v>56.875</v>
      </c>
      <c r="M651" s="14">
        <v>7.3125</v>
      </c>
      <c r="N651" s="14">
        <v>1</v>
      </c>
      <c r="R651" t="str">
        <f t="shared" si="33"/>
        <v xml:space="preserve">XX8X_PV_1203:    Front abuts stile:FALSE       Back abuts stile:TRUE          Panel Section: BOTTOM           Stile in the back Width: 24           Cutout A: B-386          Cutout B:      F.C.:7.3125 in.         C.C.:1 in.   </v>
      </c>
      <c r="S651" t="str">
        <f t="shared" si="32"/>
        <v>FALSE</v>
      </c>
      <c r="T651" t="str">
        <f t="shared" si="31"/>
        <v>TRUE</v>
      </c>
    </row>
    <row r="652" spans="1:20">
      <c r="A652" t="s">
        <v>812</v>
      </c>
      <c r="B652" s="14" t="s">
        <v>144</v>
      </c>
      <c r="C652" s="14" t="s">
        <v>157</v>
      </c>
      <c r="D652" s="14">
        <v>0</v>
      </c>
      <c r="E652" s="14"/>
      <c r="F652" s="14">
        <v>1</v>
      </c>
      <c r="G652" s="14">
        <v>0</v>
      </c>
      <c r="H652" s="14"/>
      <c r="I652" s="8" t="s">
        <v>38</v>
      </c>
      <c r="J652" s="8" t="s">
        <v>38</v>
      </c>
      <c r="K652">
        <v>60</v>
      </c>
      <c r="L652">
        <v>67.75</v>
      </c>
      <c r="M652" s="14">
        <v>1</v>
      </c>
      <c r="N652" s="14">
        <v>2.0625</v>
      </c>
      <c r="R652" t="str">
        <f t="shared" si="33"/>
        <v xml:space="preserve">XX8X_PV_1204:    Front abuts stile:FALSE       Back abuts stile:TRUE          Panel Section: BOTTOM           Stile in the back Width:            Cutout A:           Cutout B:      F.C.:1 in.         C.C.:2.0625 in.   </v>
      </c>
      <c r="S652" t="str">
        <f t="shared" si="32"/>
        <v>FALSE</v>
      </c>
      <c r="T652" t="str">
        <f t="shared" si="31"/>
        <v>TRUE</v>
      </c>
    </row>
    <row r="653" spans="1:20">
      <c r="A653" t="s">
        <v>813</v>
      </c>
      <c r="B653" s="14" t="s">
        <v>144</v>
      </c>
      <c r="C653" s="14" t="s">
        <v>157</v>
      </c>
      <c r="D653" s="14">
        <v>0</v>
      </c>
      <c r="E653" s="14"/>
      <c r="F653" s="14">
        <v>1</v>
      </c>
      <c r="G653" s="14">
        <v>1</v>
      </c>
      <c r="H653" s="14"/>
      <c r="I653" s="8" t="s">
        <v>38</v>
      </c>
      <c r="J653" s="8" t="s">
        <v>38</v>
      </c>
      <c r="K653">
        <v>60</v>
      </c>
      <c r="L653">
        <v>75.1875</v>
      </c>
      <c r="M653" s="14">
        <v>9</v>
      </c>
      <c r="N653" s="14">
        <v>6.125</v>
      </c>
      <c r="R653" t="str">
        <f t="shared" si="33"/>
        <v xml:space="preserve">XX8X_PV_1205:    Front abuts stile:FALSE       Back abuts stile:TRUE          Panel Section: BOTTOM           Stile in the back Width:            Cutout A:           Cutout B:      F.C.:9 in.         C.C.:6.125 in.   </v>
      </c>
      <c r="S653" t="str">
        <f t="shared" si="32"/>
        <v>FALSE</v>
      </c>
      <c r="T653" t="str">
        <f t="shared" si="31"/>
        <v>TRUE</v>
      </c>
    </row>
    <row r="654" spans="1:20">
      <c r="A654" t="s">
        <v>814</v>
      </c>
      <c r="B654" s="14" t="s">
        <v>144</v>
      </c>
      <c r="C654" s="14" t="s">
        <v>157</v>
      </c>
      <c r="D654" s="14">
        <v>1</v>
      </c>
      <c r="E654" s="14">
        <v>0</v>
      </c>
      <c r="F654" s="14">
        <v>0</v>
      </c>
      <c r="G654" s="14"/>
      <c r="H654" s="14"/>
      <c r="I654" s="8" t="s">
        <v>38</v>
      </c>
      <c r="J654" s="8" t="s">
        <v>38</v>
      </c>
      <c r="K654">
        <v>60</v>
      </c>
      <c r="L654">
        <v>8.875</v>
      </c>
      <c r="M654" s="14">
        <v>12</v>
      </c>
      <c r="N654" s="14">
        <v>5.5</v>
      </c>
      <c r="R654" t="str">
        <f t="shared" si="33"/>
        <v xml:space="preserve">XX8X_PV_1206:    Front abuts stile:TRUE       Back abuts stile:FALSE          Panel Section: BOTTOM           Stile in the back Width:            Cutout A:           Cutout B:      F.C.:12 in.         C.C.:5.5 in.   </v>
      </c>
      <c r="S654" t="str">
        <f t="shared" si="32"/>
        <v>TRUE</v>
      </c>
      <c r="T654" t="str">
        <f t="shared" si="31"/>
        <v>FALSE</v>
      </c>
    </row>
    <row r="655" spans="1:20">
      <c r="A655" t="s">
        <v>815</v>
      </c>
      <c r="B655" s="14" t="s">
        <v>144</v>
      </c>
      <c r="C655" s="14" t="s">
        <v>157</v>
      </c>
      <c r="D655" s="14">
        <v>1</v>
      </c>
      <c r="E655" s="14">
        <v>0</v>
      </c>
      <c r="F655" s="14">
        <v>1</v>
      </c>
      <c r="G655" s="14">
        <v>0</v>
      </c>
      <c r="H655" s="14">
        <v>12</v>
      </c>
      <c r="I655" s="8" t="s">
        <v>145</v>
      </c>
      <c r="J655" s="8" t="s">
        <v>38</v>
      </c>
      <c r="K655">
        <v>60</v>
      </c>
      <c r="L655">
        <v>69.5</v>
      </c>
      <c r="M655" s="14">
        <v>4.5</v>
      </c>
      <c r="N655" s="14">
        <v>4.25</v>
      </c>
      <c r="R655" t="str">
        <f t="shared" si="33"/>
        <v xml:space="preserve">XX8X_PV_1207:    Front abuts stile:TRUE       Back abuts stile:TRUE          Panel Section: BOTTOM           Stile in the back Width: 12           Cutout A: B-347          Cutout B:      F.C.:4.5 in.         C.C.:4.25 in.   </v>
      </c>
      <c r="S655" t="str">
        <f t="shared" si="32"/>
        <v>TRUE</v>
      </c>
      <c r="T655" t="str">
        <f t="shared" si="31"/>
        <v>TRUE</v>
      </c>
    </row>
    <row r="656" spans="1:20">
      <c r="A656" t="s">
        <v>816</v>
      </c>
      <c r="B656" s="14" t="s">
        <v>144</v>
      </c>
      <c r="C656" s="14" t="s">
        <v>157</v>
      </c>
      <c r="D656" s="14">
        <v>1</v>
      </c>
      <c r="E656" s="14">
        <v>0</v>
      </c>
      <c r="F656" s="14">
        <v>1</v>
      </c>
      <c r="G656" s="14">
        <v>0</v>
      </c>
      <c r="H656" s="14">
        <v>24</v>
      </c>
      <c r="I656" s="8" t="s">
        <v>120</v>
      </c>
      <c r="J656" s="8" t="s">
        <v>38</v>
      </c>
      <c r="K656">
        <v>60</v>
      </c>
      <c r="L656">
        <v>47.3125</v>
      </c>
      <c r="M656" s="14">
        <v>4.5</v>
      </c>
      <c r="N656" s="14">
        <v>1.75</v>
      </c>
      <c r="R656" t="str">
        <f t="shared" si="33"/>
        <v xml:space="preserve">XX8X_PV_1208:    Front abuts stile:TRUE       Back abuts stile:TRUE          Panel Section: BOTTOM           Stile in the back Width: 24           Cutout A: B-386          Cutout B:      F.C.:4.5 in.         C.C.:1.75 in.   </v>
      </c>
      <c r="S656" t="str">
        <f t="shared" si="32"/>
        <v>TRUE</v>
      </c>
      <c r="T656" t="str">
        <f t="shared" si="31"/>
        <v>TRUE</v>
      </c>
    </row>
    <row r="657" spans="1:20">
      <c r="A657" t="s">
        <v>817</v>
      </c>
      <c r="B657" s="14" t="s">
        <v>144</v>
      </c>
      <c r="C657" s="14" t="s">
        <v>157</v>
      </c>
      <c r="D657" s="14">
        <v>1</v>
      </c>
      <c r="E657" s="14">
        <v>0</v>
      </c>
      <c r="F657" s="14">
        <v>1</v>
      </c>
      <c r="G657" s="14">
        <v>0</v>
      </c>
      <c r="H657" s="14"/>
      <c r="I657" s="8" t="s">
        <v>38</v>
      </c>
      <c r="J657" s="8" t="s">
        <v>38</v>
      </c>
      <c r="K657">
        <v>60</v>
      </c>
      <c r="L657">
        <v>46.75</v>
      </c>
      <c r="M657" s="14">
        <v>4.5</v>
      </c>
      <c r="N657" s="14">
        <v>1</v>
      </c>
      <c r="R657" t="str">
        <f t="shared" si="33"/>
        <v xml:space="preserve">XX8X_PV_1209:    Front abuts stile:TRUE       Back abuts stile:TRUE          Panel Section: BOTTOM           Stile in the back Width:            Cutout A:           Cutout B:      F.C.:4.5 in.         C.C.:1 in.   </v>
      </c>
      <c r="S657" t="str">
        <f t="shared" si="32"/>
        <v>TRUE</v>
      </c>
      <c r="T657" t="str">
        <f t="shared" si="31"/>
        <v>TRUE</v>
      </c>
    </row>
    <row r="658" spans="1:20">
      <c r="A658" t="s">
        <v>818</v>
      </c>
      <c r="B658" s="14" t="s">
        <v>144</v>
      </c>
      <c r="C658" s="14" t="s">
        <v>157</v>
      </c>
      <c r="D658" s="14">
        <v>1</v>
      </c>
      <c r="E658" s="14">
        <v>0</v>
      </c>
      <c r="F658" s="14">
        <v>1</v>
      </c>
      <c r="G658" s="14">
        <v>1</v>
      </c>
      <c r="H658" s="14"/>
      <c r="I658" s="8" t="s">
        <v>38</v>
      </c>
      <c r="J658" s="8" t="s">
        <v>38</v>
      </c>
      <c r="K658">
        <v>60</v>
      </c>
      <c r="L658">
        <v>12.8125</v>
      </c>
      <c r="M658" s="14">
        <v>1</v>
      </c>
      <c r="N658" s="14">
        <v>1.375</v>
      </c>
      <c r="R658" t="str">
        <f t="shared" si="33"/>
        <v xml:space="preserve">XX8X_PV_1210:    Front abuts stile:TRUE       Back abuts stile:TRUE          Panel Section: BOTTOM           Stile in the back Width:            Cutout A:           Cutout B:      F.C.:1 in.         C.C.:1.375 in.   </v>
      </c>
      <c r="S658" t="str">
        <f t="shared" si="32"/>
        <v>TRUE</v>
      </c>
      <c r="T658" t="str">
        <f t="shared" si="31"/>
        <v>TRUE</v>
      </c>
    </row>
    <row r="659" spans="1:20">
      <c r="A659" t="s">
        <v>819</v>
      </c>
      <c r="B659" s="14" t="s">
        <v>144</v>
      </c>
      <c r="C659" s="14" t="s">
        <v>157</v>
      </c>
      <c r="D659" s="14">
        <v>1</v>
      </c>
      <c r="E659" s="14">
        <v>1</v>
      </c>
      <c r="F659" s="14">
        <v>0</v>
      </c>
      <c r="G659" s="14"/>
      <c r="H659" s="14"/>
      <c r="I659" s="8" t="s">
        <v>38</v>
      </c>
      <c r="J659" s="8" t="s">
        <v>38</v>
      </c>
      <c r="K659">
        <v>60</v>
      </c>
      <c r="L659">
        <v>33</v>
      </c>
      <c r="M659" s="14">
        <v>9</v>
      </c>
      <c r="N659" s="14">
        <v>6.0625</v>
      </c>
      <c r="R659" t="str">
        <f t="shared" ref="R659:R722" si="34">A659&amp;":    Front abuts stile:"&amp;S659&amp;"       Back abuts stile:"&amp;T659&amp;"          Panel Section: "&amp;C659&amp;"           Stile in the back Width: "&amp;H659&amp;"           Cutout A: "&amp;I659&amp;"          Cutout B:"&amp;J659&amp;"      F.C.:"&amp;M659&amp;" in. "&amp;"        C.C.:"&amp;N659&amp;" in. "&amp;"  "</f>
        <v xml:space="preserve">XX8X_PV_1211:    Front abuts stile:TRUE       Back abuts stile:FALSE          Panel Section: BOTTOM           Stile in the back Width:            Cutout A:           Cutout B:      F.C.:9 in.         C.C.:6.0625 in.   </v>
      </c>
      <c r="S659" t="str">
        <f t="shared" ref="S659:S722" si="35">IF(D659=1, "TRUE", "FALSE")</f>
        <v>TRUE</v>
      </c>
      <c r="T659" t="str">
        <f t="shared" ref="T659:T722" si="36">IF(F659=1, "TRUE", "FALSE")</f>
        <v>FALSE</v>
      </c>
    </row>
    <row r="660" spans="1:20">
      <c r="A660" t="s">
        <v>820</v>
      </c>
      <c r="B660" s="14" t="s">
        <v>144</v>
      </c>
      <c r="C660" s="14" t="s">
        <v>157</v>
      </c>
      <c r="D660" s="14">
        <v>1</v>
      </c>
      <c r="E660" s="14">
        <v>1</v>
      </c>
      <c r="F660" s="14">
        <v>1</v>
      </c>
      <c r="G660" s="14">
        <v>0</v>
      </c>
      <c r="H660" s="14">
        <v>12</v>
      </c>
      <c r="I660" s="8" t="s">
        <v>145</v>
      </c>
      <c r="J660" s="8" t="s">
        <v>38</v>
      </c>
      <c r="K660">
        <v>60</v>
      </c>
      <c r="L660">
        <v>68.4375</v>
      </c>
      <c r="M660" s="14">
        <v>12</v>
      </c>
      <c r="N660" s="14">
        <v>4.5625</v>
      </c>
      <c r="R660" t="str">
        <f t="shared" si="34"/>
        <v xml:space="preserve">XX8X_PV_1212:    Front abuts stile:TRUE       Back abuts stile:TRUE          Panel Section: BOTTOM           Stile in the back Width: 12           Cutout A: B-347          Cutout B:      F.C.:12 in.         C.C.:4.5625 in.   </v>
      </c>
      <c r="S660" t="str">
        <f t="shared" si="35"/>
        <v>TRUE</v>
      </c>
      <c r="T660" t="str">
        <f t="shared" si="36"/>
        <v>TRUE</v>
      </c>
    </row>
    <row r="661" spans="1:20">
      <c r="A661" t="s">
        <v>821</v>
      </c>
      <c r="B661" s="14" t="s">
        <v>144</v>
      </c>
      <c r="C661" s="14" t="s">
        <v>157</v>
      </c>
      <c r="D661" s="14">
        <v>1</v>
      </c>
      <c r="E661" s="14">
        <v>1</v>
      </c>
      <c r="F661" s="14">
        <v>1</v>
      </c>
      <c r="G661" s="14">
        <v>0</v>
      </c>
      <c r="H661" s="14">
        <v>24</v>
      </c>
      <c r="I661" s="8" t="s">
        <v>120</v>
      </c>
      <c r="J661" s="8" t="s">
        <v>38</v>
      </c>
      <c r="K661">
        <v>60</v>
      </c>
      <c r="L661">
        <v>48.0625</v>
      </c>
      <c r="M661" s="14">
        <v>4.5</v>
      </c>
      <c r="N661" s="14">
        <v>3.875</v>
      </c>
      <c r="R661" t="str">
        <f t="shared" si="34"/>
        <v xml:space="preserve">XX8X_PV_1213:    Front abuts stile:TRUE       Back abuts stile:TRUE          Panel Section: BOTTOM           Stile in the back Width: 24           Cutout A: B-386          Cutout B:      F.C.:4.5 in.         C.C.:3.875 in.   </v>
      </c>
      <c r="S661" t="str">
        <f t="shared" si="35"/>
        <v>TRUE</v>
      </c>
      <c r="T661" t="str">
        <f t="shared" si="36"/>
        <v>TRUE</v>
      </c>
    </row>
    <row r="662" spans="1:20">
      <c r="A662" t="s">
        <v>822</v>
      </c>
      <c r="B662" s="14" t="s">
        <v>144</v>
      </c>
      <c r="C662" s="14" t="s">
        <v>157</v>
      </c>
      <c r="D662" s="14">
        <v>1</v>
      </c>
      <c r="E662" s="14">
        <v>1</v>
      </c>
      <c r="F662" s="14">
        <v>1</v>
      </c>
      <c r="G662" s="14">
        <v>0</v>
      </c>
      <c r="H662" s="14"/>
      <c r="I662" s="8" t="s">
        <v>38</v>
      </c>
      <c r="J662" s="8" t="s">
        <v>38</v>
      </c>
      <c r="K662">
        <v>60</v>
      </c>
      <c r="L662">
        <v>64.8125</v>
      </c>
      <c r="M662" s="14">
        <v>9</v>
      </c>
      <c r="N662" s="14">
        <v>7.625</v>
      </c>
      <c r="R662" t="str">
        <f t="shared" si="34"/>
        <v xml:space="preserve">XX8X_PV_1214:    Front abuts stile:TRUE       Back abuts stile:TRUE          Panel Section: BOTTOM           Stile in the back Width:            Cutout A:           Cutout B:      F.C.:9 in.         C.C.:7.625 in.   </v>
      </c>
      <c r="S662" t="str">
        <f t="shared" si="35"/>
        <v>TRUE</v>
      </c>
      <c r="T662" t="str">
        <f t="shared" si="36"/>
        <v>TRUE</v>
      </c>
    </row>
    <row r="663" spans="1:20">
      <c r="A663" t="s">
        <v>823</v>
      </c>
      <c r="B663" s="14" t="s">
        <v>144</v>
      </c>
      <c r="C663" s="14" t="s">
        <v>157</v>
      </c>
      <c r="D663" s="14">
        <v>1</v>
      </c>
      <c r="E663" s="14">
        <v>1</v>
      </c>
      <c r="F663" s="14">
        <v>1</v>
      </c>
      <c r="G663" s="14">
        <v>1</v>
      </c>
      <c r="H663" s="14"/>
      <c r="I663" s="8" t="s">
        <v>38</v>
      </c>
      <c r="J663" s="8" t="s">
        <v>38</v>
      </c>
      <c r="K663">
        <v>60</v>
      </c>
      <c r="L663">
        <v>64.0625</v>
      </c>
      <c r="M663" s="14">
        <v>11.375</v>
      </c>
      <c r="N663" s="14">
        <v>3.9375</v>
      </c>
      <c r="R663" t="str">
        <f t="shared" si="34"/>
        <v xml:space="preserve">XX8X_PV_1215:    Front abuts stile:TRUE       Back abuts stile:TRUE          Panel Section: BOTTOM           Stile in the back Width:            Cutout A:           Cutout B:      F.C.:11.375 in.         C.C.:3.9375 in.   </v>
      </c>
      <c r="S663" t="str">
        <f t="shared" si="35"/>
        <v>TRUE</v>
      </c>
      <c r="T663" t="str">
        <f t="shared" si="36"/>
        <v>TRUE</v>
      </c>
    </row>
    <row r="664" spans="1:20">
      <c r="A664" t="s">
        <v>824</v>
      </c>
      <c r="B664" s="14" t="s">
        <v>144</v>
      </c>
      <c r="C664" s="14" t="s">
        <v>21</v>
      </c>
      <c r="D664" s="14">
        <v>0</v>
      </c>
      <c r="E664" s="14"/>
      <c r="F664" s="14">
        <v>0</v>
      </c>
      <c r="G664" s="14"/>
      <c r="H664" s="14"/>
      <c r="I664" s="8" t="s">
        <v>121</v>
      </c>
      <c r="J664" s="8" t="s">
        <v>38</v>
      </c>
      <c r="K664">
        <v>78.6875</v>
      </c>
      <c r="L664">
        <v>78.875</v>
      </c>
      <c r="M664" s="14">
        <v>4.5</v>
      </c>
      <c r="N664" s="14">
        <v>1</v>
      </c>
      <c r="R664" t="str">
        <f t="shared" si="34"/>
        <v xml:space="preserve">XX8X_PV_1231:    Front abuts stile:FALSE       Back abuts stile:FALSE          Panel Section: WHOLE           Stile in the back Width:            Cutout A: B-4354          Cutout B:      F.C.:4.5 in.         C.C.:1 in.   </v>
      </c>
      <c r="S664" t="str">
        <f t="shared" si="35"/>
        <v>FALSE</v>
      </c>
      <c r="T664" t="str">
        <f t="shared" si="36"/>
        <v>FALSE</v>
      </c>
    </row>
    <row r="665" spans="1:20">
      <c r="A665" t="s">
        <v>825</v>
      </c>
      <c r="B665" s="14" t="s">
        <v>144</v>
      </c>
      <c r="C665" s="14" t="s">
        <v>21</v>
      </c>
      <c r="D665" s="14">
        <v>0</v>
      </c>
      <c r="E665" s="14"/>
      <c r="F665" s="14">
        <v>1</v>
      </c>
      <c r="G665" s="14">
        <v>0</v>
      </c>
      <c r="H665" s="14">
        <v>12</v>
      </c>
      <c r="I665" s="8" t="s">
        <v>149</v>
      </c>
      <c r="J665" s="8" t="s">
        <v>38</v>
      </c>
      <c r="K665">
        <v>96.3125</v>
      </c>
      <c r="L665">
        <v>59.3125</v>
      </c>
      <c r="M665" s="14">
        <v>9</v>
      </c>
      <c r="N665" s="14">
        <v>1.5625</v>
      </c>
      <c r="R665" t="str">
        <f t="shared" si="34"/>
        <v xml:space="preserve">XX8X_PV_1232:    Front abuts stile:FALSE       Back abuts stile:TRUE          Panel Section: WHOLE           Stile in the back Width: 12           Cutout A: B-34715          Cutout B:      F.C.:9 in.         C.C.:1.5625 in.   </v>
      </c>
      <c r="S665" t="str">
        <f t="shared" si="35"/>
        <v>FALSE</v>
      </c>
      <c r="T665" t="str">
        <f t="shared" si="36"/>
        <v>TRUE</v>
      </c>
    </row>
    <row r="666" spans="1:20">
      <c r="A666" t="s">
        <v>826</v>
      </c>
      <c r="B666" s="14" t="s">
        <v>144</v>
      </c>
      <c r="C666" s="14" t="s">
        <v>21</v>
      </c>
      <c r="D666" s="14">
        <v>0</v>
      </c>
      <c r="E666" s="14"/>
      <c r="F666" s="14">
        <v>1</v>
      </c>
      <c r="G666" s="14">
        <v>0</v>
      </c>
      <c r="H666" s="14">
        <v>24</v>
      </c>
      <c r="I666" s="8" t="s">
        <v>120</v>
      </c>
      <c r="J666" s="8" t="s">
        <v>38</v>
      </c>
      <c r="K666">
        <v>96</v>
      </c>
      <c r="L666">
        <v>57.625</v>
      </c>
      <c r="M666" s="14">
        <v>9</v>
      </c>
      <c r="N666" s="14">
        <v>1</v>
      </c>
      <c r="R666" t="str">
        <f t="shared" si="34"/>
        <v xml:space="preserve">XX8X_PV_1233:    Front abuts stile:FALSE       Back abuts stile:TRUE          Panel Section: WHOLE           Stile in the back Width: 24           Cutout A: B-386          Cutout B:      F.C.:9 in.         C.C.:1 in.   </v>
      </c>
      <c r="S666" t="str">
        <f t="shared" si="35"/>
        <v>FALSE</v>
      </c>
      <c r="T666" t="str">
        <f t="shared" si="36"/>
        <v>TRUE</v>
      </c>
    </row>
    <row r="667" spans="1:20">
      <c r="A667" t="s">
        <v>827</v>
      </c>
      <c r="B667" s="14" t="s">
        <v>144</v>
      </c>
      <c r="C667" s="14" t="s">
        <v>21</v>
      </c>
      <c r="D667" s="14">
        <v>0</v>
      </c>
      <c r="E667" s="14"/>
      <c r="F667" s="14">
        <v>1</v>
      </c>
      <c r="G667" s="14">
        <v>0</v>
      </c>
      <c r="H667" s="14"/>
      <c r="I667" s="8" t="s">
        <v>38</v>
      </c>
      <c r="J667" s="8" t="s">
        <v>38</v>
      </c>
      <c r="K667">
        <v>68.8125</v>
      </c>
      <c r="L667">
        <v>41.0625</v>
      </c>
      <c r="M667" s="14">
        <v>1</v>
      </c>
      <c r="N667" s="14">
        <v>4.3125</v>
      </c>
      <c r="R667" t="str">
        <f t="shared" si="34"/>
        <v xml:space="preserve">XX8X_PV_1234:    Front abuts stile:FALSE       Back abuts stile:TRUE          Panel Section: WHOLE           Stile in the back Width:            Cutout A:           Cutout B:      F.C.:1 in.         C.C.:4.3125 in.   </v>
      </c>
      <c r="S667" t="str">
        <f t="shared" si="35"/>
        <v>FALSE</v>
      </c>
      <c r="T667" t="str">
        <f t="shared" si="36"/>
        <v>TRUE</v>
      </c>
    </row>
    <row r="668" spans="1:20">
      <c r="A668" t="s">
        <v>828</v>
      </c>
      <c r="B668" s="14" t="s">
        <v>144</v>
      </c>
      <c r="C668" s="14" t="s">
        <v>21</v>
      </c>
      <c r="D668" s="14">
        <v>0</v>
      </c>
      <c r="E668" s="14"/>
      <c r="F668" s="14">
        <v>1</v>
      </c>
      <c r="G668" s="14">
        <v>1</v>
      </c>
      <c r="H668" s="14"/>
      <c r="I668" s="8" t="s">
        <v>38</v>
      </c>
      <c r="J668" s="8" t="s">
        <v>38</v>
      </c>
      <c r="K668">
        <v>84.875</v>
      </c>
      <c r="L668">
        <v>69.25</v>
      </c>
      <c r="M668" s="14">
        <v>12</v>
      </c>
      <c r="N668" s="14">
        <v>2.375</v>
      </c>
      <c r="R668" t="str">
        <f t="shared" si="34"/>
        <v xml:space="preserve">XX8X_PV_1235:    Front abuts stile:FALSE       Back abuts stile:TRUE          Panel Section: WHOLE           Stile in the back Width:            Cutout A:           Cutout B:      F.C.:12 in.         C.C.:2.375 in.   </v>
      </c>
      <c r="S668" t="str">
        <f t="shared" si="35"/>
        <v>FALSE</v>
      </c>
      <c r="T668" t="str">
        <f t="shared" si="36"/>
        <v>TRUE</v>
      </c>
    </row>
    <row r="669" spans="1:20">
      <c r="A669" t="s">
        <v>829</v>
      </c>
      <c r="B669" s="14" t="s">
        <v>144</v>
      </c>
      <c r="C669" s="14" t="s">
        <v>21</v>
      </c>
      <c r="D669" s="14">
        <v>1</v>
      </c>
      <c r="E669" s="14">
        <v>0</v>
      </c>
      <c r="F669" s="14">
        <v>0</v>
      </c>
      <c r="G669" s="14"/>
      <c r="H669" s="14"/>
      <c r="I669" s="8" t="s">
        <v>120</v>
      </c>
      <c r="J669" s="8" t="s">
        <v>119</v>
      </c>
      <c r="K669">
        <v>42</v>
      </c>
      <c r="L669">
        <v>53</v>
      </c>
      <c r="M669" s="14">
        <v>4.5</v>
      </c>
      <c r="N669" s="14">
        <v>1</v>
      </c>
      <c r="R669" t="str">
        <f t="shared" si="34"/>
        <v xml:space="preserve">XX8X_PV_1236:    Front abuts stile:TRUE       Back abuts stile:FALSE          Panel Section: WHOLE           Stile in the back Width:            Cutout A: B-386          Cutout B:B-354      F.C.:4.5 in.         C.C.:1 in.   </v>
      </c>
      <c r="S669" t="str">
        <f t="shared" si="35"/>
        <v>TRUE</v>
      </c>
      <c r="T669" t="str">
        <f t="shared" si="36"/>
        <v>FALSE</v>
      </c>
    </row>
    <row r="670" spans="1:20">
      <c r="A670" t="s">
        <v>830</v>
      </c>
      <c r="B670" s="14" t="s">
        <v>144</v>
      </c>
      <c r="C670" s="14" t="s">
        <v>21</v>
      </c>
      <c r="D670" s="14">
        <v>1</v>
      </c>
      <c r="E670" s="14">
        <v>0</v>
      </c>
      <c r="F670" s="14">
        <v>1</v>
      </c>
      <c r="G670" s="14">
        <v>0</v>
      </c>
      <c r="H670" s="14">
        <v>12</v>
      </c>
      <c r="I670" s="8" t="s">
        <v>120</v>
      </c>
      <c r="J670" s="8" t="s">
        <v>38</v>
      </c>
      <c r="K670">
        <v>109.9375</v>
      </c>
      <c r="L670">
        <v>41.375</v>
      </c>
      <c r="M670" s="14">
        <v>4.5</v>
      </c>
      <c r="N670" s="14">
        <v>4.625</v>
      </c>
      <c r="R670" t="str">
        <f t="shared" si="34"/>
        <v xml:space="preserve">XX8X_PV_1237:    Front abuts stile:TRUE       Back abuts stile:TRUE          Panel Section: WHOLE           Stile in the back Width: 12           Cutout A: B-386          Cutout B:      F.C.:4.5 in.         C.C.:4.625 in.   </v>
      </c>
      <c r="S670" t="str">
        <f t="shared" si="35"/>
        <v>TRUE</v>
      </c>
      <c r="T670" t="str">
        <f t="shared" si="36"/>
        <v>TRUE</v>
      </c>
    </row>
    <row r="671" spans="1:20">
      <c r="A671" t="s">
        <v>831</v>
      </c>
      <c r="B671" s="14" t="s">
        <v>144</v>
      </c>
      <c r="C671" s="14" t="s">
        <v>21</v>
      </c>
      <c r="D671" s="14">
        <v>1</v>
      </c>
      <c r="E671" s="14">
        <v>0</v>
      </c>
      <c r="F671" s="14">
        <v>1</v>
      </c>
      <c r="G671" s="14">
        <v>0</v>
      </c>
      <c r="H671" s="14">
        <v>24</v>
      </c>
      <c r="I671" s="8" t="s">
        <v>120</v>
      </c>
      <c r="J671" s="8" t="s">
        <v>38</v>
      </c>
      <c r="K671">
        <v>95.9375</v>
      </c>
      <c r="L671">
        <v>60.3125</v>
      </c>
      <c r="M671" s="14">
        <v>9</v>
      </c>
      <c r="N671" s="14">
        <v>4.875</v>
      </c>
      <c r="R671" t="str">
        <f t="shared" si="34"/>
        <v xml:space="preserve">XX8X_PV_1238:    Front abuts stile:TRUE       Back abuts stile:TRUE          Panel Section: WHOLE           Stile in the back Width: 24           Cutout A: B-386          Cutout B:      F.C.:9 in.         C.C.:4.875 in.   </v>
      </c>
      <c r="S671" t="str">
        <f t="shared" si="35"/>
        <v>TRUE</v>
      </c>
      <c r="T671" t="str">
        <f t="shared" si="36"/>
        <v>TRUE</v>
      </c>
    </row>
    <row r="672" spans="1:20">
      <c r="A672" t="s">
        <v>832</v>
      </c>
      <c r="B672" s="14" t="s">
        <v>144</v>
      </c>
      <c r="C672" s="14" t="s">
        <v>21</v>
      </c>
      <c r="D672" s="14">
        <v>1</v>
      </c>
      <c r="E672" s="14">
        <v>0</v>
      </c>
      <c r="F672" s="14">
        <v>1</v>
      </c>
      <c r="G672" s="14">
        <v>0</v>
      </c>
      <c r="H672" s="14"/>
      <c r="I672" s="8" t="s">
        <v>38</v>
      </c>
      <c r="J672" s="8" t="s">
        <v>38</v>
      </c>
      <c r="K672">
        <v>42</v>
      </c>
      <c r="L672">
        <v>66.8125</v>
      </c>
      <c r="M672" s="14">
        <v>9</v>
      </c>
      <c r="N672" s="14">
        <v>8.4375</v>
      </c>
      <c r="R672" t="str">
        <f t="shared" si="34"/>
        <v xml:space="preserve">XX8X_PV_1239:    Front abuts stile:TRUE       Back abuts stile:TRUE          Panel Section: WHOLE           Stile in the back Width:            Cutout A:           Cutout B:      F.C.:9 in.         C.C.:8.4375 in.   </v>
      </c>
      <c r="S672" t="str">
        <f t="shared" si="35"/>
        <v>TRUE</v>
      </c>
      <c r="T672" t="str">
        <f t="shared" si="36"/>
        <v>TRUE</v>
      </c>
    </row>
    <row r="673" spans="1:20">
      <c r="A673" t="s">
        <v>833</v>
      </c>
      <c r="B673" s="14" t="s">
        <v>144</v>
      </c>
      <c r="C673" s="14" t="s">
        <v>21</v>
      </c>
      <c r="D673" s="14">
        <v>1</v>
      </c>
      <c r="E673" s="14">
        <v>0</v>
      </c>
      <c r="F673" s="14">
        <v>1</v>
      </c>
      <c r="G673" s="14">
        <v>1</v>
      </c>
      <c r="H673" s="14"/>
      <c r="I673" s="8" t="s">
        <v>38</v>
      </c>
      <c r="J673" s="8" t="s">
        <v>38</v>
      </c>
      <c r="K673">
        <v>100.875</v>
      </c>
      <c r="L673">
        <v>59.3125</v>
      </c>
      <c r="M673" s="14">
        <v>1</v>
      </c>
      <c r="N673" s="14">
        <v>5.6875</v>
      </c>
      <c r="R673" t="str">
        <f t="shared" si="34"/>
        <v xml:space="preserve">XX8X_PV_1240:    Front abuts stile:TRUE       Back abuts stile:TRUE          Panel Section: WHOLE           Stile in the back Width:            Cutout A:           Cutout B:      F.C.:1 in.         C.C.:5.6875 in.   </v>
      </c>
      <c r="S673" t="str">
        <f t="shared" si="35"/>
        <v>TRUE</v>
      </c>
      <c r="T673" t="str">
        <f t="shared" si="36"/>
        <v>TRUE</v>
      </c>
    </row>
    <row r="674" spans="1:20">
      <c r="A674" t="s">
        <v>834</v>
      </c>
      <c r="B674" s="14" t="s">
        <v>144</v>
      </c>
      <c r="C674" s="14" t="s">
        <v>21</v>
      </c>
      <c r="D674" s="14">
        <v>1</v>
      </c>
      <c r="E674" s="14">
        <v>1</v>
      </c>
      <c r="F674" s="14">
        <v>0</v>
      </c>
      <c r="G674" s="14"/>
      <c r="H674" s="14"/>
      <c r="I674" s="8" t="s">
        <v>38</v>
      </c>
      <c r="J674" s="8" t="s">
        <v>38</v>
      </c>
      <c r="K674">
        <v>96</v>
      </c>
      <c r="L674">
        <v>32.75</v>
      </c>
      <c r="M674" s="14">
        <v>12</v>
      </c>
      <c r="N674" s="14">
        <v>4.1875</v>
      </c>
      <c r="R674" t="str">
        <f t="shared" si="34"/>
        <v xml:space="preserve">XX8X_PV_1241:    Front abuts stile:TRUE       Back abuts stile:FALSE          Panel Section: WHOLE           Stile in the back Width:            Cutout A:           Cutout B:      F.C.:12 in.         C.C.:4.1875 in.   </v>
      </c>
      <c r="S674" t="str">
        <f t="shared" si="35"/>
        <v>TRUE</v>
      </c>
      <c r="T674" t="str">
        <f t="shared" si="36"/>
        <v>FALSE</v>
      </c>
    </row>
    <row r="675" spans="1:20">
      <c r="A675" t="s">
        <v>835</v>
      </c>
      <c r="B675" s="14" t="s">
        <v>144</v>
      </c>
      <c r="C675" s="14" t="s">
        <v>21</v>
      </c>
      <c r="D675" s="14">
        <v>1</v>
      </c>
      <c r="E675" s="14">
        <v>1</v>
      </c>
      <c r="F675" s="14">
        <v>1</v>
      </c>
      <c r="G675" s="14">
        <v>0</v>
      </c>
      <c r="H675" s="14">
        <v>12</v>
      </c>
      <c r="I675" s="8" t="s">
        <v>38</v>
      </c>
      <c r="J675" s="8" t="s">
        <v>38</v>
      </c>
      <c r="K675">
        <v>60.5</v>
      </c>
      <c r="L675">
        <v>57.1875</v>
      </c>
      <c r="M675" s="14">
        <v>10.875</v>
      </c>
      <c r="N675" s="14">
        <v>1.75</v>
      </c>
      <c r="R675" t="str">
        <f t="shared" si="34"/>
        <v xml:space="preserve">XX8X_PV_1242:    Front abuts stile:TRUE       Back abuts stile:TRUE          Panel Section: WHOLE           Stile in the back Width: 12           Cutout A:           Cutout B:      F.C.:10.875 in.         C.C.:1.75 in.   </v>
      </c>
      <c r="S675" t="str">
        <f t="shared" si="35"/>
        <v>TRUE</v>
      </c>
      <c r="T675" t="str">
        <f t="shared" si="36"/>
        <v>TRUE</v>
      </c>
    </row>
    <row r="676" spans="1:20">
      <c r="A676" t="s">
        <v>836</v>
      </c>
      <c r="B676" s="14" t="s">
        <v>144</v>
      </c>
      <c r="C676" s="14" t="s">
        <v>21</v>
      </c>
      <c r="D676" s="14">
        <v>1</v>
      </c>
      <c r="E676" s="14">
        <v>1</v>
      </c>
      <c r="F676" s="14">
        <v>1</v>
      </c>
      <c r="G676" s="14">
        <v>0</v>
      </c>
      <c r="H676" s="14">
        <v>24</v>
      </c>
      <c r="I676" s="8" t="s">
        <v>120</v>
      </c>
      <c r="J676" s="8" t="s">
        <v>38</v>
      </c>
      <c r="K676">
        <v>106</v>
      </c>
      <c r="L676">
        <v>55.875</v>
      </c>
      <c r="M676" s="14">
        <v>3.9375</v>
      </c>
      <c r="N676" s="14">
        <v>6.5625</v>
      </c>
      <c r="R676" t="str">
        <f t="shared" si="34"/>
        <v xml:space="preserve">XX8X_PV_1243:    Front abuts stile:TRUE       Back abuts stile:TRUE          Panel Section: WHOLE           Stile in the back Width: 24           Cutout A: B-386          Cutout B:      F.C.:3.9375 in.         C.C.:6.5625 in.   </v>
      </c>
      <c r="S676" t="str">
        <f t="shared" si="35"/>
        <v>TRUE</v>
      </c>
      <c r="T676" t="str">
        <f t="shared" si="36"/>
        <v>TRUE</v>
      </c>
    </row>
    <row r="677" spans="1:20">
      <c r="A677" t="s">
        <v>837</v>
      </c>
      <c r="B677" s="14" t="s">
        <v>144</v>
      </c>
      <c r="C677" s="14" t="s">
        <v>21</v>
      </c>
      <c r="D677" s="14">
        <v>1</v>
      </c>
      <c r="E677" s="14">
        <v>1</v>
      </c>
      <c r="F677" s="14">
        <v>1</v>
      </c>
      <c r="G677" s="14">
        <v>0</v>
      </c>
      <c r="H677" s="14"/>
      <c r="I677" s="8" t="s">
        <v>38</v>
      </c>
      <c r="J677" s="8" t="s">
        <v>38</v>
      </c>
      <c r="K677">
        <v>50.25</v>
      </c>
      <c r="L677">
        <v>35.0625</v>
      </c>
      <c r="M677" s="14">
        <v>1</v>
      </c>
      <c r="N677" s="14">
        <v>1.8125</v>
      </c>
      <c r="R677" t="str">
        <f t="shared" si="34"/>
        <v xml:space="preserve">XX8X_PV_1244:    Front abuts stile:TRUE       Back abuts stile:TRUE          Panel Section: WHOLE           Stile in the back Width:            Cutout A:           Cutout B:      F.C.:1 in.         C.C.:1.8125 in.   </v>
      </c>
      <c r="S677" t="str">
        <f t="shared" si="35"/>
        <v>TRUE</v>
      </c>
      <c r="T677" t="str">
        <f t="shared" si="36"/>
        <v>TRUE</v>
      </c>
    </row>
    <row r="678" spans="1:20">
      <c r="A678" t="s">
        <v>838</v>
      </c>
      <c r="B678" s="14" t="s">
        <v>144</v>
      </c>
      <c r="C678" s="14" t="s">
        <v>21</v>
      </c>
      <c r="D678" s="14">
        <v>1</v>
      </c>
      <c r="E678" s="14">
        <v>1</v>
      </c>
      <c r="F678" s="14">
        <v>1</v>
      </c>
      <c r="G678" s="14">
        <v>1</v>
      </c>
      <c r="H678" s="14"/>
      <c r="I678" s="8" t="s">
        <v>38</v>
      </c>
      <c r="J678" s="8" t="s">
        <v>38</v>
      </c>
      <c r="K678">
        <v>51.3125</v>
      </c>
      <c r="L678">
        <v>79.5625</v>
      </c>
      <c r="M678" s="14">
        <v>12</v>
      </c>
      <c r="N678" s="14">
        <v>1</v>
      </c>
      <c r="R678" t="str">
        <f t="shared" si="34"/>
        <v xml:space="preserve">XX8X_PV_1245:    Front abuts stile:TRUE       Back abuts stile:TRUE          Panel Section: WHOLE           Stile in the back Width:            Cutout A:           Cutout B:      F.C.:12 in.         C.C.:1 in.   </v>
      </c>
      <c r="S678" t="str">
        <f t="shared" si="35"/>
        <v>TRUE</v>
      </c>
      <c r="T678" t="str">
        <f t="shared" si="36"/>
        <v>TRUE</v>
      </c>
    </row>
    <row r="679" spans="1:20">
      <c r="A679" t="s">
        <v>839</v>
      </c>
      <c r="B679" s="14" t="s">
        <v>144</v>
      </c>
      <c r="C679" s="14" t="s">
        <v>156</v>
      </c>
      <c r="D679" s="19">
        <v>0</v>
      </c>
      <c r="E679" s="19"/>
      <c r="F679" s="19">
        <v>0</v>
      </c>
      <c r="G679" s="19"/>
      <c r="H679" s="14"/>
      <c r="I679" s="8" t="s">
        <v>120</v>
      </c>
      <c r="J679" s="8" t="s">
        <v>38</v>
      </c>
      <c r="K679">
        <v>40.1875</v>
      </c>
      <c r="L679">
        <v>41.1875</v>
      </c>
      <c r="M679" s="14">
        <v>4.5</v>
      </c>
      <c r="N679" s="14">
        <v>1.0625</v>
      </c>
      <c r="R679" t="str">
        <f t="shared" si="34"/>
        <v xml:space="preserve">XX8X_PV_1261:    Front abuts stile:FALSE       Back abuts stile:FALSE          Panel Section: TOP           Stile in the back Width:            Cutout A: B-386          Cutout B:      F.C.:4.5 in.         C.C.:1.0625 in.   </v>
      </c>
      <c r="S679" t="str">
        <f t="shared" si="35"/>
        <v>FALSE</v>
      </c>
      <c r="T679" t="str">
        <f t="shared" si="36"/>
        <v>FALSE</v>
      </c>
    </row>
    <row r="680" spans="1:20">
      <c r="A680" t="s">
        <v>840</v>
      </c>
      <c r="B680" s="14" t="s">
        <v>144</v>
      </c>
      <c r="C680" s="14" t="s">
        <v>156</v>
      </c>
      <c r="D680" s="14">
        <v>0</v>
      </c>
      <c r="E680" s="14"/>
      <c r="F680" s="14">
        <v>1</v>
      </c>
      <c r="G680" s="14">
        <v>0</v>
      </c>
      <c r="H680" s="14">
        <v>12</v>
      </c>
      <c r="I680" s="8" t="s">
        <v>120</v>
      </c>
      <c r="J680" s="8" t="s">
        <v>38</v>
      </c>
      <c r="K680">
        <v>45.0625</v>
      </c>
      <c r="L680">
        <v>79.125</v>
      </c>
      <c r="M680" s="14">
        <v>1</v>
      </c>
      <c r="N680" s="14">
        <v>4.3125</v>
      </c>
      <c r="R680" t="str">
        <f t="shared" si="34"/>
        <v xml:space="preserve">XX8X_PV_1262:    Front abuts stile:FALSE       Back abuts stile:TRUE          Panel Section: TOP           Stile in the back Width: 12           Cutout A: B-386          Cutout B:      F.C.:1 in.         C.C.:4.3125 in.   </v>
      </c>
      <c r="S680" t="str">
        <f t="shared" si="35"/>
        <v>FALSE</v>
      </c>
      <c r="T680" t="str">
        <f t="shared" si="36"/>
        <v>TRUE</v>
      </c>
    </row>
    <row r="681" spans="1:20">
      <c r="A681" t="s">
        <v>841</v>
      </c>
      <c r="B681" s="14" t="s">
        <v>144</v>
      </c>
      <c r="C681" s="14" t="s">
        <v>156</v>
      </c>
      <c r="D681" s="14">
        <v>0</v>
      </c>
      <c r="E681" s="14"/>
      <c r="F681" s="14">
        <v>1</v>
      </c>
      <c r="G681" s="14">
        <v>0</v>
      </c>
      <c r="H681" s="14">
        <v>24</v>
      </c>
      <c r="I681" s="8" t="s">
        <v>120</v>
      </c>
      <c r="J681" s="8" t="s">
        <v>38</v>
      </c>
      <c r="K681">
        <v>22.375</v>
      </c>
      <c r="L681">
        <v>52</v>
      </c>
      <c r="M681" s="14">
        <v>1</v>
      </c>
      <c r="N681" s="14">
        <v>1</v>
      </c>
      <c r="R681" t="str">
        <f t="shared" si="34"/>
        <v xml:space="preserve">XX8X_PV_1263:    Front abuts stile:FALSE       Back abuts stile:TRUE          Panel Section: TOP           Stile in the back Width: 24           Cutout A: B-386          Cutout B:      F.C.:1 in.         C.C.:1 in.   </v>
      </c>
      <c r="S681" t="str">
        <f t="shared" si="35"/>
        <v>FALSE</v>
      </c>
      <c r="T681" t="str">
        <f t="shared" si="36"/>
        <v>TRUE</v>
      </c>
    </row>
    <row r="682" spans="1:20">
      <c r="A682" t="s">
        <v>842</v>
      </c>
      <c r="B682" s="14" t="s">
        <v>144</v>
      </c>
      <c r="C682" s="14" t="s">
        <v>156</v>
      </c>
      <c r="D682" s="14">
        <v>0</v>
      </c>
      <c r="E682" s="14"/>
      <c r="F682" s="14">
        <v>1</v>
      </c>
      <c r="G682" s="14">
        <v>0</v>
      </c>
      <c r="H682" s="14"/>
      <c r="I682" s="8" t="s">
        <v>38</v>
      </c>
      <c r="J682" s="8" t="s">
        <v>38</v>
      </c>
      <c r="K682">
        <v>10.8125</v>
      </c>
      <c r="L682">
        <v>49.0625</v>
      </c>
      <c r="M682" s="14">
        <v>1.3125</v>
      </c>
      <c r="N682" s="14">
        <v>4.25</v>
      </c>
      <c r="R682" t="str">
        <f t="shared" si="34"/>
        <v xml:space="preserve">XX8X_PV_1264:    Front abuts stile:FALSE       Back abuts stile:TRUE          Panel Section: TOP           Stile in the back Width:            Cutout A:           Cutout B:      F.C.:1.3125 in.         C.C.:4.25 in.   </v>
      </c>
      <c r="S682" t="str">
        <f t="shared" si="35"/>
        <v>FALSE</v>
      </c>
      <c r="T682" t="str">
        <f t="shared" si="36"/>
        <v>TRUE</v>
      </c>
    </row>
    <row r="683" spans="1:20">
      <c r="A683" t="s">
        <v>843</v>
      </c>
      <c r="B683" s="14" t="s">
        <v>144</v>
      </c>
      <c r="C683" s="14" t="s">
        <v>156</v>
      </c>
      <c r="D683" s="14">
        <v>0</v>
      </c>
      <c r="E683" s="14"/>
      <c r="F683" s="14">
        <v>1</v>
      </c>
      <c r="G683" s="14">
        <v>1</v>
      </c>
      <c r="H683" s="14"/>
      <c r="I683" s="8" t="s">
        <v>38</v>
      </c>
      <c r="J683" s="8" t="s">
        <v>38</v>
      </c>
      <c r="K683">
        <v>38.625</v>
      </c>
      <c r="L683">
        <v>69.75</v>
      </c>
      <c r="M683" s="14">
        <v>7.9375</v>
      </c>
      <c r="N683" s="14">
        <v>2.4375</v>
      </c>
      <c r="R683" t="str">
        <f t="shared" si="34"/>
        <v xml:space="preserve">XX8X_PV_1265:    Front abuts stile:FALSE       Back abuts stile:TRUE          Panel Section: TOP           Stile in the back Width:            Cutout A:           Cutout B:      F.C.:7.9375 in.         C.C.:2.4375 in.   </v>
      </c>
      <c r="S683" t="str">
        <f t="shared" si="35"/>
        <v>FALSE</v>
      </c>
      <c r="T683" t="str">
        <f t="shared" si="36"/>
        <v>TRUE</v>
      </c>
    </row>
    <row r="684" spans="1:20">
      <c r="A684" t="s">
        <v>844</v>
      </c>
      <c r="B684" s="14" t="s">
        <v>144</v>
      </c>
      <c r="C684" s="14" t="s">
        <v>156</v>
      </c>
      <c r="D684" s="14">
        <v>1</v>
      </c>
      <c r="E684" s="14">
        <v>0</v>
      </c>
      <c r="F684" s="14">
        <v>0</v>
      </c>
      <c r="G684" s="14"/>
      <c r="H684" s="14"/>
      <c r="I684" s="8" t="s">
        <v>150</v>
      </c>
      <c r="J684" s="8" t="s">
        <v>38</v>
      </c>
      <c r="K684">
        <v>15.875</v>
      </c>
      <c r="L684">
        <v>56.75</v>
      </c>
      <c r="M684" s="14">
        <v>12</v>
      </c>
      <c r="N684" s="14">
        <v>8.375</v>
      </c>
      <c r="R684" t="str">
        <f t="shared" si="34"/>
        <v xml:space="preserve">XX8X_PV_1266:    Front abuts stile:TRUE       Back abuts stile:FALSE          Panel Section: TOP           Stile in the back Width:            Cutout A: B-3571          Cutout B:      F.C.:12 in.         C.C.:8.375 in.   </v>
      </c>
      <c r="S684" t="str">
        <f t="shared" si="35"/>
        <v>TRUE</v>
      </c>
      <c r="T684" t="str">
        <f t="shared" si="36"/>
        <v>FALSE</v>
      </c>
    </row>
    <row r="685" spans="1:20">
      <c r="A685" t="s">
        <v>845</v>
      </c>
      <c r="B685" s="14" t="s">
        <v>144</v>
      </c>
      <c r="C685" s="14" t="s">
        <v>156</v>
      </c>
      <c r="D685" s="14">
        <v>1</v>
      </c>
      <c r="E685" s="14">
        <v>0</v>
      </c>
      <c r="F685" s="14">
        <v>1</v>
      </c>
      <c r="G685" s="14">
        <v>0</v>
      </c>
      <c r="H685" s="14">
        <v>12</v>
      </c>
      <c r="I685" s="8" t="s">
        <v>38</v>
      </c>
      <c r="J685" s="8" t="s">
        <v>38</v>
      </c>
      <c r="K685">
        <v>47.3125</v>
      </c>
      <c r="L685">
        <v>15</v>
      </c>
      <c r="M685" s="14">
        <v>4.5</v>
      </c>
      <c r="N685" s="14">
        <v>5.9375</v>
      </c>
      <c r="R685" t="str">
        <f t="shared" si="34"/>
        <v xml:space="preserve">XX8X_PV_1267:    Front abuts stile:TRUE       Back abuts stile:TRUE          Panel Section: TOP           Stile in the back Width: 12           Cutout A:           Cutout B:      F.C.:4.5 in.         C.C.:5.9375 in.   </v>
      </c>
      <c r="S685" t="str">
        <f t="shared" si="35"/>
        <v>TRUE</v>
      </c>
      <c r="T685" t="str">
        <f t="shared" si="36"/>
        <v>TRUE</v>
      </c>
    </row>
    <row r="686" spans="1:20">
      <c r="A686" t="s">
        <v>846</v>
      </c>
      <c r="B686" s="14" t="s">
        <v>144</v>
      </c>
      <c r="C686" s="14" t="s">
        <v>156</v>
      </c>
      <c r="D686" s="14">
        <v>1</v>
      </c>
      <c r="E686" s="14">
        <v>0</v>
      </c>
      <c r="F686" s="14">
        <v>1</v>
      </c>
      <c r="G686" s="14">
        <v>0</v>
      </c>
      <c r="H686" s="14">
        <v>24</v>
      </c>
      <c r="I686" s="8" t="s">
        <v>120</v>
      </c>
      <c r="J686" s="8" t="s">
        <v>38</v>
      </c>
      <c r="K686">
        <v>4.375</v>
      </c>
      <c r="L686">
        <v>72.25</v>
      </c>
      <c r="M686" s="14">
        <v>4.125</v>
      </c>
      <c r="N686" s="14">
        <v>1</v>
      </c>
      <c r="R686" t="str">
        <f t="shared" si="34"/>
        <v xml:space="preserve">XX8X_PV_1268:    Front abuts stile:TRUE       Back abuts stile:TRUE          Panel Section: TOP           Stile in the back Width: 24           Cutout A: B-386          Cutout B:      F.C.:4.125 in.         C.C.:1 in.   </v>
      </c>
      <c r="S686" t="str">
        <f t="shared" si="35"/>
        <v>TRUE</v>
      </c>
      <c r="T686" t="str">
        <f t="shared" si="36"/>
        <v>TRUE</v>
      </c>
    </row>
    <row r="687" spans="1:20">
      <c r="A687" t="s">
        <v>847</v>
      </c>
      <c r="B687" s="14" t="s">
        <v>144</v>
      </c>
      <c r="C687" s="14" t="s">
        <v>156</v>
      </c>
      <c r="D687" s="14">
        <v>1</v>
      </c>
      <c r="E687" s="14">
        <v>0</v>
      </c>
      <c r="F687" s="14">
        <v>1</v>
      </c>
      <c r="G687" s="14">
        <v>0</v>
      </c>
      <c r="H687" s="14"/>
      <c r="I687" s="8" t="s">
        <v>38</v>
      </c>
      <c r="J687" s="8" t="s">
        <v>38</v>
      </c>
      <c r="K687">
        <v>3.5625</v>
      </c>
      <c r="L687">
        <v>62.125</v>
      </c>
      <c r="M687" s="14">
        <v>12</v>
      </c>
      <c r="N687" s="14">
        <v>1</v>
      </c>
      <c r="R687" t="str">
        <f t="shared" si="34"/>
        <v xml:space="preserve">XX8X_PV_1269:    Front abuts stile:TRUE       Back abuts stile:TRUE          Panel Section: TOP           Stile in the back Width:            Cutout A:           Cutout B:      F.C.:12 in.         C.C.:1 in.   </v>
      </c>
      <c r="S687" t="str">
        <f t="shared" si="35"/>
        <v>TRUE</v>
      </c>
      <c r="T687" t="str">
        <f t="shared" si="36"/>
        <v>TRUE</v>
      </c>
    </row>
    <row r="688" spans="1:20">
      <c r="A688" t="s">
        <v>848</v>
      </c>
      <c r="B688" s="14" t="s">
        <v>144</v>
      </c>
      <c r="C688" s="14" t="s">
        <v>156</v>
      </c>
      <c r="D688" s="14">
        <v>1</v>
      </c>
      <c r="E688" s="14">
        <v>0</v>
      </c>
      <c r="F688" s="14">
        <v>1</v>
      </c>
      <c r="G688" s="14">
        <v>1</v>
      </c>
      <c r="H688" s="14"/>
      <c r="I688" s="8" t="s">
        <v>38</v>
      </c>
      <c r="J688" s="8" t="s">
        <v>38</v>
      </c>
      <c r="K688">
        <v>14.3125</v>
      </c>
      <c r="L688">
        <v>32.75</v>
      </c>
      <c r="M688" s="14">
        <v>12</v>
      </c>
      <c r="N688" s="14">
        <v>5</v>
      </c>
      <c r="R688" t="str">
        <f t="shared" si="34"/>
        <v xml:space="preserve">XX8X_PV_1270:    Front abuts stile:TRUE       Back abuts stile:TRUE          Panel Section: TOP           Stile in the back Width:            Cutout A:           Cutout B:      F.C.:12 in.         C.C.:5 in.   </v>
      </c>
      <c r="S688" t="str">
        <f t="shared" si="35"/>
        <v>TRUE</v>
      </c>
      <c r="T688" t="str">
        <f t="shared" si="36"/>
        <v>TRUE</v>
      </c>
    </row>
    <row r="689" spans="1:20">
      <c r="A689" t="s">
        <v>849</v>
      </c>
      <c r="B689" s="14" t="s">
        <v>144</v>
      </c>
      <c r="C689" s="14" t="s">
        <v>156</v>
      </c>
      <c r="D689" s="14">
        <v>1</v>
      </c>
      <c r="E689" s="14">
        <v>1</v>
      </c>
      <c r="F689" s="14">
        <v>0</v>
      </c>
      <c r="G689" s="14"/>
      <c r="H689" s="14"/>
      <c r="I689" s="8" t="s">
        <v>38</v>
      </c>
      <c r="J689" s="8" t="s">
        <v>38</v>
      </c>
      <c r="K689">
        <v>38.3125</v>
      </c>
      <c r="L689">
        <v>63.0625</v>
      </c>
      <c r="M689" s="14">
        <v>4.5</v>
      </c>
      <c r="N689" s="14">
        <v>2.9375</v>
      </c>
      <c r="R689" t="str">
        <f t="shared" si="34"/>
        <v xml:space="preserve">XX8X_PV_1271:    Front abuts stile:TRUE       Back abuts stile:FALSE          Panel Section: TOP           Stile in the back Width:            Cutout A:           Cutout B:      F.C.:4.5 in.         C.C.:2.9375 in.   </v>
      </c>
      <c r="S689" t="str">
        <f t="shared" si="35"/>
        <v>TRUE</v>
      </c>
      <c r="T689" t="str">
        <f t="shared" si="36"/>
        <v>FALSE</v>
      </c>
    </row>
    <row r="690" spans="1:20">
      <c r="A690" t="s">
        <v>850</v>
      </c>
      <c r="B690" s="14" t="s">
        <v>144</v>
      </c>
      <c r="C690" s="14" t="s">
        <v>156</v>
      </c>
      <c r="D690" s="14">
        <v>1</v>
      </c>
      <c r="E690" s="14">
        <v>1</v>
      </c>
      <c r="F690" s="14">
        <v>1</v>
      </c>
      <c r="G690" s="14">
        <v>0</v>
      </c>
      <c r="H690" s="14">
        <v>12</v>
      </c>
      <c r="I690" s="8" t="s">
        <v>149</v>
      </c>
      <c r="J690" s="8" t="s">
        <v>38</v>
      </c>
      <c r="K690">
        <v>21.25</v>
      </c>
      <c r="L690">
        <v>67.3125</v>
      </c>
      <c r="M690" s="14">
        <v>1</v>
      </c>
      <c r="N690" s="14">
        <v>4.6875</v>
      </c>
      <c r="R690" t="str">
        <f t="shared" si="34"/>
        <v xml:space="preserve">XX8X_PV_1272:    Front abuts stile:TRUE       Back abuts stile:TRUE          Panel Section: TOP           Stile in the back Width: 12           Cutout A: B-34715          Cutout B:      F.C.:1 in.         C.C.:4.6875 in.   </v>
      </c>
      <c r="S690" t="str">
        <f t="shared" si="35"/>
        <v>TRUE</v>
      </c>
      <c r="T690" t="str">
        <f t="shared" si="36"/>
        <v>TRUE</v>
      </c>
    </row>
    <row r="691" spans="1:20">
      <c r="A691" t="s">
        <v>851</v>
      </c>
      <c r="B691" s="14" t="s">
        <v>144</v>
      </c>
      <c r="C691" s="14" t="s">
        <v>156</v>
      </c>
      <c r="D691" s="14">
        <v>1</v>
      </c>
      <c r="E691" s="14">
        <v>1</v>
      </c>
      <c r="F691" s="14">
        <v>1</v>
      </c>
      <c r="G691" s="14">
        <v>0</v>
      </c>
      <c r="H691" s="14">
        <v>24</v>
      </c>
      <c r="I691" s="8" t="s">
        <v>120</v>
      </c>
      <c r="J691" s="8" t="s">
        <v>38</v>
      </c>
      <c r="K691">
        <v>48.125</v>
      </c>
      <c r="L691">
        <v>41.3125</v>
      </c>
      <c r="M691" s="14">
        <v>12</v>
      </c>
      <c r="N691" s="14">
        <v>2.875</v>
      </c>
      <c r="R691" t="str">
        <f t="shared" si="34"/>
        <v xml:space="preserve">XX8X_PV_1273:    Front abuts stile:TRUE       Back abuts stile:TRUE          Panel Section: TOP           Stile in the back Width: 24           Cutout A: B-386          Cutout B:      F.C.:12 in.         C.C.:2.875 in.   </v>
      </c>
      <c r="S691" t="str">
        <f t="shared" si="35"/>
        <v>TRUE</v>
      </c>
      <c r="T691" t="str">
        <f t="shared" si="36"/>
        <v>TRUE</v>
      </c>
    </row>
    <row r="692" spans="1:20">
      <c r="A692" t="s">
        <v>852</v>
      </c>
      <c r="B692" s="14" t="s">
        <v>144</v>
      </c>
      <c r="C692" s="14" t="s">
        <v>156</v>
      </c>
      <c r="D692" s="14">
        <v>1</v>
      </c>
      <c r="E692" s="14">
        <v>1</v>
      </c>
      <c r="F692" s="14">
        <v>1</v>
      </c>
      <c r="G692" s="14">
        <v>0</v>
      </c>
      <c r="H692" s="14"/>
      <c r="I692" s="8" t="s">
        <v>38</v>
      </c>
      <c r="J692" s="8" t="s">
        <v>38</v>
      </c>
      <c r="K692">
        <v>11.6875</v>
      </c>
      <c r="L692">
        <v>40.875</v>
      </c>
      <c r="M692" s="14">
        <v>4.5</v>
      </c>
      <c r="N692" s="14">
        <v>1</v>
      </c>
      <c r="R692" t="str">
        <f t="shared" si="34"/>
        <v xml:space="preserve">XX8X_PV_1274:    Front abuts stile:TRUE       Back abuts stile:TRUE          Panel Section: TOP           Stile in the back Width:            Cutout A:           Cutout B:      F.C.:4.5 in.         C.C.:1 in.   </v>
      </c>
      <c r="S692" t="str">
        <f t="shared" si="35"/>
        <v>TRUE</v>
      </c>
      <c r="T692" t="str">
        <f t="shared" si="36"/>
        <v>TRUE</v>
      </c>
    </row>
    <row r="693" spans="1:20">
      <c r="A693" t="s">
        <v>853</v>
      </c>
      <c r="B693" s="14" t="s">
        <v>144</v>
      </c>
      <c r="C693" s="14" t="s">
        <v>156</v>
      </c>
      <c r="D693" s="14">
        <v>1</v>
      </c>
      <c r="E693" s="14">
        <v>1</v>
      </c>
      <c r="F693" s="14">
        <v>1</v>
      </c>
      <c r="G693" s="14">
        <v>1</v>
      </c>
      <c r="H693" s="14"/>
      <c r="I693" s="8" t="s">
        <v>38</v>
      </c>
      <c r="J693" s="8" t="s">
        <v>38</v>
      </c>
      <c r="K693">
        <v>23.5</v>
      </c>
      <c r="L693">
        <v>64.625</v>
      </c>
      <c r="M693" s="14">
        <v>4.5</v>
      </c>
      <c r="N693" s="14">
        <v>6.8125</v>
      </c>
      <c r="R693" t="str">
        <f t="shared" si="34"/>
        <v xml:space="preserve">XX8X_PV_1275:    Front abuts stile:TRUE       Back abuts stile:TRUE          Panel Section: TOP           Stile in the back Width:            Cutout A:           Cutout B:      F.C.:4.5 in.         C.C.:6.8125 in.   </v>
      </c>
      <c r="S693" t="str">
        <f t="shared" si="35"/>
        <v>TRUE</v>
      </c>
      <c r="T693" t="str">
        <f t="shared" si="36"/>
        <v>TRUE</v>
      </c>
    </row>
    <row r="694" spans="1:20">
      <c r="A694" t="s">
        <v>854</v>
      </c>
      <c r="B694" s="14" t="s">
        <v>144</v>
      </c>
      <c r="C694" s="14" t="s">
        <v>157</v>
      </c>
      <c r="D694" s="14">
        <v>0</v>
      </c>
      <c r="E694" s="14"/>
      <c r="F694" s="14">
        <v>0</v>
      </c>
      <c r="G694" s="14"/>
      <c r="H694" s="14"/>
      <c r="I694" s="8" t="s">
        <v>120</v>
      </c>
      <c r="J694" s="8" t="s">
        <v>38</v>
      </c>
      <c r="K694">
        <v>60</v>
      </c>
      <c r="L694">
        <v>55.75</v>
      </c>
      <c r="M694" s="14">
        <v>4.5625</v>
      </c>
      <c r="N694" s="14">
        <v>4.9375</v>
      </c>
      <c r="R694" t="str">
        <f t="shared" si="34"/>
        <v xml:space="preserve">XX8X_PV_1291:    Front abuts stile:FALSE       Back abuts stile:FALSE          Panel Section: BOTTOM           Stile in the back Width:            Cutout A: B-386          Cutout B:      F.C.:4.5625 in.         C.C.:4.9375 in.   </v>
      </c>
      <c r="S694" t="str">
        <f t="shared" si="35"/>
        <v>FALSE</v>
      </c>
      <c r="T694" t="str">
        <f t="shared" si="36"/>
        <v>FALSE</v>
      </c>
    </row>
    <row r="695" spans="1:20">
      <c r="A695" t="s">
        <v>855</v>
      </c>
      <c r="B695" s="14" t="s">
        <v>144</v>
      </c>
      <c r="C695" s="14" t="s">
        <v>157</v>
      </c>
      <c r="D695" s="14">
        <v>0</v>
      </c>
      <c r="E695" s="14"/>
      <c r="F695" s="14">
        <v>1</v>
      </c>
      <c r="G695" s="14">
        <v>0</v>
      </c>
      <c r="H695" s="14">
        <v>12</v>
      </c>
      <c r="I695" s="8" t="s">
        <v>145</v>
      </c>
      <c r="J695" s="8" t="s">
        <v>38</v>
      </c>
      <c r="K695">
        <v>60</v>
      </c>
      <c r="L695">
        <v>77.1875</v>
      </c>
      <c r="M695" s="14">
        <v>9</v>
      </c>
      <c r="N695" s="14">
        <v>1</v>
      </c>
      <c r="R695" t="str">
        <f t="shared" si="34"/>
        <v xml:space="preserve">XX8X_PV_1292:    Front abuts stile:FALSE       Back abuts stile:TRUE          Panel Section: BOTTOM           Stile in the back Width: 12           Cutout A: B-347          Cutout B:      F.C.:9 in.         C.C.:1 in.   </v>
      </c>
      <c r="S695" t="str">
        <f t="shared" si="35"/>
        <v>FALSE</v>
      </c>
      <c r="T695" t="str">
        <f t="shared" si="36"/>
        <v>TRUE</v>
      </c>
    </row>
    <row r="696" spans="1:20">
      <c r="A696" t="s">
        <v>856</v>
      </c>
      <c r="B696" s="14" t="s">
        <v>144</v>
      </c>
      <c r="C696" s="14" t="s">
        <v>157</v>
      </c>
      <c r="D696" s="14">
        <v>0</v>
      </c>
      <c r="E696" s="14"/>
      <c r="F696" s="14">
        <v>1</v>
      </c>
      <c r="G696" s="14">
        <v>0</v>
      </c>
      <c r="H696" s="14">
        <v>24</v>
      </c>
      <c r="I696" s="8" t="s">
        <v>120</v>
      </c>
      <c r="J696" s="8" t="s">
        <v>38</v>
      </c>
      <c r="K696">
        <v>60</v>
      </c>
      <c r="L696">
        <v>54.9375</v>
      </c>
      <c r="M696" s="14">
        <v>3.75</v>
      </c>
      <c r="N696" s="14">
        <v>8.1875</v>
      </c>
      <c r="R696" t="str">
        <f t="shared" si="34"/>
        <v xml:space="preserve">XX8X_PV_1293:    Front abuts stile:FALSE       Back abuts stile:TRUE          Panel Section: BOTTOM           Stile in the back Width: 24           Cutout A: B-386          Cutout B:      F.C.:3.75 in.         C.C.:8.1875 in.   </v>
      </c>
      <c r="S696" t="str">
        <f t="shared" si="35"/>
        <v>FALSE</v>
      </c>
      <c r="T696" t="str">
        <f t="shared" si="36"/>
        <v>TRUE</v>
      </c>
    </row>
    <row r="697" spans="1:20">
      <c r="A697" t="s">
        <v>857</v>
      </c>
      <c r="B697" s="14" t="s">
        <v>144</v>
      </c>
      <c r="C697" s="14" t="s">
        <v>157</v>
      </c>
      <c r="D697" s="14">
        <v>0</v>
      </c>
      <c r="E697" s="14"/>
      <c r="F697" s="14">
        <v>1</v>
      </c>
      <c r="G697" s="14">
        <v>0</v>
      </c>
      <c r="H697" s="14"/>
      <c r="I697" s="8" t="s">
        <v>38</v>
      </c>
      <c r="J697" s="8" t="s">
        <v>38</v>
      </c>
      <c r="K697">
        <v>60</v>
      </c>
      <c r="L697">
        <v>44.6875</v>
      </c>
      <c r="M697" s="14">
        <v>7.5</v>
      </c>
      <c r="N697" s="14">
        <v>1</v>
      </c>
      <c r="R697" t="str">
        <f t="shared" si="34"/>
        <v xml:space="preserve">XX8X_PV_1294:    Front abuts stile:FALSE       Back abuts stile:TRUE          Panel Section: BOTTOM           Stile in the back Width:            Cutout A:           Cutout B:      F.C.:7.5 in.         C.C.:1 in.   </v>
      </c>
      <c r="S697" t="str">
        <f t="shared" si="35"/>
        <v>FALSE</v>
      </c>
      <c r="T697" t="str">
        <f t="shared" si="36"/>
        <v>TRUE</v>
      </c>
    </row>
    <row r="698" spans="1:20">
      <c r="A698" t="s">
        <v>858</v>
      </c>
      <c r="B698" s="14" t="s">
        <v>144</v>
      </c>
      <c r="C698" s="14" t="s">
        <v>157</v>
      </c>
      <c r="D698" s="14">
        <v>0</v>
      </c>
      <c r="E698" s="14"/>
      <c r="F698" s="14">
        <v>1</v>
      </c>
      <c r="G698" s="14">
        <v>1</v>
      </c>
      <c r="H698" s="14"/>
      <c r="I698" s="8" t="s">
        <v>38</v>
      </c>
      <c r="J698" s="8" t="s">
        <v>38</v>
      </c>
      <c r="K698">
        <v>60</v>
      </c>
      <c r="L698">
        <v>20.8125</v>
      </c>
      <c r="M698" s="14">
        <v>9</v>
      </c>
      <c r="N698" s="14">
        <v>3.3125</v>
      </c>
      <c r="R698" t="str">
        <f t="shared" si="34"/>
        <v xml:space="preserve">XX8X_PV_1295:    Front abuts stile:FALSE       Back abuts stile:TRUE          Panel Section: BOTTOM           Stile in the back Width:            Cutout A:           Cutout B:      F.C.:9 in.         C.C.:3.3125 in.   </v>
      </c>
      <c r="S698" t="str">
        <f t="shared" si="35"/>
        <v>FALSE</v>
      </c>
      <c r="T698" t="str">
        <f t="shared" si="36"/>
        <v>TRUE</v>
      </c>
    </row>
    <row r="699" spans="1:20">
      <c r="A699" t="s">
        <v>859</v>
      </c>
      <c r="B699" s="14" t="s">
        <v>144</v>
      </c>
      <c r="C699" s="14" t="s">
        <v>157</v>
      </c>
      <c r="D699" s="14">
        <v>1</v>
      </c>
      <c r="E699" s="14">
        <v>0</v>
      </c>
      <c r="F699" s="14">
        <v>0</v>
      </c>
      <c r="G699" s="14"/>
      <c r="H699" s="14"/>
      <c r="I699" s="8" t="s">
        <v>121</v>
      </c>
      <c r="J699" s="8" t="s">
        <v>38</v>
      </c>
      <c r="K699">
        <v>60</v>
      </c>
      <c r="L699">
        <v>70.75</v>
      </c>
      <c r="M699" s="14">
        <v>2.875</v>
      </c>
      <c r="N699" s="14">
        <v>1.8125</v>
      </c>
      <c r="R699" t="str">
        <f t="shared" si="34"/>
        <v xml:space="preserve">XX8X_PV_1296:    Front abuts stile:TRUE       Back abuts stile:FALSE          Panel Section: BOTTOM           Stile in the back Width:            Cutout A: B-4354          Cutout B:      F.C.:2.875 in.         C.C.:1.8125 in.   </v>
      </c>
      <c r="S699" t="str">
        <f t="shared" si="35"/>
        <v>TRUE</v>
      </c>
      <c r="T699" t="str">
        <f t="shared" si="36"/>
        <v>FALSE</v>
      </c>
    </row>
    <row r="700" spans="1:20">
      <c r="A700" t="s">
        <v>860</v>
      </c>
      <c r="B700" s="14" t="s">
        <v>144</v>
      </c>
      <c r="C700" s="14" t="s">
        <v>157</v>
      </c>
      <c r="D700" s="14">
        <v>1</v>
      </c>
      <c r="E700" s="14">
        <v>0</v>
      </c>
      <c r="F700" s="14">
        <v>1</v>
      </c>
      <c r="G700" s="14">
        <v>0</v>
      </c>
      <c r="H700" s="14">
        <v>12</v>
      </c>
      <c r="I700" s="8" t="s">
        <v>38</v>
      </c>
      <c r="J700" s="8" t="s">
        <v>38</v>
      </c>
      <c r="K700">
        <v>60</v>
      </c>
      <c r="L700">
        <v>28.1875</v>
      </c>
      <c r="M700" s="14">
        <v>4.5</v>
      </c>
      <c r="N700" s="14">
        <v>6.375</v>
      </c>
      <c r="R700" t="str">
        <f t="shared" si="34"/>
        <v xml:space="preserve">XX8X_PV_1297:    Front abuts stile:TRUE       Back abuts stile:TRUE          Panel Section: BOTTOM           Stile in the back Width: 12           Cutout A:           Cutout B:      F.C.:4.5 in.         C.C.:6.375 in.   </v>
      </c>
      <c r="S700" t="str">
        <f t="shared" si="35"/>
        <v>TRUE</v>
      </c>
      <c r="T700" t="str">
        <f t="shared" si="36"/>
        <v>TRUE</v>
      </c>
    </row>
    <row r="701" spans="1:20">
      <c r="A701" t="s">
        <v>861</v>
      </c>
      <c r="B701" s="14" t="s">
        <v>144</v>
      </c>
      <c r="C701" s="14" t="s">
        <v>157</v>
      </c>
      <c r="D701" s="14">
        <v>1</v>
      </c>
      <c r="E701" s="14">
        <v>0</v>
      </c>
      <c r="F701" s="14">
        <v>1</v>
      </c>
      <c r="G701" s="14">
        <v>0</v>
      </c>
      <c r="H701" s="14">
        <v>24</v>
      </c>
      <c r="I701" s="8" t="s">
        <v>120</v>
      </c>
      <c r="J701" s="8" t="s">
        <v>38</v>
      </c>
      <c r="K701">
        <v>60</v>
      </c>
      <c r="L701">
        <v>46.8125</v>
      </c>
      <c r="M701" s="14">
        <v>9</v>
      </c>
      <c r="N701" s="14">
        <v>1</v>
      </c>
      <c r="R701" t="str">
        <f t="shared" si="34"/>
        <v xml:space="preserve">XX8X_PV_1298:    Front abuts stile:TRUE       Back abuts stile:TRUE          Panel Section: BOTTOM           Stile in the back Width: 24           Cutout A: B-386          Cutout B:      F.C.:9 in.         C.C.:1 in.   </v>
      </c>
      <c r="S701" t="str">
        <f t="shared" si="35"/>
        <v>TRUE</v>
      </c>
      <c r="T701" t="str">
        <f t="shared" si="36"/>
        <v>TRUE</v>
      </c>
    </row>
    <row r="702" spans="1:20">
      <c r="A702" t="s">
        <v>862</v>
      </c>
      <c r="B702" s="14" t="s">
        <v>144</v>
      </c>
      <c r="C702" s="14" t="s">
        <v>157</v>
      </c>
      <c r="D702" s="14">
        <v>1</v>
      </c>
      <c r="E702" s="14">
        <v>0</v>
      </c>
      <c r="F702" s="14">
        <v>1</v>
      </c>
      <c r="G702" s="14">
        <v>0</v>
      </c>
      <c r="H702" s="14"/>
      <c r="I702" s="8" t="s">
        <v>38</v>
      </c>
      <c r="J702" s="8" t="s">
        <v>38</v>
      </c>
      <c r="K702">
        <v>60</v>
      </c>
      <c r="L702">
        <v>48.4375</v>
      </c>
      <c r="M702" s="14">
        <v>11.3125</v>
      </c>
      <c r="N702" s="14">
        <v>2.25</v>
      </c>
      <c r="R702" t="str">
        <f t="shared" si="34"/>
        <v xml:space="preserve">XX8X_PV_1299:    Front abuts stile:TRUE       Back abuts stile:TRUE          Panel Section: BOTTOM           Stile in the back Width:            Cutout A:           Cutout B:      F.C.:11.3125 in.         C.C.:2.25 in.   </v>
      </c>
      <c r="S702" t="str">
        <f t="shared" si="35"/>
        <v>TRUE</v>
      </c>
      <c r="T702" t="str">
        <f t="shared" si="36"/>
        <v>TRUE</v>
      </c>
    </row>
    <row r="703" spans="1:20">
      <c r="A703" t="s">
        <v>863</v>
      </c>
      <c r="B703" s="14" t="s">
        <v>144</v>
      </c>
      <c r="C703" s="14" t="s">
        <v>157</v>
      </c>
      <c r="D703" s="14">
        <v>1</v>
      </c>
      <c r="E703" s="14">
        <v>0</v>
      </c>
      <c r="F703" s="14">
        <v>1</v>
      </c>
      <c r="G703" s="14">
        <v>1</v>
      </c>
      <c r="H703" s="14"/>
      <c r="I703" s="8" t="s">
        <v>38</v>
      </c>
      <c r="J703" s="8" t="s">
        <v>38</v>
      </c>
      <c r="K703">
        <v>60</v>
      </c>
      <c r="L703">
        <v>31.25</v>
      </c>
      <c r="M703" s="14">
        <v>1.625</v>
      </c>
      <c r="N703" s="14">
        <v>2.5</v>
      </c>
      <c r="R703" t="str">
        <f t="shared" si="34"/>
        <v xml:space="preserve">XX8X_PV_1300:    Front abuts stile:TRUE       Back abuts stile:TRUE          Panel Section: BOTTOM           Stile in the back Width:            Cutout A:           Cutout B:      F.C.:1.625 in.         C.C.:2.5 in.   </v>
      </c>
      <c r="S703" t="str">
        <f t="shared" si="35"/>
        <v>TRUE</v>
      </c>
      <c r="T703" t="str">
        <f t="shared" si="36"/>
        <v>TRUE</v>
      </c>
    </row>
    <row r="704" spans="1:20">
      <c r="A704" t="s">
        <v>864</v>
      </c>
      <c r="B704" s="14" t="s">
        <v>144</v>
      </c>
      <c r="C704" s="14" t="s">
        <v>157</v>
      </c>
      <c r="D704" s="14">
        <v>1</v>
      </c>
      <c r="E704" s="14">
        <v>1</v>
      </c>
      <c r="F704" s="14">
        <v>0</v>
      </c>
      <c r="G704" s="14"/>
      <c r="H704" s="14"/>
      <c r="I704" s="8" t="s">
        <v>145</v>
      </c>
      <c r="J704" s="8" t="s">
        <v>38</v>
      </c>
      <c r="K704">
        <v>60</v>
      </c>
      <c r="L704">
        <v>51.5</v>
      </c>
      <c r="M704" s="14">
        <v>4.5</v>
      </c>
      <c r="N704" s="14">
        <v>8.375</v>
      </c>
      <c r="R704" t="str">
        <f t="shared" si="34"/>
        <v xml:space="preserve">XX8X_PV_1301:    Front abuts stile:TRUE       Back abuts stile:FALSE          Panel Section: BOTTOM           Stile in the back Width:            Cutout A: B-347          Cutout B:      F.C.:4.5 in.         C.C.:8.375 in.   </v>
      </c>
      <c r="S704" t="str">
        <f t="shared" si="35"/>
        <v>TRUE</v>
      </c>
      <c r="T704" t="str">
        <f t="shared" si="36"/>
        <v>FALSE</v>
      </c>
    </row>
    <row r="705" spans="1:20">
      <c r="A705" t="s">
        <v>865</v>
      </c>
      <c r="B705" s="14" t="s">
        <v>144</v>
      </c>
      <c r="C705" s="14" t="s">
        <v>157</v>
      </c>
      <c r="D705" s="14">
        <v>1</v>
      </c>
      <c r="E705" s="14">
        <v>1</v>
      </c>
      <c r="F705" s="14">
        <v>1</v>
      </c>
      <c r="G705" s="14">
        <v>0</v>
      </c>
      <c r="H705" s="14">
        <v>12</v>
      </c>
      <c r="I705" s="8" t="s">
        <v>150</v>
      </c>
      <c r="J705" s="8" t="s">
        <v>38</v>
      </c>
      <c r="K705">
        <v>60</v>
      </c>
      <c r="L705">
        <v>59</v>
      </c>
      <c r="M705" s="14">
        <v>11.625</v>
      </c>
      <c r="N705" s="14">
        <v>6.5625</v>
      </c>
      <c r="R705" t="str">
        <f t="shared" si="34"/>
        <v xml:space="preserve">XX8X_PV_1302:    Front abuts stile:TRUE       Back abuts stile:TRUE          Panel Section: BOTTOM           Stile in the back Width: 12           Cutout A: B-3571          Cutout B:      F.C.:11.625 in.         C.C.:6.5625 in.   </v>
      </c>
      <c r="S705" t="str">
        <f t="shared" si="35"/>
        <v>TRUE</v>
      </c>
      <c r="T705" t="str">
        <f t="shared" si="36"/>
        <v>TRUE</v>
      </c>
    </row>
    <row r="706" spans="1:20">
      <c r="A706" t="s">
        <v>866</v>
      </c>
      <c r="B706" s="14" t="s">
        <v>144</v>
      </c>
      <c r="C706" s="14" t="s">
        <v>157</v>
      </c>
      <c r="D706" s="14">
        <v>1</v>
      </c>
      <c r="E706" s="14">
        <v>1</v>
      </c>
      <c r="F706" s="14">
        <v>1</v>
      </c>
      <c r="G706" s="14">
        <v>0</v>
      </c>
      <c r="H706" s="14">
        <v>24</v>
      </c>
      <c r="I706" s="8" t="s">
        <v>120</v>
      </c>
      <c r="J706" s="8" t="s">
        <v>38</v>
      </c>
      <c r="K706">
        <v>60</v>
      </c>
      <c r="L706">
        <v>75.9375</v>
      </c>
      <c r="M706" s="14">
        <v>9</v>
      </c>
      <c r="N706" s="14">
        <v>1</v>
      </c>
      <c r="R706" t="str">
        <f t="shared" si="34"/>
        <v xml:space="preserve">XX8X_PV_1303:    Front abuts stile:TRUE       Back abuts stile:TRUE          Panel Section: BOTTOM           Stile in the back Width: 24           Cutout A: B-386          Cutout B:      F.C.:9 in.         C.C.:1 in.   </v>
      </c>
      <c r="S706" t="str">
        <f t="shared" si="35"/>
        <v>TRUE</v>
      </c>
      <c r="T706" t="str">
        <f t="shared" si="36"/>
        <v>TRUE</v>
      </c>
    </row>
    <row r="707" spans="1:20">
      <c r="A707" t="s">
        <v>867</v>
      </c>
      <c r="B707" s="14" t="s">
        <v>144</v>
      </c>
      <c r="C707" s="14" t="s">
        <v>157</v>
      </c>
      <c r="D707" s="14">
        <v>1</v>
      </c>
      <c r="E707" s="14">
        <v>1</v>
      </c>
      <c r="F707" s="14">
        <v>1</v>
      </c>
      <c r="G707" s="14">
        <v>0</v>
      </c>
      <c r="H707" s="14"/>
      <c r="I707" s="8" t="s">
        <v>38</v>
      </c>
      <c r="J707" s="8" t="s">
        <v>38</v>
      </c>
      <c r="K707">
        <v>60</v>
      </c>
      <c r="L707">
        <v>66.5625</v>
      </c>
      <c r="M707" s="14">
        <v>5.125</v>
      </c>
      <c r="N707" s="14">
        <v>2.8125</v>
      </c>
      <c r="R707" t="str">
        <f t="shared" si="34"/>
        <v xml:space="preserve">XX8X_PV_1304:    Front abuts stile:TRUE       Back abuts stile:TRUE          Panel Section: BOTTOM           Stile in the back Width:            Cutout A:           Cutout B:      F.C.:5.125 in.         C.C.:2.8125 in.   </v>
      </c>
      <c r="S707" t="str">
        <f t="shared" si="35"/>
        <v>TRUE</v>
      </c>
      <c r="T707" t="str">
        <f t="shared" si="36"/>
        <v>TRUE</v>
      </c>
    </row>
    <row r="708" spans="1:20">
      <c r="A708" t="s">
        <v>868</v>
      </c>
      <c r="B708" s="14" t="s">
        <v>144</v>
      </c>
      <c r="C708" s="14" t="s">
        <v>157</v>
      </c>
      <c r="D708" s="14">
        <v>1</v>
      </c>
      <c r="E708" s="14">
        <v>1</v>
      </c>
      <c r="F708" s="14">
        <v>1</v>
      </c>
      <c r="G708" s="14">
        <v>1</v>
      </c>
      <c r="H708" s="14"/>
      <c r="I708" s="8" t="s">
        <v>38</v>
      </c>
      <c r="J708" s="8" t="s">
        <v>38</v>
      </c>
      <c r="K708">
        <v>60</v>
      </c>
      <c r="L708">
        <v>35.125</v>
      </c>
      <c r="M708" s="14">
        <v>1</v>
      </c>
      <c r="N708" s="14">
        <v>6.375</v>
      </c>
      <c r="R708" t="str">
        <f t="shared" si="34"/>
        <v xml:space="preserve">XX8X_PV_1305:    Front abuts stile:TRUE       Back abuts stile:TRUE          Panel Section: BOTTOM           Stile in the back Width:            Cutout A:           Cutout B:      F.C.:1 in.         C.C.:6.375 in.   </v>
      </c>
      <c r="S708" t="str">
        <f t="shared" si="35"/>
        <v>TRUE</v>
      </c>
      <c r="T708" t="str">
        <f t="shared" si="36"/>
        <v>TRUE</v>
      </c>
    </row>
    <row r="709" spans="1:20">
      <c r="A709" t="s">
        <v>869</v>
      </c>
      <c r="B709" s="14" t="s">
        <v>144</v>
      </c>
      <c r="C709" s="14" t="s">
        <v>21</v>
      </c>
      <c r="D709" s="14">
        <v>0</v>
      </c>
      <c r="E709" s="14"/>
      <c r="F709" s="14">
        <v>0</v>
      </c>
      <c r="G709" s="14"/>
      <c r="H709" s="14"/>
      <c r="I709" s="8" t="s">
        <v>38</v>
      </c>
      <c r="J709" s="8" t="s">
        <v>38</v>
      </c>
      <c r="K709">
        <v>79.0625</v>
      </c>
      <c r="L709">
        <v>72.625</v>
      </c>
      <c r="M709" s="14">
        <v>4.5</v>
      </c>
      <c r="N709" s="14">
        <v>1</v>
      </c>
      <c r="R709" t="str">
        <f t="shared" si="34"/>
        <v xml:space="preserve">XX8X_PV_1321:    Front abuts stile:FALSE       Back abuts stile:FALSE          Panel Section: WHOLE           Stile in the back Width:            Cutout A:           Cutout B:      F.C.:4.5 in.         C.C.:1 in.   </v>
      </c>
      <c r="S709" t="str">
        <f t="shared" si="35"/>
        <v>FALSE</v>
      </c>
      <c r="T709" t="str">
        <f t="shared" si="36"/>
        <v>FALSE</v>
      </c>
    </row>
    <row r="710" spans="1:20">
      <c r="A710" t="s">
        <v>870</v>
      </c>
      <c r="B710" s="14" t="s">
        <v>144</v>
      </c>
      <c r="C710" s="14" t="s">
        <v>21</v>
      </c>
      <c r="D710" s="14">
        <v>0</v>
      </c>
      <c r="E710" s="14"/>
      <c r="F710" s="14">
        <v>1</v>
      </c>
      <c r="G710" s="14">
        <v>0</v>
      </c>
      <c r="H710" s="14">
        <v>12</v>
      </c>
      <c r="I710" s="8" t="s">
        <v>120</v>
      </c>
      <c r="J710" s="8" t="s">
        <v>38</v>
      </c>
      <c r="K710">
        <v>89.9375</v>
      </c>
      <c r="L710">
        <v>66.3125</v>
      </c>
      <c r="M710" s="14">
        <v>12</v>
      </c>
      <c r="N710" s="14">
        <v>4.25</v>
      </c>
      <c r="R710" t="str">
        <f t="shared" si="34"/>
        <v xml:space="preserve">XX8X_PV_1322:    Front abuts stile:FALSE       Back abuts stile:TRUE          Panel Section: WHOLE           Stile in the back Width: 12           Cutout A: B-386          Cutout B:      F.C.:12 in.         C.C.:4.25 in.   </v>
      </c>
      <c r="S710" t="str">
        <f t="shared" si="35"/>
        <v>FALSE</v>
      </c>
      <c r="T710" t="str">
        <f t="shared" si="36"/>
        <v>TRUE</v>
      </c>
    </row>
    <row r="711" spans="1:20">
      <c r="A711" t="s">
        <v>871</v>
      </c>
      <c r="B711" s="14" t="s">
        <v>144</v>
      </c>
      <c r="C711" s="14" t="s">
        <v>21</v>
      </c>
      <c r="D711" s="14">
        <v>0</v>
      </c>
      <c r="E711" s="14"/>
      <c r="F711" s="14">
        <v>1</v>
      </c>
      <c r="G711" s="14">
        <v>0</v>
      </c>
      <c r="H711" s="14">
        <v>24</v>
      </c>
      <c r="I711" s="8" t="s">
        <v>120</v>
      </c>
      <c r="J711" s="8" t="s">
        <v>38</v>
      </c>
      <c r="K711">
        <v>55.0625</v>
      </c>
      <c r="L711">
        <v>42.625</v>
      </c>
      <c r="M711" s="14">
        <v>12</v>
      </c>
      <c r="N711" s="14">
        <v>4.8125</v>
      </c>
      <c r="R711" t="str">
        <f t="shared" si="34"/>
        <v xml:space="preserve">XX8X_PV_1323:    Front abuts stile:FALSE       Back abuts stile:TRUE          Panel Section: WHOLE           Stile in the back Width: 24           Cutout A: B-386          Cutout B:      F.C.:12 in.         C.C.:4.8125 in.   </v>
      </c>
      <c r="S711" t="str">
        <f t="shared" si="35"/>
        <v>FALSE</v>
      </c>
      <c r="T711" t="str">
        <f t="shared" si="36"/>
        <v>TRUE</v>
      </c>
    </row>
    <row r="712" spans="1:20">
      <c r="A712" t="s">
        <v>872</v>
      </c>
      <c r="B712" s="14" t="s">
        <v>144</v>
      </c>
      <c r="C712" s="14" t="s">
        <v>21</v>
      </c>
      <c r="D712" s="14">
        <v>0</v>
      </c>
      <c r="E712" s="14"/>
      <c r="F712" s="14">
        <v>1</v>
      </c>
      <c r="G712" s="14">
        <v>0</v>
      </c>
      <c r="H712" s="14"/>
      <c r="I712" s="8" t="s">
        <v>38</v>
      </c>
      <c r="J712" s="8" t="s">
        <v>38</v>
      </c>
      <c r="K712">
        <v>96</v>
      </c>
      <c r="L712">
        <v>44.9375</v>
      </c>
      <c r="M712" s="14">
        <v>5.1875</v>
      </c>
      <c r="N712" s="14">
        <v>1</v>
      </c>
      <c r="R712" t="str">
        <f t="shared" si="34"/>
        <v xml:space="preserve">XX8X_PV_1324:    Front abuts stile:FALSE       Back abuts stile:TRUE          Panel Section: WHOLE           Stile in the back Width:            Cutout A:           Cutout B:      F.C.:5.1875 in.         C.C.:1 in.   </v>
      </c>
      <c r="S712" t="str">
        <f t="shared" si="35"/>
        <v>FALSE</v>
      </c>
      <c r="T712" t="str">
        <f t="shared" si="36"/>
        <v>TRUE</v>
      </c>
    </row>
    <row r="713" spans="1:20">
      <c r="A713" t="s">
        <v>873</v>
      </c>
      <c r="B713" s="14" t="s">
        <v>144</v>
      </c>
      <c r="C713" s="14" t="s">
        <v>21</v>
      </c>
      <c r="D713" s="14">
        <v>0</v>
      </c>
      <c r="E713" s="14"/>
      <c r="F713" s="14">
        <v>1</v>
      </c>
      <c r="G713" s="14">
        <v>1</v>
      </c>
      <c r="H713" s="14"/>
      <c r="I713" s="8" t="s">
        <v>38</v>
      </c>
      <c r="J713" s="8" t="s">
        <v>38</v>
      </c>
      <c r="K713">
        <v>68.1875</v>
      </c>
      <c r="L713">
        <v>52.375</v>
      </c>
      <c r="M713" s="14">
        <v>4.5</v>
      </c>
      <c r="N713" s="14">
        <v>6</v>
      </c>
      <c r="R713" t="str">
        <f t="shared" si="34"/>
        <v xml:space="preserve">XX8X_PV_1325:    Front abuts stile:FALSE       Back abuts stile:TRUE          Panel Section: WHOLE           Stile in the back Width:            Cutout A:           Cutout B:      F.C.:4.5 in.         C.C.:6 in.   </v>
      </c>
      <c r="S713" t="str">
        <f t="shared" si="35"/>
        <v>FALSE</v>
      </c>
      <c r="T713" t="str">
        <f t="shared" si="36"/>
        <v>TRUE</v>
      </c>
    </row>
    <row r="714" spans="1:20">
      <c r="A714" t="s">
        <v>874</v>
      </c>
      <c r="B714" s="14" t="s">
        <v>144</v>
      </c>
      <c r="C714" s="14" t="s">
        <v>21</v>
      </c>
      <c r="D714" s="14">
        <v>1</v>
      </c>
      <c r="E714" s="14">
        <v>0</v>
      </c>
      <c r="F714" s="14">
        <v>0</v>
      </c>
      <c r="G714" s="14"/>
      <c r="H714" s="14"/>
      <c r="I714" s="8" t="s">
        <v>38</v>
      </c>
      <c r="J714" s="8" t="s">
        <v>38</v>
      </c>
      <c r="K714">
        <v>100.875</v>
      </c>
      <c r="L714">
        <v>79.75</v>
      </c>
      <c r="M714" s="14">
        <v>9</v>
      </c>
      <c r="N714" s="14">
        <v>6.1875</v>
      </c>
      <c r="R714" t="str">
        <f t="shared" si="34"/>
        <v xml:space="preserve">XX8X_PV_1326:    Front abuts stile:TRUE       Back abuts stile:FALSE          Panel Section: WHOLE           Stile in the back Width:            Cutout A:           Cutout B:      F.C.:9 in.         C.C.:6.1875 in.   </v>
      </c>
      <c r="S714" t="str">
        <f t="shared" si="35"/>
        <v>TRUE</v>
      </c>
      <c r="T714" t="str">
        <f t="shared" si="36"/>
        <v>FALSE</v>
      </c>
    </row>
    <row r="715" spans="1:20">
      <c r="A715" t="s">
        <v>875</v>
      </c>
      <c r="B715" s="14" t="s">
        <v>144</v>
      </c>
      <c r="C715" s="14" t="s">
        <v>21</v>
      </c>
      <c r="D715" s="14">
        <v>1</v>
      </c>
      <c r="E715" s="14">
        <v>0</v>
      </c>
      <c r="F715" s="14">
        <v>1</v>
      </c>
      <c r="G715" s="14">
        <v>0</v>
      </c>
      <c r="H715" s="14">
        <v>12</v>
      </c>
      <c r="I715" s="8" t="s">
        <v>120</v>
      </c>
      <c r="J715" s="8" t="s">
        <v>38</v>
      </c>
      <c r="K715">
        <v>67.9375</v>
      </c>
      <c r="L715">
        <v>48.0625</v>
      </c>
      <c r="M715" s="14">
        <v>6.625</v>
      </c>
      <c r="N715" s="14">
        <v>4.8125</v>
      </c>
      <c r="R715" t="str">
        <f t="shared" si="34"/>
        <v xml:space="preserve">XX8X_PV_1327:    Front abuts stile:TRUE       Back abuts stile:TRUE          Panel Section: WHOLE           Stile in the back Width: 12           Cutout A: B-386          Cutout B:      F.C.:6.625 in.         C.C.:4.8125 in.   </v>
      </c>
      <c r="S715" t="str">
        <f t="shared" si="35"/>
        <v>TRUE</v>
      </c>
      <c r="T715" t="str">
        <f t="shared" si="36"/>
        <v>TRUE</v>
      </c>
    </row>
    <row r="716" spans="1:20">
      <c r="A716" t="s">
        <v>876</v>
      </c>
      <c r="B716" s="14" t="s">
        <v>144</v>
      </c>
      <c r="C716" s="14" t="s">
        <v>21</v>
      </c>
      <c r="D716" s="14">
        <v>1</v>
      </c>
      <c r="E716" s="14">
        <v>0</v>
      </c>
      <c r="F716" s="14">
        <v>1</v>
      </c>
      <c r="G716" s="14">
        <v>0</v>
      </c>
      <c r="H716" s="14">
        <v>24</v>
      </c>
      <c r="I716" s="8" t="s">
        <v>120</v>
      </c>
      <c r="J716" s="8" t="s">
        <v>38</v>
      </c>
      <c r="K716">
        <v>64.0625</v>
      </c>
      <c r="L716">
        <v>78.625</v>
      </c>
      <c r="M716" s="14">
        <v>10.625</v>
      </c>
      <c r="N716" s="14">
        <v>2.4375</v>
      </c>
      <c r="R716" t="str">
        <f t="shared" si="34"/>
        <v xml:space="preserve">XX8X_PV_1328:    Front abuts stile:TRUE       Back abuts stile:TRUE          Panel Section: WHOLE           Stile in the back Width: 24           Cutout A: B-386          Cutout B:      F.C.:10.625 in.         C.C.:2.4375 in.   </v>
      </c>
      <c r="S716" t="str">
        <f t="shared" si="35"/>
        <v>TRUE</v>
      </c>
      <c r="T716" t="str">
        <f t="shared" si="36"/>
        <v>TRUE</v>
      </c>
    </row>
    <row r="717" spans="1:20">
      <c r="A717" t="s">
        <v>877</v>
      </c>
      <c r="B717" s="14" t="s">
        <v>144</v>
      </c>
      <c r="C717" s="14" t="s">
        <v>21</v>
      </c>
      <c r="D717" s="14">
        <v>1</v>
      </c>
      <c r="E717" s="14">
        <v>0</v>
      </c>
      <c r="F717" s="14">
        <v>1</v>
      </c>
      <c r="G717" s="14">
        <v>0</v>
      </c>
      <c r="H717" s="14"/>
      <c r="I717" s="8" t="s">
        <v>38</v>
      </c>
      <c r="J717" s="8" t="s">
        <v>38</v>
      </c>
      <c r="K717">
        <v>96</v>
      </c>
      <c r="L717">
        <v>58.1875</v>
      </c>
      <c r="M717" s="14">
        <v>4.25</v>
      </c>
      <c r="N717" s="14">
        <v>6.5625</v>
      </c>
      <c r="R717" t="str">
        <f t="shared" si="34"/>
        <v xml:space="preserve">XX8X_PV_1329:    Front abuts stile:TRUE       Back abuts stile:TRUE          Panel Section: WHOLE           Stile in the back Width:            Cutout A:           Cutout B:      F.C.:4.25 in.         C.C.:6.5625 in.   </v>
      </c>
      <c r="S717" t="str">
        <f t="shared" si="35"/>
        <v>TRUE</v>
      </c>
      <c r="T717" t="str">
        <f t="shared" si="36"/>
        <v>TRUE</v>
      </c>
    </row>
    <row r="718" spans="1:20">
      <c r="A718" t="s">
        <v>878</v>
      </c>
      <c r="B718" s="14" t="s">
        <v>144</v>
      </c>
      <c r="C718" s="14" t="s">
        <v>21</v>
      </c>
      <c r="D718" s="14">
        <v>1</v>
      </c>
      <c r="E718" s="14">
        <v>0</v>
      </c>
      <c r="F718" s="14">
        <v>1</v>
      </c>
      <c r="G718" s="14">
        <v>1</v>
      </c>
      <c r="H718" s="14"/>
      <c r="I718" s="8" t="s">
        <v>38</v>
      </c>
      <c r="J718" s="8" t="s">
        <v>38</v>
      </c>
      <c r="K718">
        <v>57.5</v>
      </c>
      <c r="L718">
        <v>78.875</v>
      </c>
      <c r="M718" s="14">
        <v>4.5</v>
      </c>
      <c r="N718" s="14">
        <v>1</v>
      </c>
      <c r="R718" t="str">
        <f t="shared" si="34"/>
        <v xml:space="preserve">XX8X_PV_1330:    Front abuts stile:TRUE       Back abuts stile:TRUE          Panel Section: WHOLE           Stile in the back Width:            Cutout A:           Cutout B:      F.C.:4.5 in.         C.C.:1 in.   </v>
      </c>
      <c r="S718" t="str">
        <f t="shared" si="35"/>
        <v>TRUE</v>
      </c>
      <c r="T718" t="str">
        <f t="shared" si="36"/>
        <v>TRUE</v>
      </c>
    </row>
    <row r="719" spans="1:20">
      <c r="A719" t="s">
        <v>879</v>
      </c>
      <c r="B719" s="14" t="s">
        <v>144</v>
      </c>
      <c r="C719" s="14" t="s">
        <v>21</v>
      </c>
      <c r="D719" s="14">
        <v>1</v>
      </c>
      <c r="E719" s="14">
        <v>1</v>
      </c>
      <c r="F719" s="14">
        <v>0</v>
      </c>
      <c r="G719" s="14"/>
      <c r="H719" s="14"/>
      <c r="I719" s="8" t="s">
        <v>120</v>
      </c>
      <c r="J719" s="8" t="s">
        <v>38</v>
      </c>
      <c r="K719">
        <v>105.875</v>
      </c>
      <c r="L719">
        <v>60.125</v>
      </c>
      <c r="M719" s="14">
        <v>9</v>
      </c>
      <c r="N719" s="14">
        <v>3.375</v>
      </c>
      <c r="R719" t="str">
        <f t="shared" si="34"/>
        <v xml:space="preserve">XX8X_PV_1331:    Front abuts stile:TRUE       Back abuts stile:FALSE          Panel Section: WHOLE           Stile in the back Width:            Cutout A: B-386          Cutout B:      F.C.:9 in.         C.C.:3.375 in.   </v>
      </c>
      <c r="S719" t="str">
        <f t="shared" si="35"/>
        <v>TRUE</v>
      </c>
      <c r="T719" t="str">
        <f t="shared" si="36"/>
        <v>FALSE</v>
      </c>
    </row>
    <row r="720" spans="1:20">
      <c r="A720" t="s">
        <v>880</v>
      </c>
      <c r="B720" s="14" t="s">
        <v>144</v>
      </c>
      <c r="C720" s="14" t="s">
        <v>21</v>
      </c>
      <c r="D720" s="14">
        <v>1</v>
      </c>
      <c r="E720" s="14">
        <v>1</v>
      </c>
      <c r="F720" s="14">
        <v>1</v>
      </c>
      <c r="G720" s="14">
        <v>0</v>
      </c>
      <c r="H720" s="14">
        <v>12</v>
      </c>
      <c r="I720" s="8" t="s">
        <v>38</v>
      </c>
      <c r="J720" s="8" t="s">
        <v>38</v>
      </c>
      <c r="K720">
        <v>96</v>
      </c>
      <c r="L720">
        <v>63.5625</v>
      </c>
      <c r="M720" s="14">
        <v>1</v>
      </c>
      <c r="N720" s="14">
        <v>4.8125</v>
      </c>
      <c r="R720" t="str">
        <f t="shared" si="34"/>
        <v xml:space="preserve">XX8X_PV_1332:    Front abuts stile:TRUE       Back abuts stile:TRUE          Panel Section: WHOLE           Stile in the back Width: 12           Cutout A:           Cutout B:      F.C.:1 in.         C.C.:4.8125 in.   </v>
      </c>
      <c r="S720" t="str">
        <f t="shared" si="35"/>
        <v>TRUE</v>
      </c>
      <c r="T720" t="str">
        <f t="shared" si="36"/>
        <v>TRUE</v>
      </c>
    </row>
    <row r="721" spans="1:20">
      <c r="A721" t="s">
        <v>881</v>
      </c>
      <c r="B721" s="14" t="s">
        <v>144</v>
      </c>
      <c r="C721" s="14" t="s">
        <v>21</v>
      </c>
      <c r="D721" s="14">
        <v>1</v>
      </c>
      <c r="E721" s="14">
        <v>1</v>
      </c>
      <c r="F721" s="14">
        <v>1</v>
      </c>
      <c r="G721" s="14">
        <v>0</v>
      </c>
      <c r="H721" s="14">
        <v>24</v>
      </c>
      <c r="I721" s="8" t="s">
        <v>120</v>
      </c>
      <c r="J721" s="8" t="s">
        <v>38</v>
      </c>
      <c r="K721">
        <v>38.625</v>
      </c>
      <c r="L721">
        <v>47.875</v>
      </c>
      <c r="M721" s="14">
        <v>5.5</v>
      </c>
      <c r="N721" s="14">
        <v>1</v>
      </c>
      <c r="R721" t="str">
        <f t="shared" si="34"/>
        <v xml:space="preserve">XX8X_PV_1333:    Front abuts stile:TRUE       Back abuts stile:TRUE          Panel Section: WHOLE           Stile in the back Width: 24           Cutout A: B-386          Cutout B:      F.C.:5.5 in.         C.C.:1 in.   </v>
      </c>
      <c r="S721" t="str">
        <f t="shared" si="35"/>
        <v>TRUE</v>
      </c>
      <c r="T721" t="str">
        <f t="shared" si="36"/>
        <v>TRUE</v>
      </c>
    </row>
    <row r="722" spans="1:20">
      <c r="A722" t="s">
        <v>882</v>
      </c>
      <c r="B722" s="14" t="s">
        <v>144</v>
      </c>
      <c r="C722" s="14" t="s">
        <v>21</v>
      </c>
      <c r="D722" s="14">
        <v>1</v>
      </c>
      <c r="E722" s="14">
        <v>1</v>
      </c>
      <c r="F722" s="14">
        <v>1</v>
      </c>
      <c r="G722" s="14">
        <v>0</v>
      </c>
      <c r="H722" s="14"/>
      <c r="I722" s="8" t="s">
        <v>38</v>
      </c>
      <c r="J722" s="8" t="s">
        <v>38</v>
      </c>
      <c r="K722">
        <v>62</v>
      </c>
      <c r="L722">
        <v>79.25</v>
      </c>
      <c r="M722" s="14">
        <v>9</v>
      </c>
      <c r="N722" s="14">
        <v>5.1875</v>
      </c>
      <c r="R722" t="str">
        <f t="shared" si="34"/>
        <v xml:space="preserve">XX8X_PV_1334:    Front abuts stile:TRUE       Back abuts stile:TRUE          Panel Section: WHOLE           Stile in the back Width:            Cutout A:           Cutout B:      F.C.:9 in.         C.C.:5.1875 in.   </v>
      </c>
      <c r="S722" t="str">
        <f t="shared" si="35"/>
        <v>TRUE</v>
      </c>
      <c r="T722" t="str">
        <f t="shared" si="36"/>
        <v>TRUE</v>
      </c>
    </row>
    <row r="723" spans="1:20">
      <c r="A723" t="s">
        <v>883</v>
      </c>
      <c r="B723" s="14" t="s">
        <v>144</v>
      </c>
      <c r="C723" s="14" t="s">
        <v>21</v>
      </c>
      <c r="D723" s="14">
        <v>1</v>
      </c>
      <c r="E723" s="14">
        <v>1</v>
      </c>
      <c r="F723" s="14">
        <v>1</v>
      </c>
      <c r="G723" s="14">
        <v>1</v>
      </c>
      <c r="H723" s="14"/>
      <c r="I723" s="8" t="s">
        <v>38</v>
      </c>
      <c r="J723" s="8" t="s">
        <v>38</v>
      </c>
      <c r="K723">
        <v>36.125</v>
      </c>
      <c r="L723">
        <v>68.0625</v>
      </c>
      <c r="M723" s="14">
        <v>9</v>
      </c>
      <c r="N723" s="14">
        <v>2.25</v>
      </c>
      <c r="R723" t="str">
        <f t="shared" ref="R723:R768" si="37">A723&amp;":    Front abuts stile:"&amp;S723&amp;"       Back abuts stile:"&amp;T723&amp;"          Panel Section: "&amp;C723&amp;"           Stile in the back Width: "&amp;H723&amp;"           Cutout A: "&amp;I723&amp;"          Cutout B:"&amp;J723&amp;"      F.C.:"&amp;M723&amp;" in. "&amp;"        C.C.:"&amp;N723&amp;" in. "&amp;"  "</f>
        <v xml:space="preserve">XX8X_PV_1335:    Front abuts stile:TRUE       Back abuts stile:TRUE          Panel Section: WHOLE           Stile in the back Width:            Cutout A:           Cutout B:      F.C.:9 in.         C.C.:2.25 in.   </v>
      </c>
      <c r="S723" t="str">
        <f t="shared" ref="S723:S768" si="38">IF(D723=1, "TRUE", "FALSE")</f>
        <v>TRUE</v>
      </c>
      <c r="T723" t="str">
        <f t="shared" ref="T723:T768" si="39">IF(F723=1, "TRUE", "FALSE")</f>
        <v>TRUE</v>
      </c>
    </row>
    <row r="724" spans="1:20">
      <c r="A724" t="s">
        <v>884</v>
      </c>
      <c r="B724" s="14" t="s">
        <v>144</v>
      </c>
      <c r="C724" s="14" t="s">
        <v>156</v>
      </c>
      <c r="D724" s="19">
        <v>0</v>
      </c>
      <c r="E724" s="19"/>
      <c r="F724" s="19">
        <v>0</v>
      </c>
      <c r="G724" s="19"/>
      <c r="H724" s="14"/>
      <c r="I724" s="8" t="s">
        <v>38</v>
      </c>
      <c r="J724" s="8" t="s">
        <v>38</v>
      </c>
      <c r="K724">
        <v>31</v>
      </c>
      <c r="L724">
        <v>44.5</v>
      </c>
      <c r="M724" s="14">
        <v>1.5</v>
      </c>
      <c r="N724" s="14">
        <v>1</v>
      </c>
      <c r="R724" t="str">
        <f t="shared" si="37"/>
        <v xml:space="preserve">XX8X_PV_1351:    Front abuts stile:FALSE       Back abuts stile:FALSE          Panel Section: TOP           Stile in the back Width:            Cutout A:           Cutout B:      F.C.:1.5 in.         C.C.:1 in.   </v>
      </c>
      <c r="S724" t="str">
        <f t="shared" si="38"/>
        <v>FALSE</v>
      </c>
      <c r="T724" t="str">
        <f t="shared" si="39"/>
        <v>FALSE</v>
      </c>
    </row>
    <row r="725" spans="1:20">
      <c r="A725" t="s">
        <v>885</v>
      </c>
      <c r="B725" s="14" t="s">
        <v>144</v>
      </c>
      <c r="C725" s="14" t="s">
        <v>156</v>
      </c>
      <c r="D725" s="14">
        <v>0</v>
      </c>
      <c r="E725" s="14"/>
      <c r="F725" s="14">
        <v>1</v>
      </c>
      <c r="G725" s="14">
        <v>0</v>
      </c>
      <c r="H725" s="14">
        <v>12</v>
      </c>
      <c r="I725" s="8" t="s">
        <v>120</v>
      </c>
      <c r="J725" s="8" t="s">
        <v>38</v>
      </c>
      <c r="K725">
        <v>23.9375</v>
      </c>
      <c r="L725">
        <v>48.75</v>
      </c>
      <c r="M725" s="14">
        <v>3.5</v>
      </c>
      <c r="N725" s="14">
        <v>7.0625</v>
      </c>
      <c r="R725" t="str">
        <f t="shared" si="37"/>
        <v xml:space="preserve">XX8X_PV_1352:    Front abuts stile:FALSE       Back abuts stile:TRUE          Panel Section: TOP           Stile in the back Width: 12           Cutout A: B-386          Cutout B:      F.C.:3.5 in.         C.C.:7.0625 in.   </v>
      </c>
      <c r="S725" t="str">
        <f t="shared" si="38"/>
        <v>FALSE</v>
      </c>
      <c r="T725" t="str">
        <f t="shared" si="39"/>
        <v>TRUE</v>
      </c>
    </row>
    <row r="726" spans="1:20">
      <c r="A726" t="s">
        <v>886</v>
      </c>
      <c r="B726" s="14" t="s">
        <v>144</v>
      </c>
      <c r="C726" s="14" t="s">
        <v>156</v>
      </c>
      <c r="D726" s="14">
        <v>0</v>
      </c>
      <c r="E726" s="14"/>
      <c r="F726" s="14">
        <v>1</v>
      </c>
      <c r="G726" s="14">
        <v>0</v>
      </c>
      <c r="H726" s="14">
        <v>24</v>
      </c>
      <c r="I726" s="8" t="s">
        <v>120</v>
      </c>
      <c r="J726" s="8" t="s">
        <v>38</v>
      </c>
      <c r="K726">
        <v>8.5625</v>
      </c>
      <c r="L726">
        <v>64.625</v>
      </c>
      <c r="M726" s="14">
        <v>3</v>
      </c>
      <c r="N726" s="14">
        <v>1</v>
      </c>
      <c r="R726" t="str">
        <f t="shared" si="37"/>
        <v xml:space="preserve">XX8X_PV_1353:    Front abuts stile:FALSE       Back abuts stile:TRUE          Panel Section: TOP           Stile in the back Width: 24           Cutout A: B-386          Cutout B:      F.C.:3 in.         C.C.:1 in.   </v>
      </c>
      <c r="S726" t="str">
        <f t="shared" si="38"/>
        <v>FALSE</v>
      </c>
      <c r="T726" t="str">
        <f t="shared" si="39"/>
        <v>TRUE</v>
      </c>
    </row>
    <row r="727" spans="1:20">
      <c r="A727" t="s">
        <v>887</v>
      </c>
      <c r="B727" s="14" t="s">
        <v>144</v>
      </c>
      <c r="C727" s="14" t="s">
        <v>156</v>
      </c>
      <c r="D727" s="14">
        <v>0</v>
      </c>
      <c r="E727" s="14"/>
      <c r="F727" s="14">
        <v>1</v>
      </c>
      <c r="G727" s="14">
        <v>0</v>
      </c>
      <c r="H727" s="14"/>
      <c r="I727" s="8" t="s">
        <v>38</v>
      </c>
      <c r="J727" s="8" t="s">
        <v>38</v>
      </c>
      <c r="K727">
        <v>20.0625</v>
      </c>
      <c r="L727">
        <v>71.75</v>
      </c>
      <c r="M727" s="14">
        <v>9</v>
      </c>
      <c r="N727" s="14">
        <v>2.4375</v>
      </c>
      <c r="R727" t="str">
        <f t="shared" si="37"/>
        <v xml:space="preserve">XX8X_PV_1354:    Front abuts stile:FALSE       Back abuts stile:TRUE          Panel Section: TOP           Stile in the back Width:            Cutout A:           Cutout B:      F.C.:9 in.         C.C.:2.4375 in.   </v>
      </c>
      <c r="S727" t="str">
        <f t="shared" si="38"/>
        <v>FALSE</v>
      </c>
      <c r="T727" t="str">
        <f t="shared" si="39"/>
        <v>TRUE</v>
      </c>
    </row>
    <row r="728" spans="1:20">
      <c r="A728" t="s">
        <v>888</v>
      </c>
      <c r="B728" s="14" t="s">
        <v>144</v>
      </c>
      <c r="C728" s="14" t="s">
        <v>156</v>
      </c>
      <c r="D728" s="14">
        <v>0</v>
      </c>
      <c r="E728" s="14"/>
      <c r="F728" s="14">
        <v>1</v>
      </c>
      <c r="G728" s="14">
        <v>1</v>
      </c>
      <c r="H728" s="14"/>
      <c r="I728" s="8" t="s">
        <v>38</v>
      </c>
      <c r="J728" s="8" t="s">
        <v>38</v>
      </c>
      <c r="K728">
        <v>25</v>
      </c>
      <c r="L728">
        <v>48.0625</v>
      </c>
      <c r="M728" s="14">
        <v>1.1875</v>
      </c>
      <c r="N728" s="14">
        <v>4.6875</v>
      </c>
      <c r="R728" t="str">
        <f t="shared" si="37"/>
        <v xml:space="preserve">XX8X_PV_1355:    Front abuts stile:FALSE       Back abuts stile:TRUE          Panel Section: TOP           Stile in the back Width:            Cutout A:           Cutout B:      F.C.:1.1875 in.         C.C.:4.6875 in.   </v>
      </c>
      <c r="S728" t="str">
        <f t="shared" si="38"/>
        <v>FALSE</v>
      </c>
      <c r="T728" t="str">
        <f t="shared" si="39"/>
        <v>TRUE</v>
      </c>
    </row>
    <row r="729" spans="1:20">
      <c r="A729" t="s">
        <v>889</v>
      </c>
      <c r="B729" s="14" t="s">
        <v>144</v>
      </c>
      <c r="C729" s="14" t="s">
        <v>156</v>
      </c>
      <c r="D729" s="14">
        <v>1</v>
      </c>
      <c r="E729" s="14">
        <v>0</v>
      </c>
      <c r="F729" s="14">
        <v>0</v>
      </c>
      <c r="G729" s="14"/>
      <c r="H729" s="14"/>
      <c r="I729" s="8" t="s">
        <v>119</v>
      </c>
      <c r="J729" s="8" t="s">
        <v>120</v>
      </c>
      <c r="K729">
        <v>11.4375</v>
      </c>
      <c r="L729">
        <v>60.375</v>
      </c>
      <c r="M729" s="14">
        <v>1</v>
      </c>
      <c r="N729" s="14">
        <v>1</v>
      </c>
      <c r="R729" t="str">
        <f t="shared" si="37"/>
        <v xml:space="preserve">XX8X_PV_1356:    Front abuts stile:TRUE       Back abuts stile:FALSE          Panel Section: TOP           Stile in the back Width:            Cutout A: B-354          Cutout B:B-386      F.C.:1 in.         C.C.:1 in.   </v>
      </c>
      <c r="S729" t="str">
        <f t="shared" si="38"/>
        <v>TRUE</v>
      </c>
      <c r="T729" t="str">
        <f t="shared" si="39"/>
        <v>FALSE</v>
      </c>
    </row>
    <row r="730" spans="1:20">
      <c r="A730" t="s">
        <v>890</v>
      </c>
      <c r="B730" s="14" t="s">
        <v>144</v>
      </c>
      <c r="C730" s="14" t="s">
        <v>156</v>
      </c>
      <c r="D730" s="14">
        <v>1</v>
      </c>
      <c r="E730" s="14">
        <v>0</v>
      </c>
      <c r="F730" s="14">
        <v>1</v>
      </c>
      <c r="G730" s="14">
        <v>0</v>
      </c>
      <c r="H730" s="14">
        <v>12</v>
      </c>
      <c r="I730" s="8" t="s">
        <v>120</v>
      </c>
      <c r="J730" s="8" t="s">
        <v>38</v>
      </c>
      <c r="K730">
        <v>11.25</v>
      </c>
      <c r="L730">
        <v>57.8125</v>
      </c>
      <c r="M730" s="14">
        <v>4.3125</v>
      </c>
      <c r="N730" s="14">
        <v>1</v>
      </c>
      <c r="R730" t="str">
        <f t="shared" si="37"/>
        <v xml:space="preserve">XX8X_PV_1357:    Front abuts stile:TRUE       Back abuts stile:TRUE          Panel Section: TOP           Stile in the back Width: 12           Cutout A: B-386          Cutout B:      F.C.:4.3125 in.         C.C.:1 in.   </v>
      </c>
      <c r="S730" t="str">
        <f t="shared" si="38"/>
        <v>TRUE</v>
      </c>
      <c r="T730" t="str">
        <f t="shared" si="39"/>
        <v>TRUE</v>
      </c>
    </row>
    <row r="731" spans="1:20">
      <c r="A731" t="s">
        <v>891</v>
      </c>
      <c r="B731" s="14" t="s">
        <v>144</v>
      </c>
      <c r="C731" s="14" t="s">
        <v>156</v>
      </c>
      <c r="D731" s="14">
        <v>1</v>
      </c>
      <c r="E731" s="14">
        <v>0</v>
      </c>
      <c r="F731" s="14">
        <v>1</v>
      </c>
      <c r="G731" s="14">
        <v>0</v>
      </c>
      <c r="H731" s="14">
        <v>24</v>
      </c>
      <c r="I731" s="8" t="s">
        <v>120</v>
      </c>
      <c r="J731" s="8" t="s">
        <v>38</v>
      </c>
      <c r="K731">
        <v>48.9375</v>
      </c>
      <c r="L731">
        <v>78.625</v>
      </c>
      <c r="M731" s="14">
        <v>1.3125</v>
      </c>
      <c r="N731" s="14">
        <v>4.6875</v>
      </c>
      <c r="R731" t="str">
        <f t="shared" si="37"/>
        <v xml:space="preserve">XX8X_PV_1358:    Front abuts stile:TRUE       Back abuts stile:TRUE          Panel Section: TOP           Stile in the back Width: 24           Cutout A: B-386          Cutout B:      F.C.:1.3125 in.         C.C.:4.6875 in.   </v>
      </c>
      <c r="S731" t="str">
        <f t="shared" si="38"/>
        <v>TRUE</v>
      </c>
      <c r="T731" t="str">
        <f t="shared" si="39"/>
        <v>TRUE</v>
      </c>
    </row>
    <row r="732" spans="1:20">
      <c r="A732" t="s">
        <v>892</v>
      </c>
      <c r="B732" s="14" t="s">
        <v>144</v>
      </c>
      <c r="C732" s="14" t="s">
        <v>156</v>
      </c>
      <c r="D732" s="14">
        <v>1</v>
      </c>
      <c r="E732" s="14">
        <v>0</v>
      </c>
      <c r="F732" s="14">
        <v>1</v>
      </c>
      <c r="G732" s="14">
        <v>0</v>
      </c>
      <c r="H732" s="14"/>
      <c r="I732" s="8" t="s">
        <v>38</v>
      </c>
      <c r="J732" s="8" t="s">
        <v>38</v>
      </c>
      <c r="K732">
        <v>46.125</v>
      </c>
      <c r="L732">
        <v>40.625</v>
      </c>
      <c r="M732" s="14">
        <v>4.5</v>
      </c>
      <c r="N732" s="14">
        <v>1</v>
      </c>
      <c r="R732" t="str">
        <f t="shared" si="37"/>
        <v xml:space="preserve">XX8X_PV_1359:    Front abuts stile:TRUE       Back abuts stile:TRUE          Panel Section: TOP           Stile in the back Width:            Cutout A:           Cutout B:      F.C.:4.5 in.         C.C.:1 in.   </v>
      </c>
      <c r="S732" t="str">
        <f t="shared" si="38"/>
        <v>TRUE</v>
      </c>
      <c r="T732" t="str">
        <f t="shared" si="39"/>
        <v>TRUE</v>
      </c>
    </row>
    <row r="733" spans="1:20">
      <c r="A733" t="s">
        <v>893</v>
      </c>
      <c r="B733" s="14" t="s">
        <v>144</v>
      </c>
      <c r="C733" s="14" t="s">
        <v>156</v>
      </c>
      <c r="D733" s="14">
        <v>1</v>
      </c>
      <c r="E733" s="14">
        <v>0</v>
      </c>
      <c r="F733" s="14">
        <v>1</v>
      </c>
      <c r="G733" s="14">
        <v>1</v>
      </c>
      <c r="H733" s="14"/>
      <c r="I733" s="8" t="s">
        <v>38</v>
      </c>
      <c r="J733" s="8" t="s">
        <v>38</v>
      </c>
      <c r="K733">
        <v>34</v>
      </c>
      <c r="L733">
        <v>48.3125</v>
      </c>
      <c r="M733" s="14">
        <v>4.5</v>
      </c>
      <c r="N733" s="14">
        <v>7.9375</v>
      </c>
      <c r="R733" t="str">
        <f t="shared" si="37"/>
        <v xml:space="preserve">XX8X_PV_1360:    Front abuts stile:TRUE       Back abuts stile:TRUE          Panel Section: TOP           Stile in the back Width:            Cutout A:           Cutout B:      F.C.:4.5 in.         C.C.:7.9375 in.   </v>
      </c>
      <c r="S733" t="str">
        <f t="shared" si="38"/>
        <v>TRUE</v>
      </c>
      <c r="T733" t="str">
        <f t="shared" si="39"/>
        <v>TRUE</v>
      </c>
    </row>
    <row r="734" spans="1:20">
      <c r="A734" t="s">
        <v>894</v>
      </c>
      <c r="B734" s="14" t="s">
        <v>144</v>
      </c>
      <c r="C734" s="14" t="s">
        <v>156</v>
      </c>
      <c r="D734" s="14">
        <v>1</v>
      </c>
      <c r="E734" s="14">
        <v>1</v>
      </c>
      <c r="F734" s="14">
        <v>0</v>
      </c>
      <c r="G734" s="14"/>
      <c r="H734" s="14"/>
      <c r="I734" s="8" t="s">
        <v>121</v>
      </c>
      <c r="J734" s="8" t="s">
        <v>38</v>
      </c>
      <c r="K734">
        <v>12.125</v>
      </c>
      <c r="L734">
        <v>75.75</v>
      </c>
      <c r="M734" s="14">
        <v>6.25</v>
      </c>
      <c r="N734" s="14">
        <v>4.5625</v>
      </c>
      <c r="R734" t="str">
        <f t="shared" si="37"/>
        <v xml:space="preserve">XX8X_PV_1361:    Front abuts stile:TRUE       Back abuts stile:FALSE          Panel Section: TOP           Stile in the back Width:            Cutout A: B-4354          Cutout B:      F.C.:6.25 in.         C.C.:4.5625 in.   </v>
      </c>
      <c r="S734" t="str">
        <f t="shared" si="38"/>
        <v>TRUE</v>
      </c>
      <c r="T734" t="str">
        <f t="shared" si="39"/>
        <v>FALSE</v>
      </c>
    </row>
    <row r="735" spans="1:20">
      <c r="A735" t="s">
        <v>895</v>
      </c>
      <c r="B735" s="14" t="s">
        <v>144</v>
      </c>
      <c r="C735" s="14" t="s">
        <v>156</v>
      </c>
      <c r="D735" s="14">
        <v>1</v>
      </c>
      <c r="E735" s="14">
        <v>1</v>
      </c>
      <c r="F735" s="14">
        <v>1</v>
      </c>
      <c r="G735" s="14">
        <v>0</v>
      </c>
      <c r="H735" s="14">
        <v>12</v>
      </c>
      <c r="I735" s="8" t="s">
        <v>149</v>
      </c>
      <c r="J735" s="8" t="s">
        <v>38</v>
      </c>
      <c r="K735">
        <v>46.9375</v>
      </c>
      <c r="L735">
        <v>79.1875</v>
      </c>
      <c r="M735" s="14">
        <v>12</v>
      </c>
      <c r="N735" s="14">
        <v>3.4375</v>
      </c>
      <c r="R735" t="str">
        <f t="shared" si="37"/>
        <v xml:space="preserve">XX8X_PV_1362:    Front abuts stile:TRUE       Back abuts stile:TRUE          Panel Section: TOP           Stile in the back Width: 12           Cutout A: B-34715          Cutout B:      F.C.:12 in.         C.C.:3.4375 in.   </v>
      </c>
      <c r="S735" t="str">
        <f t="shared" si="38"/>
        <v>TRUE</v>
      </c>
      <c r="T735" t="str">
        <f t="shared" si="39"/>
        <v>TRUE</v>
      </c>
    </row>
    <row r="736" spans="1:20">
      <c r="A736" t="s">
        <v>896</v>
      </c>
      <c r="B736" s="14" t="s">
        <v>144</v>
      </c>
      <c r="C736" s="14" t="s">
        <v>156</v>
      </c>
      <c r="D736" s="14">
        <v>1</v>
      </c>
      <c r="E736" s="14">
        <v>1</v>
      </c>
      <c r="F736" s="14">
        <v>1</v>
      </c>
      <c r="G736" s="14">
        <v>0</v>
      </c>
      <c r="H736" s="14">
        <v>24</v>
      </c>
      <c r="I736" s="8" t="s">
        <v>38</v>
      </c>
      <c r="J736" s="8" t="s">
        <v>38</v>
      </c>
      <c r="K736">
        <v>43</v>
      </c>
      <c r="L736">
        <v>20.5625</v>
      </c>
      <c r="M736" s="14">
        <v>12</v>
      </c>
      <c r="N736" s="14">
        <v>2.75</v>
      </c>
      <c r="R736" t="str">
        <f t="shared" si="37"/>
        <v xml:space="preserve">XX8X_PV_1363:    Front abuts stile:TRUE       Back abuts stile:TRUE          Panel Section: TOP           Stile in the back Width: 24           Cutout A:           Cutout B:      F.C.:12 in.         C.C.:2.75 in.   </v>
      </c>
      <c r="S736" t="str">
        <f t="shared" si="38"/>
        <v>TRUE</v>
      </c>
      <c r="T736" t="str">
        <f t="shared" si="39"/>
        <v>TRUE</v>
      </c>
    </row>
    <row r="737" spans="1:20">
      <c r="A737" t="s">
        <v>897</v>
      </c>
      <c r="B737" s="14" t="s">
        <v>144</v>
      </c>
      <c r="C737" s="14" t="s">
        <v>156</v>
      </c>
      <c r="D737" s="14">
        <v>1</v>
      </c>
      <c r="E737" s="14">
        <v>1</v>
      </c>
      <c r="F737" s="14">
        <v>1</v>
      </c>
      <c r="G737" s="14">
        <v>0</v>
      </c>
      <c r="H737" s="14"/>
      <c r="I737" s="8" t="s">
        <v>38</v>
      </c>
      <c r="J737" s="8" t="s">
        <v>38</v>
      </c>
      <c r="K737">
        <v>49.625</v>
      </c>
      <c r="L737">
        <v>71.625</v>
      </c>
      <c r="M737" s="14">
        <v>1.1875</v>
      </c>
      <c r="N737" s="14">
        <v>1.6875</v>
      </c>
      <c r="R737" t="str">
        <f t="shared" si="37"/>
        <v xml:space="preserve">XX8X_PV_1364:    Front abuts stile:TRUE       Back abuts stile:TRUE          Panel Section: TOP           Stile in the back Width:            Cutout A:           Cutout B:      F.C.:1.1875 in.         C.C.:1.6875 in.   </v>
      </c>
      <c r="S737" t="str">
        <f t="shared" si="38"/>
        <v>TRUE</v>
      </c>
      <c r="T737" t="str">
        <f t="shared" si="39"/>
        <v>TRUE</v>
      </c>
    </row>
    <row r="738" spans="1:20">
      <c r="A738" t="s">
        <v>898</v>
      </c>
      <c r="B738" s="14" t="s">
        <v>144</v>
      </c>
      <c r="C738" s="14" t="s">
        <v>156</v>
      </c>
      <c r="D738" s="14">
        <v>1</v>
      </c>
      <c r="E738" s="14">
        <v>1</v>
      </c>
      <c r="F738" s="14">
        <v>1</v>
      </c>
      <c r="G738" s="14">
        <v>1</v>
      </c>
      <c r="H738" s="14"/>
      <c r="I738" s="8" t="s">
        <v>38</v>
      </c>
      <c r="J738" s="8" t="s">
        <v>38</v>
      </c>
      <c r="K738">
        <v>7.625</v>
      </c>
      <c r="L738">
        <v>64.5</v>
      </c>
      <c r="M738" s="14">
        <v>12</v>
      </c>
      <c r="N738" s="14">
        <v>4.5</v>
      </c>
      <c r="R738" t="str">
        <f t="shared" si="37"/>
        <v xml:space="preserve">XX8X_PV_1365:    Front abuts stile:TRUE       Back abuts stile:TRUE          Panel Section: TOP           Stile in the back Width:            Cutout A:           Cutout B:      F.C.:12 in.         C.C.:4.5 in.   </v>
      </c>
      <c r="S738" t="str">
        <f t="shared" si="38"/>
        <v>TRUE</v>
      </c>
      <c r="T738" t="str">
        <f t="shared" si="39"/>
        <v>TRUE</v>
      </c>
    </row>
    <row r="739" spans="1:20">
      <c r="A739" t="s">
        <v>899</v>
      </c>
      <c r="B739" s="14" t="s">
        <v>144</v>
      </c>
      <c r="C739" s="14" t="s">
        <v>157</v>
      </c>
      <c r="D739" s="14">
        <v>0</v>
      </c>
      <c r="E739" s="14"/>
      <c r="F739" s="14">
        <v>0</v>
      </c>
      <c r="G739" s="14"/>
      <c r="H739" s="14"/>
      <c r="I739" s="8" t="s">
        <v>38</v>
      </c>
      <c r="J739" s="8" t="s">
        <v>38</v>
      </c>
      <c r="K739">
        <v>60</v>
      </c>
      <c r="L739">
        <v>75.8125</v>
      </c>
      <c r="M739" s="14">
        <v>12</v>
      </c>
      <c r="N739" s="14">
        <v>6.4375</v>
      </c>
      <c r="R739" t="str">
        <f t="shared" si="37"/>
        <v xml:space="preserve">XX8X_PV_1381:    Front abuts stile:FALSE       Back abuts stile:FALSE          Panel Section: BOTTOM           Stile in the back Width:            Cutout A:           Cutout B:      F.C.:12 in.         C.C.:6.4375 in.   </v>
      </c>
      <c r="S739" t="str">
        <f t="shared" si="38"/>
        <v>FALSE</v>
      </c>
      <c r="T739" t="str">
        <f t="shared" si="39"/>
        <v>FALSE</v>
      </c>
    </row>
    <row r="740" spans="1:20">
      <c r="A740" t="s">
        <v>900</v>
      </c>
      <c r="B740" s="14" t="s">
        <v>144</v>
      </c>
      <c r="C740" s="14" t="s">
        <v>157</v>
      </c>
      <c r="D740" s="14">
        <v>0</v>
      </c>
      <c r="E740" s="14"/>
      <c r="F740" s="14">
        <v>1</v>
      </c>
      <c r="G740" s="14">
        <v>0</v>
      </c>
      <c r="H740" s="14">
        <v>12</v>
      </c>
      <c r="I740" s="8" t="s">
        <v>120</v>
      </c>
      <c r="J740" s="8" t="s">
        <v>38</v>
      </c>
      <c r="K740">
        <v>60</v>
      </c>
      <c r="L740">
        <v>50.75</v>
      </c>
      <c r="M740" s="14">
        <v>9</v>
      </c>
      <c r="N740" s="14">
        <v>5.3125</v>
      </c>
      <c r="R740" t="str">
        <f t="shared" si="37"/>
        <v xml:space="preserve">XX8X_PV_1382:    Front abuts stile:FALSE       Back abuts stile:TRUE          Panel Section: BOTTOM           Stile in the back Width: 12           Cutout A: B-386          Cutout B:      F.C.:9 in.         C.C.:5.3125 in.   </v>
      </c>
      <c r="S740" t="str">
        <f t="shared" si="38"/>
        <v>FALSE</v>
      </c>
      <c r="T740" t="str">
        <f t="shared" si="39"/>
        <v>TRUE</v>
      </c>
    </row>
    <row r="741" spans="1:20">
      <c r="A741" t="s">
        <v>901</v>
      </c>
      <c r="B741" s="14" t="s">
        <v>144</v>
      </c>
      <c r="C741" s="14" t="s">
        <v>157</v>
      </c>
      <c r="D741" s="14">
        <v>0</v>
      </c>
      <c r="E741" s="14"/>
      <c r="F741" s="14">
        <v>1</v>
      </c>
      <c r="G741" s="14">
        <v>0</v>
      </c>
      <c r="H741" s="14">
        <v>24</v>
      </c>
      <c r="I741" s="8" t="s">
        <v>120</v>
      </c>
      <c r="J741" s="8" t="s">
        <v>38</v>
      </c>
      <c r="K741">
        <v>60</v>
      </c>
      <c r="L741">
        <v>51.875</v>
      </c>
      <c r="M741" s="14">
        <v>1</v>
      </c>
      <c r="N741" s="14">
        <v>6.75</v>
      </c>
      <c r="R741" t="str">
        <f t="shared" si="37"/>
        <v xml:space="preserve">XX8X_PV_1383:    Front abuts stile:FALSE       Back abuts stile:TRUE          Panel Section: BOTTOM           Stile in the back Width: 24           Cutout A: B-386          Cutout B:      F.C.:1 in.         C.C.:6.75 in.   </v>
      </c>
      <c r="S741" t="str">
        <f t="shared" si="38"/>
        <v>FALSE</v>
      </c>
      <c r="T741" t="str">
        <f t="shared" si="39"/>
        <v>TRUE</v>
      </c>
    </row>
    <row r="742" spans="1:20">
      <c r="A742" t="s">
        <v>902</v>
      </c>
      <c r="B742" s="14" t="s">
        <v>144</v>
      </c>
      <c r="C742" s="14" t="s">
        <v>157</v>
      </c>
      <c r="D742" s="14">
        <v>0</v>
      </c>
      <c r="E742" s="14"/>
      <c r="F742" s="14">
        <v>1</v>
      </c>
      <c r="G742" s="14">
        <v>0</v>
      </c>
      <c r="H742" s="14"/>
      <c r="I742" s="8" t="s">
        <v>38</v>
      </c>
      <c r="J742" s="8" t="s">
        <v>38</v>
      </c>
      <c r="K742">
        <v>60</v>
      </c>
      <c r="L742">
        <v>60.1875</v>
      </c>
      <c r="M742" s="14">
        <v>9</v>
      </c>
      <c r="N742" s="14">
        <v>7.375</v>
      </c>
      <c r="R742" t="str">
        <f t="shared" si="37"/>
        <v xml:space="preserve">XX8X_PV_1384:    Front abuts stile:FALSE       Back abuts stile:TRUE          Panel Section: BOTTOM           Stile in the back Width:            Cutout A:           Cutout B:      F.C.:9 in.         C.C.:7.375 in.   </v>
      </c>
      <c r="S742" t="str">
        <f t="shared" si="38"/>
        <v>FALSE</v>
      </c>
      <c r="T742" t="str">
        <f t="shared" si="39"/>
        <v>TRUE</v>
      </c>
    </row>
    <row r="743" spans="1:20">
      <c r="A743" t="s">
        <v>903</v>
      </c>
      <c r="B743" s="14" t="s">
        <v>144</v>
      </c>
      <c r="C743" s="14" t="s">
        <v>157</v>
      </c>
      <c r="D743" s="14">
        <v>0</v>
      </c>
      <c r="E743" s="14"/>
      <c r="F743" s="14">
        <v>1</v>
      </c>
      <c r="G743" s="14">
        <v>1</v>
      </c>
      <c r="H743" s="14"/>
      <c r="I743" s="8" t="s">
        <v>38</v>
      </c>
      <c r="J743" s="8" t="s">
        <v>38</v>
      </c>
      <c r="K743">
        <v>60</v>
      </c>
      <c r="L743">
        <v>70.0625</v>
      </c>
      <c r="M743" s="14">
        <v>4.5</v>
      </c>
      <c r="N743" s="14">
        <v>1</v>
      </c>
      <c r="R743" t="str">
        <f t="shared" si="37"/>
        <v xml:space="preserve">XX8X_PV_1385:    Front abuts stile:FALSE       Back abuts stile:TRUE          Panel Section: BOTTOM           Stile in the back Width:            Cutout A:           Cutout B:      F.C.:4.5 in.         C.C.:1 in.   </v>
      </c>
      <c r="S743" t="str">
        <f t="shared" si="38"/>
        <v>FALSE</v>
      </c>
      <c r="T743" t="str">
        <f t="shared" si="39"/>
        <v>TRUE</v>
      </c>
    </row>
    <row r="744" spans="1:20">
      <c r="A744" t="s">
        <v>904</v>
      </c>
      <c r="B744" s="14" t="s">
        <v>144</v>
      </c>
      <c r="C744" s="14" t="s">
        <v>157</v>
      </c>
      <c r="D744" s="14">
        <v>1</v>
      </c>
      <c r="E744" s="14">
        <v>0</v>
      </c>
      <c r="F744" s="14">
        <v>0</v>
      </c>
      <c r="G744" s="14"/>
      <c r="H744" s="14"/>
      <c r="I744" s="8" t="s">
        <v>120</v>
      </c>
      <c r="J744" s="8" t="s">
        <v>119</v>
      </c>
      <c r="K744">
        <v>60</v>
      </c>
      <c r="L744">
        <v>56.6875</v>
      </c>
      <c r="M744" s="14">
        <v>4.0625</v>
      </c>
      <c r="N744" s="14">
        <v>6.5625</v>
      </c>
      <c r="R744" t="str">
        <f t="shared" si="37"/>
        <v xml:space="preserve">XX8X_PV_1386:    Front abuts stile:TRUE       Back abuts stile:FALSE          Panel Section: BOTTOM           Stile in the back Width:            Cutout A: B-386          Cutout B:B-354      F.C.:4.0625 in.         C.C.:6.5625 in.   </v>
      </c>
      <c r="S744" t="str">
        <f t="shared" si="38"/>
        <v>TRUE</v>
      </c>
      <c r="T744" t="str">
        <f t="shared" si="39"/>
        <v>FALSE</v>
      </c>
    </row>
    <row r="745" spans="1:20">
      <c r="A745" t="s">
        <v>905</v>
      </c>
      <c r="B745" s="14" t="s">
        <v>144</v>
      </c>
      <c r="C745" s="14" t="s">
        <v>157</v>
      </c>
      <c r="D745" s="14">
        <v>1</v>
      </c>
      <c r="E745" s="14">
        <v>0</v>
      </c>
      <c r="F745" s="14">
        <v>1</v>
      </c>
      <c r="G745" s="14">
        <v>0</v>
      </c>
      <c r="H745" s="14">
        <v>12</v>
      </c>
      <c r="I745" s="8" t="s">
        <v>150</v>
      </c>
      <c r="J745" s="8" t="s">
        <v>38</v>
      </c>
      <c r="K745">
        <v>60</v>
      </c>
      <c r="L745">
        <v>70.3125</v>
      </c>
      <c r="M745" s="14">
        <v>4.5</v>
      </c>
      <c r="N745" s="14">
        <v>2.8125</v>
      </c>
      <c r="R745" t="str">
        <f t="shared" si="37"/>
        <v xml:space="preserve">XX8X_PV_1387:    Front abuts stile:TRUE       Back abuts stile:TRUE          Panel Section: BOTTOM           Stile in the back Width: 12           Cutout A: B-3571          Cutout B:      F.C.:4.5 in.         C.C.:2.8125 in.   </v>
      </c>
      <c r="S745" t="str">
        <f t="shared" si="38"/>
        <v>TRUE</v>
      </c>
      <c r="T745" t="str">
        <f t="shared" si="39"/>
        <v>TRUE</v>
      </c>
    </row>
    <row r="746" spans="1:20">
      <c r="A746" t="s">
        <v>906</v>
      </c>
      <c r="B746" s="14" t="s">
        <v>144</v>
      </c>
      <c r="C746" s="14" t="s">
        <v>157</v>
      </c>
      <c r="D746" s="14">
        <v>1</v>
      </c>
      <c r="E746" s="14">
        <v>0</v>
      </c>
      <c r="F746" s="14">
        <v>1</v>
      </c>
      <c r="G746" s="14">
        <v>0</v>
      </c>
      <c r="H746" s="14">
        <v>24</v>
      </c>
      <c r="I746" s="8" t="s">
        <v>120</v>
      </c>
      <c r="J746" s="8" t="s">
        <v>38</v>
      </c>
      <c r="K746">
        <v>60</v>
      </c>
      <c r="L746">
        <v>75.5625</v>
      </c>
      <c r="M746" s="14">
        <v>9</v>
      </c>
      <c r="N746" s="14">
        <v>1</v>
      </c>
      <c r="R746" t="str">
        <f t="shared" si="37"/>
        <v xml:space="preserve">XX8X_PV_1388:    Front abuts stile:TRUE       Back abuts stile:TRUE          Panel Section: BOTTOM           Stile in the back Width: 24           Cutout A: B-386          Cutout B:      F.C.:9 in.         C.C.:1 in.   </v>
      </c>
      <c r="S746" t="str">
        <f t="shared" si="38"/>
        <v>TRUE</v>
      </c>
      <c r="T746" t="str">
        <f t="shared" si="39"/>
        <v>TRUE</v>
      </c>
    </row>
    <row r="747" spans="1:20">
      <c r="A747" t="s">
        <v>907</v>
      </c>
      <c r="B747" s="14" t="s">
        <v>144</v>
      </c>
      <c r="C747" s="14" t="s">
        <v>157</v>
      </c>
      <c r="D747" s="14">
        <v>1</v>
      </c>
      <c r="E747" s="14">
        <v>0</v>
      </c>
      <c r="F747" s="14">
        <v>1</v>
      </c>
      <c r="G747" s="14">
        <v>0</v>
      </c>
      <c r="H747" s="14"/>
      <c r="I747" s="8" t="s">
        <v>38</v>
      </c>
      <c r="J747" s="8" t="s">
        <v>38</v>
      </c>
      <c r="K747">
        <v>60</v>
      </c>
      <c r="L747">
        <v>42.5</v>
      </c>
      <c r="M747" s="14">
        <v>9</v>
      </c>
      <c r="N747" s="14">
        <v>1.5</v>
      </c>
      <c r="R747" t="str">
        <f t="shared" si="37"/>
        <v xml:space="preserve">XX8X_PV_1389:    Front abuts stile:TRUE       Back abuts stile:TRUE          Panel Section: BOTTOM           Stile in the back Width:            Cutout A:           Cutout B:      F.C.:9 in.         C.C.:1.5 in.   </v>
      </c>
      <c r="S747" t="str">
        <f t="shared" si="38"/>
        <v>TRUE</v>
      </c>
      <c r="T747" t="str">
        <f t="shared" si="39"/>
        <v>TRUE</v>
      </c>
    </row>
    <row r="748" spans="1:20">
      <c r="A748" t="s">
        <v>908</v>
      </c>
      <c r="B748" s="14" t="s">
        <v>144</v>
      </c>
      <c r="C748" s="14" t="s">
        <v>157</v>
      </c>
      <c r="D748" s="14">
        <v>1</v>
      </c>
      <c r="E748" s="14">
        <v>0</v>
      </c>
      <c r="F748" s="14">
        <v>1</v>
      </c>
      <c r="G748" s="14">
        <v>1</v>
      </c>
      <c r="H748" s="14"/>
      <c r="I748" s="8" t="s">
        <v>38</v>
      </c>
      <c r="J748" s="8" t="s">
        <v>38</v>
      </c>
      <c r="K748">
        <v>60</v>
      </c>
      <c r="L748">
        <v>5.6875</v>
      </c>
      <c r="M748" s="14">
        <v>4.5</v>
      </c>
      <c r="N748" s="14">
        <v>1</v>
      </c>
      <c r="R748" t="str">
        <f t="shared" si="37"/>
        <v xml:space="preserve">XX8X_PV_1390:    Front abuts stile:TRUE       Back abuts stile:TRUE          Panel Section: BOTTOM           Stile in the back Width:            Cutout A:           Cutout B:      F.C.:4.5 in.         C.C.:1 in.   </v>
      </c>
      <c r="S748" t="str">
        <f t="shared" si="38"/>
        <v>TRUE</v>
      </c>
      <c r="T748" t="str">
        <f t="shared" si="39"/>
        <v>TRUE</v>
      </c>
    </row>
    <row r="749" spans="1:20">
      <c r="A749" t="s">
        <v>909</v>
      </c>
      <c r="B749" s="14" t="s">
        <v>144</v>
      </c>
      <c r="C749" s="14" t="s">
        <v>157</v>
      </c>
      <c r="D749" s="14">
        <v>1</v>
      </c>
      <c r="E749" s="14">
        <v>1</v>
      </c>
      <c r="F749" s="14">
        <v>0</v>
      </c>
      <c r="G749" s="14"/>
      <c r="H749" s="14"/>
      <c r="I749" s="8" t="s">
        <v>38</v>
      </c>
      <c r="J749" s="8" t="s">
        <v>38</v>
      </c>
      <c r="K749">
        <v>60</v>
      </c>
      <c r="L749">
        <v>16</v>
      </c>
      <c r="M749" s="14">
        <v>3</v>
      </c>
      <c r="N749" s="14">
        <v>6.9375</v>
      </c>
      <c r="R749" t="str">
        <f t="shared" si="37"/>
        <v xml:space="preserve">XX8X_PV_1391:    Front abuts stile:TRUE       Back abuts stile:FALSE          Panel Section: BOTTOM           Stile in the back Width:            Cutout A:           Cutout B:      F.C.:3 in.         C.C.:6.9375 in.   </v>
      </c>
      <c r="S749" t="str">
        <f t="shared" si="38"/>
        <v>TRUE</v>
      </c>
      <c r="T749" t="str">
        <f t="shared" si="39"/>
        <v>FALSE</v>
      </c>
    </row>
    <row r="750" spans="1:20">
      <c r="A750" t="s">
        <v>910</v>
      </c>
      <c r="B750" s="14" t="s">
        <v>144</v>
      </c>
      <c r="C750" s="14" t="s">
        <v>157</v>
      </c>
      <c r="D750" s="14">
        <v>1</v>
      </c>
      <c r="E750" s="14">
        <v>1</v>
      </c>
      <c r="F750" s="14">
        <v>1</v>
      </c>
      <c r="G750" s="14">
        <v>0</v>
      </c>
      <c r="H750" s="14">
        <v>12</v>
      </c>
      <c r="I750" s="8" t="s">
        <v>145</v>
      </c>
      <c r="J750" s="8" t="s">
        <v>38</v>
      </c>
      <c r="K750">
        <v>60</v>
      </c>
      <c r="L750">
        <v>54.25</v>
      </c>
      <c r="M750" s="14">
        <v>4.5</v>
      </c>
      <c r="N750" s="14">
        <v>1</v>
      </c>
      <c r="R750" t="str">
        <f t="shared" si="37"/>
        <v xml:space="preserve">XX8X_PV_1392:    Front abuts stile:TRUE       Back abuts stile:TRUE          Panel Section: BOTTOM           Stile in the back Width: 12           Cutout A: B-347          Cutout B:      F.C.:4.5 in.         C.C.:1 in.   </v>
      </c>
      <c r="S750" t="str">
        <f t="shared" si="38"/>
        <v>TRUE</v>
      </c>
      <c r="T750" t="str">
        <f t="shared" si="39"/>
        <v>TRUE</v>
      </c>
    </row>
    <row r="751" spans="1:20">
      <c r="A751" t="s">
        <v>911</v>
      </c>
      <c r="B751" s="14" t="s">
        <v>144</v>
      </c>
      <c r="C751" s="14" t="s">
        <v>157</v>
      </c>
      <c r="D751" s="14">
        <v>1</v>
      </c>
      <c r="E751" s="14">
        <v>1</v>
      </c>
      <c r="F751" s="14">
        <v>1</v>
      </c>
      <c r="G751" s="14">
        <v>0</v>
      </c>
      <c r="H751" s="14">
        <v>24</v>
      </c>
      <c r="I751" s="8" t="s">
        <v>120</v>
      </c>
      <c r="J751" s="8" t="s">
        <v>38</v>
      </c>
      <c r="K751">
        <v>60</v>
      </c>
      <c r="L751">
        <v>53.9375</v>
      </c>
      <c r="M751" s="14">
        <v>9</v>
      </c>
      <c r="N751" s="14">
        <v>1</v>
      </c>
      <c r="R751" t="str">
        <f t="shared" si="37"/>
        <v xml:space="preserve">XX8X_PV_1393:    Front abuts stile:TRUE       Back abuts stile:TRUE          Panel Section: BOTTOM           Stile in the back Width: 24           Cutout A: B-386          Cutout B:      F.C.:9 in.         C.C.:1 in.   </v>
      </c>
      <c r="S751" t="str">
        <f t="shared" si="38"/>
        <v>TRUE</v>
      </c>
      <c r="T751" t="str">
        <f t="shared" si="39"/>
        <v>TRUE</v>
      </c>
    </row>
    <row r="752" spans="1:20">
      <c r="A752" t="s">
        <v>912</v>
      </c>
      <c r="B752" s="14" t="s">
        <v>144</v>
      </c>
      <c r="C752" s="14" t="s">
        <v>157</v>
      </c>
      <c r="D752" s="14">
        <v>1</v>
      </c>
      <c r="E752" s="14">
        <v>1</v>
      </c>
      <c r="F752" s="14">
        <v>1</v>
      </c>
      <c r="G752" s="14">
        <v>0</v>
      </c>
      <c r="H752" s="14"/>
      <c r="I752" s="8" t="s">
        <v>38</v>
      </c>
      <c r="J752" s="8" t="s">
        <v>38</v>
      </c>
      <c r="K752">
        <v>60</v>
      </c>
      <c r="L752">
        <v>53.125</v>
      </c>
      <c r="M752" s="14">
        <v>1.8125</v>
      </c>
      <c r="N752" s="14">
        <v>1</v>
      </c>
      <c r="R752" t="str">
        <f t="shared" si="37"/>
        <v xml:space="preserve">XX8X_PV_1394:    Front abuts stile:TRUE       Back abuts stile:TRUE          Panel Section: BOTTOM           Stile in the back Width:            Cutout A:           Cutout B:      F.C.:1.8125 in.         C.C.:1 in.   </v>
      </c>
      <c r="S752" t="str">
        <f t="shared" si="38"/>
        <v>TRUE</v>
      </c>
      <c r="T752" t="str">
        <f t="shared" si="39"/>
        <v>TRUE</v>
      </c>
    </row>
    <row r="753" spans="1:20">
      <c r="A753" t="s">
        <v>913</v>
      </c>
      <c r="B753" s="14" t="s">
        <v>144</v>
      </c>
      <c r="C753" s="14" t="s">
        <v>157</v>
      </c>
      <c r="D753" s="14">
        <v>1</v>
      </c>
      <c r="E753" s="14">
        <v>1</v>
      </c>
      <c r="F753" s="14">
        <v>1</v>
      </c>
      <c r="G753" s="14">
        <v>1</v>
      </c>
      <c r="H753" s="14"/>
      <c r="I753" s="8" t="s">
        <v>38</v>
      </c>
      <c r="J753" s="8" t="s">
        <v>38</v>
      </c>
      <c r="K753">
        <v>60</v>
      </c>
      <c r="L753">
        <v>42.3125</v>
      </c>
      <c r="M753" s="14">
        <v>1.5625</v>
      </c>
      <c r="N753" s="14">
        <v>4.9375</v>
      </c>
      <c r="R753" t="str">
        <f t="shared" si="37"/>
        <v xml:space="preserve">XX8X_PV_1395:    Front abuts stile:TRUE       Back abuts stile:TRUE          Panel Section: BOTTOM           Stile in the back Width:            Cutout A:           Cutout B:      F.C.:1.5625 in.         C.C.:4.9375 in.   </v>
      </c>
      <c r="S753" t="str">
        <f t="shared" si="38"/>
        <v>TRUE</v>
      </c>
      <c r="T753" t="str">
        <f t="shared" si="39"/>
        <v>TRUE</v>
      </c>
    </row>
    <row r="754" spans="1:20">
      <c r="A754" t="s">
        <v>914</v>
      </c>
      <c r="B754" s="14" t="s">
        <v>144</v>
      </c>
      <c r="C754" s="14" t="s">
        <v>21</v>
      </c>
      <c r="D754" s="14">
        <v>0</v>
      </c>
      <c r="E754" s="14"/>
      <c r="F754" s="14">
        <v>0</v>
      </c>
      <c r="G754" s="14"/>
      <c r="H754" s="14"/>
      <c r="I754" s="8" t="s">
        <v>148</v>
      </c>
      <c r="J754" s="8" t="s">
        <v>38</v>
      </c>
      <c r="K754">
        <v>96</v>
      </c>
      <c r="L754">
        <v>77.1875</v>
      </c>
      <c r="M754" s="14">
        <v>12</v>
      </c>
      <c r="N754" s="14">
        <v>1.5</v>
      </c>
      <c r="R754" t="str">
        <f t="shared" si="37"/>
        <v xml:space="preserve">XX8X_PV_1411:    Front abuts stile:FALSE       Back abuts stile:FALSE          Panel Section: WHOLE           Stile in the back Width:            Cutout A: B-3471          Cutout B:      F.C.:12 in.         C.C.:1.5 in.   </v>
      </c>
      <c r="S754" t="str">
        <f t="shared" si="38"/>
        <v>FALSE</v>
      </c>
      <c r="T754" t="str">
        <f t="shared" si="39"/>
        <v>FALSE</v>
      </c>
    </row>
    <row r="755" spans="1:20">
      <c r="A755" t="s">
        <v>915</v>
      </c>
      <c r="B755" s="14" t="s">
        <v>144</v>
      </c>
      <c r="C755" s="14" t="s">
        <v>21</v>
      </c>
      <c r="D755" s="14">
        <v>0</v>
      </c>
      <c r="E755" s="14"/>
      <c r="F755" s="14">
        <v>1</v>
      </c>
      <c r="G755" s="14">
        <v>0</v>
      </c>
      <c r="H755" s="14">
        <v>12</v>
      </c>
      <c r="I755" s="8" t="s">
        <v>145</v>
      </c>
      <c r="J755" s="8" t="s">
        <v>38</v>
      </c>
      <c r="K755">
        <v>47.625</v>
      </c>
      <c r="L755">
        <v>78.625</v>
      </c>
      <c r="M755" s="14">
        <v>5.875</v>
      </c>
      <c r="N755" s="14">
        <v>1</v>
      </c>
      <c r="R755" t="str">
        <f t="shared" si="37"/>
        <v xml:space="preserve">XX8X_PV_1412:    Front abuts stile:FALSE       Back abuts stile:TRUE          Panel Section: WHOLE           Stile in the back Width: 12           Cutout A: B-347          Cutout B:      F.C.:5.875 in.         C.C.:1 in.   </v>
      </c>
      <c r="S755" t="str">
        <f t="shared" si="38"/>
        <v>FALSE</v>
      </c>
      <c r="T755" t="str">
        <f t="shared" si="39"/>
        <v>TRUE</v>
      </c>
    </row>
    <row r="756" spans="1:20">
      <c r="A756" t="s">
        <v>916</v>
      </c>
      <c r="B756" s="14" t="s">
        <v>144</v>
      </c>
      <c r="C756" s="14" t="s">
        <v>21</v>
      </c>
      <c r="D756" s="14">
        <v>0</v>
      </c>
      <c r="E756" s="14"/>
      <c r="F756" s="14">
        <v>1</v>
      </c>
      <c r="G756" s="14">
        <v>0</v>
      </c>
      <c r="H756" s="14">
        <v>24</v>
      </c>
      <c r="I756" s="8" t="s">
        <v>120</v>
      </c>
      <c r="J756" s="8" t="s">
        <v>38</v>
      </c>
      <c r="K756">
        <v>96</v>
      </c>
      <c r="L756">
        <v>71.625</v>
      </c>
      <c r="M756" s="14">
        <v>9</v>
      </c>
      <c r="N756" s="14">
        <v>2.8125</v>
      </c>
      <c r="R756" t="str">
        <f t="shared" si="37"/>
        <v xml:space="preserve">XX8X_PV_1413:    Front abuts stile:FALSE       Back abuts stile:TRUE          Panel Section: WHOLE           Stile in the back Width: 24           Cutout A: B-386          Cutout B:      F.C.:9 in.         C.C.:2.8125 in.   </v>
      </c>
      <c r="S756" t="str">
        <f t="shared" si="38"/>
        <v>FALSE</v>
      </c>
      <c r="T756" t="str">
        <f t="shared" si="39"/>
        <v>TRUE</v>
      </c>
    </row>
    <row r="757" spans="1:20">
      <c r="A757" t="s">
        <v>917</v>
      </c>
      <c r="B757" s="14" t="s">
        <v>144</v>
      </c>
      <c r="C757" s="14" t="s">
        <v>21</v>
      </c>
      <c r="D757" s="14">
        <v>0</v>
      </c>
      <c r="E757" s="14"/>
      <c r="F757" s="14">
        <v>1</v>
      </c>
      <c r="G757" s="14">
        <v>0</v>
      </c>
      <c r="H757" s="14"/>
      <c r="I757" s="8" t="s">
        <v>38</v>
      </c>
      <c r="J757" s="8" t="s">
        <v>38</v>
      </c>
      <c r="K757">
        <v>47.75</v>
      </c>
      <c r="L757">
        <v>79.4375</v>
      </c>
      <c r="M757" s="14">
        <v>12</v>
      </c>
      <c r="N757" s="14">
        <v>1</v>
      </c>
      <c r="R757" t="str">
        <f t="shared" si="37"/>
        <v xml:space="preserve">XX8X_PV_1414:    Front abuts stile:FALSE       Back abuts stile:TRUE          Panel Section: WHOLE           Stile in the back Width:            Cutout A:           Cutout B:      F.C.:12 in.         C.C.:1 in.   </v>
      </c>
      <c r="S757" t="str">
        <f t="shared" si="38"/>
        <v>FALSE</v>
      </c>
      <c r="T757" t="str">
        <f t="shared" si="39"/>
        <v>TRUE</v>
      </c>
    </row>
    <row r="758" spans="1:20">
      <c r="A758" t="s">
        <v>918</v>
      </c>
      <c r="B758" s="14" t="s">
        <v>144</v>
      </c>
      <c r="C758" s="14" t="s">
        <v>21</v>
      </c>
      <c r="D758" s="14">
        <v>0</v>
      </c>
      <c r="E758" s="14"/>
      <c r="F758" s="14">
        <v>1</v>
      </c>
      <c r="G758" s="14">
        <v>1</v>
      </c>
      <c r="H758" s="14"/>
      <c r="I758" s="8" t="s">
        <v>38</v>
      </c>
      <c r="J758" s="8" t="s">
        <v>38</v>
      </c>
      <c r="K758">
        <v>96</v>
      </c>
      <c r="L758">
        <v>43.5625</v>
      </c>
      <c r="M758" s="14">
        <v>12</v>
      </c>
      <c r="N758" s="14">
        <v>1.4375</v>
      </c>
      <c r="R758" t="str">
        <f t="shared" si="37"/>
        <v xml:space="preserve">XX8X_PV_1415:    Front abuts stile:FALSE       Back abuts stile:TRUE          Panel Section: WHOLE           Stile in the back Width:            Cutout A:           Cutout B:      F.C.:12 in.         C.C.:1.4375 in.   </v>
      </c>
      <c r="S758" t="str">
        <f t="shared" si="38"/>
        <v>FALSE</v>
      </c>
      <c r="T758" t="str">
        <f t="shared" si="39"/>
        <v>TRUE</v>
      </c>
    </row>
    <row r="759" spans="1:20">
      <c r="A759" t="s">
        <v>919</v>
      </c>
      <c r="B759" s="14" t="s">
        <v>144</v>
      </c>
      <c r="C759" s="14" t="s">
        <v>21</v>
      </c>
      <c r="D759" s="14">
        <v>1</v>
      </c>
      <c r="E759" s="14">
        <v>0</v>
      </c>
      <c r="F759" s="14">
        <v>0</v>
      </c>
      <c r="G759" s="14"/>
      <c r="H759" s="14"/>
      <c r="I759" s="8" t="s">
        <v>145</v>
      </c>
      <c r="J759" s="8" t="s">
        <v>38</v>
      </c>
      <c r="K759">
        <v>49.6875</v>
      </c>
      <c r="L759">
        <v>70.875</v>
      </c>
      <c r="M759" s="14">
        <v>9</v>
      </c>
      <c r="N759" s="14">
        <v>1</v>
      </c>
      <c r="R759" t="str">
        <f t="shared" si="37"/>
        <v xml:space="preserve">XX8X_PV_1416:    Front abuts stile:TRUE       Back abuts stile:FALSE          Panel Section: WHOLE           Stile in the back Width:            Cutout A: B-347          Cutout B:      F.C.:9 in.         C.C.:1 in.   </v>
      </c>
      <c r="S759" t="str">
        <f t="shared" si="38"/>
        <v>TRUE</v>
      </c>
      <c r="T759" t="str">
        <f t="shared" si="39"/>
        <v>FALSE</v>
      </c>
    </row>
    <row r="760" spans="1:20">
      <c r="A760" t="s">
        <v>920</v>
      </c>
      <c r="B760" s="14" t="s">
        <v>144</v>
      </c>
      <c r="C760" s="14" t="s">
        <v>21</v>
      </c>
      <c r="D760" s="14">
        <v>1</v>
      </c>
      <c r="E760" s="14">
        <v>0</v>
      </c>
      <c r="F760" s="14">
        <v>1</v>
      </c>
      <c r="G760" s="14">
        <v>0</v>
      </c>
      <c r="H760" s="14">
        <v>12</v>
      </c>
      <c r="I760" s="8" t="s">
        <v>151</v>
      </c>
      <c r="J760" s="8" t="s">
        <v>38</v>
      </c>
      <c r="K760">
        <v>96</v>
      </c>
      <c r="L760">
        <v>49.25</v>
      </c>
      <c r="M760" s="14">
        <v>12</v>
      </c>
      <c r="N760" s="14">
        <v>4.125</v>
      </c>
      <c r="R760" t="str">
        <f t="shared" si="37"/>
        <v xml:space="preserve">XX8X_PV_1417:    Front abuts stile:TRUE       Back abuts stile:TRUE          Panel Section: WHOLE           Stile in the back Width: 12           Cutout A: B-35715          Cutout B:      F.C.:12 in.         C.C.:4.125 in.   </v>
      </c>
      <c r="S760" t="str">
        <f t="shared" si="38"/>
        <v>TRUE</v>
      </c>
      <c r="T760" t="str">
        <f t="shared" si="39"/>
        <v>TRUE</v>
      </c>
    </row>
    <row r="761" spans="1:20">
      <c r="A761" t="s">
        <v>921</v>
      </c>
      <c r="B761" s="14" t="s">
        <v>144</v>
      </c>
      <c r="C761" s="14" t="s">
        <v>21</v>
      </c>
      <c r="D761" s="14">
        <v>1</v>
      </c>
      <c r="E761" s="14">
        <v>0</v>
      </c>
      <c r="F761" s="14">
        <v>1</v>
      </c>
      <c r="G761" s="14">
        <v>0</v>
      </c>
      <c r="H761" s="14">
        <v>24</v>
      </c>
      <c r="I761" s="8" t="s">
        <v>120</v>
      </c>
      <c r="J761" s="8" t="s">
        <v>38</v>
      </c>
      <c r="K761">
        <v>68.0625</v>
      </c>
      <c r="L761">
        <v>72.1875</v>
      </c>
      <c r="M761" s="14">
        <v>1.9375</v>
      </c>
      <c r="N761" s="14">
        <v>1.875</v>
      </c>
      <c r="R761" t="str">
        <f t="shared" si="37"/>
        <v xml:space="preserve">XX8X_PV_1418:    Front abuts stile:TRUE       Back abuts stile:TRUE          Panel Section: WHOLE           Stile in the back Width: 24           Cutout A: B-386          Cutout B:      F.C.:1.9375 in.         C.C.:1.875 in.   </v>
      </c>
      <c r="S761" t="str">
        <f t="shared" si="38"/>
        <v>TRUE</v>
      </c>
      <c r="T761" t="str">
        <f t="shared" si="39"/>
        <v>TRUE</v>
      </c>
    </row>
    <row r="762" spans="1:20">
      <c r="A762" t="s">
        <v>922</v>
      </c>
      <c r="B762" s="14" t="s">
        <v>144</v>
      </c>
      <c r="C762" s="14" t="s">
        <v>21</v>
      </c>
      <c r="D762" s="14">
        <v>1</v>
      </c>
      <c r="E762" s="14">
        <v>0</v>
      </c>
      <c r="F762" s="14">
        <v>1</v>
      </c>
      <c r="G762" s="14">
        <v>0</v>
      </c>
      <c r="H762" s="14"/>
      <c r="I762" s="8" t="s">
        <v>38</v>
      </c>
      <c r="J762" s="8" t="s">
        <v>38</v>
      </c>
      <c r="K762">
        <v>96</v>
      </c>
      <c r="L762">
        <v>51</v>
      </c>
      <c r="M762" s="14">
        <v>9</v>
      </c>
      <c r="N762" s="14">
        <v>5.0625</v>
      </c>
      <c r="R762" t="str">
        <f t="shared" si="37"/>
        <v xml:space="preserve">XX8X_PV_1419:    Front abuts stile:TRUE       Back abuts stile:TRUE          Panel Section: WHOLE           Stile in the back Width:            Cutout A:           Cutout B:      F.C.:9 in.         C.C.:5.0625 in.   </v>
      </c>
      <c r="S762" t="str">
        <f t="shared" si="38"/>
        <v>TRUE</v>
      </c>
      <c r="T762" t="str">
        <f t="shared" si="39"/>
        <v>TRUE</v>
      </c>
    </row>
    <row r="763" spans="1:20">
      <c r="A763" t="s">
        <v>923</v>
      </c>
      <c r="B763" s="14" t="s">
        <v>144</v>
      </c>
      <c r="C763" s="14" t="s">
        <v>21</v>
      </c>
      <c r="D763" s="14">
        <v>1</v>
      </c>
      <c r="E763" s="14">
        <v>0</v>
      </c>
      <c r="F763" s="14">
        <v>1</v>
      </c>
      <c r="G763" s="14">
        <v>1</v>
      </c>
      <c r="H763" s="14"/>
      <c r="I763" s="8" t="s">
        <v>38</v>
      </c>
      <c r="J763" s="8" t="s">
        <v>38</v>
      </c>
      <c r="K763">
        <v>96</v>
      </c>
      <c r="L763">
        <v>61.625</v>
      </c>
      <c r="M763" s="14">
        <v>9</v>
      </c>
      <c r="N763" s="14">
        <v>1</v>
      </c>
      <c r="R763" t="str">
        <f t="shared" si="37"/>
        <v xml:space="preserve">XX8X_PV_1420:    Front abuts stile:TRUE       Back abuts stile:TRUE          Panel Section: WHOLE           Stile in the back Width:            Cutout A:           Cutout B:      F.C.:9 in.         C.C.:1 in.   </v>
      </c>
      <c r="S763" t="str">
        <f t="shared" si="38"/>
        <v>TRUE</v>
      </c>
      <c r="T763" t="str">
        <f t="shared" si="39"/>
        <v>TRUE</v>
      </c>
    </row>
    <row r="764" spans="1:20">
      <c r="A764" t="s">
        <v>924</v>
      </c>
      <c r="B764" s="14" t="s">
        <v>144</v>
      </c>
      <c r="C764" s="14" t="s">
        <v>21</v>
      </c>
      <c r="D764" s="14">
        <v>1</v>
      </c>
      <c r="E764" s="14">
        <v>1</v>
      </c>
      <c r="F764" s="14">
        <v>0</v>
      </c>
      <c r="G764" s="14"/>
      <c r="H764" s="14"/>
      <c r="I764" s="8" t="s">
        <v>121</v>
      </c>
      <c r="J764" s="8" t="s">
        <v>38</v>
      </c>
      <c r="K764">
        <v>96</v>
      </c>
      <c r="L764">
        <v>57.1875</v>
      </c>
      <c r="M764" s="14">
        <v>12</v>
      </c>
      <c r="N764" s="14">
        <v>1.6875</v>
      </c>
      <c r="R764" t="str">
        <f t="shared" si="37"/>
        <v xml:space="preserve">XX8X_PV_1421:    Front abuts stile:TRUE       Back abuts stile:FALSE          Panel Section: WHOLE           Stile in the back Width:            Cutout A: B-4354          Cutout B:      F.C.:12 in.         C.C.:1.6875 in.   </v>
      </c>
      <c r="S764" t="str">
        <f t="shared" si="38"/>
        <v>TRUE</v>
      </c>
      <c r="T764" t="str">
        <f t="shared" si="39"/>
        <v>FALSE</v>
      </c>
    </row>
    <row r="765" spans="1:20">
      <c r="A765" t="s">
        <v>925</v>
      </c>
      <c r="B765" s="14" t="s">
        <v>144</v>
      </c>
      <c r="C765" s="14" t="s">
        <v>21</v>
      </c>
      <c r="D765" s="14">
        <v>1</v>
      </c>
      <c r="E765" s="14">
        <v>1</v>
      </c>
      <c r="F765" s="14">
        <v>1</v>
      </c>
      <c r="G765" s="14">
        <v>0</v>
      </c>
      <c r="H765" s="14">
        <v>12</v>
      </c>
      <c r="I765" s="8" t="s">
        <v>145</v>
      </c>
      <c r="J765" s="8" t="s">
        <v>38</v>
      </c>
      <c r="K765">
        <v>104.6875</v>
      </c>
      <c r="L765">
        <v>58.25</v>
      </c>
      <c r="M765" s="14">
        <v>12</v>
      </c>
      <c r="N765" s="14">
        <v>2.4375</v>
      </c>
      <c r="R765" t="str">
        <f t="shared" si="37"/>
        <v xml:space="preserve">XX8X_PV_1422:    Front abuts stile:TRUE       Back abuts stile:TRUE          Panel Section: WHOLE           Stile in the back Width: 12           Cutout A: B-347          Cutout B:      F.C.:12 in.         C.C.:2.4375 in.   </v>
      </c>
      <c r="S765" t="str">
        <f t="shared" si="38"/>
        <v>TRUE</v>
      </c>
      <c r="T765" t="str">
        <f t="shared" si="39"/>
        <v>TRUE</v>
      </c>
    </row>
    <row r="766" spans="1:20">
      <c r="A766" t="s">
        <v>926</v>
      </c>
      <c r="B766" s="14" t="s">
        <v>144</v>
      </c>
      <c r="C766" s="14" t="s">
        <v>21</v>
      </c>
      <c r="D766" s="14">
        <v>1</v>
      </c>
      <c r="E766" s="14">
        <v>1</v>
      </c>
      <c r="F766" s="14">
        <v>1</v>
      </c>
      <c r="G766" s="14">
        <v>0</v>
      </c>
      <c r="H766" s="14">
        <v>24</v>
      </c>
      <c r="I766" s="8" t="s">
        <v>120</v>
      </c>
      <c r="J766" s="8" t="s">
        <v>38</v>
      </c>
      <c r="K766">
        <v>88.5625</v>
      </c>
      <c r="L766">
        <v>69</v>
      </c>
      <c r="M766" s="14">
        <v>4.5</v>
      </c>
      <c r="N766" s="14">
        <v>5.875</v>
      </c>
      <c r="R766" t="str">
        <f t="shared" si="37"/>
        <v xml:space="preserve">XX8X_PV_1423:    Front abuts stile:TRUE       Back abuts stile:TRUE          Panel Section: WHOLE           Stile in the back Width: 24           Cutout A: B-386          Cutout B:      F.C.:4.5 in.         C.C.:5.875 in.   </v>
      </c>
      <c r="S766" t="str">
        <f t="shared" si="38"/>
        <v>TRUE</v>
      </c>
      <c r="T766" t="str">
        <f t="shared" si="39"/>
        <v>TRUE</v>
      </c>
    </row>
    <row r="767" spans="1:20">
      <c r="A767" t="s">
        <v>927</v>
      </c>
      <c r="B767" s="14" t="s">
        <v>144</v>
      </c>
      <c r="C767" s="14" t="s">
        <v>21</v>
      </c>
      <c r="D767" s="14">
        <v>1</v>
      </c>
      <c r="E767" s="14">
        <v>1</v>
      </c>
      <c r="F767" s="14">
        <v>1</v>
      </c>
      <c r="G767" s="14">
        <v>0</v>
      </c>
      <c r="H767" s="14"/>
      <c r="I767" s="8" t="s">
        <v>38</v>
      </c>
      <c r="J767" s="8" t="s">
        <v>38</v>
      </c>
      <c r="K767">
        <v>96</v>
      </c>
      <c r="L767">
        <v>69.4375</v>
      </c>
      <c r="M767" s="14">
        <v>9</v>
      </c>
      <c r="N767" s="14">
        <v>4.6875</v>
      </c>
      <c r="R767" t="str">
        <f t="shared" si="37"/>
        <v xml:space="preserve">XX8X_PV_1424:    Front abuts stile:TRUE       Back abuts stile:TRUE          Panel Section: WHOLE           Stile in the back Width:            Cutout A:           Cutout B:      F.C.:9 in.         C.C.:4.6875 in.   </v>
      </c>
      <c r="S767" t="str">
        <f t="shared" si="38"/>
        <v>TRUE</v>
      </c>
      <c r="T767" t="str">
        <f t="shared" si="39"/>
        <v>TRUE</v>
      </c>
    </row>
    <row r="768" spans="1:20" ht="15" thickBot="1">
      <c r="A768" s="49" t="s">
        <v>928</v>
      </c>
      <c r="B768" s="50" t="s">
        <v>144</v>
      </c>
      <c r="C768" s="50" t="s">
        <v>21</v>
      </c>
      <c r="D768" s="50">
        <v>1</v>
      </c>
      <c r="E768" s="50">
        <v>1</v>
      </c>
      <c r="F768" s="50">
        <v>1</v>
      </c>
      <c r="G768" s="50">
        <v>1</v>
      </c>
      <c r="H768" s="50"/>
      <c r="I768" s="51" t="s">
        <v>38</v>
      </c>
      <c r="J768" s="51" t="s">
        <v>38</v>
      </c>
      <c r="K768" s="49">
        <v>96</v>
      </c>
      <c r="L768" s="49">
        <v>44.875</v>
      </c>
      <c r="M768" s="50">
        <v>9.125</v>
      </c>
      <c r="N768" s="50">
        <v>1</v>
      </c>
      <c r="R768" t="str">
        <f t="shared" si="37"/>
        <v xml:space="preserve">XX8X_PV_1425:    Front abuts stile:TRUE       Back abuts stile:TRUE          Panel Section: WHOLE           Stile in the back Width:            Cutout A:           Cutout B:      F.C.:9.125 in.         C.C.:1 in.   </v>
      </c>
      <c r="S768" t="str">
        <f t="shared" si="38"/>
        <v>TRUE</v>
      </c>
      <c r="T768" t="str">
        <f t="shared" si="39"/>
        <v>TRUE</v>
      </c>
    </row>
    <row r="769" spans="1:20" ht="15" thickTop="1">
      <c r="A769" t="s">
        <v>929</v>
      </c>
      <c r="B769" s="14" t="s">
        <v>144</v>
      </c>
      <c r="C769" s="14" t="s">
        <v>156</v>
      </c>
      <c r="D769" s="14">
        <v>0</v>
      </c>
      <c r="E769" s="14"/>
      <c r="F769" s="14">
        <v>0</v>
      </c>
      <c r="G769" s="14"/>
      <c r="H769" s="14"/>
      <c r="I769" s="8" t="s">
        <v>120</v>
      </c>
      <c r="J769" s="8" t="s">
        <v>38</v>
      </c>
      <c r="K769">
        <v>6.25</v>
      </c>
      <c r="L769">
        <v>50.25</v>
      </c>
      <c r="M769" s="14">
        <v>3.1875</v>
      </c>
      <c r="N769" s="14">
        <v>1</v>
      </c>
      <c r="R769" t="str">
        <f t="shared" ref="R769:R832" si="40">A769&amp;":    Front abuts stile:"&amp;S769&amp;"       Back abuts stile:"&amp;T769&amp;"          Panel Section: "&amp;C769&amp;"           Stile in the back Width: "&amp;H769&amp;"           Cutout A: "&amp;I769&amp;"          Cutout B:"&amp;J769&amp;"      F.C.:"&amp;M769&amp;" in. "&amp;"        C.C.:"&amp;N769&amp;" in. "&amp;"  "</f>
        <v xml:space="preserve">XX8X_PV_1426:    Front abuts stile:FALSE       Back abuts stile:FALSE          Panel Section: TOP           Stile in the back Width:            Cutout A: B-386          Cutout B:      F.C.:3.1875 in.         C.C.:1 in.   </v>
      </c>
      <c r="S769" t="str">
        <f t="shared" ref="S769:S832" si="41">IF(D769=1, "TRUE", "FALSE")</f>
        <v>FALSE</v>
      </c>
      <c r="T769" t="str">
        <f t="shared" ref="T769:T832" si="42">IF(F769=1, "TRUE", "FALSE")</f>
        <v>FALSE</v>
      </c>
    </row>
    <row r="770" spans="1:20">
      <c r="A770" t="s">
        <v>930</v>
      </c>
      <c r="B770" s="14" t="s">
        <v>144</v>
      </c>
      <c r="C770" s="14" t="s">
        <v>156</v>
      </c>
      <c r="D770" s="14">
        <v>0</v>
      </c>
      <c r="E770" s="14"/>
      <c r="F770" s="14">
        <v>1</v>
      </c>
      <c r="G770" s="14">
        <v>0</v>
      </c>
      <c r="H770" s="14">
        <v>12</v>
      </c>
      <c r="I770" s="8" t="s">
        <v>151</v>
      </c>
      <c r="J770" s="8" t="s">
        <v>38</v>
      </c>
      <c r="K770">
        <v>27.625</v>
      </c>
      <c r="L770">
        <v>65.125</v>
      </c>
      <c r="M770" s="14">
        <v>1</v>
      </c>
      <c r="N770" s="14">
        <v>1.75</v>
      </c>
      <c r="R770" t="str">
        <f t="shared" si="40"/>
        <v xml:space="preserve">XX8X_PV_1427:    Front abuts stile:FALSE       Back abuts stile:TRUE          Panel Section: TOP           Stile in the back Width: 12           Cutout A: B-35715          Cutout B:      F.C.:1 in.         C.C.:1.75 in.   </v>
      </c>
      <c r="S770" t="str">
        <f t="shared" si="41"/>
        <v>FALSE</v>
      </c>
      <c r="T770" t="str">
        <f t="shared" si="42"/>
        <v>TRUE</v>
      </c>
    </row>
    <row r="771" spans="1:20">
      <c r="A771" t="s">
        <v>931</v>
      </c>
      <c r="B771" s="14" t="s">
        <v>144</v>
      </c>
      <c r="C771" s="14" t="s">
        <v>156</v>
      </c>
      <c r="D771" s="14">
        <v>0</v>
      </c>
      <c r="E771" s="14"/>
      <c r="F771" s="14">
        <v>1</v>
      </c>
      <c r="G771" s="14">
        <v>0</v>
      </c>
      <c r="H771" s="14">
        <v>24</v>
      </c>
      <c r="I771" s="8" t="s">
        <v>38</v>
      </c>
      <c r="J771" s="8" t="s">
        <v>38</v>
      </c>
      <c r="K771">
        <v>37.125</v>
      </c>
      <c r="L771">
        <v>39.75</v>
      </c>
      <c r="M771" s="14">
        <v>1</v>
      </c>
      <c r="N771" s="14">
        <v>6.6875</v>
      </c>
      <c r="R771" t="str">
        <f t="shared" si="40"/>
        <v xml:space="preserve">XX8X_PV_1428:    Front abuts stile:FALSE       Back abuts stile:TRUE          Panel Section: TOP           Stile in the back Width: 24           Cutout A:           Cutout B:      F.C.:1 in.         C.C.:6.6875 in.   </v>
      </c>
      <c r="S771" t="str">
        <f t="shared" si="41"/>
        <v>FALSE</v>
      </c>
      <c r="T771" t="str">
        <f t="shared" si="42"/>
        <v>TRUE</v>
      </c>
    </row>
    <row r="772" spans="1:20">
      <c r="A772" t="s">
        <v>932</v>
      </c>
      <c r="B772" s="14" t="s">
        <v>144</v>
      </c>
      <c r="C772" s="14" t="s">
        <v>156</v>
      </c>
      <c r="D772" s="14">
        <v>0</v>
      </c>
      <c r="E772" s="14"/>
      <c r="F772" s="14">
        <v>1</v>
      </c>
      <c r="G772" s="14">
        <v>0</v>
      </c>
      <c r="H772" s="14"/>
      <c r="I772" s="8" t="s">
        <v>38</v>
      </c>
      <c r="J772" s="8" t="s">
        <v>38</v>
      </c>
      <c r="K772">
        <v>22.3125</v>
      </c>
      <c r="L772">
        <v>65.5</v>
      </c>
      <c r="M772" s="14">
        <v>11.875</v>
      </c>
      <c r="N772" s="14">
        <v>4.625</v>
      </c>
      <c r="R772" t="str">
        <f t="shared" si="40"/>
        <v xml:space="preserve">XX8X_PV_1429:    Front abuts stile:FALSE       Back abuts stile:TRUE          Panel Section: TOP           Stile in the back Width:            Cutout A:           Cutout B:      F.C.:11.875 in.         C.C.:4.625 in.   </v>
      </c>
      <c r="S772" t="str">
        <f t="shared" si="41"/>
        <v>FALSE</v>
      </c>
      <c r="T772" t="str">
        <f t="shared" si="42"/>
        <v>TRUE</v>
      </c>
    </row>
    <row r="773" spans="1:20">
      <c r="A773" t="s">
        <v>933</v>
      </c>
      <c r="B773" s="14" t="s">
        <v>144</v>
      </c>
      <c r="C773" s="14" t="s">
        <v>156</v>
      </c>
      <c r="D773" s="14">
        <v>0</v>
      </c>
      <c r="E773" s="14"/>
      <c r="F773" s="14">
        <v>1</v>
      </c>
      <c r="G773" s="14">
        <v>1</v>
      </c>
      <c r="H773" s="14"/>
      <c r="I773" s="8" t="s">
        <v>38</v>
      </c>
      <c r="J773" s="8" t="s">
        <v>38</v>
      </c>
      <c r="K773">
        <v>25.375</v>
      </c>
      <c r="L773">
        <v>52.3125</v>
      </c>
      <c r="M773" s="14">
        <v>12</v>
      </c>
      <c r="N773" s="14" t="s">
        <v>38</v>
      </c>
      <c r="R773" t="str">
        <f t="shared" si="40"/>
        <v xml:space="preserve">XX8X_PV_1430:    Front abuts stile:FALSE       Back abuts stile:TRUE          Panel Section: TOP           Stile in the back Width:            Cutout A:           Cutout B:      F.C.:12 in.         C.C.: in.   </v>
      </c>
      <c r="S773" t="str">
        <f t="shared" si="41"/>
        <v>FALSE</v>
      </c>
      <c r="T773" t="str">
        <f t="shared" si="42"/>
        <v>TRUE</v>
      </c>
    </row>
    <row r="774" spans="1:20">
      <c r="A774" t="s">
        <v>934</v>
      </c>
      <c r="B774" s="14" t="s">
        <v>144</v>
      </c>
      <c r="C774" s="14" t="s">
        <v>156</v>
      </c>
      <c r="D774" s="14">
        <v>1</v>
      </c>
      <c r="E774" s="14">
        <v>0</v>
      </c>
      <c r="F774" s="14">
        <v>0</v>
      </c>
      <c r="G774" s="14"/>
      <c r="H774" s="14"/>
      <c r="I774" s="8" t="s">
        <v>120</v>
      </c>
      <c r="J774" s="8" t="s">
        <v>38</v>
      </c>
      <c r="K774">
        <v>6.9375</v>
      </c>
      <c r="L774">
        <v>61.625</v>
      </c>
      <c r="M774" s="14">
        <v>9</v>
      </c>
      <c r="N774" s="14">
        <v>3.0625</v>
      </c>
      <c r="R774" t="str">
        <f t="shared" si="40"/>
        <v xml:space="preserve">XX8X_PV_1431:    Front abuts stile:TRUE       Back abuts stile:FALSE          Panel Section: TOP           Stile in the back Width:            Cutout A: B-386          Cutout B:      F.C.:9 in.         C.C.:3.0625 in.   </v>
      </c>
      <c r="S774" t="str">
        <f t="shared" si="41"/>
        <v>TRUE</v>
      </c>
      <c r="T774" t="str">
        <f t="shared" si="42"/>
        <v>FALSE</v>
      </c>
    </row>
    <row r="775" spans="1:20">
      <c r="A775" t="s">
        <v>935</v>
      </c>
      <c r="B775" s="14" t="s">
        <v>144</v>
      </c>
      <c r="C775" s="14" t="s">
        <v>156</v>
      </c>
      <c r="D775" s="14">
        <v>1</v>
      </c>
      <c r="E775" s="14">
        <v>0</v>
      </c>
      <c r="F775" s="14">
        <v>1</v>
      </c>
      <c r="G775" s="14">
        <v>0</v>
      </c>
      <c r="H775" s="14">
        <v>12</v>
      </c>
      <c r="I775" s="8" t="s">
        <v>120</v>
      </c>
      <c r="J775" s="8" t="s">
        <v>38</v>
      </c>
      <c r="K775">
        <v>3.5625</v>
      </c>
      <c r="L775">
        <v>45.9375</v>
      </c>
      <c r="M775" s="14">
        <v>9</v>
      </c>
      <c r="N775" s="14">
        <v>6</v>
      </c>
      <c r="R775" t="str">
        <f t="shared" si="40"/>
        <v xml:space="preserve">XX8X_PV_1432:    Front abuts stile:TRUE       Back abuts stile:TRUE          Panel Section: TOP           Stile in the back Width: 12           Cutout A: B-386          Cutout B:      F.C.:9 in.         C.C.:6 in.   </v>
      </c>
      <c r="S775" t="str">
        <f t="shared" si="41"/>
        <v>TRUE</v>
      </c>
      <c r="T775" t="str">
        <f t="shared" si="42"/>
        <v>TRUE</v>
      </c>
    </row>
    <row r="776" spans="1:20">
      <c r="A776" t="s">
        <v>936</v>
      </c>
      <c r="B776" s="14" t="s">
        <v>144</v>
      </c>
      <c r="C776" s="14" t="s">
        <v>156</v>
      </c>
      <c r="D776" s="14">
        <v>1</v>
      </c>
      <c r="E776" s="14">
        <v>0</v>
      </c>
      <c r="F776" s="14">
        <v>1</v>
      </c>
      <c r="G776" s="14">
        <v>0</v>
      </c>
      <c r="H776" s="14">
        <v>24</v>
      </c>
      <c r="I776" s="8" t="s">
        <v>149</v>
      </c>
      <c r="J776" s="8" t="s">
        <v>38</v>
      </c>
      <c r="K776">
        <v>6.75</v>
      </c>
      <c r="L776">
        <v>75</v>
      </c>
      <c r="M776" s="14">
        <v>4.5</v>
      </c>
      <c r="N776" s="14">
        <v>1</v>
      </c>
      <c r="R776" t="str">
        <f t="shared" si="40"/>
        <v xml:space="preserve">XX8X_PV_1433:    Front abuts stile:TRUE       Back abuts stile:TRUE          Panel Section: TOP           Stile in the back Width: 24           Cutout A: B-34715          Cutout B:      F.C.:4.5 in.         C.C.:1 in.   </v>
      </c>
      <c r="S776" t="str">
        <f t="shared" si="41"/>
        <v>TRUE</v>
      </c>
      <c r="T776" t="str">
        <f t="shared" si="42"/>
        <v>TRUE</v>
      </c>
    </row>
    <row r="777" spans="1:20">
      <c r="A777" t="s">
        <v>937</v>
      </c>
      <c r="B777" s="14" t="s">
        <v>144</v>
      </c>
      <c r="C777" s="14" t="s">
        <v>156</v>
      </c>
      <c r="D777" s="14">
        <v>1</v>
      </c>
      <c r="E777" s="14">
        <v>0</v>
      </c>
      <c r="F777" s="14">
        <v>1</v>
      </c>
      <c r="G777" s="14">
        <v>0</v>
      </c>
      <c r="H777" s="14"/>
      <c r="I777" s="8" t="s">
        <v>38</v>
      </c>
      <c r="J777" s="8" t="s">
        <v>38</v>
      </c>
      <c r="K777">
        <v>28.6875</v>
      </c>
      <c r="L777">
        <v>61</v>
      </c>
      <c r="M777" s="14">
        <v>12</v>
      </c>
      <c r="N777" s="14">
        <v>1</v>
      </c>
      <c r="R777" t="str">
        <f t="shared" si="40"/>
        <v xml:space="preserve">XX8X_PV_1434:    Front abuts stile:TRUE       Back abuts stile:TRUE          Panel Section: TOP           Stile in the back Width:            Cutout A:           Cutout B:      F.C.:12 in.         C.C.:1 in.   </v>
      </c>
      <c r="S777" t="str">
        <f t="shared" si="41"/>
        <v>TRUE</v>
      </c>
      <c r="T777" t="str">
        <f t="shared" si="42"/>
        <v>TRUE</v>
      </c>
    </row>
    <row r="778" spans="1:20">
      <c r="A778" t="s">
        <v>938</v>
      </c>
      <c r="B778" s="14" t="s">
        <v>144</v>
      </c>
      <c r="C778" s="14" t="s">
        <v>156</v>
      </c>
      <c r="D778" s="14">
        <v>1</v>
      </c>
      <c r="E778" s="14">
        <v>0</v>
      </c>
      <c r="F778" s="14">
        <v>1</v>
      </c>
      <c r="G778" s="14">
        <v>1</v>
      </c>
      <c r="H778" s="14"/>
      <c r="I778" s="8" t="s">
        <v>38</v>
      </c>
      <c r="J778" s="8" t="s">
        <v>38</v>
      </c>
      <c r="K778">
        <v>12.75</v>
      </c>
      <c r="L778">
        <v>68.1875</v>
      </c>
      <c r="M778" s="14">
        <v>4.5</v>
      </c>
      <c r="N778" s="14">
        <v>8</v>
      </c>
      <c r="R778" t="str">
        <f t="shared" si="40"/>
        <v xml:space="preserve">XX8X_PV_1435:    Front abuts stile:TRUE       Back abuts stile:TRUE          Panel Section: TOP           Stile in the back Width:            Cutout A:           Cutout B:      F.C.:4.5 in.         C.C.:8 in.   </v>
      </c>
      <c r="S778" t="str">
        <f t="shared" si="41"/>
        <v>TRUE</v>
      </c>
      <c r="T778" t="str">
        <f t="shared" si="42"/>
        <v>TRUE</v>
      </c>
    </row>
    <row r="779" spans="1:20">
      <c r="A779" t="s">
        <v>939</v>
      </c>
      <c r="B779" s="14" t="s">
        <v>144</v>
      </c>
      <c r="C779" s="14" t="s">
        <v>156</v>
      </c>
      <c r="D779" s="14">
        <v>1</v>
      </c>
      <c r="E779" s="14">
        <v>1</v>
      </c>
      <c r="F779" s="14">
        <v>0</v>
      </c>
      <c r="G779" s="14"/>
      <c r="H779" s="14"/>
      <c r="I779" s="8" t="s">
        <v>145</v>
      </c>
      <c r="J779" s="8" t="s">
        <v>38</v>
      </c>
      <c r="K779">
        <v>20.5625</v>
      </c>
      <c r="L779">
        <v>50.9375</v>
      </c>
      <c r="M779" s="14">
        <v>3.1875</v>
      </c>
      <c r="N779" s="14">
        <v>3</v>
      </c>
      <c r="R779" t="str">
        <f t="shared" si="40"/>
        <v xml:space="preserve">XX8X_PV_1436:    Front abuts stile:TRUE       Back abuts stile:FALSE          Panel Section: TOP           Stile in the back Width:            Cutout A: B-347          Cutout B:      F.C.:3.1875 in.         C.C.:3 in.   </v>
      </c>
      <c r="S779" t="str">
        <f t="shared" si="41"/>
        <v>TRUE</v>
      </c>
      <c r="T779" t="str">
        <f t="shared" si="42"/>
        <v>FALSE</v>
      </c>
    </row>
    <row r="780" spans="1:20">
      <c r="A780" t="s">
        <v>940</v>
      </c>
      <c r="B780" s="14" t="s">
        <v>144</v>
      </c>
      <c r="C780" s="14" t="s">
        <v>156</v>
      </c>
      <c r="D780" s="14">
        <v>1</v>
      </c>
      <c r="E780" s="14">
        <v>1</v>
      </c>
      <c r="F780" s="14">
        <v>1</v>
      </c>
      <c r="G780" s="14">
        <v>0</v>
      </c>
      <c r="H780" s="14">
        <v>12</v>
      </c>
      <c r="I780" s="8" t="s">
        <v>35</v>
      </c>
      <c r="J780" s="8" t="s">
        <v>38</v>
      </c>
      <c r="K780">
        <v>46.5</v>
      </c>
      <c r="L780">
        <v>78.625</v>
      </c>
      <c r="M780" s="14">
        <v>12</v>
      </c>
      <c r="N780" s="14">
        <v>1</v>
      </c>
      <c r="R780" t="str">
        <f t="shared" si="40"/>
        <v xml:space="preserve">XX8X_PV_1437:    Front abuts stile:TRUE       Back abuts stile:TRUE          Panel Section: TOP           Stile in the back Width: 12           Cutout A: B-357          Cutout B:      F.C.:12 in.         C.C.:1 in.   </v>
      </c>
      <c r="S780" t="str">
        <f t="shared" si="41"/>
        <v>TRUE</v>
      </c>
      <c r="T780" t="str">
        <f t="shared" si="42"/>
        <v>TRUE</v>
      </c>
    </row>
    <row r="781" spans="1:20">
      <c r="A781" t="s">
        <v>941</v>
      </c>
      <c r="B781" s="14" t="s">
        <v>144</v>
      </c>
      <c r="C781" s="14" t="s">
        <v>156</v>
      </c>
      <c r="D781" s="14">
        <v>1</v>
      </c>
      <c r="E781" s="14">
        <v>1</v>
      </c>
      <c r="F781" s="14">
        <v>1</v>
      </c>
      <c r="G781" s="14">
        <v>0</v>
      </c>
      <c r="H781" s="14">
        <v>24</v>
      </c>
      <c r="I781" s="8" t="s">
        <v>151</v>
      </c>
      <c r="J781" s="8" t="s">
        <v>38</v>
      </c>
      <c r="K781">
        <v>29.875</v>
      </c>
      <c r="L781">
        <v>77.6875</v>
      </c>
      <c r="M781" s="14">
        <v>12</v>
      </c>
      <c r="N781" s="14">
        <v>1</v>
      </c>
      <c r="R781" t="str">
        <f t="shared" si="40"/>
        <v xml:space="preserve">XX8X_PV_1438:    Front abuts stile:TRUE       Back abuts stile:TRUE          Panel Section: TOP           Stile in the back Width: 24           Cutout A: B-35715          Cutout B:      F.C.:12 in.         C.C.:1 in.   </v>
      </c>
      <c r="S781" t="str">
        <f t="shared" si="41"/>
        <v>TRUE</v>
      </c>
      <c r="T781" t="str">
        <f t="shared" si="42"/>
        <v>TRUE</v>
      </c>
    </row>
    <row r="782" spans="1:20">
      <c r="A782" t="s">
        <v>942</v>
      </c>
      <c r="B782" s="14" t="s">
        <v>144</v>
      </c>
      <c r="C782" s="14" t="s">
        <v>156</v>
      </c>
      <c r="D782" s="14">
        <v>1</v>
      </c>
      <c r="E782" s="14">
        <v>1</v>
      </c>
      <c r="F782" s="14">
        <v>1</v>
      </c>
      <c r="G782" s="14">
        <v>0</v>
      </c>
      <c r="H782" s="14"/>
      <c r="I782" s="8" t="s">
        <v>38</v>
      </c>
      <c r="J782" s="8" t="s">
        <v>38</v>
      </c>
      <c r="K782">
        <v>15.875</v>
      </c>
      <c r="L782">
        <v>69.9375</v>
      </c>
      <c r="M782" s="14">
        <v>1.875</v>
      </c>
      <c r="N782" s="14">
        <v>5.5</v>
      </c>
      <c r="R782" t="str">
        <f t="shared" si="40"/>
        <v xml:space="preserve">XX8X_PV_1439:    Front abuts stile:TRUE       Back abuts stile:TRUE          Panel Section: TOP           Stile in the back Width:            Cutout A:           Cutout B:      F.C.:1.875 in.         C.C.:5.5 in.   </v>
      </c>
      <c r="S782" t="str">
        <f t="shared" si="41"/>
        <v>TRUE</v>
      </c>
      <c r="T782" t="str">
        <f t="shared" si="42"/>
        <v>TRUE</v>
      </c>
    </row>
    <row r="783" spans="1:20">
      <c r="A783" t="s">
        <v>943</v>
      </c>
      <c r="B783" s="14" t="s">
        <v>144</v>
      </c>
      <c r="C783" s="14" t="s">
        <v>156</v>
      </c>
      <c r="D783" s="14">
        <v>1</v>
      </c>
      <c r="E783" s="14">
        <v>1</v>
      </c>
      <c r="F783" s="14">
        <v>1</v>
      </c>
      <c r="G783" s="14">
        <v>1</v>
      </c>
      <c r="H783" s="14"/>
      <c r="I783" s="8" t="s">
        <v>38</v>
      </c>
      <c r="J783" s="8" t="s">
        <v>38</v>
      </c>
      <c r="K783">
        <v>11.6875</v>
      </c>
      <c r="L783">
        <v>52.3125</v>
      </c>
      <c r="M783" s="14">
        <v>4.5</v>
      </c>
      <c r="N783" s="14" t="s">
        <v>38</v>
      </c>
      <c r="R783" t="str">
        <f t="shared" si="40"/>
        <v xml:space="preserve">XX8X_PV_1440:    Front abuts stile:TRUE       Back abuts stile:TRUE          Panel Section: TOP           Stile in the back Width:            Cutout A:           Cutout B:      F.C.:4.5 in.         C.C.: in.   </v>
      </c>
      <c r="S783" t="str">
        <f t="shared" si="41"/>
        <v>TRUE</v>
      </c>
      <c r="T783" t="str">
        <f t="shared" si="42"/>
        <v>TRUE</v>
      </c>
    </row>
    <row r="784" spans="1:20">
      <c r="A784" t="s">
        <v>944</v>
      </c>
      <c r="B784" s="14" t="s">
        <v>144</v>
      </c>
      <c r="C784" s="14" t="s">
        <v>157</v>
      </c>
      <c r="D784" s="14">
        <v>0</v>
      </c>
      <c r="E784" s="14"/>
      <c r="F784" s="14">
        <v>0</v>
      </c>
      <c r="G784" s="14"/>
      <c r="H784" s="14"/>
      <c r="I784" s="8" t="s">
        <v>121</v>
      </c>
      <c r="J784" s="8" t="s">
        <v>38</v>
      </c>
      <c r="K784">
        <v>60</v>
      </c>
      <c r="L784">
        <v>63.4375</v>
      </c>
      <c r="M784" s="14">
        <v>9.25</v>
      </c>
      <c r="N784" s="14" t="s">
        <v>38</v>
      </c>
      <c r="R784" t="str">
        <f t="shared" si="40"/>
        <v xml:space="preserve">XX8X_PV_1441:    Front abuts stile:FALSE       Back abuts stile:FALSE          Panel Section: BOTTOM           Stile in the back Width:            Cutout A: B-4354          Cutout B:      F.C.:9.25 in.         C.C.: in.   </v>
      </c>
      <c r="S784" t="str">
        <f t="shared" si="41"/>
        <v>FALSE</v>
      </c>
      <c r="T784" t="str">
        <f t="shared" si="42"/>
        <v>FALSE</v>
      </c>
    </row>
    <row r="785" spans="1:20">
      <c r="A785" t="s">
        <v>945</v>
      </c>
      <c r="B785" s="14" t="s">
        <v>144</v>
      </c>
      <c r="C785" s="14" t="s">
        <v>157</v>
      </c>
      <c r="D785" s="14">
        <v>0</v>
      </c>
      <c r="E785" s="14"/>
      <c r="F785" s="14">
        <v>1</v>
      </c>
      <c r="G785" s="14">
        <v>0</v>
      </c>
      <c r="H785" s="14">
        <v>12</v>
      </c>
      <c r="I785" s="8" t="s">
        <v>121</v>
      </c>
      <c r="J785" s="8" t="s">
        <v>38</v>
      </c>
      <c r="K785">
        <v>60</v>
      </c>
      <c r="L785">
        <v>78.25</v>
      </c>
      <c r="M785" s="14">
        <v>1</v>
      </c>
      <c r="N785" s="14">
        <v>6.0625</v>
      </c>
      <c r="R785" t="str">
        <f t="shared" si="40"/>
        <v xml:space="preserve">XX8X_PV_1442:    Front abuts stile:FALSE       Back abuts stile:TRUE          Panel Section: BOTTOM           Stile in the back Width: 12           Cutout A: B-4354          Cutout B:      F.C.:1 in.         C.C.:6.0625 in.   </v>
      </c>
      <c r="S785" t="str">
        <f t="shared" si="41"/>
        <v>FALSE</v>
      </c>
      <c r="T785" t="str">
        <f t="shared" si="42"/>
        <v>TRUE</v>
      </c>
    </row>
    <row r="786" spans="1:20">
      <c r="A786" t="s">
        <v>946</v>
      </c>
      <c r="B786" s="14" t="s">
        <v>144</v>
      </c>
      <c r="C786" s="14" t="s">
        <v>157</v>
      </c>
      <c r="D786" s="14">
        <v>0</v>
      </c>
      <c r="E786" s="14"/>
      <c r="F786" s="14">
        <v>1</v>
      </c>
      <c r="G786" s="14">
        <v>0</v>
      </c>
      <c r="H786" s="14">
        <v>24</v>
      </c>
      <c r="I786" s="8" t="s">
        <v>119</v>
      </c>
      <c r="J786" s="8" t="s">
        <v>38</v>
      </c>
      <c r="K786">
        <v>60</v>
      </c>
      <c r="L786">
        <v>66.3125</v>
      </c>
      <c r="M786" s="14">
        <v>12</v>
      </c>
      <c r="N786" s="14">
        <v>6.625</v>
      </c>
      <c r="R786" t="str">
        <f t="shared" si="40"/>
        <v xml:space="preserve">XX8X_PV_1443:    Front abuts stile:FALSE       Back abuts stile:TRUE          Panel Section: BOTTOM           Stile in the back Width: 24           Cutout A: B-354          Cutout B:      F.C.:12 in.         C.C.:6.625 in.   </v>
      </c>
      <c r="S786" t="str">
        <f t="shared" si="41"/>
        <v>FALSE</v>
      </c>
      <c r="T786" t="str">
        <f t="shared" si="42"/>
        <v>TRUE</v>
      </c>
    </row>
    <row r="787" spans="1:20">
      <c r="A787" t="s">
        <v>947</v>
      </c>
      <c r="B787" s="14" t="s">
        <v>144</v>
      </c>
      <c r="C787" s="14" t="s">
        <v>157</v>
      </c>
      <c r="D787" s="14">
        <v>0</v>
      </c>
      <c r="E787" s="14"/>
      <c r="F787" s="14">
        <v>1</v>
      </c>
      <c r="G787" s="14">
        <v>0</v>
      </c>
      <c r="H787" s="14"/>
      <c r="I787" s="8" t="s">
        <v>38</v>
      </c>
      <c r="J787" s="8" t="s">
        <v>38</v>
      </c>
      <c r="K787">
        <v>60</v>
      </c>
      <c r="L787">
        <v>75.25</v>
      </c>
      <c r="M787" s="14">
        <v>12</v>
      </c>
      <c r="N787" s="14">
        <v>7.125</v>
      </c>
      <c r="R787" t="str">
        <f t="shared" si="40"/>
        <v xml:space="preserve">XX8X_PV_1444:    Front abuts stile:FALSE       Back abuts stile:TRUE          Panel Section: BOTTOM           Stile in the back Width:            Cutout A:           Cutout B:      F.C.:12 in.         C.C.:7.125 in.   </v>
      </c>
      <c r="S787" t="str">
        <f t="shared" si="41"/>
        <v>FALSE</v>
      </c>
      <c r="T787" t="str">
        <f t="shared" si="42"/>
        <v>TRUE</v>
      </c>
    </row>
    <row r="788" spans="1:20">
      <c r="A788" t="s">
        <v>948</v>
      </c>
      <c r="B788" s="14" t="s">
        <v>144</v>
      </c>
      <c r="C788" s="14" t="s">
        <v>157</v>
      </c>
      <c r="D788" s="14">
        <v>0</v>
      </c>
      <c r="E788" s="14"/>
      <c r="F788" s="14">
        <v>1</v>
      </c>
      <c r="G788" s="14">
        <v>1</v>
      </c>
      <c r="H788" s="14"/>
      <c r="I788" s="8" t="s">
        <v>38</v>
      </c>
      <c r="J788" s="8" t="s">
        <v>38</v>
      </c>
      <c r="K788">
        <v>60</v>
      </c>
      <c r="L788">
        <v>42.375</v>
      </c>
      <c r="M788" s="14">
        <v>1</v>
      </c>
      <c r="N788" s="14">
        <v>1</v>
      </c>
      <c r="R788" t="str">
        <f t="shared" si="40"/>
        <v xml:space="preserve">XX8X_PV_1445:    Front abuts stile:FALSE       Back abuts stile:TRUE          Panel Section: BOTTOM           Stile in the back Width:            Cutout A:           Cutout B:      F.C.:1 in.         C.C.:1 in.   </v>
      </c>
      <c r="S788" t="str">
        <f t="shared" si="41"/>
        <v>FALSE</v>
      </c>
      <c r="T788" t="str">
        <f t="shared" si="42"/>
        <v>TRUE</v>
      </c>
    </row>
    <row r="789" spans="1:20">
      <c r="A789" t="s">
        <v>949</v>
      </c>
      <c r="B789" s="14" t="s">
        <v>144</v>
      </c>
      <c r="C789" s="14" t="s">
        <v>157</v>
      </c>
      <c r="D789" s="14">
        <v>1</v>
      </c>
      <c r="E789" s="14">
        <v>0</v>
      </c>
      <c r="F789" s="14">
        <v>0</v>
      </c>
      <c r="G789" s="14"/>
      <c r="H789" s="14"/>
      <c r="I789" s="8" t="s">
        <v>150</v>
      </c>
      <c r="J789" s="8" t="s">
        <v>38</v>
      </c>
      <c r="K789">
        <v>60</v>
      </c>
      <c r="L789">
        <v>69.875</v>
      </c>
      <c r="M789" s="14">
        <v>12</v>
      </c>
      <c r="N789" s="14" t="s">
        <v>38</v>
      </c>
      <c r="R789" t="str">
        <f t="shared" si="40"/>
        <v xml:space="preserve">XX8X_PV_1446:    Front abuts stile:TRUE       Back abuts stile:FALSE          Panel Section: BOTTOM           Stile in the back Width:            Cutout A: B-3571          Cutout B:      F.C.:12 in.         C.C.: in.   </v>
      </c>
      <c r="S789" t="str">
        <f t="shared" si="41"/>
        <v>TRUE</v>
      </c>
      <c r="T789" t="str">
        <f t="shared" si="42"/>
        <v>FALSE</v>
      </c>
    </row>
    <row r="790" spans="1:20">
      <c r="A790" t="s">
        <v>950</v>
      </c>
      <c r="B790" s="14" t="s">
        <v>144</v>
      </c>
      <c r="C790" s="14" t="s">
        <v>157</v>
      </c>
      <c r="D790" s="14">
        <v>1</v>
      </c>
      <c r="E790" s="14">
        <v>0</v>
      </c>
      <c r="F790" s="14">
        <v>1</v>
      </c>
      <c r="G790" s="14">
        <v>0</v>
      </c>
      <c r="H790" s="14">
        <v>12</v>
      </c>
      <c r="I790" s="8" t="s">
        <v>38</v>
      </c>
      <c r="J790" s="8" t="s">
        <v>38</v>
      </c>
      <c r="K790">
        <v>60</v>
      </c>
      <c r="L790">
        <v>39.25</v>
      </c>
      <c r="M790" s="14">
        <v>1</v>
      </c>
      <c r="N790" s="14">
        <v>6</v>
      </c>
      <c r="R790" t="str">
        <f t="shared" si="40"/>
        <v xml:space="preserve">XX8X_PV_1447:    Front abuts stile:TRUE       Back abuts stile:TRUE          Panel Section: BOTTOM           Stile in the back Width: 12           Cutout A:           Cutout B:      F.C.:1 in.         C.C.:6 in.   </v>
      </c>
      <c r="S790" t="str">
        <f t="shared" si="41"/>
        <v>TRUE</v>
      </c>
      <c r="T790" t="str">
        <f t="shared" si="42"/>
        <v>TRUE</v>
      </c>
    </row>
    <row r="791" spans="1:20">
      <c r="A791" t="s">
        <v>951</v>
      </c>
      <c r="B791" s="14" t="s">
        <v>144</v>
      </c>
      <c r="C791" s="14" t="s">
        <v>157</v>
      </c>
      <c r="D791" s="14">
        <v>1</v>
      </c>
      <c r="E791" s="14">
        <v>0</v>
      </c>
      <c r="F791" s="14">
        <v>1</v>
      </c>
      <c r="G791" s="14">
        <v>0</v>
      </c>
      <c r="H791" s="14">
        <v>24</v>
      </c>
      <c r="I791" s="8" t="s">
        <v>119</v>
      </c>
      <c r="J791" s="8" t="s">
        <v>38</v>
      </c>
      <c r="K791">
        <v>60</v>
      </c>
      <c r="L791">
        <v>58.375</v>
      </c>
      <c r="M791" s="14">
        <v>9</v>
      </c>
      <c r="N791" s="14" t="s">
        <v>38</v>
      </c>
      <c r="R791" t="str">
        <f t="shared" si="40"/>
        <v xml:space="preserve">XX8X_PV_1448:    Front abuts stile:TRUE       Back abuts stile:TRUE          Panel Section: BOTTOM           Stile in the back Width: 24           Cutout A: B-354          Cutout B:      F.C.:9 in.         C.C.: in.   </v>
      </c>
      <c r="S791" t="str">
        <f t="shared" si="41"/>
        <v>TRUE</v>
      </c>
      <c r="T791" t="str">
        <f t="shared" si="42"/>
        <v>TRUE</v>
      </c>
    </row>
    <row r="792" spans="1:20">
      <c r="A792" t="s">
        <v>952</v>
      </c>
      <c r="B792" s="14" t="s">
        <v>144</v>
      </c>
      <c r="C792" s="14" t="s">
        <v>157</v>
      </c>
      <c r="D792" s="14">
        <v>1</v>
      </c>
      <c r="E792" s="14">
        <v>0</v>
      </c>
      <c r="F792" s="14">
        <v>1</v>
      </c>
      <c r="G792" s="14">
        <v>0</v>
      </c>
      <c r="H792" s="14"/>
      <c r="I792" s="8" t="s">
        <v>38</v>
      </c>
      <c r="J792" s="8" t="s">
        <v>38</v>
      </c>
      <c r="K792">
        <v>60</v>
      </c>
      <c r="L792">
        <v>76.625</v>
      </c>
      <c r="M792" s="14">
        <v>4.5</v>
      </c>
      <c r="N792" s="14" t="s">
        <v>38</v>
      </c>
      <c r="R792" t="str">
        <f t="shared" si="40"/>
        <v xml:space="preserve">XX8X_PV_1449:    Front abuts stile:TRUE       Back abuts stile:TRUE          Panel Section: BOTTOM           Stile in the back Width:            Cutout A:           Cutout B:      F.C.:4.5 in.         C.C.: in.   </v>
      </c>
      <c r="S792" t="str">
        <f t="shared" si="41"/>
        <v>TRUE</v>
      </c>
      <c r="T792" t="str">
        <f t="shared" si="42"/>
        <v>TRUE</v>
      </c>
    </row>
    <row r="793" spans="1:20">
      <c r="A793" t="s">
        <v>953</v>
      </c>
      <c r="B793" s="14" t="s">
        <v>144</v>
      </c>
      <c r="C793" s="14" t="s">
        <v>157</v>
      </c>
      <c r="D793" s="14">
        <v>1</v>
      </c>
      <c r="E793" s="14">
        <v>0</v>
      </c>
      <c r="F793" s="14">
        <v>1</v>
      </c>
      <c r="G793" s="14">
        <v>1</v>
      </c>
      <c r="H793" s="14"/>
      <c r="I793" s="8" t="s">
        <v>38</v>
      </c>
      <c r="J793" s="8" t="s">
        <v>38</v>
      </c>
      <c r="K793">
        <v>60</v>
      </c>
      <c r="L793">
        <v>56.9375</v>
      </c>
      <c r="M793" s="14">
        <v>12</v>
      </c>
      <c r="N793" s="14">
        <v>4.125</v>
      </c>
      <c r="R793" t="str">
        <f t="shared" si="40"/>
        <v xml:space="preserve">XX8X_PV_1450:    Front abuts stile:TRUE       Back abuts stile:TRUE          Panel Section: BOTTOM           Stile in the back Width:            Cutout A:           Cutout B:      F.C.:12 in.         C.C.:4.125 in.   </v>
      </c>
      <c r="S793" t="str">
        <f t="shared" si="41"/>
        <v>TRUE</v>
      </c>
      <c r="T793" t="str">
        <f t="shared" si="42"/>
        <v>TRUE</v>
      </c>
    </row>
    <row r="794" spans="1:20">
      <c r="A794" t="s">
        <v>954</v>
      </c>
      <c r="B794" s="14" t="s">
        <v>144</v>
      </c>
      <c r="C794" s="14" t="s">
        <v>157</v>
      </c>
      <c r="D794" s="14">
        <v>1</v>
      </c>
      <c r="E794" s="14">
        <v>1</v>
      </c>
      <c r="F794" s="14">
        <v>0</v>
      </c>
      <c r="G794" s="14"/>
      <c r="H794" s="14"/>
      <c r="I794" s="8" t="s">
        <v>120</v>
      </c>
      <c r="J794" s="8" t="s">
        <v>38</v>
      </c>
      <c r="K794">
        <v>60</v>
      </c>
      <c r="L794">
        <v>68.9375</v>
      </c>
      <c r="M794" s="14">
        <v>12</v>
      </c>
      <c r="N794" s="14">
        <v>1.8125</v>
      </c>
      <c r="R794" t="str">
        <f t="shared" si="40"/>
        <v xml:space="preserve">XX8X_PV_1451:    Front abuts stile:TRUE       Back abuts stile:FALSE          Panel Section: BOTTOM           Stile in the back Width:            Cutout A: B-386          Cutout B:      F.C.:12 in.         C.C.:1.8125 in.   </v>
      </c>
      <c r="S794" t="str">
        <f t="shared" si="41"/>
        <v>TRUE</v>
      </c>
      <c r="T794" t="str">
        <f t="shared" si="42"/>
        <v>FALSE</v>
      </c>
    </row>
    <row r="795" spans="1:20">
      <c r="A795" t="s">
        <v>955</v>
      </c>
      <c r="B795" s="14" t="s">
        <v>144</v>
      </c>
      <c r="C795" s="14" t="s">
        <v>157</v>
      </c>
      <c r="D795" s="14">
        <v>1</v>
      </c>
      <c r="E795" s="14">
        <v>1</v>
      </c>
      <c r="F795" s="14">
        <v>1</v>
      </c>
      <c r="G795" s="14">
        <v>0</v>
      </c>
      <c r="H795" s="14">
        <v>12</v>
      </c>
      <c r="I795" s="8" t="s">
        <v>120</v>
      </c>
      <c r="J795" s="8" t="s">
        <v>38</v>
      </c>
      <c r="K795">
        <v>60</v>
      </c>
      <c r="L795">
        <v>54.125</v>
      </c>
      <c r="M795" s="14">
        <v>1.5</v>
      </c>
      <c r="N795" s="14">
        <v>1</v>
      </c>
      <c r="R795" t="str">
        <f t="shared" si="40"/>
        <v xml:space="preserve">XX8X_PV_1452:    Front abuts stile:TRUE       Back abuts stile:TRUE          Panel Section: BOTTOM           Stile in the back Width: 12           Cutout A: B-386          Cutout B:      F.C.:1.5 in.         C.C.:1 in.   </v>
      </c>
      <c r="S795" t="str">
        <f t="shared" si="41"/>
        <v>TRUE</v>
      </c>
      <c r="T795" t="str">
        <f t="shared" si="42"/>
        <v>TRUE</v>
      </c>
    </row>
    <row r="796" spans="1:20">
      <c r="A796" t="s">
        <v>956</v>
      </c>
      <c r="B796" s="14" t="s">
        <v>144</v>
      </c>
      <c r="C796" s="14" t="s">
        <v>157</v>
      </c>
      <c r="D796" s="14">
        <v>1</v>
      </c>
      <c r="E796" s="14">
        <v>1</v>
      </c>
      <c r="F796" s="14">
        <v>1</v>
      </c>
      <c r="G796" s="14">
        <v>0</v>
      </c>
      <c r="H796" s="14">
        <v>24</v>
      </c>
      <c r="I796" s="8" t="s">
        <v>120</v>
      </c>
      <c r="J796" s="8" t="s">
        <v>38</v>
      </c>
      <c r="K796">
        <v>60</v>
      </c>
      <c r="L796">
        <v>72.0625</v>
      </c>
      <c r="M796" s="14">
        <v>2.875</v>
      </c>
      <c r="N796" s="14">
        <v>4.3125</v>
      </c>
      <c r="R796" t="str">
        <f t="shared" si="40"/>
        <v xml:space="preserve">XX8X_PV_1453:    Front abuts stile:TRUE       Back abuts stile:TRUE          Panel Section: BOTTOM           Stile in the back Width: 24           Cutout A: B-386          Cutout B:      F.C.:2.875 in.         C.C.:4.3125 in.   </v>
      </c>
      <c r="S796" t="str">
        <f t="shared" si="41"/>
        <v>TRUE</v>
      </c>
      <c r="T796" t="str">
        <f t="shared" si="42"/>
        <v>TRUE</v>
      </c>
    </row>
    <row r="797" spans="1:20">
      <c r="A797" t="s">
        <v>957</v>
      </c>
      <c r="B797" s="14" t="s">
        <v>144</v>
      </c>
      <c r="C797" s="14" t="s">
        <v>157</v>
      </c>
      <c r="D797" s="14">
        <v>1</v>
      </c>
      <c r="E797" s="14">
        <v>1</v>
      </c>
      <c r="F797" s="14">
        <v>1</v>
      </c>
      <c r="G797" s="14">
        <v>0</v>
      </c>
      <c r="H797" s="14"/>
      <c r="I797" s="8" t="s">
        <v>38</v>
      </c>
      <c r="J797" s="8" t="s">
        <v>38</v>
      </c>
      <c r="K797">
        <v>60</v>
      </c>
      <c r="L797">
        <v>50.3125</v>
      </c>
      <c r="M797" s="14">
        <v>9</v>
      </c>
      <c r="N797" s="14">
        <v>1</v>
      </c>
      <c r="R797" t="str">
        <f t="shared" si="40"/>
        <v xml:space="preserve">XX8X_PV_1454:    Front abuts stile:TRUE       Back abuts stile:TRUE          Panel Section: BOTTOM           Stile in the back Width:            Cutout A:           Cutout B:      F.C.:9 in.         C.C.:1 in.   </v>
      </c>
      <c r="S797" t="str">
        <f t="shared" si="41"/>
        <v>TRUE</v>
      </c>
      <c r="T797" t="str">
        <f t="shared" si="42"/>
        <v>TRUE</v>
      </c>
    </row>
    <row r="798" spans="1:20">
      <c r="A798" t="s">
        <v>958</v>
      </c>
      <c r="B798" s="14" t="s">
        <v>144</v>
      </c>
      <c r="C798" s="14" t="s">
        <v>157</v>
      </c>
      <c r="D798" s="14">
        <v>1</v>
      </c>
      <c r="E798" s="14">
        <v>1</v>
      </c>
      <c r="F798" s="14">
        <v>1</v>
      </c>
      <c r="G798" s="14">
        <v>1</v>
      </c>
      <c r="H798" s="14"/>
      <c r="I798" s="8" t="s">
        <v>38</v>
      </c>
      <c r="J798" s="8" t="s">
        <v>38</v>
      </c>
      <c r="K798">
        <v>60</v>
      </c>
      <c r="L798">
        <v>51.125</v>
      </c>
      <c r="M798" s="14">
        <v>1</v>
      </c>
      <c r="N798" s="14">
        <v>7.125</v>
      </c>
      <c r="R798" t="str">
        <f t="shared" si="40"/>
        <v xml:space="preserve">XX8X_PV_1455:    Front abuts stile:TRUE       Back abuts stile:TRUE          Panel Section: BOTTOM           Stile in the back Width:            Cutout A:           Cutout B:      F.C.:1 in.         C.C.:7.125 in.   </v>
      </c>
      <c r="S798" t="str">
        <f t="shared" si="41"/>
        <v>TRUE</v>
      </c>
      <c r="T798" t="str">
        <f t="shared" si="42"/>
        <v>TRUE</v>
      </c>
    </row>
    <row r="799" spans="1:20">
      <c r="A799" t="s">
        <v>959</v>
      </c>
      <c r="B799" s="14" t="s">
        <v>144</v>
      </c>
      <c r="C799" s="14" t="s">
        <v>21</v>
      </c>
      <c r="D799" s="14">
        <v>0</v>
      </c>
      <c r="E799" s="14"/>
      <c r="F799" s="14">
        <v>0</v>
      </c>
      <c r="G799" s="14"/>
      <c r="H799" s="14"/>
      <c r="I799" s="8" t="s">
        <v>120</v>
      </c>
      <c r="J799" s="8" t="s">
        <v>38</v>
      </c>
      <c r="K799">
        <v>47.5625</v>
      </c>
      <c r="L799">
        <v>51.6875</v>
      </c>
      <c r="M799" s="14">
        <v>4.5</v>
      </c>
      <c r="N799" s="14" t="s">
        <v>38</v>
      </c>
      <c r="R799" t="str">
        <f t="shared" si="40"/>
        <v xml:space="preserve">XX8X_PV_1456:    Front abuts stile:FALSE       Back abuts stile:FALSE          Panel Section: WHOLE           Stile in the back Width:            Cutout A: B-386          Cutout B:      F.C.:4.5 in.         C.C.: in.   </v>
      </c>
      <c r="S799" t="str">
        <f t="shared" si="41"/>
        <v>FALSE</v>
      </c>
      <c r="T799" t="str">
        <f t="shared" si="42"/>
        <v>FALSE</v>
      </c>
    </row>
    <row r="800" spans="1:20">
      <c r="A800" t="s">
        <v>960</v>
      </c>
      <c r="B800" s="14" t="s">
        <v>144</v>
      </c>
      <c r="C800" s="14" t="s">
        <v>21</v>
      </c>
      <c r="D800" s="14">
        <v>0</v>
      </c>
      <c r="E800" s="14"/>
      <c r="F800" s="14">
        <v>1</v>
      </c>
      <c r="G800" s="14">
        <v>0</v>
      </c>
      <c r="H800" s="14">
        <v>12</v>
      </c>
      <c r="I800" s="8" t="s">
        <v>38</v>
      </c>
      <c r="J800" s="8" t="s">
        <v>38</v>
      </c>
      <c r="K800">
        <v>37</v>
      </c>
      <c r="L800">
        <v>70.6875</v>
      </c>
      <c r="M800" s="14">
        <v>2.8125</v>
      </c>
      <c r="N800" s="14">
        <v>1.1875</v>
      </c>
      <c r="R800" t="str">
        <f t="shared" si="40"/>
        <v xml:space="preserve">XX8X_PV_1457:    Front abuts stile:FALSE       Back abuts stile:TRUE          Panel Section: WHOLE           Stile in the back Width: 12           Cutout A:           Cutout B:      F.C.:2.8125 in.         C.C.:1.1875 in.   </v>
      </c>
      <c r="S800" t="str">
        <f t="shared" si="41"/>
        <v>FALSE</v>
      </c>
      <c r="T800" t="str">
        <f t="shared" si="42"/>
        <v>TRUE</v>
      </c>
    </row>
    <row r="801" spans="1:20">
      <c r="A801" t="s">
        <v>961</v>
      </c>
      <c r="B801" s="14" t="s">
        <v>144</v>
      </c>
      <c r="C801" s="14" t="s">
        <v>21</v>
      </c>
      <c r="D801" s="14">
        <v>0</v>
      </c>
      <c r="E801" s="14"/>
      <c r="F801" s="14">
        <v>1</v>
      </c>
      <c r="G801" s="14">
        <v>0</v>
      </c>
      <c r="H801" s="14">
        <v>24</v>
      </c>
      <c r="I801" s="8" t="s">
        <v>149</v>
      </c>
      <c r="J801" s="8" t="s">
        <v>38</v>
      </c>
      <c r="K801">
        <v>96</v>
      </c>
      <c r="L801">
        <v>64.1875</v>
      </c>
      <c r="M801" s="14">
        <v>12</v>
      </c>
      <c r="N801" s="14" t="s">
        <v>38</v>
      </c>
      <c r="R801" t="str">
        <f t="shared" si="40"/>
        <v xml:space="preserve">XX8X_PV_1458:    Front abuts stile:FALSE       Back abuts stile:TRUE          Panel Section: WHOLE           Stile in the back Width: 24           Cutout A: B-34715          Cutout B:      F.C.:12 in.         C.C.: in.   </v>
      </c>
      <c r="S801" t="str">
        <f t="shared" si="41"/>
        <v>FALSE</v>
      </c>
      <c r="T801" t="str">
        <f t="shared" si="42"/>
        <v>TRUE</v>
      </c>
    </row>
    <row r="802" spans="1:20">
      <c r="A802" t="s">
        <v>962</v>
      </c>
      <c r="B802" s="14" t="s">
        <v>144</v>
      </c>
      <c r="C802" s="14" t="s">
        <v>21</v>
      </c>
      <c r="D802" s="14">
        <v>0</v>
      </c>
      <c r="E802" s="14"/>
      <c r="F802" s="14">
        <v>1</v>
      </c>
      <c r="G802" s="14">
        <v>0</v>
      </c>
      <c r="H802" s="14"/>
      <c r="I802" s="8" t="s">
        <v>38</v>
      </c>
      <c r="J802" s="8" t="s">
        <v>38</v>
      </c>
      <c r="K802">
        <v>96</v>
      </c>
      <c r="L802">
        <v>72.8125</v>
      </c>
      <c r="M802" s="14">
        <v>4.5</v>
      </c>
      <c r="N802" s="14">
        <v>3.875</v>
      </c>
      <c r="R802" t="str">
        <f t="shared" si="40"/>
        <v xml:space="preserve">XX8X_PV_1459:    Front abuts stile:FALSE       Back abuts stile:TRUE          Panel Section: WHOLE           Stile in the back Width:            Cutout A:           Cutout B:      F.C.:4.5 in.         C.C.:3.875 in.   </v>
      </c>
      <c r="S802" t="str">
        <f t="shared" si="41"/>
        <v>FALSE</v>
      </c>
      <c r="T802" t="str">
        <f t="shared" si="42"/>
        <v>TRUE</v>
      </c>
    </row>
    <row r="803" spans="1:20">
      <c r="A803" t="s">
        <v>963</v>
      </c>
      <c r="B803" s="14" t="s">
        <v>144</v>
      </c>
      <c r="C803" s="14" t="s">
        <v>21</v>
      </c>
      <c r="D803" s="14">
        <v>0</v>
      </c>
      <c r="E803" s="14"/>
      <c r="F803" s="14">
        <v>1</v>
      </c>
      <c r="G803" s="14">
        <v>1</v>
      </c>
      <c r="H803" s="14"/>
      <c r="I803" s="8" t="s">
        <v>38</v>
      </c>
      <c r="J803" s="8" t="s">
        <v>38</v>
      </c>
      <c r="K803">
        <v>96</v>
      </c>
      <c r="L803">
        <v>56.625</v>
      </c>
      <c r="M803" s="14">
        <v>1</v>
      </c>
      <c r="N803" s="14">
        <v>1.8125</v>
      </c>
      <c r="R803" t="str">
        <f t="shared" si="40"/>
        <v xml:space="preserve">XX8X_PV_1460:    Front abuts stile:FALSE       Back abuts stile:TRUE          Panel Section: WHOLE           Stile in the back Width:            Cutout A:           Cutout B:      F.C.:1 in.         C.C.:1.8125 in.   </v>
      </c>
      <c r="S803" t="str">
        <f t="shared" si="41"/>
        <v>FALSE</v>
      </c>
      <c r="T803" t="str">
        <f t="shared" si="42"/>
        <v>TRUE</v>
      </c>
    </row>
    <row r="804" spans="1:20">
      <c r="A804" t="s">
        <v>964</v>
      </c>
      <c r="B804" s="14" t="s">
        <v>144</v>
      </c>
      <c r="C804" s="14" t="s">
        <v>21</v>
      </c>
      <c r="D804" s="14">
        <v>1</v>
      </c>
      <c r="E804" s="14">
        <v>0</v>
      </c>
      <c r="F804" s="14">
        <v>0</v>
      </c>
      <c r="G804" s="14"/>
      <c r="H804" s="14"/>
      <c r="I804" s="8" t="s">
        <v>38</v>
      </c>
      <c r="J804" s="8" t="s">
        <v>38</v>
      </c>
      <c r="K804">
        <v>96</v>
      </c>
      <c r="L804">
        <v>78</v>
      </c>
      <c r="M804" s="14">
        <v>9</v>
      </c>
      <c r="N804" s="14">
        <v>5.75</v>
      </c>
      <c r="R804" t="str">
        <f t="shared" si="40"/>
        <v xml:space="preserve">XX8X_PV_1461:    Front abuts stile:TRUE       Back abuts stile:FALSE          Panel Section: WHOLE           Stile in the back Width:            Cutout A:           Cutout B:      F.C.:9 in.         C.C.:5.75 in.   </v>
      </c>
      <c r="S804" t="str">
        <f t="shared" si="41"/>
        <v>TRUE</v>
      </c>
      <c r="T804" t="str">
        <f t="shared" si="42"/>
        <v>FALSE</v>
      </c>
    </row>
    <row r="805" spans="1:20">
      <c r="A805" t="s">
        <v>965</v>
      </c>
      <c r="B805" s="14" t="s">
        <v>144</v>
      </c>
      <c r="C805" s="14" t="s">
        <v>21</v>
      </c>
      <c r="D805" s="14">
        <v>1</v>
      </c>
      <c r="E805" s="14">
        <v>0</v>
      </c>
      <c r="F805" s="14">
        <v>1</v>
      </c>
      <c r="G805" s="14">
        <v>0</v>
      </c>
      <c r="H805" s="14">
        <v>12</v>
      </c>
      <c r="I805" s="8" t="s">
        <v>149</v>
      </c>
      <c r="J805" s="8" t="s">
        <v>38</v>
      </c>
      <c r="K805">
        <v>110</v>
      </c>
      <c r="L805">
        <v>54.625</v>
      </c>
      <c r="M805" s="14">
        <v>7.3125</v>
      </c>
      <c r="N805" s="14">
        <v>4.4375</v>
      </c>
      <c r="R805" t="str">
        <f t="shared" si="40"/>
        <v xml:space="preserve">XX8X_PV_1462:    Front abuts stile:TRUE       Back abuts stile:TRUE          Panel Section: WHOLE           Stile in the back Width: 12           Cutout A: B-34715          Cutout B:      F.C.:7.3125 in.         C.C.:4.4375 in.   </v>
      </c>
      <c r="S805" t="str">
        <f t="shared" si="41"/>
        <v>TRUE</v>
      </c>
      <c r="T805" t="str">
        <f t="shared" si="42"/>
        <v>TRUE</v>
      </c>
    </row>
    <row r="806" spans="1:20">
      <c r="A806" t="s">
        <v>966</v>
      </c>
      <c r="B806" s="14" t="s">
        <v>144</v>
      </c>
      <c r="C806" s="14" t="s">
        <v>21</v>
      </c>
      <c r="D806" s="14">
        <v>1</v>
      </c>
      <c r="E806" s="14">
        <v>0</v>
      </c>
      <c r="F806" s="14">
        <v>1</v>
      </c>
      <c r="G806" s="14">
        <v>0</v>
      </c>
      <c r="H806" s="14">
        <v>24</v>
      </c>
      <c r="I806" s="8" t="s">
        <v>38</v>
      </c>
      <c r="J806" s="8" t="s">
        <v>38</v>
      </c>
      <c r="K806">
        <v>87.6875</v>
      </c>
      <c r="L806">
        <v>21.25</v>
      </c>
      <c r="M806" s="14">
        <v>10.625</v>
      </c>
      <c r="N806" s="14" t="s">
        <v>38</v>
      </c>
      <c r="R806" t="str">
        <f t="shared" si="40"/>
        <v xml:space="preserve">XX8X_PV_1463:    Front abuts stile:TRUE       Back abuts stile:TRUE          Panel Section: WHOLE           Stile in the back Width: 24           Cutout A:           Cutout B:      F.C.:10.625 in.         C.C.: in.   </v>
      </c>
      <c r="S806" t="str">
        <f t="shared" si="41"/>
        <v>TRUE</v>
      </c>
      <c r="T806" t="str">
        <f t="shared" si="42"/>
        <v>TRUE</v>
      </c>
    </row>
    <row r="807" spans="1:20">
      <c r="A807" t="s">
        <v>967</v>
      </c>
      <c r="B807" s="14" t="s">
        <v>144</v>
      </c>
      <c r="C807" s="14" t="s">
        <v>21</v>
      </c>
      <c r="D807" s="14">
        <v>1</v>
      </c>
      <c r="E807" s="14">
        <v>0</v>
      </c>
      <c r="F807" s="14">
        <v>1</v>
      </c>
      <c r="G807" s="14">
        <v>0</v>
      </c>
      <c r="H807" s="14"/>
      <c r="I807" s="8" t="s">
        <v>38</v>
      </c>
      <c r="J807" s="8" t="s">
        <v>38</v>
      </c>
      <c r="K807">
        <v>92.8125</v>
      </c>
      <c r="L807">
        <v>43.4375</v>
      </c>
      <c r="M807" s="14">
        <v>1</v>
      </c>
      <c r="N807" s="14">
        <v>2.75</v>
      </c>
      <c r="R807" t="str">
        <f t="shared" si="40"/>
        <v xml:space="preserve">XX8X_PV_1464:    Front abuts stile:TRUE       Back abuts stile:TRUE          Panel Section: WHOLE           Stile in the back Width:            Cutout A:           Cutout B:      F.C.:1 in.         C.C.:2.75 in.   </v>
      </c>
      <c r="S807" t="str">
        <f t="shared" si="41"/>
        <v>TRUE</v>
      </c>
      <c r="T807" t="str">
        <f t="shared" si="42"/>
        <v>TRUE</v>
      </c>
    </row>
    <row r="808" spans="1:20">
      <c r="A808" t="s">
        <v>968</v>
      </c>
      <c r="B808" s="14" t="s">
        <v>144</v>
      </c>
      <c r="C808" s="14" t="s">
        <v>21</v>
      </c>
      <c r="D808" s="14">
        <v>1</v>
      </c>
      <c r="E808" s="14">
        <v>0</v>
      </c>
      <c r="F808" s="14">
        <v>1</v>
      </c>
      <c r="G808" s="14">
        <v>1</v>
      </c>
      <c r="H808" s="14"/>
      <c r="I808" s="8" t="s">
        <v>38</v>
      </c>
      <c r="J808" s="8" t="s">
        <v>38</v>
      </c>
      <c r="K808">
        <v>96</v>
      </c>
      <c r="L808">
        <v>56.375</v>
      </c>
      <c r="M808" s="14">
        <v>1</v>
      </c>
      <c r="N808" s="14">
        <v>1</v>
      </c>
      <c r="R808" t="str">
        <f t="shared" si="40"/>
        <v xml:space="preserve">XX8X_PV_1465:    Front abuts stile:TRUE       Back abuts stile:TRUE          Panel Section: WHOLE           Stile in the back Width:            Cutout A:           Cutout B:      F.C.:1 in.         C.C.:1 in.   </v>
      </c>
      <c r="S808" t="str">
        <f t="shared" si="41"/>
        <v>TRUE</v>
      </c>
      <c r="T808" t="str">
        <f t="shared" si="42"/>
        <v>TRUE</v>
      </c>
    </row>
    <row r="809" spans="1:20">
      <c r="A809" t="s">
        <v>969</v>
      </c>
      <c r="B809" s="14" t="s">
        <v>144</v>
      </c>
      <c r="C809" s="14" t="s">
        <v>21</v>
      </c>
      <c r="D809" s="14">
        <v>1</v>
      </c>
      <c r="E809" s="14">
        <v>1</v>
      </c>
      <c r="F809" s="14">
        <v>0</v>
      </c>
      <c r="G809" s="14"/>
      <c r="H809" s="14"/>
      <c r="I809" s="8" t="s">
        <v>38</v>
      </c>
      <c r="J809" s="8" t="s">
        <v>38</v>
      </c>
      <c r="K809">
        <v>85.625</v>
      </c>
      <c r="L809">
        <v>37.25</v>
      </c>
      <c r="M809" s="14">
        <v>11.4375</v>
      </c>
      <c r="N809" s="14" t="s">
        <v>38</v>
      </c>
      <c r="R809" t="str">
        <f t="shared" si="40"/>
        <v xml:space="preserve">XX8X_PV_1466:    Front abuts stile:TRUE       Back abuts stile:FALSE          Panel Section: WHOLE           Stile in the back Width:            Cutout A:           Cutout B:      F.C.:11.4375 in.         C.C.: in.   </v>
      </c>
      <c r="S809" t="str">
        <f t="shared" si="41"/>
        <v>TRUE</v>
      </c>
      <c r="T809" t="str">
        <f t="shared" si="42"/>
        <v>FALSE</v>
      </c>
    </row>
    <row r="810" spans="1:20">
      <c r="A810" t="s">
        <v>970</v>
      </c>
      <c r="B810" s="14" t="s">
        <v>144</v>
      </c>
      <c r="C810" s="14" t="s">
        <v>21</v>
      </c>
      <c r="D810" s="14">
        <v>1</v>
      </c>
      <c r="E810" s="14">
        <v>1</v>
      </c>
      <c r="F810" s="14">
        <v>1</v>
      </c>
      <c r="G810" s="14">
        <v>0</v>
      </c>
      <c r="H810" s="14">
        <v>12</v>
      </c>
      <c r="I810" s="8" t="s">
        <v>150</v>
      </c>
      <c r="J810" s="8" t="s">
        <v>38</v>
      </c>
      <c r="K810">
        <v>96</v>
      </c>
      <c r="L810">
        <v>45.125</v>
      </c>
      <c r="M810" s="14">
        <v>1.3125</v>
      </c>
      <c r="N810" s="14">
        <v>1</v>
      </c>
      <c r="R810" t="str">
        <f t="shared" si="40"/>
        <v xml:space="preserve">XX8X_PV_1467:    Front abuts stile:TRUE       Back abuts stile:TRUE          Panel Section: WHOLE           Stile in the back Width: 12           Cutout A: B-3571          Cutout B:      F.C.:1.3125 in.         C.C.:1 in.   </v>
      </c>
      <c r="S810" t="str">
        <f t="shared" si="41"/>
        <v>TRUE</v>
      </c>
      <c r="T810" t="str">
        <f t="shared" si="42"/>
        <v>TRUE</v>
      </c>
    </row>
    <row r="811" spans="1:20">
      <c r="A811" t="s">
        <v>971</v>
      </c>
      <c r="B811" s="14" t="s">
        <v>144</v>
      </c>
      <c r="C811" s="14" t="s">
        <v>21</v>
      </c>
      <c r="D811" s="14">
        <v>1</v>
      </c>
      <c r="E811" s="14">
        <v>1</v>
      </c>
      <c r="F811" s="14">
        <v>1</v>
      </c>
      <c r="G811" s="14">
        <v>0</v>
      </c>
      <c r="H811" s="14">
        <v>24</v>
      </c>
      <c r="I811" s="8" t="s">
        <v>38</v>
      </c>
      <c r="J811" s="8" t="s">
        <v>38</v>
      </c>
      <c r="K811">
        <v>59.3125</v>
      </c>
      <c r="L811">
        <v>78.875</v>
      </c>
      <c r="M811" s="14">
        <v>9</v>
      </c>
      <c r="N811" s="14">
        <v>1</v>
      </c>
      <c r="R811" t="str">
        <f t="shared" si="40"/>
        <v xml:space="preserve">XX8X_PV_1468:    Front abuts stile:TRUE       Back abuts stile:TRUE          Panel Section: WHOLE           Stile in the back Width: 24           Cutout A:           Cutout B:      F.C.:9 in.         C.C.:1 in.   </v>
      </c>
      <c r="S811" t="str">
        <f t="shared" si="41"/>
        <v>TRUE</v>
      </c>
      <c r="T811" t="str">
        <f t="shared" si="42"/>
        <v>TRUE</v>
      </c>
    </row>
    <row r="812" spans="1:20">
      <c r="A812" t="s">
        <v>972</v>
      </c>
      <c r="B812" s="14" t="s">
        <v>144</v>
      </c>
      <c r="C812" s="14" t="s">
        <v>21</v>
      </c>
      <c r="D812" s="14">
        <v>1</v>
      </c>
      <c r="E812" s="14">
        <v>1</v>
      </c>
      <c r="F812" s="14">
        <v>1</v>
      </c>
      <c r="G812" s="14">
        <v>0</v>
      </c>
      <c r="H812" s="14"/>
      <c r="I812" s="8" t="s">
        <v>38</v>
      </c>
      <c r="J812" s="8" t="s">
        <v>38</v>
      </c>
      <c r="K812">
        <v>61.5</v>
      </c>
      <c r="L812">
        <v>66.125</v>
      </c>
      <c r="M812" s="14">
        <v>1</v>
      </c>
      <c r="N812" s="14" t="s">
        <v>38</v>
      </c>
      <c r="R812" t="str">
        <f t="shared" si="40"/>
        <v xml:space="preserve">XX8X_PV_1469:    Front abuts stile:TRUE       Back abuts stile:TRUE          Panel Section: WHOLE           Stile in the back Width:            Cutout A:           Cutout B:      F.C.:1 in.         C.C.: in.   </v>
      </c>
      <c r="S812" t="str">
        <f t="shared" si="41"/>
        <v>TRUE</v>
      </c>
      <c r="T812" t="str">
        <f t="shared" si="42"/>
        <v>TRUE</v>
      </c>
    </row>
    <row r="813" spans="1:20" ht="15" thickBot="1">
      <c r="A813" t="s">
        <v>973</v>
      </c>
      <c r="B813" s="14" t="s">
        <v>144</v>
      </c>
      <c r="C813" s="50" t="s">
        <v>21</v>
      </c>
      <c r="D813" s="50">
        <v>1</v>
      </c>
      <c r="E813" s="50">
        <v>1</v>
      </c>
      <c r="F813" s="50">
        <v>1</v>
      </c>
      <c r="G813" s="50">
        <v>1</v>
      </c>
      <c r="H813" s="50"/>
      <c r="I813" s="51" t="s">
        <v>38</v>
      </c>
      <c r="J813" s="51" t="s">
        <v>38</v>
      </c>
      <c r="K813" s="49">
        <v>59.1875</v>
      </c>
      <c r="L813" s="49">
        <v>74.5625</v>
      </c>
      <c r="M813" s="50">
        <v>1</v>
      </c>
      <c r="N813" s="14">
        <v>7.3125</v>
      </c>
      <c r="R813" t="str">
        <f t="shared" si="40"/>
        <v xml:space="preserve">XX8X_PV_1470:    Front abuts stile:TRUE       Back abuts stile:TRUE          Panel Section: WHOLE           Stile in the back Width:            Cutout A:           Cutout B:      F.C.:1 in.         C.C.:7.3125 in.   </v>
      </c>
      <c r="S813" t="str">
        <f t="shared" si="41"/>
        <v>TRUE</v>
      </c>
      <c r="T813" t="str">
        <f t="shared" si="42"/>
        <v>TRUE</v>
      </c>
    </row>
    <row r="814" spans="1:20" ht="15" thickTop="1">
      <c r="A814" t="s">
        <v>974</v>
      </c>
      <c r="B814" s="14" t="s">
        <v>144</v>
      </c>
      <c r="C814" s="14" t="s">
        <v>156</v>
      </c>
      <c r="D814" s="19">
        <v>0</v>
      </c>
      <c r="E814" s="19"/>
      <c r="F814" s="19">
        <v>0</v>
      </c>
      <c r="G814" s="19"/>
      <c r="H814" s="14"/>
      <c r="I814" s="8" t="s">
        <v>38</v>
      </c>
      <c r="J814" s="8" t="s">
        <v>38</v>
      </c>
      <c r="K814">
        <v>15.9375</v>
      </c>
      <c r="L814">
        <v>36.75</v>
      </c>
      <c r="M814" s="14">
        <v>9</v>
      </c>
      <c r="N814" s="14">
        <v>6.25</v>
      </c>
      <c r="R814" t="str">
        <f t="shared" si="40"/>
        <v xml:space="preserve">XX8X_PV_1471:    Front abuts stile:FALSE       Back abuts stile:FALSE          Panel Section: TOP           Stile in the back Width:            Cutout A:           Cutout B:      F.C.:9 in.         C.C.:6.25 in.   </v>
      </c>
      <c r="S814" t="str">
        <f t="shared" si="41"/>
        <v>FALSE</v>
      </c>
      <c r="T814" t="str">
        <f t="shared" si="42"/>
        <v>FALSE</v>
      </c>
    </row>
    <row r="815" spans="1:20">
      <c r="A815" t="s">
        <v>975</v>
      </c>
      <c r="B815" s="14" t="s">
        <v>144</v>
      </c>
      <c r="C815" s="14" t="s">
        <v>156</v>
      </c>
      <c r="D815" s="14">
        <v>0</v>
      </c>
      <c r="E815" s="14"/>
      <c r="F815" s="14">
        <v>1</v>
      </c>
      <c r="G815" s="14">
        <v>0</v>
      </c>
      <c r="H815" s="14">
        <v>12</v>
      </c>
      <c r="I815" s="8" t="s">
        <v>120</v>
      </c>
      <c r="J815" s="8" t="s">
        <v>38</v>
      </c>
      <c r="K815">
        <v>27</v>
      </c>
      <c r="L815">
        <v>78.625</v>
      </c>
      <c r="M815" s="14">
        <v>4.5</v>
      </c>
      <c r="N815" s="14" t="s">
        <v>38</v>
      </c>
      <c r="R815" t="str">
        <f t="shared" si="40"/>
        <v xml:space="preserve">XX8X_PV_1472:    Front abuts stile:FALSE       Back abuts stile:TRUE          Panel Section: TOP           Stile in the back Width: 12           Cutout A: B-386          Cutout B:      F.C.:4.5 in.         C.C.: in.   </v>
      </c>
      <c r="S815" t="str">
        <f t="shared" si="41"/>
        <v>FALSE</v>
      </c>
      <c r="T815" t="str">
        <f t="shared" si="42"/>
        <v>TRUE</v>
      </c>
    </row>
    <row r="816" spans="1:20">
      <c r="A816" t="s">
        <v>976</v>
      </c>
      <c r="B816" s="14" t="s">
        <v>144</v>
      </c>
      <c r="C816" s="14" t="s">
        <v>156</v>
      </c>
      <c r="D816" s="14">
        <v>0</v>
      </c>
      <c r="E816" s="14"/>
      <c r="F816" s="14">
        <v>1</v>
      </c>
      <c r="G816" s="14">
        <v>0</v>
      </c>
      <c r="H816" s="14">
        <v>24</v>
      </c>
      <c r="I816" s="8" t="s">
        <v>120</v>
      </c>
      <c r="J816" s="8" t="s">
        <v>38</v>
      </c>
      <c r="K816">
        <v>48.3125</v>
      </c>
      <c r="L816">
        <v>72.5625</v>
      </c>
      <c r="M816" s="14">
        <v>9.6875</v>
      </c>
      <c r="N816" s="14" t="s">
        <v>38</v>
      </c>
      <c r="R816" t="str">
        <f t="shared" si="40"/>
        <v xml:space="preserve">XX8X_PV_1473:    Front abuts stile:FALSE       Back abuts stile:TRUE          Panel Section: TOP           Stile in the back Width: 24           Cutout A: B-386          Cutout B:      F.C.:9.6875 in.         C.C.: in.   </v>
      </c>
      <c r="S816" t="str">
        <f t="shared" si="41"/>
        <v>FALSE</v>
      </c>
      <c r="T816" t="str">
        <f t="shared" si="42"/>
        <v>TRUE</v>
      </c>
    </row>
    <row r="817" spans="1:20">
      <c r="A817" t="s">
        <v>977</v>
      </c>
      <c r="B817" s="14" t="s">
        <v>144</v>
      </c>
      <c r="C817" s="14" t="s">
        <v>156</v>
      </c>
      <c r="D817" s="14">
        <v>0</v>
      </c>
      <c r="E817" s="14"/>
      <c r="F817" s="14">
        <v>1</v>
      </c>
      <c r="G817" s="14">
        <v>0</v>
      </c>
      <c r="H817" s="14"/>
      <c r="I817" s="8" t="s">
        <v>38</v>
      </c>
      <c r="J817" s="8" t="s">
        <v>38</v>
      </c>
      <c r="K817">
        <v>11.25</v>
      </c>
      <c r="L817">
        <v>53.0625</v>
      </c>
      <c r="M817" s="14">
        <v>9</v>
      </c>
      <c r="N817" s="14">
        <v>3.5</v>
      </c>
      <c r="R817" t="str">
        <f t="shared" si="40"/>
        <v xml:space="preserve">XX8X_PV_1474:    Front abuts stile:FALSE       Back abuts stile:TRUE          Panel Section: TOP           Stile in the back Width:            Cutout A:           Cutout B:      F.C.:9 in.         C.C.:3.5 in.   </v>
      </c>
      <c r="S817" t="str">
        <f t="shared" si="41"/>
        <v>FALSE</v>
      </c>
      <c r="T817" t="str">
        <f t="shared" si="42"/>
        <v>TRUE</v>
      </c>
    </row>
    <row r="818" spans="1:20">
      <c r="A818" t="s">
        <v>978</v>
      </c>
      <c r="B818" s="14" t="s">
        <v>144</v>
      </c>
      <c r="C818" s="14" t="s">
        <v>156</v>
      </c>
      <c r="D818" s="14">
        <v>0</v>
      </c>
      <c r="E818" s="14"/>
      <c r="F818" s="14">
        <v>1</v>
      </c>
      <c r="G818" s="14">
        <v>1</v>
      </c>
      <c r="H818" s="14"/>
      <c r="I818" s="8" t="s">
        <v>38</v>
      </c>
      <c r="J818" s="8" t="s">
        <v>38</v>
      </c>
      <c r="K818">
        <v>45</v>
      </c>
      <c r="L818">
        <v>45.4375</v>
      </c>
      <c r="M818" s="14">
        <v>12</v>
      </c>
      <c r="N818" s="14">
        <v>4.8125</v>
      </c>
      <c r="R818" t="str">
        <f t="shared" si="40"/>
        <v xml:space="preserve">XX8X_PV_1475:    Front abuts stile:FALSE       Back abuts stile:TRUE          Panel Section: TOP           Stile in the back Width:            Cutout A:           Cutout B:      F.C.:12 in.         C.C.:4.8125 in.   </v>
      </c>
      <c r="S818" t="str">
        <f t="shared" si="41"/>
        <v>FALSE</v>
      </c>
      <c r="T818" t="str">
        <f t="shared" si="42"/>
        <v>TRUE</v>
      </c>
    </row>
    <row r="819" spans="1:20">
      <c r="A819" t="s">
        <v>979</v>
      </c>
      <c r="B819" s="14" t="s">
        <v>144</v>
      </c>
      <c r="C819" s="14" t="s">
        <v>156</v>
      </c>
      <c r="D819" s="14">
        <v>1</v>
      </c>
      <c r="E819" s="14">
        <v>0</v>
      </c>
      <c r="F819" s="14">
        <v>0</v>
      </c>
      <c r="G819" s="14"/>
      <c r="H819" s="14"/>
      <c r="I819" s="8" t="s">
        <v>121</v>
      </c>
      <c r="J819" s="8" t="s">
        <v>38</v>
      </c>
      <c r="K819">
        <v>31.9375</v>
      </c>
      <c r="L819">
        <v>41.6875</v>
      </c>
      <c r="M819" s="14">
        <v>1</v>
      </c>
      <c r="N819" s="14">
        <v>6.5</v>
      </c>
      <c r="R819" t="str">
        <f t="shared" si="40"/>
        <v xml:space="preserve">XX8X_PV_1476:    Front abuts stile:TRUE       Back abuts stile:FALSE          Panel Section: TOP           Stile in the back Width:            Cutout A: B-4354          Cutout B:      F.C.:1 in.         C.C.:6.5 in.   </v>
      </c>
      <c r="S819" t="str">
        <f t="shared" si="41"/>
        <v>TRUE</v>
      </c>
      <c r="T819" t="str">
        <f t="shared" si="42"/>
        <v>FALSE</v>
      </c>
    </row>
    <row r="820" spans="1:20">
      <c r="A820" t="s">
        <v>980</v>
      </c>
      <c r="B820" s="14" t="s">
        <v>144</v>
      </c>
      <c r="C820" s="14" t="s">
        <v>156</v>
      </c>
      <c r="D820" s="14">
        <v>1</v>
      </c>
      <c r="E820" s="14">
        <v>0</v>
      </c>
      <c r="F820" s="14">
        <v>1</v>
      </c>
      <c r="G820" s="14">
        <v>0</v>
      </c>
      <c r="H820" s="14">
        <v>12</v>
      </c>
      <c r="I820" s="8" t="s">
        <v>38</v>
      </c>
      <c r="J820" s="8" t="s">
        <v>38</v>
      </c>
      <c r="K820">
        <v>28.75</v>
      </c>
      <c r="L820">
        <v>74.6875</v>
      </c>
      <c r="M820" s="14">
        <v>4.5</v>
      </c>
      <c r="N820" s="14">
        <v>6.8125</v>
      </c>
      <c r="R820" t="str">
        <f t="shared" si="40"/>
        <v xml:space="preserve">XX8X_PV_1477:    Front abuts stile:TRUE       Back abuts stile:TRUE          Panel Section: TOP           Stile in the back Width: 12           Cutout A:           Cutout B:      F.C.:4.5 in.         C.C.:6.8125 in.   </v>
      </c>
      <c r="S820" t="str">
        <f t="shared" si="41"/>
        <v>TRUE</v>
      </c>
      <c r="T820" t="str">
        <f t="shared" si="42"/>
        <v>TRUE</v>
      </c>
    </row>
    <row r="821" spans="1:20">
      <c r="A821" t="s">
        <v>981</v>
      </c>
      <c r="B821" s="14" t="s">
        <v>144</v>
      </c>
      <c r="C821" s="14" t="s">
        <v>156</v>
      </c>
      <c r="D821" s="14">
        <v>1</v>
      </c>
      <c r="E821" s="14">
        <v>0</v>
      </c>
      <c r="F821" s="14">
        <v>1</v>
      </c>
      <c r="G821" s="14">
        <v>0</v>
      </c>
      <c r="H821" s="14">
        <v>24</v>
      </c>
      <c r="I821" s="8" t="s">
        <v>38</v>
      </c>
      <c r="J821" s="8" t="s">
        <v>38</v>
      </c>
      <c r="K821">
        <v>46.6875</v>
      </c>
      <c r="L821">
        <v>64.8125</v>
      </c>
      <c r="M821" s="14">
        <v>5.4375</v>
      </c>
      <c r="N821" s="14">
        <v>1</v>
      </c>
      <c r="R821" t="str">
        <f t="shared" si="40"/>
        <v xml:space="preserve">XX8X_PV_1478:    Front abuts stile:TRUE       Back abuts stile:TRUE          Panel Section: TOP           Stile in the back Width: 24           Cutout A:           Cutout B:      F.C.:5.4375 in.         C.C.:1 in.   </v>
      </c>
      <c r="S821" t="str">
        <f t="shared" si="41"/>
        <v>TRUE</v>
      </c>
      <c r="T821" t="str">
        <f t="shared" si="42"/>
        <v>TRUE</v>
      </c>
    </row>
    <row r="822" spans="1:20">
      <c r="A822" t="s">
        <v>982</v>
      </c>
      <c r="B822" s="14" t="s">
        <v>144</v>
      </c>
      <c r="C822" s="14" t="s">
        <v>156</v>
      </c>
      <c r="D822" s="14">
        <v>1</v>
      </c>
      <c r="E822" s="14">
        <v>0</v>
      </c>
      <c r="F822" s="14">
        <v>1</v>
      </c>
      <c r="G822" s="14">
        <v>0</v>
      </c>
      <c r="H822" s="14"/>
      <c r="I822" s="8" t="s">
        <v>38</v>
      </c>
      <c r="J822" s="8" t="s">
        <v>38</v>
      </c>
      <c r="K822">
        <v>29.125</v>
      </c>
      <c r="L822">
        <v>47.75</v>
      </c>
      <c r="M822" s="14">
        <v>1</v>
      </c>
      <c r="N822" s="14" t="s">
        <v>38</v>
      </c>
      <c r="R822" t="str">
        <f t="shared" si="40"/>
        <v xml:space="preserve">XX8X_PV_1479:    Front abuts stile:TRUE       Back abuts stile:TRUE          Panel Section: TOP           Stile in the back Width:            Cutout A:           Cutout B:      F.C.:1 in.         C.C.: in.   </v>
      </c>
      <c r="S822" t="str">
        <f t="shared" si="41"/>
        <v>TRUE</v>
      </c>
      <c r="T822" t="str">
        <f t="shared" si="42"/>
        <v>TRUE</v>
      </c>
    </row>
    <row r="823" spans="1:20">
      <c r="A823" t="s">
        <v>983</v>
      </c>
      <c r="B823" s="14" t="s">
        <v>144</v>
      </c>
      <c r="C823" s="14" t="s">
        <v>156</v>
      </c>
      <c r="D823" s="14">
        <v>1</v>
      </c>
      <c r="E823" s="14">
        <v>0</v>
      </c>
      <c r="F823" s="14">
        <v>1</v>
      </c>
      <c r="G823" s="14">
        <v>1</v>
      </c>
      <c r="H823" s="14"/>
      <c r="I823" s="8" t="s">
        <v>38</v>
      </c>
      <c r="J823" s="8" t="s">
        <v>38</v>
      </c>
      <c r="K823">
        <v>38.5</v>
      </c>
      <c r="L823">
        <v>74.625</v>
      </c>
      <c r="M823" s="14">
        <v>4.5</v>
      </c>
      <c r="N823" s="14">
        <v>1</v>
      </c>
      <c r="R823" t="str">
        <f t="shared" si="40"/>
        <v xml:space="preserve">XX8X_PV_1480:    Front abuts stile:TRUE       Back abuts stile:TRUE          Panel Section: TOP           Stile in the back Width:            Cutout A:           Cutout B:      F.C.:4.5 in.         C.C.:1 in.   </v>
      </c>
      <c r="S823" t="str">
        <f t="shared" si="41"/>
        <v>TRUE</v>
      </c>
      <c r="T823" t="str">
        <f t="shared" si="42"/>
        <v>TRUE</v>
      </c>
    </row>
    <row r="824" spans="1:20">
      <c r="A824" t="s">
        <v>984</v>
      </c>
      <c r="B824" s="14" t="s">
        <v>144</v>
      </c>
      <c r="C824" s="14" t="s">
        <v>156</v>
      </c>
      <c r="D824" s="14">
        <v>1</v>
      </c>
      <c r="E824" s="14">
        <v>1</v>
      </c>
      <c r="F824" s="14">
        <v>0</v>
      </c>
      <c r="G824" s="14"/>
      <c r="H824" s="14"/>
      <c r="I824" s="8" t="s">
        <v>148</v>
      </c>
      <c r="J824" s="8" t="s">
        <v>38</v>
      </c>
      <c r="K824">
        <v>13.9375</v>
      </c>
      <c r="L824">
        <v>61.0625</v>
      </c>
      <c r="M824" s="14">
        <v>12</v>
      </c>
      <c r="N824" s="14" t="s">
        <v>38</v>
      </c>
      <c r="R824" t="str">
        <f t="shared" si="40"/>
        <v xml:space="preserve">XX8X_PV_1481:    Front abuts stile:TRUE       Back abuts stile:FALSE          Panel Section: TOP           Stile in the back Width:            Cutout A: B-3471          Cutout B:      F.C.:12 in.         C.C.: in.   </v>
      </c>
      <c r="S824" t="str">
        <f t="shared" si="41"/>
        <v>TRUE</v>
      </c>
      <c r="T824" t="str">
        <f t="shared" si="42"/>
        <v>FALSE</v>
      </c>
    </row>
    <row r="825" spans="1:20">
      <c r="A825" t="s">
        <v>985</v>
      </c>
      <c r="B825" s="14" t="s">
        <v>144</v>
      </c>
      <c r="C825" s="14" t="s">
        <v>156</v>
      </c>
      <c r="D825" s="14">
        <v>1</v>
      </c>
      <c r="E825" s="14">
        <v>1</v>
      </c>
      <c r="F825" s="14">
        <v>1</v>
      </c>
      <c r="G825" s="14">
        <v>0</v>
      </c>
      <c r="H825" s="14">
        <v>12</v>
      </c>
      <c r="I825" s="8" t="s">
        <v>120</v>
      </c>
      <c r="J825" s="8" t="s">
        <v>38</v>
      </c>
      <c r="K825">
        <v>18.1875</v>
      </c>
      <c r="L825">
        <v>50.6875</v>
      </c>
      <c r="M825" s="14">
        <v>1</v>
      </c>
      <c r="N825" s="14">
        <v>4.9375</v>
      </c>
      <c r="R825" t="str">
        <f t="shared" si="40"/>
        <v xml:space="preserve">XX8X_PV_1482:    Front abuts stile:TRUE       Back abuts stile:TRUE          Panel Section: TOP           Stile in the back Width: 12           Cutout A: B-386          Cutout B:      F.C.:1 in.         C.C.:4.9375 in.   </v>
      </c>
      <c r="S825" t="str">
        <f t="shared" si="41"/>
        <v>TRUE</v>
      </c>
      <c r="T825" t="str">
        <f t="shared" si="42"/>
        <v>TRUE</v>
      </c>
    </row>
    <row r="826" spans="1:20">
      <c r="A826" t="s">
        <v>986</v>
      </c>
      <c r="B826" s="14" t="s">
        <v>144</v>
      </c>
      <c r="C826" s="14" t="s">
        <v>156</v>
      </c>
      <c r="D826" s="14">
        <v>1</v>
      </c>
      <c r="E826" s="14">
        <v>1</v>
      </c>
      <c r="F826" s="14">
        <v>1</v>
      </c>
      <c r="G826" s="14">
        <v>0</v>
      </c>
      <c r="H826" s="14">
        <v>24</v>
      </c>
      <c r="I826" s="8" t="s">
        <v>120</v>
      </c>
      <c r="J826" s="8" t="s">
        <v>38</v>
      </c>
      <c r="K826">
        <v>25.5</v>
      </c>
      <c r="L826">
        <v>55.625</v>
      </c>
      <c r="M826" s="14">
        <v>9</v>
      </c>
      <c r="N826" s="14">
        <v>8.5</v>
      </c>
      <c r="R826" t="str">
        <f t="shared" si="40"/>
        <v xml:space="preserve">XX8X_PV_1483:    Front abuts stile:TRUE       Back abuts stile:TRUE          Panel Section: TOP           Stile in the back Width: 24           Cutout A: B-386          Cutout B:      F.C.:9 in.         C.C.:8.5 in.   </v>
      </c>
      <c r="S826" t="str">
        <f t="shared" si="41"/>
        <v>TRUE</v>
      </c>
      <c r="T826" t="str">
        <f t="shared" si="42"/>
        <v>TRUE</v>
      </c>
    </row>
    <row r="827" spans="1:20">
      <c r="A827" t="s">
        <v>987</v>
      </c>
      <c r="B827" s="14" t="s">
        <v>144</v>
      </c>
      <c r="C827" s="14" t="s">
        <v>156</v>
      </c>
      <c r="D827" s="14">
        <v>1</v>
      </c>
      <c r="E827" s="14">
        <v>1</v>
      </c>
      <c r="F827" s="14">
        <v>1</v>
      </c>
      <c r="G827" s="14">
        <v>0</v>
      </c>
      <c r="H827" s="14"/>
      <c r="I827" s="8" t="s">
        <v>38</v>
      </c>
      <c r="J827" s="8" t="s">
        <v>38</v>
      </c>
      <c r="K827">
        <v>32.125</v>
      </c>
      <c r="L827">
        <v>65.9375</v>
      </c>
      <c r="M827" s="14">
        <v>12</v>
      </c>
      <c r="N827" s="14" t="s">
        <v>38</v>
      </c>
      <c r="R827" t="str">
        <f t="shared" si="40"/>
        <v xml:space="preserve">XX8X_PV_1484:    Front abuts stile:TRUE       Back abuts stile:TRUE          Panel Section: TOP           Stile in the back Width:            Cutout A:           Cutout B:      F.C.:12 in.         C.C.: in.   </v>
      </c>
      <c r="S827" t="str">
        <f t="shared" si="41"/>
        <v>TRUE</v>
      </c>
      <c r="T827" t="str">
        <f t="shared" si="42"/>
        <v>TRUE</v>
      </c>
    </row>
    <row r="828" spans="1:20">
      <c r="A828" t="s">
        <v>988</v>
      </c>
      <c r="B828" s="14" t="s">
        <v>144</v>
      </c>
      <c r="C828" s="14" t="s">
        <v>156</v>
      </c>
      <c r="D828" s="14">
        <v>1</v>
      </c>
      <c r="E828" s="14">
        <v>1</v>
      </c>
      <c r="F828" s="14">
        <v>1</v>
      </c>
      <c r="G828" s="14">
        <v>1</v>
      </c>
      <c r="H828" s="14"/>
      <c r="I828" s="8" t="s">
        <v>38</v>
      </c>
      <c r="J828" s="8" t="s">
        <v>38</v>
      </c>
      <c r="K828">
        <v>6.8125</v>
      </c>
      <c r="L828">
        <v>49.375</v>
      </c>
      <c r="M828" s="14">
        <v>4.5</v>
      </c>
      <c r="N828" s="14" t="s">
        <v>38</v>
      </c>
      <c r="R828" t="str">
        <f t="shared" si="40"/>
        <v xml:space="preserve">XX8X_PV_1485:    Front abuts stile:TRUE       Back abuts stile:TRUE          Panel Section: TOP           Stile in the back Width:            Cutout A:           Cutout B:      F.C.:4.5 in.         C.C.: in.   </v>
      </c>
      <c r="S828" t="str">
        <f t="shared" si="41"/>
        <v>TRUE</v>
      </c>
      <c r="T828" t="str">
        <f t="shared" si="42"/>
        <v>TRUE</v>
      </c>
    </row>
    <row r="829" spans="1:20">
      <c r="A829" t="s">
        <v>989</v>
      </c>
      <c r="B829" s="14" t="s">
        <v>144</v>
      </c>
      <c r="C829" s="14" t="s">
        <v>157</v>
      </c>
      <c r="D829" s="14">
        <v>0</v>
      </c>
      <c r="E829" s="14"/>
      <c r="F829" s="14">
        <v>0</v>
      </c>
      <c r="G829" s="14"/>
      <c r="H829" s="14"/>
      <c r="I829" s="8" t="s">
        <v>148</v>
      </c>
      <c r="J829" s="8" t="s">
        <v>38</v>
      </c>
      <c r="K829">
        <v>60</v>
      </c>
      <c r="L829">
        <v>64.0625</v>
      </c>
      <c r="M829" s="14">
        <v>3.3125</v>
      </c>
      <c r="N829" s="14">
        <v>6.75</v>
      </c>
      <c r="R829" t="str">
        <f t="shared" si="40"/>
        <v xml:space="preserve">XX8X_PV_1486:    Front abuts stile:FALSE       Back abuts stile:FALSE          Panel Section: BOTTOM           Stile in the back Width:            Cutout A: B-3471          Cutout B:      F.C.:3.3125 in.         C.C.:6.75 in.   </v>
      </c>
      <c r="S829" t="str">
        <f t="shared" si="41"/>
        <v>FALSE</v>
      </c>
      <c r="T829" t="str">
        <f t="shared" si="42"/>
        <v>FALSE</v>
      </c>
    </row>
    <row r="830" spans="1:20">
      <c r="A830" t="s">
        <v>990</v>
      </c>
      <c r="B830" s="14" t="s">
        <v>144</v>
      </c>
      <c r="C830" s="14" t="s">
        <v>157</v>
      </c>
      <c r="D830" s="14">
        <v>0</v>
      </c>
      <c r="E830" s="14"/>
      <c r="F830" s="14">
        <v>1</v>
      </c>
      <c r="G830" s="14">
        <v>0</v>
      </c>
      <c r="H830" s="14">
        <v>12</v>
      </c>
      <c r="I830" s="8" t="s">
        <v>120</v>
      </c>
      <c r="J830" s="8" t="s">
        <v>38</v>
      </c>
      <c r="K830">
        <v>60</v>
      </c>
      <c r="L830">
        <v>67</v>
      </c>
      <c r="M830" s="14">
        <v>4.5</v>
      </c>
      <c r="N830" s="14">
        <v>7.625</v>
      </c>
      <c r="R830" t="str">
        <f t="shared" si="40"/>
        <v xml:space="preserve">XX8X_PV_1487:    Front abuts stile:FALSE       Back abuts stile:TRUE          Panel Section: BOTTOM           Stile in the back Width: 12           Cutout A: B-386          Cutout B:      F.C.:4.5 in.         C.C.:7.625 in.   </v>
      </c>
      <c r="S830" t="str">
        <f t="shared" si="41"/>
        <v>FALSE</v>
      </c>
      <c r="T830" t="str">
        <f t="shared" si="42"/>
        <v>TRUE</v>
      </c>
    </row>
    <row r="831" spans="1:20">
      <c r="A831" t="s">
        <v>991</v>
      </c>
      <c r="B831" s="14" t="s">
        <v>144</v>
      </c>
      <c r="C831" s="14" t="s">
        <v>157</v>
      </c>
      <c r="D831" s="14">
        <v>0</v>
      </c>
      <c r="E831" s="14"/>
      <c r="F831" s="14">
        <v>1</v>
      </c>
      <c r="G831" s="14">
        <v>0</v>
      </c>
      <c r="H831" s="14">
        <v>24</v>
      </c>
      <c r="I831" s="8" t="s">
        <v>38</v>
      </c>
      <c r="J831" s="8" t="s">
        <v>38</v>
      </c>
      <c r="K831">
        <v>60</v>
      </c>
      <c r="L831">
        <v>21.6875</v>
      </c>
      <c r="M831" s="14">
        <v>9.5625</v>
      </c>
      <c r="N831" s="14" t="s">
        <v>38</v>
      </c>
      <c r="R831" t="str">
        <f t="shared" si="40"/>
        <v xml:space="preserve">XX8X_PV_1488:    Front abuts stile:FALSE       Back abuts stile:TRUE          Panel Section: BOTTOM           Stile in the back Width: 24           Cutout A:           Cutout B:      F.C.:9.5625 in.         C.C.: in.   </v>
      </c>
      <c r="S831" t="str">
        <f t="shared" si="41"/>
        <v>FALSE</v>
      </c>
      <c r="T831" t="str">
        <f t="shared" si="42"/>
        <v>TRUE</v>
      </c>
    </row>
    <row r="832" spans="1:20">
      <c r="A832" t="s">
        <v>992</v>
      </c>
      <c r="B832" s="14" t="s">
        <v>144</v>
      </c>
      <c r="C832" s="14" t="s">
        <v>157</v>
      </c>
      <c r="D832" s="14">
        <v>0</v>
      </c>
      <c r="E832" s="14"/>
      <c r="F832" s="14">
        <v>1</v>
      </c>
      <c r="G832" s="14">
        <v>0</v>
      </c>
      <c r="H832" s="14"/>
      <c r="I832" s="8" t="s">
        <v>38</v>
      </c>
      <c r="J832" s="8" t="s">
        <v>38</v>
      </c>
      <c r="K832">
        <v>60</v>
      </c>
      <c r="L832">
        <v>78.625</v>
      </c>
      <c r="M832" s="14">
        <v>1</v>
      </c>
      <c r="N832" s="14">
        <v>7.625</v>
      </c>
      <c r="R832" t="str">
        <f t="shared" si="40"/>
        <v xml:space="preserve">XX8X_PV_1489:    Front abuts stile:FALSE       Back abuts stile:TRUE          Panel Section: BOTTOM           Stile in the back Width:            Cutout A:           Cutout B:      F.C.:1 in.         C.C.:7.625 in.   </v>
      </c>
      <c r="S832" t="str">
        <f t="shared" si="41"/>
        <v>FALSE</v>
      </c>
      <c r="T832" t="str">
        <f t="shared" si="42"/>
        <v>TRUE</v>
      </c>
    </row>
    <row r="833" spans="1:20">
      <c r="A833" t="s">
        <v>993</v>
      </c>
      <c r="B833" s="14" t="s">
        <v>144</v>
      </c>
      <c r="C833" s="14" t="s">
        <v>157</v>
      </c>
      <c r="D833" s="14">
        <v>0</v>
      </c>
      <c r="E833" s="14"/>
      <c r="F833" s="14">
        <v>1</v>
      </c>
      <c r="G833" s="14">
        <v>1</v>
      </c>
      <c r="H833" s="14"/>
      <c r="I833" s="8" t="s">
        <v>38</v>
      </c>
      <c r="J833" s="8" t="s">
        <v>38</v>
      </c>
      <c r="K833">
        <v>60</v>
      </c>
      <c r="L833">
        <v>46.5</v>
      </c>
      <c r="M833" s="14">
        <v>9</v>
      </c>
      <c r="N833" s="14">
        <v>6.25</v>
      </c>
      <c r="R833" t="str">
        <f t="shared" ref="R833:R896" si="43">A833&amp;":    Front abuts stile:"&amp;S833&amp;"       Back abuts stile:"&amp;T833&amp;"          Panel Section: "&amp;C833&amp;"           Stile in the back Width: "&amp;H833&amp;"           Cutout A: "&amp;I833&amp;"          Cutout B:"&amp;J833&amp;"      F.C.:"&amp;M833&amp;" in. "&amp;"        C.C.:"&amp;N833&amp;" in. "&amp;"  "</f>
        <v xml:space="preserve">XX8X_PV_1490:    Front abuts stile:FALSE       Back abuts stile:TRUE          Panel Section: BOTTOM           Stile in the back Width:            Cutout A:           Cutout B:      F.C.:9 in.         C.C.:6.25 in.   </v>
      </c>
      <c r="S833" t="str">
        <f t="shared" ref="S833:S896" si="44">IF(D833=1, "TRUE", "FALSE")</f>
        <v>FALSE</v>
      </c>
      <c r="T833" t="str">
        <f t="shared" ref="T833:T896" si="45">IF(F833=1, "TRUE", "FALSE")</f>
        <v>TRUE</v>
      </c>
    </row>
    <row r="834" spans="1:20">
      <c r="A834" t="s">
        <v>994</v>
      </c>
      <c r="B834" s="14" t="s">
        <v>144</v>
      </c>
      <c r="C834" s="14" t="s">
        <v>157</v>
      </c>
      <c r="D834" s="14">
        <v>1</v>
      </c>
      <c r="E834" s="14">
        <v>0</v>
      </c>
      <c r="F834" s="14">
        <v>0</v>
      </c>
      <c r="G834" s="14"/>
      <c r="H834" s="14"/>
      <c r="I834" s="8" t="s">
        <v>38</v>
      </c>
      <c r="J834" s="8" t="s">
        <v>38</v>
      </c>
      <c r="K834">
        <v>60</v>
      </c>
      <c r="L834">
        <v>38.625</v>
      </c>
      <c r="M834" s="14">
        <v>12</v>
      </c>
      <c r="N834" s="14">
        <v>4.8125</v>
      </c>
      <c r="R834" t="str">
        <f t="shared" si="43"/>
        <v xml:space="preserve">XX8X_PV_1491:    Front abuts stile:TRUE       Back abuts stile:FALSE          Panel Section: BOTTOM           Stile in the back Width:            Cutout A:           Cutout B:      F.C.:12 in.         C.C.:4.8125 in.   </v>
      </c>
      <c r="S834" t="str">
        <f t="shared" si="44"/>
        <v>TRUE</v>
      </c>
      <c r="T834" t="str">
        <f t="shared" si="45"/>
        <v>FALSE</v>
      </c>
    </row>
    <row r="835" spans="1:20">
      <c r="A835" t="s">
        <v>995</v>
      </c>
      <c r="B835" s="14" t="s">
        <v>144</v>
      </c>
      <c r="C835" s="14" t="s">
        <v>157</v>
      </c>
      <c r="D835" s="14">
        <v>1</v>
      </c>
      <c r="E835" s="14">
        <v>0</v>
      </c>
      <c r="F835" s="14">
        <v>1</v>
      </c>
      <c r="G835" s="14">
        <v>0</v>
      </c>
      <c r="H835" s="14">
        <v>12</v>
      </c>
      <c r="I835" s="8" t="s">
        <v>38</v>
      </c>
      <c r="J835" s="8" t="s">
        <v>38</v>
      </c>
      <c r="K835">
        <v>60</v>
      </c>
      <c r="L835">
        <v>72.3125</v>
      </c>
      <c r="M835" s="14">
        <v>4.5</v>
      </c>
      <c r="N835" s="14">
        <v>3.5625</v>
      </c>
      <c r="R835" t="str">
        <f t="shared" si="43"/>
        <v xml:space="preserve">XX8X_PV_1492:    Front abuts stile:TRUE       Back abuts stile:TRUE          Panel Section: BOTTOM           Stile in the back Width: 12           Cutout A:           Cutout B:      F.C.:4.5 in.         C.C.:3.5625 in.   </v>
      </c>
      <c r="S835" t="str">
        <f t="shared" si="44"/>
        <v>TRUE</v>
      </c>
      <c r="T835" t="str">
        <f t="shared" si="45"/>
        <v>TRUE</v>
      </c>
    </row>
    <row r="836" spans="1:20">
      <c r="A836" t="s">
        <v>996</v>
      </c>
      <c r="B836" s="14" t="s">
        <v>144</v>
      </c>
      <c r="C836" s="14" t="s">
        <v>157</v>
      </c>
      <c r="D836" s="14">
        <v>1</v>
      </c>
      <c r="E836" s="14">
        <v>0</v>
      </c>
      <c r="F836" s="14">
        <v>1</v>
      </c>
      <c r="G836" s="14">
        <v>0</v>
      </c>
      <c r="H836" s="14">
        <v>24</v>
      </c>
      <c r="I836" s="8" t="s">
        <v>120</v>
      </c>
      <c r="J836" s="8" t="s">
        <v>38</v>
      </c>
      <c r="K836">
        <v>60</v>
      </c>
      <c r="L836">
        <v>40.4375</v>
      </c>
      <c r="M836" s="14">
        <v>9</v>
      </c>
      <c r="N836" s="14">
        <v>6.9375</v>
      </c>
      <c r="R836" t="str">
        <f t="shared" si="43"/>
        <v xml:space="preserve">XX8X_PV_1493:    Front abuts stile:TRUE       Back abuts stile:TRUE          Panel Section: BOTTOM           Stile in the back Width: 24           Cutout A: B-386          Cutout B:      F.C.:9 in.         C.C.:6.9375 in.   </v>
      </c>
      <c r="S836" t="str">
        <f t="shared" si="44"/>
        <v>TRUE</v>
      </c>
      <c r="T836" t="str">
        <f t="shared" si="45"/>
        <v>TRUE</v>
      </c>
    </row>
    <row r="837" spans="1:20">
      <c r="A837" t="s">
        <v>997</v>
      </c>
      <c r="B837" s="14" t="s">
        <v>144</v>
      </c>
      <c r="C837" s="14" t="s">
        <v>157</v>
      </c>
      <c r="D837" s="14">
        <v>1</v>
      </c>
      <c r="E837" s="14">
        <v>0</v>
      </c>
      <c r="F837" s="14">
        <v>1</v>
      </c>
      <c r="G837" s="14">
        <v>0</v>
      </c>
      <c r="H837" s="14"/>
      <c r="I837" s="8" t="s">
        <v>38</v>
      </c>
      <c r="J837" s="8" t="s">
        <v>38</v>
      </c>
      <c r="K837">
        <v>60</v>
      </c>
      <c r="L837">
        <v>68.875</v>
      </c>
      <c r="M837" s="14">
        <v>9</v>
      </c>
      <c r="N837" s="14" t="s">
        <v>38</v>
      </c>
      <c r="R837" t="str">
        <f t="shared" si="43"/>
        <v xml:space="preserve">XX8X_PV_1494:    Front abuts stile:TRUE       Back abuts stile:TRUE          Panel Section: BOTTOM           Stile in the back Width:            Cutout A:           Cutout B:      F.C.:9 in.         C.C.: in.   </v>
      </c>
      <c r="S837" t="str">
        <f t="shared" si="44"/>
        <v>TRUE</v>
      </c>
      <c r="T837" t="str">
        <f t="shared" si="45"/>
        <v>TRUE</v>
      </c>
    </row>
    <row r="838" spans="1:20">
      <c r="A838" t="s">
        <v>998</v>
      </c>
      <c r="B838" s="14" t="s">
        <v>144</v>
      </c>
      <c r="C838" s="14" t="s">
        <v>157</v>
      </c>
      <c r="D838" s="14">
        <v>1</v>
      </c>
      <c r="E838" s="14">
        <v>0</v>
      </c>
      <c r="F838" s="14">
        <v>1</v>
      </c>
      <c r="G838" s="14">
        <v>1</v>
      </c>
      <c r="H838" s="14"/>
      <c r="I838" s="8" t="s">
        <v>38</v>
      </c>
      <c r="J838" s="8" t="s">
        <v>38</v>
      </c>
      <c r="K838">
        <v>60</v>
      </c>
      <c r="L838">
        <v>60.625</v>
      </c>
      <c r="M838" s="14">
        <v>4.5</v>
      </c>
      <c r="N838" s="14">
        <v>1</v>
      </c>
      <c r="R838" t="str">
        <f t="shared" si="43"/>
        <v xml:space="preserve">XX8X_PV_1495:    Front abuts stile:TRUE       Back abuts stile:TRUE          Panel Section: BOTTOM           Stile in the back Width:            Cutout A:           Cutout B:      F.C.:4.5 in.         C.C.:1 in.   </v>
      </c>
      <c r="S838" t="str">
        <f t="shared" si="44"/>
        <v>TRUE</v>
      </c>
      <c r="T838" t="str">
        <f t="shared" si="45"/>
        <v>TRUE</v>
      </c>
    </row>
    <row r="839" spans="1:20">
      <c r="A839" t="s">
        <v>999</v>
      </c>
      <c r="B839" s="14" t="s">
        <v>144</v>
      </c>
      <c r="C839" s="14" t="s">
        <v>157</v>
      </c>
      <c r="D839" s="14">
        <v>1</v>
      </c>
      <c r="E839" s="14">
        <v>1</v>
      </c>
      <c r="F839" s="14">
        <v>0</v>
      </c>
      <c r="G839" s="14"/>
      <c r="H839" s="14"/>
      <c r="I839" s="8" t="s">
        <v>38</v>
      </c>
      <c r="J839" s="8" t="s">
        <v>38</v>
      </c>
      <c r="K839">
        <v>60</v>
      </c>
      <c r="L839">
        <v>78.75</v>
      </c>
      <c r="M839" s="14">
        <v>1</v>
      </c>
      <c r="N839" s="14">
        <v>6.125</v>
      </c>
      <c r="R839" t="str">
        <f t="shared" si="43"/>
        <v xml:space="preserve">XX8X_PV_1496:    Front abuts stile:TRUE       Back abuts stile:FALSE          Panel Section: BOTTOM           Stile in the back Width:            Cutout A:           Cutout B:      F.C.:1 in.         C.C.:6.125 in.   </v>
      </c>
      <c r="S839" t="str">
        <f t="shared" si="44"/>
        <v>TRUE</v>
      </c>
      <c r="T839" t="str">
        <f t="shared" si="45"/>
        <v>FALSE</v>
      </c>
    </row>
    <row r="840" spans="1:20">
      <c r="A840" t="s">
        <v>1000</v>
      </c>
      <c r="B840" s="14" t="s">
        <v>144</v>
      </c>
      <c r="C840" s="14" t="s">
        <v>157</v>
      </c>
      <c r="D840" s="14">
        <v>1</v>
      </c>
      <c r="E840" s="14">
        <v>1</v>
      </c>
      <c r="F840" s="14">
        <v>1</v>
      </c>
      <c r="G840" s="14">
        <v>0</v>
      </c>
      <c r="H840" s="14">
        <v>12</v>
      </c>
      <c r="I840" s="8" t="s">
        <v>149</v>
      </c>
      <c r="J840" s="8" t="s">
        <v>38</v>
      </c>
      <c r="K840">
        <v>60</v>
      </c>
      <c r="L840">
        <v>74.8125</v>
      </c>
      <c r="M840" s="14">
        <v>12</v>
      </c>
      <c r="N840" s="14">
        <v>1</v>
      </c>
      <c r="R840" t="str">
        <f t="shared" si="43"/>
        <v xml:space="preserve">XX8X_PV_1497:    Front abuts stile:TRUE       Back abuts stile:TRUE          Panel Section: BOTTOM           Stile in the back Width: 12           Cutout A: B-34715          Cutout B:      F.C.:12 in.         C.C.:1 in.   </v>
      </c>
      <c r="S840" t="str">
        <f t="shared" si="44"/>
        <v>TRUE</v>
      </c>
      <c r="T840" t="str">
        <f t="shared" si="45"/>
        <v>TRUE</v>
      </c>
    </row>
    <row r="841" spans="1:20">
      <c r="A841" t="s">
        <v>1001</v>
      </c>
      <c r="B841" s="14" t="s">
        <v>144</v>
      </c>
      <c r="C841" s="14" t="s">
        <v>157</v>
      </c>
      <c r="D841" s="14">
        <v>1</v>
      </c>
      <c r="E841" s="14">
        <v>1</v>
      </c>
      <c r="F841" s="14">
        <v>1</v>
      </c>
      <c r="G841" s="14">
        <v>0</v>
      </c>
      <c r="H841" s="14">
        <v>24</v>
      </c>
      <c r="I841" s="8" t="s">
        <v>149</v>
      </c>
      <c r="J841" s="8" t="s">
        <v>38</v>
      </c>
      <c r="K841">
        <v>60</v>
      </c>
      <c r="L841">
        <v>64.875</v>
      </c>
      <c r="M841" s="14">
        <v>8.875</v>
      </c>
      <c r="N841" s="14">
        <v>4.5</v>
      </c>
      <c r="R841" t="str">
        <f t="shared" si="43"/>
        <v xml:space="preserve">XX8X_PV_1498:    Front abuts stile:TRUE       Back abuts stile:TRUE          Panel Section: BOTTOM           Stile in the back Width: 24           Cutout A: B-34715          Cutout B:      F.C.:8.875 in.         C.C.:4.5 in.   </v>
      </c>
      <c r="S841" t="str">
        <f t="shared" si="44"/>
        <v>TRUE</v>
      </c>
      <c r="T841" t="str">
        <f t="shared" si="45"/>
        <v>TRUE</v>
      </c>
    </row>
    <row r="842" spans="1:20">
      <c r="A842" t="s">
        <v>1002</v>
      </c>
      <c r="B842" s="14" t="s">
        <v>144</v>
      </c>
      <c r="C842" s="14" t="s">
        <v>157</v>
      </c>
      <c r="D842" s="14">
        <v>1</v>
      </c>
      <c r="E842" s="14">
        <v>1</v>
      </c>
      <c r="F842" s="14">
        <v>1</v>
      </c>
      <c r="G842" s="14">
        <v>0</v>
      </c>
      <c r="H842" s="14"/>
      <c r="I842" s="8" t="s">
        <v>38</v>
      </c>
      <c r="J842" s="8" t="s">
        <v>38</v>
      </c>
      <c r="K842">
        <v>60</v>
      </c>
      <c r="L842">
        <v>48.9375</v>
      </c>
      <c r="M842" s="14">
        <v>2.9375</v>
      </c>
      <c r="N842" s="14" t="s">
        <v>38</v>
      </c>
      <c r="R842" t="str">
        <f t="shared" si="43"/>
        <v xml:space="preserve">XX8X_PV_1499:    Front abuts stile:TRUE       Back abuts stile:TRUE          Panel Section: BOTTOM           Stile in the back Width:            Cutout A:           Cutout B:      F.C.:2.9375 in.         C.C.: in.   </v>
      </c>
      <c r="S842" t="str">
        <f t="shared" si="44"/>
        <v>TRUE</v>
      </c>
      <c r="T842" t="str">
        <f t="shared" si="45"/>
        <v>TRUE</v>
      </c>
    </row>
    <row r="843" spans="1:20">
      <c r="A843" t="s">
        <v>1003</v>
      </c>
      <c r="B843" s="14" t="s">
        <v>144</v>
      </c>
      <c r="C843" s="14" t="s">
        <v>157</v>
      </c>
      <c r="D843" s="14">
        <v>1</v>
      </c>
      <c r="E843" s="14">
        <v>1</v>
      </c>
      <c r="F843" s="14">
        <v>1</v>
      </c>
      <c r="G843" s="14">
        <v>1</v>
      </c>
      <c r="H843" s="14"/>
      <c r="I843" s="8" t="s">
        <v>38</v>
      </c>
      <c r="J843" s="8" t="s">
        <v>38</v>
      </c>
      <c r="K843">
        <v>60</v>
      </c>
      <c r="L843">
        <v>18.3125</v>
      </c>
      <c r="M843" s="14">
        <v>9</v>
      </c>
      <c r="N843" s="14" t="s">
        <v>38</v>
      </c>
      <c r="R843" t="str">
        <f t="shared" si="43"/>
        <v xml:space="preserve">XX8X_PV_1500:    Front abuts stile:TRUE       Back abuts stile:TRUE          Panel Section: BOTTOM           Stile in the back Width:            Cutout A:           Cutout B:      F.C.:9 in.         C.C.: in.   </v>
      </c>
      <c r="S843" t="str">
        <f t="shared" si="44"/>
        <v>TRUE</v>
      </c>
      <c r="T843" t="str">
        <f t="shared" si="45"/>
        <v>TRUE</v>
      </c>
    </row>
    <row r="844" spans="1:20">
      <c r="A844" t="s">
        <v>1004</v>
      </c>
      <c r="B844" s="14" t="s">
        <v>144</v>
      </c>
      <c r="C844" s="14" t="s">
        <v>21</v>
      </c>
      <c r="D844" s="14">
        <v>0</v>
      </c>
      <c r="E844" s="14"/>
      <c r="F844" s="14">
        <v>0</v>
      </c>
      <c r="G844" s="14"/>
      <c r="H844" s="14"/>
      <c r="I844" s="8" t="s">
        <v>151</v>
      </c>
      <c r="J844" s="8" t="s">
        <v>38</v>
      </c>
      <c r="K844">
        <v>96</v>
      </c>
      <c r="L844">
        <v>73.25</v>
      </c>
      <c r="M844" s="14">
        <v>9</v>
      </c>
      <c r="N844" s="14">
        <v>6.3125</v>
      </c>
      <c r="R844" t="str">
        <f t="shared" si="43"/>
        <v xml:space="preserve">XX8X_PV_1501:    Front abuts stile:FALSE       Back abuts stile:FALSE          Panel Section: WHOLE           Stile in the back Width:            Cutout A: B-35715          Cutout B:      F.C.:9 in.         C.C.:6.3125 in.   </v>
      </c>
      <c r="S844" t="str">
        <f t="shared" si="44"/>
        <v>FALSE</v>
      </c>
      <c r="T844" t="str">
        <f t="shared" si="45"/>
        <v>FALSE</v>
      </c>
    </row>
    <row r="845" spans="1:20">
      <c r="A845" t="s">
        <v>1005</v>
      </c>
      <c r="B845" s="14" t="s">
        <v>144</v>
      </c>
      <c r="C845" s="14" t="s">
        <v>21</v>
      </c>
      <c r="D845" s="14">
        <v>0</v>
      </c>
      <c r="E845" s="14"/>
      <c r="F845" s="14">
        <v>1</v>
      </c>
      <c r="G845" s="14">
        <v>0</v>
      </c>
      <c r="H845" s="14">
        <v>12</v>
      </c>
      <c r="I845" s="8" t="s">
        <v>121</v>
      </c>
      <c r="J845" s="8" t="s">
        <v>38</v>
      </c>
      <c r="K845">
        <v>68.5</v>
      </c>
      <c r="L845">
        <v>50.4375</v>
      </c>
      <c r="M845" s="14">
        <v>1</v>
      </c>
      <c r="N845" s="14">
        <v>4.6875</v>
      </c>
      <c r="R845" t="str">
        <f t="shared" si="43"/>
        <v xml:space="preserve">XX8X_PV_1502:    Front abuts stile:FALSE       Back abuts stile:TRUE          Panel Section: WHOLE           Stile in the back Width: 12           Cutout A: B-4354          Cutout B:      F.C.:1 in.         C.C.:4.6875 in.   </v>
      </c>
      <c r="S845" t="str">
        <f t="shared" si="44"/>
        <v>FALSE</v>
      </c>
      <c r="T845" t="str">
        <f t="shared" si="45"/>
        <v>TRUE</v>
      </c>
    </row>
    <row r="846" spans="1:20">
      <c r="A846" t="s">
        <v>1006</v>
      </c>
      <c r="B846" s="14" t="s">
        <v>144</v>
      </c>
      <c r="C846" s="14" t="s">
        <v>21</v>
      </c>
      <c r="D846" s="14">
        <v>0</v>
      </c>
      <c r="E846" s="14"/>
      <c r="F846" s="14">
        <v>1</v>
      </c>
      <c r="G846" s="14">
        <v>0</v>
      </c>
      <c r="H846" s="14">
        <v>24</v>
      </c>
      <c r="I846" s="8" t="s">
        <v>38</v>
      </c>
      <c r="J846" s="8" t="s">
        <v>38</v>
      </c>
      <c r="K846">
        <v>56.875</v>
      </c>
      <c r="L846">
        <v>33.25</v>
      </c>
      <c r="M846" s="14">
        <v>12</v>
      </c>
      <c r="N846" s="14" t="s">
        <v>38</v>
      </c>
      <c r="R846" t="str">
        <f t="shared" si="43"/>
        <v xml:space="preserve">XX8X_PV_1503:    Front abuts stile:FALSE       Back abuts stile:TRUE          Panel Section: WHOLE           Stile in the back Width: 24           Cutout A:           Cutout B:      F.C.:12 in.         C.C.: in.   </v>
      </c>
      <c r="S846" t="str">
        <f t="shared" si="44"/>
        <v>FALSE</v>
      </c>
      <c r="T846" t="str">
        <f t="shared" si="45"/>
        <v>TRUE</v>
      </c>
    </row>
    <row r="847" spans="1:20">
      <c r="A847" t="s">
        <v>1007</v>
      </c>
      <c r="B847" s="14" t="s">
        <v>144</v>
      </c>
      <c r="C847" s="14" t="s">
        <v>21</v>
      </c>
      <c r="D847" s="14">
        <v>0</v>
      </c>
      <c r="E847" s="14"/>
      <c r="F847" s="14">
        <v>1</v>
      </c>
      <c r="G847" s="14">
        <v>0</v>
      </c>
      <c r="H847" s="14"/>
      <c r="I847" s="8" t="s">
        <v>38</v>
      </c>
      <c r="J847" s="8" t="s">
        <v>38</v>
      </c>
      <c r="K847">
        <v>96</v>
      </c>
      <c r="L847">
        <v>26</v>
      </c>
      <c r="M847" s="14">
        <v>1</v>
      </c>
      <c r="N847" s="14" t="s">
        <v>38</v>
      </c>
      <c r="R847" t="str">
        <f t="shared" si="43"/>
        <v xml:space="preserve">XX8X_PV_1504:    Front abuts stile:FALSE       Back abuts stile:TRUE          Panel Section: WHOLE           Stile in the back Width:            Cutout A:           Cutout B:      F.C.:1 in.         C.C.: in.   </v>
      </c>
      <c r="S847" t="str">
        <f t="shared" si="44"/>
        <v>FALSE</v>
      </c>
      <c r="T847" t="str">
        <f t="shared" si="45"/>
        <v>TRUE</v>
      </c>
    </row>
    <row r="848" spans="1:20">
      <c r="A848" t="s">
        <v>1008</v>
      </c>
      <c r="B848" s="14" t="s">
        <v>144</v>
      </c>
      <c r="C848" s="14" t="s">
        <v>21</v>
      </c>
      <c r="D848" s="14">
        <v>0</v>
      </c>
      <c r="E848" s="14"/>
      <c r="F848" s="14">
        <v>1</v>
      </c>
      <c r="G848" s="14">
        <v>1</v>
      </c>
      <c r="H848" s="14"/>
      <c r="I848" s="8" t="s">
        <v>38</v>
      </c>
      <c r="J848" s="8" t="s">
        <v>38</v>
      </c>
      <c r="K848">
        <v>64.3125</v>
      </c>
      <c r="L848">
        <v>60.5625</v>
      </c>
      <c r="M848" s="14">
        <v>9</v>
      </c>
      <c r="N848" s="14" t="s">
        <v>38</v>
      </c>
      <c r="R848" t="str">
        <f t="shared" si="43"/>
        <v xml:space="preserve">XX8X_PV_1505:    Front abuts stile:FALSE       Back abuts stile:TRUE          Panel Section: WHOLE           Stile in the back Width:            Cutout A:           Cutout B:      F.C.:9 in.         C.C.: in.   </v>
      </c>
      <c r="S848" t="str">
        <f t="shared" si="44"/>
        <v>FALSE</v>
      </c>
      <c r="T848" t="str">
        <f t="shared" si="45"/>
        <v>TRUE</v>
      </c>
    </row>
    <row r="849" spans="1:20">
      <c r="A849" t="s">
        <v>1009</v>
      </c>
      <c r="B849" s="14" t="s">
        <v>144</v>
      </c>
      <c r="C849" s="14" t="s">
        <v>21</v>
      </c>
      <c r="D849" s="14">
        <v>1</v>
      </c>
      <c r="E849" s="14">
        <v>0</v>
      </c>
      <c r="F849" s="14">
        <v>0</v>
      </c>
      <c r="G849" s="14"/>
      <c r="H849" s="14"/>
      <c r="I849" s="8" t="s">
        <v>149</v>
      </c>
      <c r="J849" s="8" t="s">
        <v>38</v>
      </c>
      <c r="K849">
        <v>77.0625</v>
      </c>
      <c r="L849">
        <v>40</v>
      </c>
      <c r="M849" s="14">
        <v>1</v>
      </c>
      <c r="N849" s="14">
        <v>4.8125</v>
      </c>
      <c r="R849" t="str">
        <f t="shared" si="43"/>
        <v xml:space="preserve">XX8X_PV_1506:    Front abuts stile:TRUE       Back abuts stile:FALSE          Panel Section: WHOLE           Stile in the back Width:            Cutout A: B-34715          Cutout B:      F.C.:1 in.         C.C.:4.8125 in.   </v>
      </c>
      <c r="S849" t="str">
        <f t="shared" si="44"/>
        <v>TRUE</v>
      </c>
      <c r="T849" t="str">
        <f t="shared" si="45"/>
        <v>FALSE</v>
      </c>
    </row>
    <row r="850" spans="1:20">
      <c r="A850" t="s">
        <v>1010</v>
      </c>
      <c r="B850" s="14" t="s">
        <v>144</v>
      </c>
      <c r="C850" s="14" t="s">
        <v>21</v>
      </c>
      <c r="D850" s="14">
        <v>1</v>
      </c>
      <c r="E850" s="14">
        <v>0</v>
      </c>
      <c r="F850" s="14">
        <v>1</v>
      </c>
      <c r="G850" s="14">
        <v>0</v>
      </c>
      <c r="H850" s="14">
        <v>12</v>
      </c>
      <c r="I850" s="8" t="s">
        <v>150</v>
      </c>
      <c r="J850" s="8" t="s">
        <v>38</v>
      </c>
      <c r="K850">
        <v>98.375</v>
      </c>
      <c r="L850">
        <v>71.4375</v>
      </c>
      <c r="M850" s="14">
        <v>9</v>
      </c>
      <c r="N850" s="14">
        <v>1</v>
      </c>
      <c r="R850" t="str">
        <f t="shared" si="43"/>
        <v xml:space="preserve">XX8X_PV_1507:    Front abuts stile:TRUE       Back abuts stile:TRUE          Panel Section: WHOLE           Stile in the back Width: 12           Cutout A: B-3571          Cutout B:      F.C.:9 in.         C.C.:1 in.   </v>
      </c>
      <c r="S850" t="str">
        <f t="shared" si="44"/>
        <v>TRUE</v>
      </c>
      <c r="T850" t="str">
        <f t="shared" si="45"/>
        <v>TRUE</v>
      </c>
    </row>
    <row r="851" spans="1:20">
      <c r="A851" t="s">
        <v>1011</v>
      </c>
      <c r="B851" s="14" t="s">
        <v>144</v>
      </c>
      <c r="C851" s="14" t="s">
        <v>21</v>
      </c>
      <c r="D851" s="14">
        <v>1</v>
      </c>
      <c r="E851" s="14">
        <v>0</v>
      </c>
      <c r="F851" s="14">
        <v>1</v>
      </c>
      <c r="G851" s="14">
        <v>0</v>
      </c>
      <c r="H851" s="14">
        <v>24</v>
      </c>
      <c r="I851" s="8" t="s">
        <v>145</v>
      </c>
      <c r="J851" s="8" t="s">
        <v>38</v>
      </c>
      <c r="K851">
        <v>85.1875</v>
      </c>
      <c r="L851">
        <v>43.4375</v>
      </c>
      <c r="M851" s="14">
        <v>12</v>
      </c>
      <c r="N851" s="14">
        <v>1</v>
      </c>
      <c r="R851" t="str">
        <f t="shared" si="43"/>
        <v xml:space="preserve">XX8X_PV_1508:    Front abuts stile:TRUE       Back abuts stile:TRUE          Panel Section: WHOLE           Stile in the back Width: 24           Cutout A: B-347          Cutout B:      F.C.:12 in.         C.C.:1 in.   </v>
      </c>
      <c r="S851" t="str">
        <f t="shared" si="44"/>
        <v>TRUE</v>
      </c>
      <c r="T851" t="str">
        <f t="shared" si="45"/>
        <v>TRUE</v>
      </c>
    </row>
    <row r="852" spans="1:20">
      <c r="A852" t="s">
        <v>1012</v>
      </c>
      <c r="B852" s="14" t="s">
        <v>144</v>
      </c>
      <c r="C852" s="14" t="s">
        <v>21</v>
      </c>
      <c r="D852" s="14">
        <v>1</v>
      </c>
      <c r="E852" s="14">
        <v>0</v>
      </c>
      <c r="F852" s="14">
        <v>1</v>
      </c>
      <c r="G852" s="14">
        <v>0</v>
      </c>
      <c r="H852" s="14"/>
      <c r="I852" s="8" t="s">
        <v>38</v>
      </c>
      <c r="J852" s="8" t="s">
        <v>38</v>
      </c>
      <c r="K852">
        <v>97.875</v>
      </c>
      <c r="L852">
        <v>22.25</v>
      </c>
      <c r="M852" s="14">
        <v>1</v>
      </c>
      <c r="N852" s="14">
        <v>5.875</v>
      </c>
      <c r="R852" t="str">
        <f t="shared" si="43"/>
        <v xml:space="preserve">XX8X_PV_1509:    Front abuts stile:TRUE       Back abuts stile:TRUE          Panel Section: WHOLE           Stile in the back Width:            Cutout A:           Cutout B:      F.C.:1 in.         C.C.:5.875 in.   </v>
      </c>
      <c r="S852" t="str">
        <f t="shared" si="44"/>
        <v>TRUE</v>
      </c>
      <c r="T852" t="str">
        <f t="shared" si="45"/>
        <v>TRUE</v>
      </c>
    </row>
    <row r="853" spans="1:20">
      <c r="A853" t="s">
        <v>1013</v>
      </c>
      <c r="B853" s="14" t="s">
        <v>144</v>
      </c>
      <c r="C853" s="14" t="s">
        <v>21</v>
      </c>
      <c r="D853" s="14">
        <v>1</v>
      </c>
      <c r="E853" s="14">
        <v>0</v>
      </c>
      <c r="F853" s="14">
        <v>1</v>
      </c>
      <c r="G853" s="14">
        <v>1</v>
      </c>
      <c r="H853" s="14"/>
      <c r="I853" s="8" t="s">
        <v>38</v>
      </c>
      <c r="J853" s="8" t="s">
        <v>38</v>
      </c>
      <c r="K853">
        <v>72.9375</v>
      </c>
      <c r="L853">
        <v>58.125</v>
      </c>
      <c r="M853" s="14">
        <v>12</v>
      </c>
      <c r="N853" s="14">
        <v>7.375</v>
      </c>
      <c r="R853" t="str">
        <f t="shared" si="43"/>
        <v xml:space="preserve">XX8X_PV_1510:    Front abuts stile:TRUE       Back abuts stile:TRUE          Panel Section: WHOLE           Stile in the back Width:            Cutout A:           Cutout B:      F.C.:12 in.         C.C.:7.375 in.   </v>
      </c>
      <c r="S853" t="str">
        <f t="shared" si="44"/>
        <v>TRUE</v>
      </c>
      <c r="T853" t="str">
        <f t="shared" si="45"/>
        <v>TRUE</v>
      </c>
    </row>
    <row r="854" spans="1:20">
      <c r="A854" t="s">
        <v>1014</v>
      </c>
      <c r="B854" s="14" t="s">
        <v>144</v>
      </c>
      <c r="C854" s="14" t="s">
        <v>21</v>
      </c>
      <c r="D854" s="14">
        <v>1</v>
      </c>
      <c r="E854" s="14">
        <v>1</v>
      </c>
      <c r="F854" s="14">
        <v>0</v>
      </c>
      <c r="G854" s="14"/>
      <c r="H854" s="14"/>
      <c r="I854" s="8" t="s">
        <v>120</v>
      </c>
      <c r="J854" s="8" t="s">
        <v>38</v>
      </c>
      <c r="K854">
        <v>108.5625</v>
      </c>
      <c r="L854">
        <v>62.375</v>
      </c>
      <c r="M854" s="14">
        <v>1</v>
      </c>
      <c r="N854" s="14">
        <v>1.0625</v>
      </c>
      <c r="R854" t="str">
        <f t="shared" si="43"/>
        <v xml:space="preserve">XX8X_PV_1511:    Front abuts stile:TRUE       Back abuts stile:FALSE          Panel Section: WHOLE           Stile in the back Width:            Cutout A: B-386          Cutout B:      F.C.:1 in.         C.C.:1.0625 in.   </v>
      </c>
      <c r="S854" t="str">
        <f t="shared" si="44"/>
        <v>TRUE</v>
      </c>
      <c r="T854" t="str">
        <f t="shared" si="45"/>
        <v>FALSE</v>
      </c>
    </row>
    <row r="855" spans="1:20">
      <c r="A855" t="s">
        <v>1015</v>
      </c>
      <c r="B855" s="14" t="s">
        <v>144</v>
      </c>
      <c r="C855" s="14" t="s">
        <v>21</v>
      </c>
      <c r="D855" s="14">
        <v>1</v>
      </c>
      <c r="E855" s="14">
        <v>1</v>
      </c>
      <c r="F855" s="14">
        <v>1</v>
      </c>
      <c r="G855" s="14">
        <v>0</v>
      </c>
      <c r="H855" s="14">
        <v>12</v>
      </c>
      <c r="I855" s="8" t="s">
        <v>148</v>
      </c>
      <c r="J855" s="8" t="s">
        <v>38</v>
      </c>
      <c r="K855">
        <v>78.25</v>
      </c>
      <c r="L855">
        <v>62.3125</v>
      </c>
      <c r="M855" s="14">
        <v>3.375</v>
      </c>
      <c r="N855" s="14">
        <v>5.1875</v>
      </c>
      <c r="R855" t="str">
        <f t="shared" si="43"/>
        <v xml:space="preserve">XX8X_PV_1512:    Front abuts stile:TRUE       Back abuts stile:TRUE          Panel Section: WHOLE           Stile in the back Width: 12           Cutout A: B-3471          Cutout B:      F.C.:3.375 in.         C.C.:5.1875 in.   </v>
      </c>
      <c r="S855" t="str">
        <f t="shared" si="44"/>
        <v>TRUE</v>
      </c>
      <c r="T855" t="str">
        <f t="shared" si="45"/>
        <v>TRUE</v>
      </c>
    </row>
    <row r="856" spans="1:20">
      <c r="A856" t="s">
        <v>1016</v>
      </c>
      <c r="B856" s="14" t="s">
        <v>144</v>
      </c>
      <c r="C856" s="14" t="s">
        <v>21</v>
      </c>
      <c r="D856" s="14">
        <v>1</v>
      </c>
      <c r="E856" s="14">
        <v>1</v>
      </c>
      <c r="F856" s="14">
        <v>1</v>
      </c>
      <c r="G856" s="14">
        <v>0</v>
      </c>
      <c r="H856" s="14">
        <v>24</v>
      </c>
      <c r="I856" s="8" t="s">
        <v>149</v>
      </c>
      <c r="J856" s="8" t="s">
        <v>38</v>
      </c>
      <c r="K856">
        <v>47.0625</v>
      </c>
      <c r="L856">
        <v>64.6875</v>
      </c>
      <c r="M856" s="14">
        <v>3.5</v>
      </c>
      <c r="N856" s="14">
        <v>5.8125</v>
      </c>
      <c r="R856" t="str">
        <f t="shared" si="43"/>
        <v xml:space="preserve">XX8X_PV_1513:    Front abuts stile:TRUE       Back abuts stile:TRUE          Panel Section: WHOLE           Stile in the back Width: 24           Cutout A: B-34715          Cutout B:      F.C.:3.5 in.         C.C.:5.8125 in.   </v>
      </c>
      <c r="S856" t="str">
        <f t="shared" si="44"/>
        <v>TRUE</v>
      </c>
      <c r="T856" t="str">
        <f t="shared" si="45"/>
        <v>TRUE</v>
      </c>
    </row>
    <row r="857" spans="1:20">
      <c r="A857" t="s">
        <v>1017</v>
      </c>
      <c r="B857" s="14" t="s">
        <v>144</v>
      </c>
      <c r="C857" s="14" t="s">
        <v>21</v>
      </c>
      <c r="D857" s="14">
        <v>1</v>
      </c>
      <c r="E857" s="14">
        <v>1</v>
      </c>
      <c r="F857" s="14">
        <v>1</v>
      </c>
      <c r="G857" s="14">
        <v>0</v>
      </c>
      <c r="H857" s="14"/>
      <c r="I857" s="8" t="s">
        <v>38</v>
      </c>
      <c r="J857" s="8" t="s">
        <v>38</v>
      </c>
      <c r="K857">
        <v>95.75</v>
      </c>
      <c r="L857">
        <v>40</v>
      </c>
      <c r="M857" s="14">
        <v>9</v>
      </c>
      <c r="N857" s="14" t="s">
        <v>38</v>
      </c>
      <c r="R857" t="str">
        <f t="shared" si="43"/>
        <v xml:space="preserve">XX8X_PV_1514:    Front abuts stile:TRUE       Back abuts stile:TRUE          Panel Section: WHOLE           Stile in the back Width:            Cutout A:           Cutout B:      F.C.:9 in.         C.C.: in.   </v>
      </c>
      <c r="S857" t="str">
        <f t="shared" si="44"/>
        <v>TRUE</v>
      </c>
      <c r="T857" t="str">
        <f t="shared" si="45"/>
        <v>TRUE</v>
      </c>
    </row>
    <row r="858" spans="1:20" ht="15" thickBot="1">
      <c r="A858" t="s">
        <v>1018</v>
      </c>
      <c r="B858" s="14" t="s">
        <v>144</v>
      </c>
      <c r="C858" s="50" t="s">
        <v>21</v>
      </c>
      <c r="D858" s="50">
        <v>1</v>
      </c>
      <c r="E858" s="50">
        <v>1</v>
      </c>
      <c r="F858" s="50">
        <v>1</v>
      </c>
      <c r="G858" s="50">
        <v>1</v>
      </c>
      <c r="H858" s="50"/>
      <c r="I858" s="51" t="s">
        <v>38</v>
      </c>
      <c r="J858" s="51" t="s">
        <v>38</v>
      </c>
      <c r="K858" s="49">
        <v>51.375</v>
      </c>
      <c r="L858" s="49">
        <v>78.125</v>
      </c>
      <c r="M858" s="50">
        <v>4.5</v>
      </c>
      <c r="N858" s="14">
        <v>6.0625</v>
      </c>
      <c r="R858" t="str">
        <f t="shared" si="43"/>
        <v xml:space="preserve">XX8X_PV_1515:    Front abuts stile:TRUE       Back abuts stile:TRUE          Panel Section: WHOLE           Stile in the back Width:            Cutout A:           Cutout B:      F.C.:4.5 in.         C.C.:6.0625 in.   </v>
      </c>
      <c r="S858" t="str">
        <f t="shared" si="44"/>
        <v>TRUE</v>
      </c>
      <c r="T858" t="str">
        <f t="shared" si="45"/>
        <v>TRUE</v>
      </c>
    </row>
    <row r="859" spans="1:20" ht="15" thickTop="1">
      <c r="A859" t="s">
        <v>1019</v>
      </c>
      <c r="B859" s="14" t="s">
        <v>144</v>
      </c>
      <c r="C859" s="14" t="s">
        <v>156</v>
      </c>
      <c r="D859" s="19">
        <v>0</v>
      </c>
      <c r="E859" s="19"/>
      <c r="F859" s="19">
        <v>0</v>
      </c>
      <c r="G859" s="19"/>
      <c r="H859" s="14"/>
      <c r="I859" s="8" t="s">
        <v>145</v>
      </c>
      <c r="J859" s="8" t="s">
        <v>38</v>
      </c>
      <c r="K859">
        <v>7.25</v>
      </c>
      <c r="L859">
        <v>53.25</v>
      </c>
      <c r="M859" s="14">
        <v>4.5</v>
      </c>
      <c r="N859" s="14">
        <v>4.75</v>
      </c>
      <c r="R859" t="str">
        <f t="shared" si="43"/>
        <v xml:space="preserve">XX8X_PV_1516:    Front abuts stile:FALSE       Back abuts stile:FALSE          Panel Section: TOP           Stile in the back Width:            Cutout A: B-347          Cutout B:      F.C.:4.5 in.         C.C.:4.75 in.   </v>
      </c>
      <c r="S859" t="str">
        <f t="shared" si="44"/>
        <v>FALSE</v>
      </c>
      <c r="T859" t="str">
        <f t="shared" si="45"/>
        <v>FALSE</v>
      </c>
    </row>
    <row r="860" spans="1:20">
      <c r="A860" t="s">
        <v>1020</v>
      </c>
      <c r="B860" s="14" t="s">
        <v>144</v>
      </c>
      <c r="C860" s="14" t="s">
        <v>156</v>
      </c>
      <c r="D860" s="14">
        <v>0</v>
      </c>
      <c r="E860" s="14"/>
      <c r="F860" s="14">
        <v>1</v>
      </c>
      <c r="G860" s="14">
        <v>0</v>
      </c>
      <c r="H860" s="14">
        <v>12</v>
      </c>
      <c r="I860" s="8" t="s">
        <v>151</v>
      </c>
      <c r="J860" s="8" t="s">
        <v>38</v>
      </c>
      <c r="K860">
        <v>30.625</v>
      </c>
      <c r="L860">
        <v>42.875</v>
      </c>
      <c r="M860" s="14">
        <v>9</v>
      </c>
      <c r="N860" s="14">
        <v>1</v>
      </c>
      <c r="R860" t="str">
        <f t="shared" si="43"/>
        <v xml:space="preserve">XX8X_PV_1517:    Front abuts stile:FALSE       Back abuts stile:TRUE          Panel Section: TOP           Stile in the back Width: 12           Cutout A: B-35715          Cutout B:      F.C.:9 in.         C.C.:1 in.   </v>
      </c>
      <c r="S860" t="str">
        <f t="shared" si="44"/>
        <v>FALSE</v>
      </c>
      <c r="T860" t="str">
        <f t="shared" si="45"/>
        <v>TRUE</v>
      </c>
    </row>
    <row r="861" spans="1:20">
      <c r="A861" t="s">
        <v>1021</v>
      </c>
      <c r="B861" s="14" t="s">
        <v>144</v>
      </c>
      <c r="C861" s="14" t="s">
        <v>156</v>
      </c>
      <c r="D861" s="14">
        <v>0</v>
      </c>
      <c r="E861" s="14"/>
      <c r="F861" s="14">
        <v>1</v>
      </c>
      <c r="G861" s="14">
        <v>0</v>
      </c>
      <c r="H861" s="14">
        <v>24</v>
      </c>
      <c r="I861" s="8" t="s">
        <v>150</v>
      </c>
      <c r="J861" s="8" t="s">
        <v>38</v>
      </c>
      <c r="K861">
        <v>46.8125</v>
      </c>
      <c r="L861">
        <v>60.5625</v>
      </c>
      <c r="M861" s="14">
        <v>7.9375</v>
      </c>
      <c r="N861" s="14">
        <v>7.75</v>
      </c>
      <c r="R861" t="str">
        <f t="shared" si="43"/>
        <v xml:space="preserve">XX8X_PV_1518:    Front abuts stile:FALSE       Back abuts stile:TRUE          Panel Section: TOP           Stile in the back Width: 24           Cutout A: B-3571          Cutout B:      F.C.:7.9375 in.         C.C.:7.75 in.   </v>
      </c>
      <c r="S861" t="str">
        <f t="shared" si="44"/>
        <v>FALSE</v>
      </c>
      <c r="T861" t="str">
        <f t="shared" si="45"/>
        <v>TRUE</v>
      </c>
    </row>
    <row r="862" spans="1:20">
      <c r="A862" t="s">
        <v>1022</v>
      </c>
      <c r="B862" s="14" t="s">
        <v>144</v>
      </c>
      <c r="C862" s="14" t="s">
        <v>156</v>
      </c>
      <c r="D862" s="14">
        <v>0</v>
      </c>
      <c r="E862" s="14"/>
      <c r="F862" s="14">
        <v>1</v>
      </c>
      <c r="G862" s="14">
        <v>0</v>
      </c>
      <c r="H862" s="14"/>
      <c r="I862" s="8" t="s">
        <v>38</v>
      </c>
      <c r="J862" s="8" t="s">
        <v>38</v>
      </c>
      <c r="K862">
        <v>40.9375</v>
      </c>
      <c r="L862">
        <v>71</v>
      </c>
      <c r="M862" s="14">
        <v>4.5</v>
      </c>
      <c r="N862" s="14">
        <v>6.0625</v>
      </c>
      <c r="R862" t="str">
        <f t="shared" si="43"/>
        <v xml:space="preserve">XX8X_PV_1519:    Front abuts stile:FALSE       Back abuts stile:TRUE          Panel Section: TOP           Stile in the back Width:            Cutout A:           Cutout B:      F.C.:4.5 in.         C.C.:6.0625 in.   </v>
      </c>
      <c r="S862" t="str">
        <f t="shared" si="44"/>
        <v>FALSE</v>
      </c>
      <c r="T862" t="str">
        <f t="shared" si="45"/>
        <v>TRUE</v>
      </c>
    </row>
    <row r="863" spans="1:20">
      <c r="A863" t="s">
        <v>1023</v>
      </c>
      <c r="B863" s="14" t="s">
        <v>144</v>
      </c>
      <c r="C863" s="14" t="s">
        <v>156</v>
      </c>
      <c r="D863" s="14">
        <v>0</v>
      </c>
      <c r="E863" s="14"/>
      <c r="F863" s="14">
        <v>1</v>
      </c>
      <c r="G863" s="14">
        <v>1</v>
      </c>
      <c r="H863" s="14"/>
      <c r="I863" s="8" t="s">
        <v>38</v>
      </c>
      <c r="J863" s="8" t="s">
        <v>38</v>
      </c>
      <c r="K863">
        <v>41.25</v>
      </c>
      <c r="L863">
        <v>21.875</v>
      </c>
      <c r="M863" s="14">
        <v>11.6875</v>
      </c>
      <c r="N863" s="14">
        <v>6.375</v>
      </c>
      <c r="R863" t="str">
        <f t="shared" si="43"/>
        <v xml:space="preserve">XX8X_PV_1520:    Front abuts stile:FALSE       Back abuts stile:TRUE          Panel Section: TOP           Stile in the back Width:            Cutout A:           Cutout B:      F.C.:11.6875 in.         C.C.:6.375 in.   </v>
      </c>
      <c r="S863" t="str">
        <f t="shared" si="44"/>
        <v>FALSE</v>
      </c>
      <c r="T863" t="str">
        <f t="shared" si="45"/>
        <v>TRUE</v>
      </c>
    </row>
    <row r="864" spans="1:20">
      <c r="A864" t="s">
        <v>1024</v>
      </c>
      <c r="B864" s="14" t="s">
        <v>144</v>
      </c>
      <c r="C864" s="14" t="s">
        <v>156</v>
      </c>
      <c r="D864" s="14">
        <v>1</v>
      </c>
      <c r="E864" s="14">
        <v>0</v>
      </c>
      <c r="F864" s="14">
        <v>0</v>
      </c>
      <c r="G864" s="14"/>
      <c r="H864" s="14"/>
      <c r="I864" s="8" t="s">
        <v>38</v>
      </c>
      <c r="J864" s="8" t="s">
        <v>38</v>
      </c>
      <c r="K864">
        <v>37.5</v>
      </c>
      <c r="L864">
        <v>30.375</v>
      </c>
      <c r="M864" s="14">
        <v>12</v>
      </c>
      <c r="N864" s="14">
        <v>1</v>
      </c>
      <c r="R864" t="str">
        <f t="shared" si="43"/>
        <v xml:space="preserve">XX8X_PV_1521:    Front abuts stile:TRUE       Back abuts stile:FALSE          Panel Section: TOP           Stile in the back Width:            Cutout A:           Cutout B:      F.C.:12 in.         C.C.:1 in.   </v>
      </c>
      <c r="S864" t="str">
        <f t="shared" si="44"/>
        <v>TRUE</v>
      </c>
      <c r="T864" t="str">
        <f t="shared" si="45"/>
        <v>FALSE</v>
      </c>
    </row>
    <row r="865" spans="1:20">
      <c r="A865" t="s">
        <v>1025</v>
      </c>
      <c r="B865" s="14" t="s">
        <v>144</v>
      </c>
      <c r="C865" s="14" t="s">
        <v>156</v>
      </c>
      <c r="D865" s="14">
        <v>1</v>
      </c>
      <c r="E865" s="14">
        <v>0</v>
      </c>
      <c r="F865" s="14">
        <v>1</v>
      </c>
      <c r="G865" s="14">
        <v>0</v>
      </c>
      <c r="H865" s="14">
        <v>12</v>
      </c>
      <c r="I865" s="8" t="s">
        <v>35</v>
      </c>
      <c r="J865" s="8" t="s">
        <v>38</v>
      </c>
      <c r="K865">
        <v>17</v>
      </c>
      <c r="L865">
        <v>71.0625</v>
      </c>
      <c r="M865" s="14">
        <v>12</v>
      </c>
      <c r="N865" s="14">
        <v>6.8125</v>
      </c>
      <c r="R865" t="str">
        <f t="shared" si="43"/>
        <v xml:space="preserve">XX8X_PV_1522:    Front abuts stile:TRUE       Back abuts stile:TRUE          Panel Section: TOP           Stile in the back Width: 12           Cutout A: B-357          Cutout B:      F.C.:12 in.         C.C.:6.8125 in.   </v>
      </c>
      <c r="S865" t="str">
        <f t="shared" si="44"/>
        <v>TRUE</v>
      </c>
      <c r="T865" t="str">
        <f t="shared" si="45"/>
        <v>TRUE</v>
      </c>
    </row>
    <row r="866" spans="1:20">
      <c r="A866" t="s">
        <v>1026</v>
      </c>
      <c r="B866" s="14" t="s">
        <v>144</v>
      </c>
      <c r="C866" s="14" t="s">
        <v>156</v>
      </c>
      <c r="D866" s="14">
        <v>1</v>
      </c>
      <c r="E866" s="14">
        <v>0</v>
      </c>
      <c r="F866" s="14">
        <v>1</v>
      </c>
      <c r="G866" s="14">
        <v>0</v>
      </c>
      <c r="H866" s="14">
        <v>24</v>
      </c>
      <c r="I866" s="8" t="s">
        <v>120</v>
      </c>
      <c r="J866" s="8" t="s">
        <v>38</v>
      </c>
      <c r="K866">
        <v>9.9375</v>
      </c>
      <c r="L866">
        <v>59.3125</v>
      </c>
      <c r="M866" s="14">
        <v>1</v>
      </c>
      <c r="N866" s="14">
        <v>3.5625</v>
      </c>
      <c r="R866" t="str">
        <f t="shared" si="43"/>
        <v xml:space="preserve">XX8X_PV_1523:    Front abuts stile:TRUE       Back abuts stile:TRUE          Panel Section: TOP           Stile in the back Width: 24           Cutout A: B-386          Cutout B:      F.C.:1 in.         C.C.:3.5625 in.   </v>
      </c>
      <c r="S866" t="str">
        <f t="shared" si="44"/>
        <v>TRUE</v>
      </c>
      <c r="T866" t="str">
        <f t="shared" si="45"/>
        <v>TRUE</v>
      </c>
    </row>
    <row r="867" spans="1:20">
      <c r="A867" t="s">
        <v>1027</v>
      </c>
      <c r="B867" s="14" t="s">
        <v>144</v>
      </c>
      <c r="C867" s="14" t="s">
        <v>156</v>
      </c>
      <c r="D867" s="14">
        <v>1</v>
      </c>
      <c r="E867" s="14">
        <v>0</v>
      </c>
      <c r="F867" s="14">
        <v>1</v>
      </c>
      <c r="G867" s="14">
        <v>0</v>
      </c>
      <c r="H867" s="14"/>
      <c r="I867" s="8" t="s">
        <v>38</v>
      </c>
      <c r="J867" s="8" t="s">
        <v>38</v>
      </c>
      <c r="K867">
        <v>24.0625</v>
      </c>
      <c r="L867">
        <v>73.5625</v>
      </c>
      <c r="M867" s="14">
        <v>9</v>
      </c>
      <c r="N867" s="14">
        <v>1.1875</v>
      </c>
      <c r="R867" t="str">
        <f t="shared" si="43"/>
        <v xml:space="preserve">XX8X_PV_1524:    Front abuts stile:TRUE       Back abuts stile:TRUE          Panel Section: TOP           Stile in the back Width:            Cutout A:           Cutout B:      F.C.:9 in.         C.C.:1.1875 in.   </v>
      </c>
      <c r="S867" t="str">
        <f t="shared" si="44"/>
        <v>TRUE</v>
      </c>
      <c r="T867" t="str">
        <f t="shared" si="45"/>
        <v>TRUE</v>
      </c>
    </row>
    <row r="868" spans="1:20">
      <c r="A868" t="s">
        <v>1028</v>
      </c>
      <c r="B868" s="14" t="s">
        <v>144</v>
      </c>
      <c r="C868" s="14" t="s">
        <v>156</v>
      </c>
      <c r="D868" s="14">
        <v>1</v>
      </c>
      <c r="E868" s="14">
        <v>0</v>
      </c>
      <c r="F868" s="14">
        <v>1</v>
      </c>
      <c r="G868" s="14">
        <v>1</v>
      </c>
      <c r="H868" s="14"/>
      <c r="I868" s="8" t="s">
        <v>38</v>
      </c>
      <c r="J868" s="8" t="s">
        <v>38</v>
      </c>
      <c r="K868">
        <v>45.625</v>
      </c>
      <c r="L868">
        <v>47.125</v>
      </c>
      <c r="M868" s="14">
        <v>1</v>
      </c>
      <c r="N868" s="14" t="s">
        <v>38</v>
      </c>
      <c r="R868" t="str">
        <f t="shared" si="43"/>
        <v xml:space="preserve">XX8X_PV_1525:    Front abuts stile:TRUE       Back abuts stile:TRUE          Panel Section: TOP           Stile in the back Width:            Cutout A:           Cutout B:      F.C.:1 in.         C.C.: in.   </v>
      </c>
      <c r="S868" t="str">
        <f t="shared" si="44"/>
        <v>TRUE</v>
      </c>
      <c r="T868" t="str">
        <f t="shared" si="45"/>
        <v>TRUE</v>
      </c>
    </row>
    <row r="869" spans="1:20">
      <c r="A869" t="s">
        <v>1029</v>
      </c>
      <c r="B869" s="14" t="s">
        <v>144</v>
      </c>
      <c r="C869" s="14" t="s">
        <v>156</v>
      </c>
      <c r="D869" s="14">
        <v>1</v>
      </c>
      <c r="E869" s="14">
        <v>1</v>
      </c>
      <c r="F869" s="14">
        <v>0</v>
      </c>
      <c r="G869" s="14"/>
      <c r="H869" s="14"/>
      <c r="I869" s="8" t="s">
        <v>148</v>
      </c>
      <c r="J869" s="8" t="s">
        <v>38</v>
      </c>
      <c r="K869">
        <v>20.1875</v>
      </c>
      <c r="L869">
        <v>40.1875</v>
      </c>
      <c r="M869" s="14">
        <v>4.5</v>
      </c>
      <c r="N869" s="14">
        <v>1</v>
      </c>
      <c r="R869" t="str">
        <f t="shared" si="43"/>
        <v xml:space="preserve">XX8X_PV_1526:    Front abuts stile:TRUE       Back abuts stile:FALSE          Panel Section: TOP           Stile in the back Width:            Cutout A: B-3471          Cutout B:      F.C.:4.5 in.         C.C.:1 in.   </v>
      </c>
      <c r="S869" t="str">
        <f t="shared" si="44"/>
        <v>TRUE</v>
      </c>
      <c r="T869" t="str">
        <f t="shared" si="45"/>
        <v>FALSE</v>
      </c>
    </row>
    <row r="870" spans="1:20">
      <c r="A870" t="s">
        <v>1030</v>
      </c>
      <c r="B870" s="14" t="s">
        <v>144</v>
      </c>
      <c r="C870" s="14" t="s">
        <v>156</v>
      </c>
      <c r="D870" s="14">
        <v>1</v>
      </c>
      <c r="E870" s="14">
        <v>1</v>
      </c>
      <c r="F870" s="14">
        <v>1</v>
      </c>
      <c r="G870" s="14">
        <v>0</v>
      </c>
      <c r="H870" s="14">
        <v>12</v>
      </c>
      <c r="I870" s="8" t="s">
        <v>38</v>
      </c>
      <c r="J870" s="8" t="s">
        <v>38</v>
      </c>
      <c r="K870">
        <v>35.125</v>
      </c>
      <c r="L870">
        <v>73.6875</v>
      </c>
      <c r="M870" s="14">
        <v>12</v>
      </c>
      <c r="N870" s="14">
        <v>1</v>
      </c>
      <c r="R870" t="str">
        <f t="shared" si="43"/>
        <v xml:space="preserve">XX8X_PV_1527:    Front abuts stile:TRUE       Back abuts stile:TRUE          Panel Section: TOP           Stile in the back Width: 12           Cutout A:           Cutout B:      F.C.:12 in.         C.C.:1 in.   </v>
      </c>
      <c r="S870" t="str">
        <f t="shared" si="44"/>
        <v>TRUE</v>
      </c>
      <c r="T870" t="str">
        <f t="shared" si="45"/>
        <v>TRUE</v>
      </c>
    </row>
    <row r="871" spans="1:20">
      <c r="A871" t="s">
        <v>1031</v>
      </c>
      <c r="B871" s="14" t="s">
        <v>144</v>
      </c>
      <c r="C871" s="14" t="s">
        <v>156</v>
      </c>
      <c r="D871" s="14">
        <v>1</v>
      </c>
      <c r="E871" s="14">
        <v>1</v>
      </c>
      <c r="F871" s="14">
        <v>1</v>
      </c>
      <c r="G871" s="14">
        <v>0</v>
      </c>
      <c r="H871" s="14">
        <v>24</v>
      </c>
      <c r="I871" s="8" t="s">
        <v>151</v>
      </c>
      <c r="J871" s="8" t="s">
        <v>38</v>
      </c>
      <c r="K871">
        <v>26.75</v>
      </c>
      <c r="L871">
        <v>68.625</v>
      </c>
      <c r="M871" s="14">
        <v>1.875</v>
      </c>
      <c r="N871" s="14">
        <v>4.6875</v>
      </c>
      <c r="R871" t="str">
        <f t="shared" si="43"/>
        <v xml:space="preserve">XX8X_PV_1528:    Front abuts stile:TRUE       Back abuts stile:TRUE          Panel Section: TOP           Stile in the back Width: 24           Cutout A: B-35715          Cutout B:      F.C.:1.875 in.         C.C.:4.6875 in.   </v>
      </c>
      <c r="S871" t="str">
        <f t="shared" si="44"/>
        <v>TRUE</v>
      </c>
      <c r="T871" t="str">
        <f t="shared" si="45"/>
        <v>TRUE</v>
      </c>
    </row>
    <row r="872" spans="1:20">
      <c r="A872" t="s">
        <v>1032</v>
      </c>
      <c r="B872" s="14" t="s">
        <v>144</v>
      </c>
      <c r="C872" s="14" t="s">
        <v>156</v>
      </c>
      <c r="D872" s="14">
        <v>1</v>
      </c>
      <c r="E872" s="14">
        <v>1</v>
      </c>
      <c r="F872" s="14">
        <v>1</v>
      </c>
      <c r="G872" s="14">
        <v>0</v>
      </c>
      <c r="H872" s="14"/>
      <c r="I872" s="8" t="s">
        <v>38</v>
      </c>
      <c r="J872" s="8" t="s">
        <v>38</v>
      </c>
      <c r="K872">
        <v>25.9375</v>
      </c>
      <c r="L872">
        <v>70.625</v>
      </c>
      <c r="M872" s="14">
        <v>4.5</v>
      </c>
      <c r="N872" s="14" t="s">
        <v>38</v>
      </c>
      <c r="R872" t="str">
        <f t="shared" si="43"/>
        <v xml:space="preserve">XX8X_PV_1529:    Front abuts stile:TRUE       Back abuts stile:TRUE          Panel Section: TOP           Stile in the back Width:            Cutout A:           Cutout B:      F.C.:4.5 in.         C.C.: in.   </v>
      </c>
      <c r="S872" t="str">
        <f t="shared" si="44"/>
        <v>TRUE</v>
      </c>
      <c r="T872" t="str">
        <f t="shared" si="45"/>
        <v>TRUE</v>
      </c>
    </row>
    <row r="873" spans="1:20">
      <c r="A873" t="s">
        <v>1033</v>
      </c>
      <c r="B873" s="14" t="s">
        <v>144</v>
      </c>
      <c r="C873" s="14" t="s">
        <v>156</v>
      </c>
      <c r="D873" s="14">
        <v>1</v>
      </c>
      <c r="E873" s="14">
        <v>1</v>
      </c>
      <c r="F873" s="14">
        <v>1</v>
      </c>
      <c r="G873" s="14">
        <v>1</v>
      </c>
      <c r="H873" s="14"/>
      <c r="I873" s="8" t="s">
        <v>38</v>
      </c>
      <c r="J873" s="8" t="s">
        <v>38</v>
      </c>
      <c r="K873">
        <v>18.25</v>
      </c>
      <c r="L873">
        <v>42.9375</v>
      </c>
      <c r="M873" s="14">
        <v>1.1875</v>
      </c>
      <c r="N873" s="14" t="s">
        <v>38</v>
      </c>
      <c r="R873" t="str">
        <f t="shared" si="43"/>
        <v xml:space="preserve">XX8X_PV_1530:    Front abuts stile:TRUE       Back abuts stile:TRUE          Panel Section: TOP           Stile in the back Width:            Cutout A:           Cutout B:      F.C.:1.1875 in.         C.C.: in.   </v>
      </c>
      <c r="S873" t="str">
        <f t="shared" si="44"/>
        <v>TRUE</v>
      </c>
      <c r="T873" t="str">
        <f t="shared" si="45"/>
        <v>TRUE</v>
      </c>
    </row>
    <row r="874" spans="1:20">
      <c r="A874" t="s">
        <v>1034</v>
      </c>
      <c r="B874" s="14" t="s">
        <v>144</v>
      </c>
      <c r="C874" s="14" t="s">
        <v>157</v>
      </c>
      <c r="D874" s="14">
        <v>0</v>
      </c>
      <c r="E874" s="14"/>
      <c r="F874" s="14">
        <v>0</v>
      </c>
      <c r="G874" s="14"/>
      <c r="H874" s="14"/>
      <c r="I874" s="8" t="s">
        <v>119</v>
      </c>
      <c r="J874" s="8" t="s">
        <v>38</v>
      </c>
      <c r="K874">
        <v>60</v>
      </c>
      <c r="L874">
        <v>65</v>
      </c>
      <c r="M874" s="14">
        <v>12</v>
      </c>
      <c r="N874" s="14">
        <v>1.3125</v>
      </c>
      <c r="R874" t="str">
        <f t="shared" si="43"/>
        <v xml:space="preserve">XX8X_PV_1531:    Front abuts stile:FALSE       Back abuts stile:FALSE          Panel Section: BOTTOM           Stile in the back Width:            Cutout A: B-354          Cutout B:      F.C.:12 in.         C.C.:1.3125 in.   </v>
      </c>
      <c r="S874" t="str">
        <f t="shared" si="44"/>
        <v>FALSE</v>
      </c>
      <c r="T874" t="str">
        <f t="shared" si="45"/>
        <v>FALSE</v>
      </c>
    </row>
    <row r="875" spans="1:20">
      <c r="A875" t="s">
        <v>1035</v>
      </c>
      <c r="B875" s="14" t="s">
        <v>144</v>
      </c>
      <c r="C875" s="14" t="s">
        <v>157</v>
      </c>
      <c r="D875" s="14">
        <v>0</v>
      </c>
      <c r="E875" s="14"/>
      <c r="F875" s="14">
        <v>1</v>
      </c>
      <c r="G875" s="14">
        <v>0</v>
      </c>
      <c r="H875" s="14">
        <v>12</v>
      </c>
      <c r="I875" s="8" t="s">
        <v>121</v>
      </c>
      <c r="J875" s="8" t="s">
        <v>38</v>
      </c>
      <c r="K875">
        <v>60</v>
      </c>
      <c r="L875">
        <v>46.5</v>
      </c>
      <c r="M875" s="14">
        <v>1</v>
      </c>
      <c r="N875" s="14">
        <v>4.125</v>
      </c>
      <c r="R875" t="str">
        <f t="shared" si="43"/>
        <v xml:space="preserve">XX8X_PV_1532:    Front abuts stile:FALSE       Back abuts stile:TRUE          Panel Section: BOTTOM           Stile in the back Width: 12           Cutout A: B-4354          Cutout B:      F.C.:1 in.         C.C.:4.125 in.   </v>
      </c>
      <c r="S875" t="str">
        <f t="shared" si="44"/>
        <v>FALSE</v>
      </c>
      <c r="T875" t="str">
        <f t="shared" si="45"/>
        <v>TRUE</v>
      </c>
    </row>
    <row r="876" spans="1:20">
      <c r="A876" t="s">
        <v>1036</v>
      </c>
      <c r="B876" s="14" t="s">
        <v>144</v>
      </c>
      <c r="C876" s="14" t="s">
        <v>157</v>
      </c>
      <c r="D876" s="14">
        <v>0</v>
      </c>
      <c r="E876" s="14"/>
      <c r="F876" s="14">
        <v>1</v>
      </c>
      <c r="G876" s="14">
        <v>0</v>
      </c>
      <c r="H876" s="14">
        <v>24</v>
      </c>
      <c r="I876" s="8" t="s">
        <v>148</v>
      </c>
      <c r="J876" s="8" t="s">
        <v>38</v>
      </c>
      <c r="K876">
        <v>60</v>
      </c>
      <c r="L876">
        <v>77.625</v>
      </c>
      <c r="M876" s="14">
        <v>4.625</v>
      </c>
      <c r="N876" s="14">
        <v>1</v>
      </c>
      <c r="R876" t="str">
        <f t="shared" si="43"/>
        <v xml:space="preserve">XX8X_PV_1533:    Front abuts stile:FALSE       Back abuts stile:TRUE          Panel Section: BOTTOM           Stile in the back Width: 24           Cutout A: B-3471          Cutout B:      F.C.:4.625 in.         C.C.:1 in.   </v>
      </c>
      <c r="S876" t="str">
        <f t="shared" si="44"/>
        <v>FALSE</v>
      </c>
      <c r="T876" t="str">
        <f t="shared" si="45"/>
        <v>TRUE</v>
      </c>
    </row>
    <row r="877" spans="1:20">
      <c r="A877" t="s">
        <v>1037</v>
      </c>
      <c r="B877" s="14" t="s">
        <v>144</v>
      </c>
      <c r="C877" s="14" t="s">
        <v>157</v>
      </c>
      <c r="D877" s="14">
        <v>0</v>
      </c>
      <c r="E877" s="14"/>
      <c r="F877" s="14">
        <v>1</v>
      </c>
      <c r="G877" s="14">
        <v>0</v>
      </c>
      <c r="H877" s="14"/>
      <c r="I877" s="8" t="s">
        <v>38</v>
      </c>
      <c r="J877" s="8" t="s">
        <v>38</v>
      </c>
      <c r="K877">
        <v>60</v>
      </c>
      <c r="L877">
        <v>44.6875</v>
      </c>
      <c r="M877" s="14">
        <v>5.8125</v>
      </c>
      <c r="N877" s="14">
        <v>1</v>
      </c>
      <c r="R877" t="str">
        <f t="shared" si="43"/>
        <v xml:space="preserve">XX8X_PV_1534:    Front abuts stile:FALSE       Back abuts stile:TRUE          Panel Section: BOTTOM           Stile in the back Width:            Cutout A:           Cutout B:      F.C.:5.8125 in.         C.C.:1 in.   </v>
      </c>
      <c r="S877" t="str">
        <f t="shared" si="44"/>
        <v>FALSE</v>
      </c>
      <c r="T877" t="str">
        <f t="shared" si="45"/>
        <v>TRUE</v>
      </c>
    </row>
    <row r="878" spans="1:20">
      <c r="A878" t="s">
        <v>1038</v>
      </c>
      <c r="B878" s="14" t="s">
        <v>144</v>
      </c>
      <c r="C878" s="14" t="s">
        <v>157</v>
      </c>
      <c r="D878" s="14">
        <v>0</v>
      </c>
      <c r="E878" s="14"/>
      <c r="F878" s="14">
        <v>1</v>
      </c>
      <c r="G878" s="14">
        <v>1</v>
      </c>
      <c r="H878" s="14"/>
      <c r="I878" s="8" t="s">
        <v>38</v>
      </c>
      <c r="J878" s="8" t="s">
        <v>38</v>
      </c>
      <c r="K878">
        <v>60</v>
      </c>
      <c r="L878">
        <v>46.0625</v>
      </c>
      <c r="M878" s="14">
        <v>1</v>
      </c>
      <c r="N878" s="14">
        <v>1</v>
      </c>
      <c r="R878" t="str">
        <f t="shared" si="43"/>
        <v xml:space="preserve">XX8X_PV_1535:    Front abuts stile:FALSE       Back abuts stile:TRUE          Panel Section: BOTTOM           Stile in the back Width:            Cutout A:           Cutout B:      F.C.:1 in.         C.C.:1 in.   </v>
      </c>
      <c r="S878" t="str">
        <f t="shared" si="44"/>
        <v>FALSE</v>
      </c>
      <c r="T878" t="str">
        <f t="shared" si="45"/>
        <v>TRUE</v>
      </c>
    </row>
    <row r="879" spans="1:20">
      <c r="A879" t="s">
        <v>1039</v>
      </c>
      <c r="B879" s="14" t="s">
        <v>144</v>
      </c>
      <c r="C879" s="14" t="s">
        <v>157</v>
      </c>
      <c r="D879" s="14">
        <v>1</v>
      </c>
      <c r="E879" s="14">
        <v>0</v>
      </c>
      <c r="F879" s="14">
        <v>0</v>
      </c>
      <c r="G879" s="14"/>
      <c r="H879" s="14"/>
      <c r="I879" s="8" t="s">
        <v>121</v>
      </c>
      <c r="J879" s="8" t="s">
        <v>38</v>
      </c>
      <c r="K879">
        <v>60</v>
      </c>
      <c r="L879">
        <v>72.375</v>
      </c>
      <c r="M879" s="14">
        <v>1</v>
      </c>
      <c r="N879" s="14">
        <v>1</v>
      </c>
      <c r="R879" t="str">
        <f t="shared" si="43"/>
        <v xml:space="preserve">XX8X_PV_1536:    Front abuts stile:TRUE       Back abuts stile:FALSE          Panel Section: BOTTOM           Stile in the back Width:            Cutout A: B-4354          Cutout B:      F.C.:1 in.         C.C.:1 in.   </v>
      </c>
      <c r="S879" t="str">
        <f t="shared" si="44"/>
        <v>TRUE</v>
      </c>
      <c r="T879" t="str">
        <f t="shared" si="45"/>
        <v>FALSE</v>
      </c>
    </row>
    <row r="880" spans="1:20">
      <c r="A880" t="s">
        <v>1040</v>
      </c>
      <c r="B880" s="14" t="s">
        <v>144</v>
      </c>
      <c r="C880" s="14" t="s">
        <v>157</v>
      </c>
      <c r="D880" s="14">
        <v>1</v>
      </c>
      <c r="E880" s="14">
        <v>0</v>
      </c>
      <c r="F880" s="14">
        <v>1</v>
      </c>
      <c r="G880" s="14">
        <v>0</v>
      </c>
      <c r="H880" s="14">
        <v>12</v>
      </c>
      <c r="I880" s="8" t="s">
        <v>38</v>
      </c>
      <c r="J880" s="8" t="s">
        <v>38</v>
      </c>
      <c r="K880">
        <v>60</v>
      </c>
      <c r="L880">
        <v>63.5625</v>
      </c>
      <c r="M880" s="14">
        <v>1</v>
      </c>
      <c r="N880" s="14">
        <v>2.625</v>
      </c>
      <c r="R880" t="str">
        <f t="shared" si="43"/>
        <v xml:space="preserve">XX8X_PV_1537:    Front abuts stile:TRUE       Back abuts stile:TRUE          Panel Section: BOTTOM           Stile in the back Width: 12           Cutout A:           Cutout B:      F.C.:1 in.         C.C.:2.625 in.   </v>
      </c>
      <c r="S880" t="str">
        <f t="shared" si="44"/>
        <v>TRUE</v>
      </c>
      <c r="T880" t="str">
        <f t="shared" si="45"/>
        <v>TRUE</v>
      </c>
    </row>
    <row r="881" spans="1:20">
      <c r="A881" t="s">
        <v>1041</v>
      </c>
      <c r="B881" s="14" t="s">
        <v>144</v>
      </c>
      <c r="C881" s="14" t="s">
        <v>157</v>
      </c>
      <c r="D881" s="14">
        <v>1</v>
      </c>
      <c r="E881" s="14">
        <v>0</v>
      </c>
      <c r="F881" s="14">
        <v>1</v>
      </c>
      <c r="G881" s="14">
        <v>0</v>
      </c>
      <c r="H881" s="14">
        <v>24</v>
      </c>
      <c r="I881" s="8" t="s">
        <v>120</v>
      </c>
      <c r="J881" s="8" t="s">
        <v>38</v>
      </c>
      <c r="K881">
        <v>60</v>
      </c>
      <c r="L881">
        <v>55.3125</v>
      </c>
      <c r="M881" s="14">
        <v>9</v>
      </c>
      <c r="N881" s="14">
        <v>1</v>
      </c>
      <c r="R881" t="str">
        <f t="shared" si="43"/>
        <v xml:space="preserve">XX8X_PV_1538:    Front abuts stile:TRUE       Back abuts stile:TRUE          Panel Section: BOTTOM           Stile in the back Width: 24           Cutout A: B-386          Cutout B:      F.C.:9 in.         C.C.:1 in.   </v>
      </c>
      <c r="S881" t="str">
        <f t="shared" si="44"/>
        <v>TRUE</v>
      </c>
      <c r="T881" t="str">
        <f t="shared" si="45"/>
        <v>TRUE</v>
      </c>
    </row>
    <row r="882" spans="1:20">
      <c r="A882" t="s">
        <v>1042</v>
      </c>
      <c r="B882" s="14" t="s">
        <v>144</v>
      </c>
      <c r="C882" s="14" t="s">
        <v>157</v>
      </c>
      <c r="D882" s="14">
        <v>1</v>
      </c>
      <c r="E882" s="14">
        <v>0</v>
      </c>
      <c r="F882" s="14">
        <v>1</v>
      </c>
      <c r="G882" s="14">
        <v>0</v>
      </c>
      <c r="H882" s="14"/>
      <c r="I882" s="8" t="s">
        <v>38</v>
      </c>
      <c r="J882" s="8" t="s">
        <v>38</v>
      </c>
      <c r="K882">
        <v>60</v>
      </c>
      <c r="L882">
        <v>39.5</v>
      </c>
      <c r="M882" s="14">
        <v>9</v>
      </c>
      <c r="N882" s="14">
        <v>4.6875</v>
      </c>
      <c r="R882" t="str">
        <f t="shared" si="43"/>
        <v xml:space="preserve">XX8X_PV_1539:    Front abuts stile:TRUE       Back abuts stile:TRUE          Panel Section: BOTTOM           Stile in the back Width:            Cutout A:           Cutout B:      F.C.:9 in.         C.C.:4.6875 in.   </v>
      </c>
      <c r="S882" t="str">
        <f t="shared" si="44"/>
        <v>TRUE</v>
      </c>
      <c r="T882" t="str">
        <f t="shared" si="45"/>
        <v>TRUE</v>
      </c>
    </row>
    <row r="883" spans="1:20">
      <c r="A883" t="s">
        <v>1043</v>
      </c>
      <c r="B883" s="14" t="s">
        <v>144</v>
      </c>
      <c r="C883" s="14" t="s">
        <v>157</v>
      </c>
      <c r="D883" s="14">
        <v>1</v>
      </c>
      <c r="E883" s="14">
        <v>0</v>
      </c>
      <c r="F883" s="14">
        <v>1</v>
      </c>
      <c r="G883" s="14">
        <v>1</v>
      </c>
      <c r="H883" s="14"/>
      <c r="I883" s="8" t="s">
        <v>38</v>
      </c>
      <c r="J883" s="8" t="s">
        <v>38</v>
      </c>
      <c r="K883">
        <v>60</v>
      </c>
      <c r="L883">
        <v>50</v>
      </c>
      <c r="M883" s="14">
        <v>9</v>
      </c>
      <c r="N883" s="14">
        <v>7.875</v>
      </c>
      <c r="R883" t="str">
        <f t="shared" si="43"/>
        <v xml:space="preserve">XX8X_PV_1540:    Front abuts stile:TRUE       Back abuts stile:TRUE          Panel Section: BOTTOM           Stile in the back Width:            Cutout A:           Cutout B:      F.C.:9 in.         C.C.:7.875 in.   </v>
      </c>
      <c r="S883" t="str">
        <f t="shared" si="44"/>
        <v>TRUE</v>
      </c>
      <c r="T883" t="str">
        <f t="shared" si="45"/>
        <v>TRUE</v>
      </c>
    </row>
    <row r="884" spans="1:20">
      <c r="A884" t="s">
        <v>1044</v>
      </c>
      <c r="B884" s="14" t="s">
        <v>144</v>
      </c>
      <c r="C884" s="14" t="s">
        <v>157</v>
      </c>
      <c r="D884" s="14">
        <v>1</v>
      </c>
      <c r="E884" s="14">
        <v>1</v>
      </c>
      <c r="F884" s="14">
        <v>0</v>
      </c>
      <c r="G884" s="14"/>
      <c r="H884" s="14"/>
      <c r="I884" s="8" t="s">
        <v>148</v>
      </c>
      <c r="J884" s="8" t="s">
        <v>38</v>
      </c>
      <c r="K884">
        <v>60</v>
      </c>
      <c r="L884">
        <v>59.375</v>
      </c>
      <c r="M884" s="14">
        <v>4.5</v>
      </c>
      <c r="N884" s="14" t="s">
        <v>38</v>
      </c>
      <c r="R884" t="str">
        <f t="shared" si="43"/>
        <v xml:space="preserve">XX8X_PV_1541:    Front abuts stile:TRUE       Back abuts stile:FALSE          Panel Section: BOTTOM           Stile in the back Width:            Cutout A: B-3471          Cutout B:      F.C.:4.5 in.         C.C.: in.   </v>
      </c>
      <c r="S884" t="str">
        <f t="shared" si="44"/>
        <v>TRUE</v>
      </c>
      <c r="T884" t="str">
        <f t="shared" si="45"/>
        <v>FALSE</v>
      </c>
    </row>
    <row r="885" spans="1:20">
      <c r="A885" t="s">
        <v>1045</v>
      </c>
      <c r="B885" s="14" t="s">
        <v>144</v>
      </c>
      <c r="C885" s="14" t="s">
        <v>157</v>
      </c>
      <c r="D885" s="14">
        <v>1</v>
      </c>
      <c r="E885" s="14">
        <v>1</v>
      </c>
      <c r="F885" s="14">
        <v>1</v>
      </c>
      <c r="G885" s="14">
        <v>0</v>
      </c>
      <c r="H885" s="14">
        <v>12</v>
      </c>
      <c r="I885" s="8" t="s">
        <v>120</v>
      </c>
      <c r="J885" s="8" t="s">
        <v>38</v>
      </c>
      <c r="K885">
        <v>60</v>
      </c>
      <c r="L885">
        <v>41.125</v>
      </c>
      <c r="M885" s="14">
        <v>4.5</v>
      </c>
      <c r="N885" s="14">
        <v>8.25</v>
      </c>
      <c r="R885" t="str">
        <f t="shared" si="43"/>
        <v xml:space="preserve">XX8X_PV_1542:    Front abuts stile:TRUE       Back abuts stile:TRUE          Panel Section: BOTTOM           Stile in the back Width: 12           Cutout A: B-386          Cutout B:      F.C.:4.5 in.         C.C.:8.25 in.   </v>
      </c>
      <c r="S885" t="str">
        <f t="shared" si="44"/>
        <v>TRUE</v>
      </c>
      <c r="T885" t="str">
        <f t="shared" si="45"/>
        <v>TRUE</v>
      </c>
    </row>
    <row r="886" spans="1:20">
      <c r="A886" t="s">
        <v>1046</v>
      </c>
      <c r="B886" s="14" t="s">
        <v>144</v>
      </c>
      <c r="C886" s="14" t="s">
        <v>157</v>
      </c>
      <c r="D886" s="14">
        <v>1</v>
      </c>
      <c r="E886" s="14">
        <v>1</v>
      </c>
      <c r="F886" s="14">
        <v>1</v>
      </c>
      <c r="G886" s="14">
        <v>0</v>
      </c>
      <c r="H886" s="14">
        <v>24</v>
      </c>
      <c r="I886" s="8" t="s">
        <v>145</v>
      </c>
      <c r="J886" s="8" t="s">
        <v>38</v>
      </c>
      <c r="K886">
        <v>60</v>
      </c>
      <c r="L886">
        <v>76.875</v>
      </c>
      <c r="M886" s="14">
        <v>2.5</v>
      </c>
      <c r="N886" s="14">
        <v>1.5625</v>
      </c>
      <c r="R886" t="str">
        <f t="shared" si="43"/>
        <v xml:space="preserve">XX8X_PV_1543:    Front abuts stile:TRUE       Back abuts stile:TRUE          Panel Section: BOTTOM           Stile in the back Width: 24           Cutout A: B-347          Cutout B:      F.C.:2.5 in.         C.C.:1.5625 in.   </v>
      </c>
      <c r="S886" t="str">
        <f t="shared" si="44"/>
        <v>TRUE</v>
      </c>
      <c r="T886" t="str">
        <f t="shared" si="45"/>
        <v>TRUE</v>
      </c>
    </row>
    <row r="887" spans="1:20">
      <c r="A887" t="s">
        <v>1047</v>
      </c>
      <c r="B887" s="14" t="s">
        <v>144</v>
      </c>
      <c r="C887" s="14" t="s">
        <v>157</v>
      </c>
      <c r="D887" s="14">
        <v>1</v>
      </c>
      <c r="E887" s="14">
        <v>1</v>
      </c>
      <c r="F887" s="14">
        <v>1</v>
      </c>
      <c r="G887" s="14">
        <v>0</v>
      </c>
      <c r="H887" s="14"/>
      <c r="I887" s="8" t="s">
        <v>38</v>
      </c>
      <c r="J887" s="8" t="s">
        <v>38</v>
      </c>
      <c r="K887">
        <v>60</v>
      </c>
      <c r="L887">
        <v>73.25</v>
      </c>
      <c r="M887" s="14">
        <v>4.5</v>
      </c>
      <c r="N887" s="14">
        <v>1</v>
      </c>
      <c r="R887" t="str">
        <f t="shared" si="43"/>
        <v xml:space="preserve">XX8X_PV_1544:    Front abuts stile:TRUE       Back abuts stile:TRUE          Panel Section: BOTTOM           Stile in the back Width:            Cutout A:           Cutout B:      F.C.:4.5 in.         C.C.:1 in.   </v>
      </c>
      <c r="S887" t="str">
        <f t="shared" si="44"/>
        <v>TRUE</v>
      </c>
      <c r="T887" t="str">
        <f t="shared" si="45"/>
        <v>TRUE</v>
      </c>
    </row>
    <row r="888" spans="1:20">
      <c r="A888" t="s">
        <v>1048</v>
      </c>
      <c r="B888" s="14" t="s">
        <v>144</v>
      </c>
      <c r="C888" s="14" t="s">
        <v>157</v>
      </c>
      <c r="D888" s="14">
        <v>1</v>
      </c>
      <c r="E888" s="14">
        <v>1</v>
      </c>
      <c r="F888" s="14">
        <v>1</v>
      </c>
      <c r="G888" s="14">
        <v>1</v>
      </c>
      <c r="H888" s="14"/>
      <c r="I888" s="8" t="s">
        <v>38</v>
      </c>
      <c r="J888" s="8" t="s">
        <v>38</v>
      </c>
      <c r="K888">
        <v>60</v>
      </c>
      <c r="L888">
        <v>78.6875</v>
      </c>
      <c r="M888" s="14">
        <v>4.9375</v>
      </c>
      <c r="N888" s="14">
        <v>1</v>
      </c>
      <c r="R888" t="str">
        <f t="shared" si="43"/>
        <v xml:space="preserve">XX8X_PV_1545:    Front abuts stile:TRUE       Back abuts stile:TRUE          Panel Section: BOTTOM           Stile in the back Width:            Cutout A:           Cutout B:      F.C.:4.9375 in.         C.C.:1 in.   </v>
      </c>
      <c r="S888" t="str">
        <f t="shared" si="44"/>
        <v>TRUE</v>
      </c>
      <c r="T888" t="str">
        <f t="shared" si="45"/>
        <v>TRUE</v>
      </c>
    </row>
    <row r="889" spans="1:20">
      <c r="A889" t="s">
        <v>1049</v>
      </c>
      <c r="B889" s="14" t="s">
        <v>144</v>
      </c>
      <c r="C889" s="14" t="s">
        <v>21</v>
      </c>
      <c r="D889" s="14">
        <v>0</v>
      </c>
      <c r="E889" s="14"/>
      <c r="F889" s="14">
        <v>0</v>
      </c>
      <c r="G889" s="14"/>
      <c r="H889" s="14"/>
      <c r="I889" s="8" t="s">
        <v>38</v>
      </c>
      <c r="J889" s="8" t="s">
        <v>38</v>
      </c>
      <c r="K889">
        <v>76.25</v>
      </c>
      <c r="L889">
        <v>25.1875</v>
      </c>
      <c r="M889" s="14">
        <v>1</v>
      </c>
      <c r="N889" s="14">
        <v>3.5</v>
      </c>
      <c r="R889" t="str">
        <f t="shared" si="43"/>
        <v xml:space="preserve">XX8X_PV_1546:    Front abuts stile:FALSE       Back abuts stile:FALSE          Panel Section: WHOLE           Stile in the back Width:            Cutout A:           Cutout B:      F.C.:1 in.         C.C.:3.5 in.   </v>
      </c>
      <c r="S889" t="str">
        <f t="shared" si="44"/>
        <v>FALSE</v>
      </c>
      <c r="T889" t="str">
        <f t="shared" si="45"/>
        <v>FALSE</v>
      </c>
    </row>
    <row r="890" spans="1:20">
      <c r="A890" t="s">
        <v>1050</v>
      </c>
      <c r="B890" s="14" t="s">
        <v>144</v>
      </c>
      <c r="C890" s="14" t="s">
        <v>21</v>
      </c>
      <c r="D890" s="14">
        <v>0</v>
      </c>
      <c r="E890" s="14"/>
      <c r="F890" s="14">
        <v>1</v>
      </c>
      <c r="G890" s="14">
        <v>0</v>
      </c>
      <c r="H890" s="14">
        <v>12</v>
      </c>
      <c r="I890" s="8" t="s">
        <v>121</v>
      </c>
      <c r="J890" s="8" t="s">
        <v>38</v>
      </c>
      <c r="K890">
        <v>43.25</v>
      </c>
      <c r="L890">
        <v>63.8125</v>
      </c>
      <c r="M890" s="14">
        <v>4.1875</v>
      </c>
      <c r="N890" s="14">
        <v>6.75</v>
      </c>
      <c r="R890" t="str">
        <f t="shared" si="43"/>
        <v xml:space="preserve">XX8X_PV_1547:    Front abuts stile:FALSE       Back abuts stile:TRUE          Panel Section: WHOLE           Stile in the back Width: 12           Cutout A: B-4354          Cutout B:      F.C.:4.1875 in.         C.C.:6.75 in.   </v>
      </c>
      <c r="S890" t="str">
        <f t="shared" si="44"/>
        <v>FALSE</v>
      </c>
      <c r="T890" t="str">
        <f t="shared" si="45"/>
        <v>TRUE</v>
      </c>
    </row>
    <row r="891" spans="1:20">
      <c r="A891" t="s">
        <v>1051</v>
      </c>
      <c r="B891" s="14" t="s">
        <v>144</v>
      </c>
      <c r="C891" s="14" t="s">
        <v>21</v>
      </c>
      <c r="D891" s="14">
        <v>0</v>
      </c>
      <c r="E891" s="14"/>
      <c r="F891" s="14">
        <v>1</v>
      </c>
      <c r="G891" s="14">
        <v>0</v>
      </c>
      <c r="H891" s="14">
        <v>24</v>
      </c>
      <c r="I891" s="8" t="s">
        <v>38</v>
      </c>
      <c r="J891" s="8" t="s">
        <v>38</v>
      </c>
      <c r="K891">
        <v>73.9375</v>
      </c>
      <c r="L891">
        <v>73.8125</v>
      </c>
      <c r="M891" s="14">
        <v>12</v>
      </c>
      <c r="N891" s="14" t="s">
        <v>38</v>
      </c>
      <c r="R891" t="str">
        <f t="shared" si="43"/>
        <v xml:space="preserve">XX8X_PV_1548:    Front abuts stile:FALSE       Back abuts stile:TRUE          Panel Section: WHOLE           Stile in the back Width: 24           Cutout A:           Cutout B:      F.C.:12 in.         C.C.: in.   </v>
      </c>
      <c r="S891" t="str">
        <f t="shared" si="44"/>
        <v>FALSE</v>
      </c>
      <c r="T891" t="str">
        <f t="shared" si="45"/>
        <v>TRUE</v>
      </c>
    </row>
    <row r="892" spans="1:20">
      <c r="A892" t="s">
        <v>1052</v>
      </c>
      <c r="B892" s="14" t="s">
        <v>144</v>
      </c>
      <c r="C892" s="14" t="s">
        <v>21</v>
      </c>
      <c r="D892" s="14">
        <v>0</v>
      </c>
      <c r="E892" s="14"/>
      <c r="F892" s="14">
        <v>1</v>
      </c>
      <c r="G892" s="14">
        <v>0</v>
      </c>
      <c r="H892" s="14"/>
      <c r="I892" s="8" t="s">
        <v>38</v>
      </c>
      <c r="J892" s="8" t="s">
        <v>38</v>
      </c>
      <c r="K892">
        <v>101.75</v>
      </c>
      <c r="L892">
        <v>54.9375</v>
      </c>
      <c r="M892" s="14">
        <v>9</v>
      </c>
      <c r="N892" s="14">
        <v>7.875</v>
      </c>
      <c r="R892" t="str">
        <f t="shared" si="43"/>
        <v xml:space="preserve">XX8X_PV_1549:    Front abuts stile:FALSE       Back abuts stile:TRUE          Panel Section: WHOLE           Stile in the back Width:            Cutout A:           Cutout B:      F.C.:9 in.         C.C.:7.875 in.   </v>
      </c>
      <c r="S892" t="str">
        <f t="shared" si="44"/>
        <v>FALSE</v>
      </c>
      <c r="T892" t="str">
        <f t="shared" si="45"/>
        <v>TRUE</v>
      </c>
    </row>
    <row r="893" spans="1:20">
      <c r="A893" t="s">
        <v>1053</v>
      </c>
      <c r="B893" s="14" t="s">
        <v>144</v>
      </c>
      <c r="C893" s="14" t="s">
        <v>21</v>
      </c>
      <c r="D893" s="14">
        <v>0</v>
      </c>
      <c r="E893" s="14"/>
      <c r="F893" s="14">
        <v>1</v>
      </c>
      <c r="G893" s="14">
        <v>1</v>
      </c>
      <c r="H893" s="14"/>
      <c r="I893" s="8" t="s">
        <v>38</v>
      </c>
      <c r="J893" s="8" t="s">
        <v>38</v>
      </c>
      <c r="K893">
        <v>109.5</v>
      </c>
      <c r="L893">
        <v>62.8125</v>
      </c>
      <c r="M893" s="14">
        <v>1.1875</v>
      </c>
      <c r="N893" s="14">
        <v>1</v>
      </c>
      <c r="R893" t="str">
        <f t="shared" si="43"/>
        <v xml:space="preserve">XX8X_PV_1550:    Front abuts stile:FALSE       Back abuts stile:TRUE          Panel Section: WHOLE           Stile in the back Width:            Cutout A:           Cutout B:      F.C.:1.1875 in.         C.C.:1 in.   </v>
      </c>
      <c r="S893" t="str">
        <f t="shared" si="44"/>
        <v>FALSE</v>
      </c>
      <c r="T893" t="str">
        <f t="shared" si="45"/>
        <v>TRUE</v>
      </c>
    </row>
    <row r="894" spans="1:20">
      <c r="A894" t="s">
        <v>1054</v>
      </c>
      <c r="B894" s="14" t="s">
        <v>144</v>
      </c>
      <c r="C894" s="14" t="s">
        <v>21</v>
      </c>
      <c r="D894" s="14">
        <v>1</v>
      </c>
      <c r="E894" s="14">
        <v>0</v>
      </c>
      <c r="F894" s="14">
        <v>0</v>
      </c>
      <c r="G894" s="14"/>
      <c r="H894" s="14"/>
      <c r="I894" s="8" t="s">
        <v>150</v>
      </c>
      <c r="J894" s="8" t="s">
        <v>38</v>
      </c>
      <c r="K894">
        <v>96</v>
      </c>
      <c r="L894">
        <v>79.6875</v>
      </c>
      <c r="M894" s="14">
        <v>12</v>
      </c>
      <c r="N894" s="14">
        <v>1</v>
      </c>
      <c r="R894" t="str">
        <f t="shared" si="43"/>
        <v xml:space="preserve">XX8X_PV_1551:    Front abuts stile:TRUE       Back abuts stile:FALSE          Panel Section: WHOLE           Stile in the back Width:            Cutout A: B-3571          Cutout B:      F.C.:12 in.         C.C.:1 in.   </v>
      </c>
      <c r="S894" t="str">
        <f t="shared" si="44"/>
        <v>TRUE</v>
      </c>
      <c r="T894" t="str">
        <f t="shared" si="45"/>
        <v>FALSE</v>
      </c>
    </row>
    <row r="895" spans="1:20">
      <c r="A895" t="s">
        <v>1055</v>
      </c>
      <c r="B895" s="14" t="s">
        <v>144</v>
      </c>
      <c r="C895" s="14" t="s">
        <v>21</v>
      </c>
      <c r="D895" s="14">
        <v>1</v>
      </c>
      <c r="E895" s="14">
        <v>0</v>
      </c>
      <c r="F895" s="14">
        <v>1</v>
      </c>
      <c r="G895" s="14">
        <v>0</v>
      </c>
      <c r="H895" s="14">
        <v>12</v>
      </c>
      <c r="I895" s="8" t="s">
        <v>119</v>
      </c>
      <c r="J895" s="8" t="s">
        <v>38</v>
      </c>
      <c r="K895">
        <v>67.5</v>
      </c>
      <c r="L895">
        <v>79</v>
      </c>
      <c r="M895" s="14">
        <v>8.4375</v>
      </c>
      <c r="N895" s="14">
        <v>4.5625</v>
      </c>
      <c r="R895" t="str">
        <f t="shared" si="43"/>
        <v xml:space="preserve">XX8X_PV_1552:    Front abuts stile:TRUE       Back abuts stile:TRUE          Panel Section: WHOLE           Stile in the back Width: 12           Cutout A: B-354          Cutout B:      F.C.:8.4375 in.         C.C.:4.5625 in.   </v>
      </c>
      <c r="S895" t="str">
        <f t="shared" si="44"/>
        <v>TRUE</v>
      </c>
      <c r="T895" t="str">
        <f t="shared" si="45"/>
        <v>TRUE</v>
      </c>
    </row>
    <row r="896" spans="1:20">
      <c r="A896" t="s">
        <v>1056</v>
      </c>
      <c r="B896" s="14" t="s">
        <v>144</v>
      </c>
      <c r="C896" s="14" t="s">
        <v>21</v>
      </c>
      <c r="D896" s="14">
        <v>1</v>
      </c>
      <c r="E896" s="14">
        <v>0</v>
      </c>
      <c r="F896" s="14">
        <v>1</v>
      </c>
      <c r="G896" s="14">
        <v>0</v>
      </c>
      <c r="H896" s="14">
        <v>24</v>
      </c>
      <c r="I896" s="8" t="s">
        <v>149</v>
      </c>
      <c r="J896" s="8" t="s">
        <v>38</v>
      </c>
      <c r="K896">
        <v>96</v>
      </c>
      <c r="L896">
        <v>40.75</v>
      </c>
      <c r="M896" s="14">
        <v>1</v>
      </c>
      <c r="N896" s="14">
        <v>1</v>
      </c>
      <c r="R896" t="str">
        <f t="shared" si="43"/>
        <v xml:space="preserve">XX8X_PV_1553:    Front abuts stile:TRUE       Back abuts stile:TRUE          Panel Section: WHOLE           Stile in the back Width: 24           Cutout A: B-34715          Cutout B:      F.C.:1 in.         C.C.:1 in.   </v>
      </c>
      <c r="S896" t="str">
        <f t="shared" si="44"/>
        <v>TRUE</v>
      </c>
      <c r="T896" t="str">
        <f t="shared" si="45"/>
        <v>TRUE</v>
      </c>
    </row>
    <row r="897" spans="1:20">
      <c r="A897" t="s">
        <v>1057</v>
      </c>
      <c r="B897" s="14" t="s">
        <v>144</v>
      </c>
      <c r="C897" s="14" t="s">
        <v>21</v>
      </c>
      <c r="D897" s="14">
        <v>1</v>
      </c>
      <c r="E897" s="14">
        <v>0</v>
      </c>
      <c r="F897" s="14">
        <v>1</v>
      </c>
      <c r="G897" s="14">
        <v>0</v>
      </c>
      <c r="H897" s="14"/>
      <c r="I897" s="8" t="s">
        <v>38</v>
      </c>
      <c r="J897" s="8" t="s">
        <v>38</v>
      </c>
      <c r="K897">
        <v>96.6875</v>
      </c>
      <c r="L897">
        <v>76.625</v>
      </c>
      <c r="M897" s="14">
        <v>1</v>
      </c>
      <c r="N897" s="14">
        <v>5.4375</v>
      </c>
      <c r="R897" t="str">
        <f t="shared" ref="R897:R960" si="46">A897&amp;":    Front abuts stile:"&amp;S897&amp;"       Back abuts stile:"&amp;T897&amp;"          Panel Section: "&amp;C897&amp;"           Stile in the back Width: "&amp;H897&amp;"           Cutout A: "&amp;I897&amp;"          Cutout B:"&amp;J897&amp;"      F.C.:"&amp;M897&amp;" in. "&amp;"        C.C.:"&amp;N897&amp;" in. "&amp;"  "</f>
        <v xml:space="preserve">XX8X_PV_1554:    Front abuts stile:TRUE       Back abuts stile:TRUE          Panel Section: WHOLE           Stile in the back Width:            Cutout A:           Cutout B:      F.C.:1 in.         C.C.:5.4375 in.   </v>
      </c>
      <c r="S897" t="str">
        <f t="shared" ref="S897:S960" si="47">IF(D897=1, "TRUE", "FALSE")</f>
        <v>TRUE</v>
      </c>
      <c r="T897" t="str">
        <f t="shared" ref="T897:T960" si="48">IF(F897=1, "TRUE", "FALSE")</f>
        <v>TRUE</v>
      </c>
    </row>
    <row r="898" spans="1:20">
      <c r="A898" t="s">
        <v>1058</v>
      </c>
      <c r="B898" s="14" t="s">
        <v>144</v>
      </c>
      <c r="C898" s="14" t="s">
        <v>21</v>
      </c>
      <c r="D898" s="14">
        <v>1</v>
      </c>
      <c r="E898" s="14">
        <v>0</v>
      </c>
      <c r="F898" s="14">
        <v>1</v>
      </c>
      <c r="G898" s="14">
        <v>1</v>
      </c>
      <c r="H898" s="14"/>
      <c r="I898" s="8" t="s">
        <v>38</v>
      </c>
      <c r="J898" s="8" t="s">
        <v>38</v>
      </c>
      <c r="K898">
        <v>96</v>
      </c>
      <c r="L898">
        <v>41.1875</v>
      </c>
      <c r="M898" s="14">
        <v>3.375</v>
      </c>
      <c r="N898" s="14" t="s">
        <v>38</v>
      </c>
      <c r="R898" t="str">
        <f t="shared" si="46"/>
        <v xml:space="preserve">XX8X_PV_1555:    Front abuts stile:TRUE       Back abuts stile:TRUE          Panel Section: WHOLE           Stile in the back Width:            Cutout A:           Cutout B:      F.C.:3.375 in.         C.C.: in.   </v>
      </c>
      <c r="S898" t="str">
        <f t="shared" si="47"/>
        <v>TRUE</v>
      </c>
      <c r="T898" t="str">
        <f t="shared" si="48"/>
        <v>TRUE</v>
      </c>
    </row>
    <row r="899" spans="1:20">
      <c r="A899" t="s">
        <v>1059</v>
      </c>
      <c r="B899" s="14" t="s">
        <v>144</v>
      </c>
      <c r="C899" s="14" t="s">
        <v>21</v>
      </c>
      <c r="D899" s="14">
        <v>1</v>
      </c>
      <c r="E899" s="14">
        <v>1</v>
      </c>
      <c r="F899" s="14">
        <v>0</v>
      </c>
      <c r="G899" s="14"/>
      <c r="H899" s="14"/>
      <c r="I899" s="8" t="s">
        <v>38</v>
      </c>
      <c r="J899" s="8" t="s">
        <v>38</v>
      </c>
      <c r="K899">
        <v>82.8125</v>
      </c>
      <c r="L899">
        <v>71.6875</v>
      </c>
      <c r="M899" s="14">
        <v>4.5</v>
      </c>
      <c r="N899" s="14">
        <v>6.125</v>
      </c>
      <c r="R899" t="str">
        <f t="shared" si="46"/>
        <v xml:space="preserve">XX8X_PV_1556:    Front abuts stile:TRUE       Back abuts stile:FALSE          Panel Section: WHOLE           Stile in the back Width:            Cutout A:           Cutout B:      F.C.:4.5 in.         C.C.:6.125 in.   </v>
      </c>
      <c r="S899" t="str">
        <f t="shared" si="47"/>
        <v>TRUE</v>
      </c>
      <c r="T899" t="str">
        <f t="shared" si="48"/>
        <v>FALSE</v>
      </c>
    </row>
    <row r="900" spans="1:20">
      <c r="A900" t="s">
        <v>1060</v>
      </c>
      <c r="B900" s="14" t="s">
        <v>144</v>
      </c>
      <c r="C900" s="14" t="s">
        <v>21</v>
      </c>
      <c r="D900" s="14">
        <v>1</v>
      </c>
      <c r="E900" s="14">
        <v>1</v>
      </c>
      <c r="F900" s="14">
        <v>1</v>
      </c>
      <c r="G900" s="14">
        <v>0</v>
      </c>
      <c r="H900" s="14">
        <v>12</v>
      </c>
      <c r="I900" s="8" t="s">
        <v>145</v>
      </c>
      <c r="J900" s="8" t="s">
        <v>38</v>
      </c>
      <c r="K900">
        <v>96</v>
      </c>
      <c r="L900">
        <v>53.3125</v>
      </c>
      <c r="M900" s="14">
        <v>4.5</v>
      </c>
      <c r="N900" s="14">
        <v>5.25</v>
      </c>
      <c r="R900" t="str">
        <f t="shared" si="46"/>
        <v xml:space="preserve">XX8X_PV_1557:    Front abuts stile:TRUE       Back abuts stile:TRUE          Panel Section: WHOLE           Stile in the back Width: 12           Cutout A: B-347          Cutout B:      F.C.:4.5 in.         C.C.:5.25 in.   </v>
      </c>
      <c r="S900" t="str">
        <f t="shared" si="47"/>
        <v>TRUE</v>
      </c>
      <c r="T900" t="str">
        <f t="shared" si="48"/>
        <v>TRUE</v>
      </c>
    </row>
    <row r="901" spans="1:20">
      <c r="A901" t="s">
        <v>1061</v>
      </c>
      <c r="B901" s="14" t="s">
        <v>144</v>
      </c>
      <c r="C901" s="14" t="s">
        <v>21</v>
      </c>
      <c r="D901" s="14">
        <v>1</v>
      </c>
      <c r="E901" s="14">
        <v>1</v>
      </c>
      <c r="F901" s="14">
        <v>1</v>
      </c>
      <c r="G901" s="14">
        <v>0</v>
      </c>
      <c r="H901" s="14">
        <v>24</v>
      </c>
      <c r="I901" s="8" t="s">
        <v>120</v>
      </c>
      <c r="J901" s="8" t="s">
        <v>38</v>
      </c>
      <c r="K901">
        <v>60</v>
      </c>
      <c r="L901">
        <v>56.3125</v>
      </c>
      <c r="M901" s="14">
        <v>2.3125</v>
      </c>
      <c r="N901" s="14">
        <v>1</v>
      </c>
      <c r="R901" t="str">
        <f t="shared" si="46"/>
        <v xml:space="preserve">XX8X_PV_1558:    Front abuts stile:TRUE       Back abuts stile:TRUE          Panel Section: WHOLE           Stile in the back Width: 24           Cutout A: B-386          Cutout B:      F.C.:2.3125 in.         C.C.:1 in.   </v>
      </c>
      <c r="S901" t="str">
        <f t="shared" si="47"/>
        <v>TRUE</v>
      </c>
      <c r="T901" t="str">
        <f t="shared" si="48"/>
        <v>TRUE</v>
      </c>
    </row>
    <row r="902" spans="1:20">
      <c r="A902" t="s">
        <v>1062</v>
      </c>
      <c r="B902" s="14" t="s">
        <v>144</v>
      </c>
      <c r="C902" s="14" t="s">
        <v>21</v>
      </c>
      <c r="D902" s="14">
        <v>1</v>
      </c>
      <c r="E902" s="14">
        <v>1</v>
      </c>
      <c r="F902" s="14">
        <v>1</v>
      </c>
      <c r="G902" s="14">
        <v>0</v>
      </c>
      <c r="H902" s="14"/>
      <c r="I902" s="8" t="s">
        <v>38</v>
      </c>
      <c r="J902" s="8" t="s">
        <v>38</v>
      </c>
      <c r="K902">
        <v>97.375</v>
      </c>
      <c r="L902">
        <v>71.875</v>
      </c>
      <c r="M902" s="14">
        <v>7.25</v>
      </c>
      <c r="N902" s="14">
        <v>7.875</v>
      </c>
      <c r="R902" t="str">
        <f t="shared" si="46"/>
        <v xml:space="preserve">XX8X_PV_1559:    Front abuts stile:TRUE       Back abuts stile:TRUE          Panel Section: WHOLE           Stile in the back Width:            Cutout A:           Cutout B:      F.C.:7.25 in.         C.C.:7.875 in.   </v>
      </c>
      <c r="S902" t="str">
        <f t="shared" si="47"/>
        <v>TRUE</v>
      </c>
      <c r="T902" t="str">
        <f t="shared" si="48"/>
        <v>TRUE</v>
      </c>
    </row>
    <row r="903" spans="1:20" ht="15" thickBot="1">
      <c r="A903" t="s">
        <v>1063</v>
      </c>
      <c r="B903" s="14" t="s">
        <v>144</v>
      </c>
      <c r="C903" s="50" t="s">
        <v>21</v>
      </c>
      <c r="D903" s="50">
        <v>1</v>
      </c>
      <c r="E903" s="50">
        <v>1</v>
      </c>
      <c r="F903" s="50">
        <v>1</v>
      </c>
      <c r="G903" s="50">
        <v>1</v>
      </c>
      <c r="H903" s="50"/>
      <c r="I903" s="51" t="s">
        <v>38</v>
      </c>
      <c r="J903" s="51" t="s">
        <v>38</v>
      </c>
      <c r="K903" s="49">
        <v>96</v>
      </c>
      <c r="L903" s="49">
        <v>65.5</v>
      </c>
      <c r="M903" s="50">
        <v>12</v>
      </c>
      <c r="N903" s="14" t="s">
        <v>38</v>
      </c>
      <c r="R903" t="str">
        <f t="shared" si="46"/>
        <v xml:space="preserve">XX8X_PV_1560:    Front abuts stile:TRUE       Back abuts stile:TRUE          Panel Section: WHOLE           Stile in the back Width:            Cutout A:           Cutout B:      F.C.:12 in.         C.C.: in.   </v>
      </c>
      <c r="S903" t="str">
        <f t="shared" si="47"/>
        <v>TRUE</v>
      </c>
      <c r="T903" t="str">
        <f t="shared" si="48"/>
        <v>TRUE</v>
      </c>
    </row>
    <row r="904" spans="1:20" ht="15" thickTop="1">
      <c r="A904" t="s">
        <v>1064</v>
      </c>
      <c r="B904" s="14" t="s">
        <v>144</v>
      </c>
      <c r="C904" s="14" t="s">
        <v>156</v>
      </c>
      <c r="D904" s="19">
        <v>0</v>
      </c>
      <c r="E904" s="19"/>
      <c r="F904" s="19">
        <v>0</v>
      </c>
      <c r="G904" s="19"/>
      <c r="H904" s="14"/>
      <c r="I904" s="8" t="s">
        <v>38</v>
      </c>
      <c r="J904" s="8" t="s">
        <v>38</v>
      </c>
      <c r="K904">
        <v>41.4375</v>
      </c>
      <c r="L904">
        <v>10.8125</v>
      </c>
      <c r="M904" s="14">
        <v>9</v>
      </c>
      <c r="N904" s="14">
        <v>1</v>
      </c>
      <c r="R904" t="str">
        <f t="shared" si="46"/>
        <v xml:space="preserve">XX8X_PV_1561:    Front abuts stile:FALSE       Back abuts stile:FALSE          Panel Section: TOP           Stile in the back Width:            Cutout A:           Cutout B:      F.C.:9 in.         C.C.:1 in.   </v>
      </c>
      <c r="S904" t="str">
        <f t="shared" si="47"/>
        <v>FALSE</v>
      </c>
      <c r="T904" t="str">
        <f t="shared" si="48"/>
        <v>FALSE</v>
      </c>
    </row>
    <row r="905" spans="1:20">
      <c r="A905" t="s">
        <v>1065</v>
      </c>
      <c r="B905" s="14" t="s">
        <v>144</v>
      </c>
      <c r="C905" s="14" t="s">
        <v>156</v>
      </c>
      <c r="D905" s="14">
        <v>0</v>
      </c>
      <c r="E905" s="14"/>
      <c r="F905" s="14">
        <v>1</v>
      </c>
      <c r="G905" s="14">
        <v>0</v>
      </c>
      <c r="H905" s="14">
        <v>12</v>
      </c>
      <c r="I905" s="8" t="s">
        <v>121</v>
      </c>
      <c r="J905" s="8" t="s">
        <v>38</v>
      </c>
      <c r="K905">
        <v>34.6875</v>
      </c>
      <c r="L905">
        <v>70.5</v>
      </c>
      <c r="M905" s="14">
        <v>2.875</v>
      </c>
      <c r="N905" s="14">
        <v>2.125</v>
      </c>
      <c r="R905" t="str">
        <f t="shared" si="46"/>
        <v xml:space="preserve">XX8X_PV_1562:    Front abuts stile:FALSE       Back abuts stile:TRUE          Panel Section: TOP           Stile in the back Width: 12           Cutout A: B-4354          Cutout B:      F.C.:2.875 in.         C.C.:2.125 in.   </v>
      </c>
      <c r="S905" t="str">
        <f t="shared" si="47"/>
        <v>FALSE</v>
      </c>
      <c r="T905" t="str">
        <f t="shared" si="48"/>
        <v>TRUE</v>
      </c>
    </row>
    <row r="906" spans="1:20">
      <c r="A906" t="s">
        <v>1066</v>
      </c>
      <c r="B906" s="14" t="s">
        <v>144</v>
      </c>
      <c r="C906" s="14" t="s">
        <v>156</v>
      </c>
      <c r="D906" s="14">
        <v>0</v>
      </c>
      <c r="E906" s="14"/>
      <c r="F906" s="14">
        <v>1</v>
      </c>
      <c r="G906" s="14">
        <v>0</v>
      </c>
      <c r="H906" s="14">
        <v>24</v>
      </c>
      <c r="I906" s="8" t="s">
        <v>145</v>
      </c>
      <c r="J906" s="8" t="s">
        <v>38</v>
      </c>
      <c r="K906">
        <v>42.6875</v>
      </c>
      <c r="L906">
        <v>62.125</v>
      </c>
      <c r="M906" s="14">
        <v>9</v>
      </c>
      <c r="N906" s="14">
        <v>8.3125</v>
      </c>
      <c r="R906" t="str">
        <f t="shared" si="46"/>
        <v xml:space="preserve">XX8X_PV_1563:    Front abuts stile:FALSE       Back abuts stile:TRUE          Panel Section: TOP           Stile in the back Width: 24           Cutout A: B-347          Cutout B:      F.C.:9 in.         C.C.:8.3125 in.   </v>
      </c>
      <c r="S906" t="str">
        <f t="shared" si="47"/>
        <v>FALSE</v>
      </c>
      <c r="T906" t="str">
        <f t="shared" si="48"/>
        <v>TRUE</v>
      </c>
    </row>
    <row r="907" spans="1:20">
      <c r="A907" t="s">
        <v>1067</v>
      </c>
      <c r="B907" s="14" t="s">
        <v>144</v>
      </c>
      <c r="C907" s="14" t="s">
        <v>156</v>
      </c>
      <c r="D907" s="14">
        <v>0</v>
      </c>
      <c r="E907" s="14"/>
      <c r="F907" s="14">
        <v>1</v>
      </c>
      <c r="G907" s="14">
        <v>0</v>
      </c>
      <c r="H907" s="14"/>
      <c r="I907" s="8" t="s">
        <v>38</v>
      </c>
      <c r="J907" s="8" t="s">
        <v>38</v>
      </c>
      <c r="K907">
        <v>23.4375</v>
      </c>
      <c r="L907">
        <v>75.6875</v>
      </c>
      <c r="M907" s="14">
        <v>2.6875</v>
      </c>
      <c r="N907" s="14" t="s">
        <v>38</v>
      </c>
      <c r="R907" t="str">
        <f t="shared" si="46"/>
        <v xml:space="preserve">XX8X_PV_1564:    Front abuts stile:FALSE       Back abuts stile:TRUE          Panel Section: TOP           Stile in the back Width:            Cutout A:           Cutout B:      F.C.:2.6875 in.         C.C.: in.   </v>
      </c>
      <c r="S907" t="str">
        <f t="shared" si="47"/>
        <v>FALSE</v>
      </c>
      <c r="T907" t="str">
        <f t="shared" si="48"/>
        <v>TRUE</v>
      </c>
    </row>
    <row r="908" spans="1:20">
      <c r="A908" t="s">
        <v>1068</v>
      </c>
      <c r="B908" s="14" t="s">
        <v>144</v>
      </c>
      <c r="C908" s="14" t="s">
        <v>156</v>
      </c>
      <c r="D908" s="14">
        <v>0</v>
      </c>
      <c r="E908" s="14"/>
      <c r="F908" s="14">
        <v>1</v>
      </c>
      <c r="G908" s="14">
        <v>1</v>
      </c>
      <c r="H908" s="14"/>
      <c r="I908" s="8" t="s">
        <v>38</v>
      </c>
      <c r="J908" s="8" t="s">
        <v>38</v>
      </c>
      <c r="K908">
        <v>47.8125</v>
      </c>
      <c r="L908">
        <v>71.625</v>
      </c>
      <c r="M908" s="14">
        <v>12</v>
      </c>
      <c r="N908" s="14">
        <v>6.6875</v>
      </c>
      <c r="R908" t="str">
        <f t="shared" si="46"/>
        <v xml:space="preserve">XX8X_PV_1565:    Front abuts stile:FALSE       Back abuts stile:TRUE          Panel Section: TOP           Stile in the back Width:            Cutout A:           Cutout B:      F.C.:12 in.         C.C.:6.6875 in.   </v>
      </c>
      <c r="S908" t="str">
        <f t="shared" si="47"/>
        <v>FALSE</v>
      </c>
      <c r="T908" t="str">
        <f t="shared" si="48"/>
        <v>TRUE</v>
      </c>
    </row>
    <row r="909" spans="1:20">
      <c r="A909" t="s">
        <v>1069</v>
      </c>
      <c r="B909" s="14" t="s">
        <v>144</v>
      </c>
      <c r="C909" s="14" t="s">
        <v>156</v>
      </c>
      <c r="D909" s="14">
        <v>1</v>
      </c>
      <c r="E909" s="14">
        <v>0</v>
      </c>
      <c r="F909" s="14">
        <v>0</v>
      </c>
      <c r="G909" s="14"/>
      <c r="H909" s="14"/>
      <c r="I909" s="8" t="s">
        <v>38</v>
      </c>
      <c r="J909" s="8" t="s">
        <v>38</v>
      </c>
      <c r="K909">
        <v>20.0625</v>
      </c>
      <c r="L909">
        <v>27.8125</v>
      </c>
      <c r="M909" s="14">
        <v>9</v>
      </c>
      <c r="N909" s="14" t="s">
        <v>38</v>
      </c>
      <c r="R909" t="str">
        <f t="shared" si="46"/>
        <v xml:space="preserve">XX8X_PV_1566:    Front abuts stile:TRUE       Back abuts stile:FALSE          Panel Section: TOP           Stile in the back Width:            Cutout A:           Cutout B:      F.C.:9 in.         C.C.: in.   </v>
      </c>
      <c r="S909" t="str">
        <f t="shared" si="47"/>
        <v>TRUE</v>
      </c>
      <c r="T909" t="str">
        <f t="shared" si="48"/>
        <v>FALSE</v>
      </c>
    </row>
    <row r="910" spans="1:20">
      <c r="A910" t="s">
        <v>1070</v>
      </c>
      <c r="B910" s="14" t="s">
        <v>144</v>
      </c>
      <c r="C910" s="14" t="s">
        <v>156</v>
      </c>
      <c r="D910" s="14">
        <v>1</v>
      </c>
      <c r="E910" s="14">
        <v>0</v>
      </c>
      <c r="F910" s="14">
        <v>1</v>
      </c>
      <c r="G910" s="14">
        <v>0</v>
      </c>
      <c r="H910" s="14">
        <v>12</v>
      </c>
      <c r="I910" s="8" t="s">
        <v>38</v>
      </c>
      <c r="J910" s="8" t="s">
        <v>38</v>
      </c>
      <c r="K910">
        <v>37.5625</v>
      </c>
      <c r="L910">
        <v>30.0625</v>
      </c>
      <c r="M910" s="14">
        <v>1</v>
      </c>
      <c r="N910" s="14">
        <v>7.6875</v>
      </c>
      <c r="R910" t="str">
        <f t="shared" si="46"/>
        <v xml:space="preserve">XX8X_PV_1567:    Front abuts stile:TRUE       Back abuts stile:TRUE          Panel Section: TOP           Stile in the back Width: 12           Cutout A:           Cutout B:      F.C.:1 in.         C.C.:7.6875 in.   </v>
      </c>
      <c r="S910" t="str">
        <f t="shared" si="47"/>
        <v>TRUE</v>
      </c>
      <c r="T910" t="str">
        <f t="shared" si="48"/>
        <v>TRUE</v>
      </c>
    </row>
    <row r="911" spans="1:20">
      <c r="A911" t="s">
        <v>1071</v>
      </c>
      <c r="B911" s="14" t="s">
        <v>144</v>
      </c>
      <c r="C911" s="14" t="s">
        <v>156</v>
      </c>
      <c r="D911" s="14">
        <v>1</v>
      </c>
      <c r="E911" s="14">
        <v>0</v>
      </c>
      <c r="F911" s="14">
        <v>1</v>
      </c>
      <c r="G911" s="14">
        <v>0</v>
      </c>
      <c r="H911" s="14">
        <v>24</v>
      </c>
      <c r="I911" s="8" t="s">
        <v>120</v>
      </c>
      <c r="J911" s="8" t="s">
        <v>38</v>
      </c>
      <c r="K911">
        <v>16.75</v>
      </c>
      <c r="L911">
        <v>40.5</v>
      </c>
      <c r="M911" s="14">
        <v>1</v>
      </c>
      <c r="N911" s="14" t="s">
        <v>38</v>
      </c>
      <c r="R911" t="str">
        <f t="shared" si="46"/>
        <v xml:space="preserve">XX8X_PV_1568:    Front abuts stile:TRUE       Back abuts stile:TRUE          Panel Section: TOP           Stile in the back Width: 24           Cutout A: B-386          Cutout B:      F.C.:1 in.         C.C.: in.   </v>
      </c>
      <c r="S911" t="str">
        <f t="shared" si="47"/>
        <v>TRUE</v>
      </c>
      <c r="T911" t="str">
        <f t="shared" si="48"/>
        <v>TRUE</v>
      </c>
    </row>
    <row r="912" spans="1:20">
      <c r="A912" t="s">
        <v>1072</v>
      </c>
      <c r="B912" s="14" t="s">
        <v>144</v>
      </c>
      <c r="C912" s="14" t="s">
        <v>156</v>
      </c>
      <c r="D912" s="14">
        <v>1</v>
      </c>
      <c r="E912" s="14">
        <v>0</v>
      </c>
      <c r="F912" s="14">
        <v>1</v>
      </c>
      <c r="G912" s="14">
        <v>0</v>
      </c>
      <c r="H912" s="14"/>
      <c r="I912" s="8" t="s">
        <v>38</v>
      </c>
      <c r="J912" s="8" t="s">
        <v>38</v>
      </c>
      <c r="K912">
        <v>14.0625</v>
      </c>
      <c r="L912">
        <v>46.75</v>
      </c>
      <c r="M912" s="14">
        <v>9</v>
      </c>
      <c r="N912" s="14" t="s">
        <v>38</v>
      </c>
      <c r="R912" t="str">
        <f t="shared" si="46"/>
        <v xml:space="preserve">XX8X_PV_1569:    Front abuts stile:TRUE       Back abuts stile:TRUE          Panel Section: TOP           Stile in the back Width:            Cutout A:           Cutout B:      F.C.:9 in.         C.C.: in.   </v>
      </c>
      <c r="S912" t="str">
        <f t="shared" si="47"/>
        <v>TRUE</v>
      </c>
      <c r="T912" t="str">
        <f t="shared" si="48"/>
        <v>TRUE</v>
      </c>
    </row>
    <row r="913" spans="1:20">
      <c r="A913" t="s">
        <v>1073</v>
      </c>
      <c r="B913" s="14" t="s">
        <v>144</v>
      </c>
      <c r="C913" s="14" t="s">
        <v>156</v>
      </c>
      <c r="D913" s="14">
        <v>1</v>
      </c>
      <c r="E913" s="14">
        <v>0</v>
      </c>
      <c r="F913" s="14">
        <v>1</v>
      </c>
      <c r="G913" s="14">
        <v>1</v>
      </c>
      <c r="H913" s="14"/>
      <c r="I913" s="8" t="s">
        <v>38</v>
      </c>
      <c r="J913" s="8" t="s">
        <v>38</v>
      </c>
      <c r="K913">
        <v>37.625</v>
      </c>
      <c r="L913">
        <v>40.5</v>
      </c>
      <c r="M913" s="14">
        <v>1</v>
      </c>
      <c r="N913" s="14" t="s">
        <v>38</v>
      </c>
      <c r="R913" t="str">
        <f t="shared" si="46"/>
        <v xml:space="preserve">XX8X_PV_1570:    Front abuts stile:TRUE       Back abuts stile:TRUE          Panel Section: TOP           Stile in the back Width:            Cutout A:           Cutout B:      F.C.:1 in.         C.C.: in.   </v>
      </c>
      <c r="S913" t="str">
        <f t="shared" si="47"/>
        <v>TRUE</v>
      </c>
      <c r="T913" t="str">
        <f t="shared" si="48"/>
        <v>TRUE</v>
      </c>
    </row>
    <row r="914" spans="1:20">
      <c r="A914" t="s">
        <v>1074</v>
      </c>
      <c r="B914" s="14" t="s">
        <v>144</v>
      </c>
      <c r="C914" s="14" t="s">
        <v>156</v>
      </c>
      <c r="D914" s="14">
        <v>1</v>
      </c>
      <c r="E914" s="14">
        <v>1</v>
      </c>
      <c r="F914" s="14">
        <v>0</v>
      </c>
      <c r="G914" s="14"/>
      <c r="H914" s="14"/>
      <c r="I914" s="8" t="s">
        <v>120</v>
      </c>
      <c r="J914" s="8" t="s">
        <v>38</v>
      </c>
      <c r="K914">
        <v>30.4375</v>
      </c>
      <c r="L914">
        <v>79.875</v>
      </c>
      <c r="M914" s="14">
        <v>12</v>
      </c>
      <c r="N914" s="14">
        <v>8.3125</v>
      </c>
      <c r="R914" t="str">
        <f t="shared" si="46"/>
        <v xml:space="preserve">XX8X_PV_1571:    Front abuts stile:TRUE       Back abuts stile:FALSE          Panel Section: TOP           Stile in the back Width:            Cutout A: B-386          Cutout B:      F.C.:12 in.         C.C.:8.3125 in.   </v>
      </c>
      <c r="S914" t="str">
        <f t="shared" si="47"/>
        <v>TRUE</v>
      </c>
      <c r="T914" t="str">
        <f t="shared" si="48"/>
        <v>FALSE</v>
      </c>
    </row>
    <row r="915" spans="1:20">
      <c r="A915" t="s">
        <v>1075</v>
      </c>
      <c r="B915" s="14" t="s">
        <v>144</v>
      </c>
      <c r="C915" s="14" t="s">
        <v>156</v>
      </c>
      <c r="D915" s="14">
        <v>1</v>
      </c>
      <c r="E915" s="14">
        <v>1</v>
      </c>
      <c r="F915" s="14">
        <v>1</v>
      </c>
      <c r="G915" s="14">
        <v>0</v>
      </c>
      <c r="H915" s="14">
        <v>12</v>
      </c>
      <c r="I915" s="8" t="s">
        <v>38</v>
      </c>
      <c r="J915" s="8" t="s">
        <v>38</v>
      </c>
      <c r="K915">
        <v>39.4375</v>
      </c>
      <c r="L915">
        <v>15.9375</v>
      </c>
      <c r="M915" s="14">
        <v>1</v>
      </c>
      <c r="N915" s="14">
        <v>4.5625</v>
      </c>
      <c r="R915" t="str">
        <f t="shared" si="46"/>
        <v xml:space="preserve">XX8X_PV_1572:    Front abuts stile:TRUE       Back abuts stile:TRUE          Panel Section: TOP           Stile in the back Width: 12           Cutout A:           Cutout B:      F.C.:1 in.         C.C.:4.5625 in.   </v>
      </c>
      <c r="S915" t="str">
        <f t="shared" si="47"/>
        <v>TRUE</v>
      </c>
      <c r="T915" t="str">
        <f t="shared" si="48"/>
        <v>TRUE</v>
      </c>
    </row>
    <row r="916" spans="1:20">
      <c r="A916" t="s">
        <v>1076</v>
      </c>
      <c r="B916" s="14" t="s">
        <v>144</v>
      </c>
      <c r="C916" s="14" t="s">
        <v>156</v>
      </c>
      <c r="D916" s="14">
        <v>1</v>
      </c>
      <c r="E916" s="14">
        <v>1</v>
      </c>
      <c r="F916" s="14">
        <v>1</v>
      </c>
      <c r="G916" s="14">
        <v>0</v>
      </c>
      <c r="H916" s="14">
        <v>24</v>
      </c>
      <c r="I916" s="8" t="s">
        <v>149</v>
      </c>
      <c r="J916" s="8" t="s">
        <v>38</v>
      </c>
      <c r="K916">
        <v>47.6875</v>
      </c>
      <c r="L916">
        <v>56.75</v>
      </c>
      <c r="M916" s="14">
        <v>12</v>
      </c>
      <c r="N916" s="14">
        <v>1</v>
      </c>
      <c r="R916" t="str">
        <f t="shared" si="46"/>
        <v xml:space="preserve">XX8X_PV_1573:    Front abuts stile:TRUE       Back abuts stile:TRUE          Panel Section: TOP           Stile in the back Width: 24           Cutout A: B-34715          Cutout B:      F.C.:12 in.         C.C.:1 in.   </v>
      </c>
      <c r="S916" t="str">
        <f t="shared" si="47"/>
        <v>TRUE</v>
      </c>
      <c r="T916" t="str">
        <f t="shared" si="48"/>
        <v>TRUE</v>
      </c>
    </row>
    <row r="917" spans="1:20">
      <c r="A917" t="s">
        <v>1077</v>
      </c>
      <c r="B917" s="14" t="s">
        <v>144</v>
      </c>
      <c r="C917" s="14" t="s">
        <v>156</v>
      </c>
      <c r="D917" s="14">
        <v>1</v>
      </c>
      <c r="E917" s="14">
        <v>1</v>
      </c>
      <c r="F917" s="14">
        <v>1</v>
      </c>
      <c r="G917" s="14">
        <v>0</v>
      </c>
      <c r="H917" s="14"/>
      <c r="I917" s="8" t="s">
        <v>38</v>
      </c>
      <c r="J917" s="8" t="s">
        <v>38</v>
      </c>
      <c r="K917">
        <v>27.6875</v>
      </c>
      <c r="L917">
        <v>76.9375</v>
      </c>
      <c r="M917" s="14">
        <v>4.25</v>
      </c>
      <c r="N917" s="14">
        <v>1</v>
      </c>
      <c r="R917" t="str">
        <f t="shared" si="46"/>
        <v xml:space="preserve">XX8X_PV_1574:    Front abuts stile:TRUE       Back abuts stile:TRUE          Panel Section: TOP           Stile in the back Width:            Cutout A:           Cutout B:      F.C.:4.25 in.         C.C.:1 in.   </v>
      </c>
      <c r="S917" t="str">
        <f t="shared" si="47"/>
        <v>TRUE</v>
      </c>
      <c r="T917" t="str">
        <f t="shared" si="48"/>
        <v>TRUE</v>
      </c>
    </row>
    <row r="918" spans="1:20">
      <c r="A918" t="s">
        <v>1078</v>
      </c>
      <c r="B918" s="14" t="s">
        <v>144</v>
      </c>
      <c r="C918" s="14" t="s">
        <v>156</v>
      </c>
      <c r="D918" s="14">
        <v>1</v>
      </c>
      <c r="E918" s="14">
        <v>1</v>
      </c>
      <c r="F918" s="14">
        <v>1</v>
      </c>
      <c r="G918" s="14">
        <v>1</v>
      </c>
      <c r="H918" s="14"/>
      <c r="I918" s="8" t="s">
        <v>38</v>
      </c>
      <c r="J918" s="8" t="s">
        <v>38</v>
      </c>
      <c r="K918">
        <v>17.125</v>
      </c>
      <c r="L918">
        <v>45.75</v>
      </c>
      <c r="M918" s="14">
        <v>2.8125</v>
      </c>
      <c r="N918" s="14">
        <v>8.25</v>
      </c>
      <c r="R918" t="str">
        <f t="shared" si="46"/>
        <v xml:space="preserve">XX8X_PV_1575:    Front abuts stile:TRUE       Back abuts stile:TRUE          Panel Section: TOP           Stile in the back Width:            Cutout A:           Cutout B:      F.C.:2.8125 in.         C.C.:8.25 in.   </v>
      </c>
      <c r="S918" t="str">
        <f t="shared" si="47"/>
        <v>TRUE</v>
      </c>
      <c r="T918" t="str">
        <f t="shared" si="48"/>
        <v>TRUE</v>
      </c>
    </row>
    <row r="919" spans="1:20">
      <c r="A919" t="s">
        <v>1079</v>
      </c>
      <c r="B919" s="14" t="s">
        <v>144</v>
      </c>
      <c r="C919" s="14" t="s">
        <v>157</v>
      </c>
      <c r="D919" s="14">
        <v>0</v>
      </c>
      <c r="E919" s="14"/>
      <c r="F919" s="14">
        <v>0</v>
      </c>
      <c r="G919" s="14"/>
      <c r="H919" s="14"/>
      <c r="I919" s="8" t="s">
        <v>120</v>
      </c>
      <c r="J919" s="8" t="s">
        <v>38</v>
      </c>
      <c r="K919">
        <v>60</v>
      </c>
      <c r="L919">
        <v>62.0625</v>
      </c>
      <c r="M919" s="14">
        <v>1</v>
      </c>
      <c r="N919" s="14">
        <v>6</v>
      </c>
      <c r="R919" t="str">
        <f t="shared" si="46"/>
        <v xml:space="preserve">XX8X_PV_1576:    Front abuts stile:FALSE       Back abuts stile:FALSE          Panel Section: BOTTOM           Stile in the back Width:            Cutout A: B-386          Cutout B:      F.C.:1 in.         C.C.:6 in.   </v>
      </c>
      <c r="S919" t="str">
        <f t="shared" si="47"/>
        <v>FALSE</v>
      </c>
      <c r="T919" t="str">
        <f t="shared" si="48"/>
        <v>FALSE</v>
      </c>
    </row>
    <row r="920" spans="1:20">
      <c r="A920" t="s">
        <v>1080</v>
      </c>
      <c r="B920" s="14" t="s">
        <v>144</v>
      </c>
      <c r="C920" s="14" t="s">
        <v>157</v>
      </c>
      <c r="D920" s="14">
        <v>0</v>
      </c>
      <c r="E920" s="14"/>
      <c r="F920" s="14">
        <v>1</v>
      </c>
      <c r="G920" s="14">
        <v>0</v>
      </c>
      <c r="H920" s="14">
        <v>12</v>
      </c>
      <c r="I920" s="8" t="s">
        <v>145</v>
      </c>
      <c r="J920" s="8" t="s">
        <v>38</v>
      </c>
      <c r="K920">
        <v>60</v>
      </c>
      <c r="L920">
        <v>70</v>
      </c>
      <c r="M920" s="14">
        <v>4.5</v>
      </c>
      <c r="N920" s="14">
        <v>4.125</v>
      </c>
      <c r="R920" t="str">
        <f t="shared" si="46"/>
        <v xml:space="preserve">XX8X_PV_1577:    Front abuts stile:FALSE       Back abuts stile:TRUE          Panel Section: BOTTOM           Stile in the back Width: 12           Cutout A: B-347          Cutout B:      F.C.:4.5 in.         C.C.:4.125 in.   </v>
      </c>
      <c r="S920" t="str">
        <f t="shared" si="47"/>
        <v>FALSE</v>
      </c>
      <c r="T920" t="str">
        <f t="shared" si="48"/>
        <v>TRUE</v>
      </c>
    </row>
    <row r="921" spans="1:20">
      <c r="A921" t="s">
        <v>1081</v>
      </c>
      <c r="B921" s="14" t="s">
        <v>144</v>
      </c>
      <c r="C921" s="14" t="s">
        <v>157</v>
      </c>
      <c r="D921" s="14">
        <v>0</v>
      </c>
      <c r="E921" s="14"/>
      <c r="F921" s="14">
        <v>1</v>
      </c>
      <c r="G921" s="14">
        <v>0</v>
      </c>
      <c r="H921" s="14">
        <v>24</v>
      </c>
      <c r="I921" s="8" t="s">
        <v>121</v>
      </c>
      <c r="J921" s="8" t="s">
        <v>38</v>
      </c>
      <c r="K921">
        <v>60</v>
      </c>
      <c r="L921">
        <v>45.0625</v>
      </c>
      <c r="M921" s="14">
        <v>9</v>
      </c>
      <c r="N921" s="14">
        <v>5.5</v>
      </c>
      <c r="R921" t="str">
        <f t="shared" si="46"/>
        <v xml:space="preserve">XX8X_PV_1578:    Front abuts stile:FALSE       Back abuts stile:TRUE          Panel Section: BOTTOM           Stile in the back Width: 24           Cutout A: B-4354          Cutout B:      F.C.:9 in.         C.C.:5.5 in.   </v>
      </c>
      <c r="S921" t="str">
        <f t="shared" si="47"/>
        <v>FALSE</v>
      </c>
      <c r="T921" t="str">
        <f t="shared" si="48"/>
        <v>TRUE</v>
      </c>
    </row>
    <row r="922" spans="1:20">
      <c r="A922" t="s">
        <v>1082</v>
      </c>
      <c r="B922" s="14" t="s">
        <v>144</v>
      </c>
      <c r="C922" s="14" t="s">
        <v>157</v>
      </c>
      <c r="D922" s="14">
        <v>0</v>
      </c>
      <c r="E922" s="14"/>
      <c r="F922" s="14">
        <v>1</v>
      </c>
      <c r="G922" s="14">
        <v>0</v>
      </c>
      <c r="H922" s="14"/>
      <c r="I922" s="8" t="s">
        <v>38</v>
      </c>
      <c r="J922" s="8" t="s">
        <v>38</v>
      </c>
      <c r="K922">
        <v>60</v>
      </c>
      <c r="L922">
        <v>12.8125</v>
      </c>
      <c r="M922" s="14">
        <v>4.1875</v>
      </c>
      <c r="N922" s="14">
        <v>7.625</v>
      </c>
      <c r="R922" t="str">
        <f t="shared" si="46"/>
        <v xml:space="preserve">XX8X_PV_1579:    Front abuts stile:FALSE       Back abuts stile:TRUE          Panel Section: BOTTOM           Stile in the back Width:            Cutout A:           Cutout B:      F.C.:4.1875 in.         C.C.:7.625 in.   </v>
      </c>
      <c r="S922" t="str">
        <f t="shared" si="47"/>
        <v>FALSE</v>
      </c>
      <c r="T922" t="str">
        <f t="shared" si="48"/>
        <v>TRUE</v>
      </c>
    </row>
    <row r="923" spans="1:20">
      <c r="A923" t="s">
        <v>1083</v>
      </c>
      <c r="B923" s="14" t="s">
        <v>144</v>
      </c>
      <c r="C923" s="14" t="s">
        <v>157</v>
      </c>
      <c r="D923" s="14">
        <v>0</v>
      </c>
      <c r="E923" s="14"/>
      <c r="F923" s="14">
        <v>1</v>
      </c>
      <c r="G923" s="14">
        <v>1</v>
      </c>
      <c r="H923" s="14"/>
      <c r="I923" s="8" t="s">
        <v>38</v>
      </c>
      <c r="J923" s="8" t="s">
        <v>38</v>
      </c>
      <c r="K923">
        <v>60</v>
      </c>
      <c r="L923">
        <v>31.4375</v>
      </c>
      <c r="M923" s="14">
        <v>2.9375</v>
      </c>
      <c r="N923" s="14">
        <v>1</v>
      </c>
      <c r="R923" t="str">
        <f t="shared" si="46"/>
        <v xml:space="preserve">XX8X_PV_1580:    Front abuts stile:FALSE       Back abuts stile:TRUE          Panel Section: BOTTOM           Stile in the back Width:            Cutout A:           Cutout B:      F.C.:2.9375 in.         C.C.:1 in.   </v>
      </c>
      <c r="S923" t="str">
        <f t="shared" si="47"/>
        <v>FALSE</v>
      </c>
      <c r="T923" t="str">
        <f t="shared" si="48"/>
        <v>TRUE</v>
      </c>
    </row>
    <row r="924" spans="1:20">
      <c r="A924" t="s">
        <v>1084</v>
      </c>
      <c r="B924" s="14" t="s">
        <v>144</v>
      </c>
      <c r="C924" s="14" t="s">
        <v>157</v>
      </c>
      <c r="D924" s="14">
        <v>1</v>
      </c>
      <c r="E924" s="14">
        <v>0</v>
      </c>
      <c r="F924" s="14">
        <v>0</v>
      </c>
      <c r="G924" s="14"/>
      <c r="H924" s="14"/>
      <c r="I924" s="8" t="s">
        <v>35</v>
      </c>
      <c r="J924" s="8" t="s">
        <v>38</v>
      </c>
      <c r="K924">
        <v>60</v>
      </c>
      <c r="L924">
        <v>70.625</v>
      </c>
      <c r="M924" s="14">
        <v>12</v>
      </c>
      <c r="N924" s="14">
        <v>7.375</v>
      </c>
      <c r="R924" t="str">
        <f t="shared" si="46"/>
        <v xml:space="preserve">XX8X_PV_1581:    Front abuts stile:TRUE       Back abuts stile:FALSE          Panel Section: BOTTOM           Stile in the back Width:            Cutout A: B-357          Cutout B:      F.C.:12 in.         C.C.:7.375 in.   </v>
      </c>
      <c r="S924" t="str">
        <f t="shared" si="47"/>
        <v>TRUE</v>
      </c>
      <c r="T924" t="str">
        <f t="shared" si="48"/>
        <v>FALSE</v>
      </c>
    </row>
    <row r="925" spans="1:20">
      <c r="A925" t="s">
        <v>1085</v>
      </c>
      <c r="B925" s="14" t="s">
        <v>144</v>
      </c>
      <c r="C925" s="14" t="s">
        <v>157</v>
      </c>
      <c r="D925" s="14">
        <v>1</v>
      </c>
      <c r="E925" s="14">
        <v>0</v>
      </c>
      <c r="F925" s="14">
        <v>1</v>
      </c>
      <c r="G925" s="14">
        <v>0</v>
      </c>
      <c r="H925" s="14">
        <v>12</v>
      </c>
      <c r="I925" s="8" t="s">
        <v>150</v>
      </c>
      <c r="J925" s="8" t="s">
        <v>38</v>
      </c>
      <c r="K925">
        <v>60</v>
      </c>
      <c r="L925">
        <v>79.5625</v>
      </c>
      <c r="M925" s="14">
        <v>9</v>
      </c>
      <c r="N925" s="14">
        <v>4.875</v>
      </c>
      <c r="R925" t="str">
        <f t="shared" si="46"/>
        <v xml:space="preserve">XX8X_PV_1582:    Front abuts stile:TRUE       Back abuts stile:TRUE          Panel Section: BOTTOM           Stile in the back Width: 12           Cutout A: B-3571          Cutout B:      F.C.:9 in.         C.C.:4.875 in.   </v>
      </c>
      <c r="S925" t="str">
        <f t="shared" si="47"/>
        <v>TRUE</v>
      </c>
      <c r="T925" t="str">
        <f t="shared" si="48"/>
        <v>TRUE</v>
      </c>
    </row>
    <row r="926" spans="1:20">
      <c r="A926" t="s">
        <v>1086</v>
      </c>
      <c r="B926" s="14" t="s">
        <v>144</v>
      </c>
      <c r="C926" s="14" t="s">
        <v>157</v>
      </c>
      <c r="D926" s="14">
        <v>1</v>
      </c>
      <c r="E926" s="14">
        <v>0</v>
      </c>
      <c r="F926" s="14">
        <v>1</v>
      </c>
      <c r="G926" s="14">
        <v>0</v>
      </c>
      <c r="H926" s="14">
        <v>24</v>
      </c>
      <c r="I926" s="8" t="s">
        <v>38</v>
      </c>
      <c r="J926" s="8" t="s">
        <v>38</v>
      </c>
      <c r="K926">
        <v>60</v>
      </c>
      <c r="L926">
        <v>71.5</v>
      </c>
      <c r="M926" s="14">
        <v>1</v>
      </c>
      <c r="N926" s="14">
        <v>7.6875</v>
      </c>
      <c r="R926" t="str">
        <f t="shared" si="46"/>
        <v xml:space="preserve">XX8X_PV_1583:    Front abuts stile:TRUE       Back abuts stile:TRUE          Panel Section: BOTTOM           Stile in the back Width: 24           Cutout A:           Cutout B:      F.C.:1 in.         C.C.:7.6875 in.   </v>
      </c>
      <c r="S926" t="str">
        <f t="shared" si="47"/>
        <v>TRUE</v>
      </c>
      <c r="T926" t="str">
        <f t="shared" si="48"/>
        <v>TRUE</v>
      </c>
    </row>
    <row r="927" spans="1:20">
      <c r="A927" t="s">
        <v>1087</v>
      </c>
      <c r="B927" s="14" t="s">
        <v>144</v>
      </c>
      <c r="C927" s="14" t="s">
        <v>157</v>
      </c>
      <c r="D927" s="14">
        <v>1</v>
      </c>
      <c r="E927" s="14">
        <v>0</v>
      </c>
      <c r="F927" s="14">
        <v>1</v>
      </c>
      <c r="G927" s="14">
        <v>0</v>
      </c>
      <c r="H927" s="14"/>
      <c r="I927" s="8" t="s">
        <v>38</v>
      </c>
      <c r="J927" s="8" t="s">
        <v>38</v>
      </c>
      <c r="K927">
        <v>60</v>
      </c>
      <c r="L927">
        <v>9.125</v>
      </c>
      <c r="M927" s="14">
        <v>1</v>
      </c>
      <c r="N927" s="14" t="s">
        <v>38</v>
      </c>
      <c r="R927" t="str">
        <f t="shared" si="46"/>
        <v xml:space="preserve">XX8X_PV_1584:    Front abuts stile:TRUE       Back abuts stile:TRUE          Panel Section: BOTTOM           Stile in the back Width:            Cutout A:           Cutout B:      F.C.:1 in.         C.C.: in.   </v>
      </c>
      <c r="S927" t="str">
        <f t="shared" si="47"/>
        <v>TRUE</v>
      </c>
      <c r="T927" t="str">
        <f t="shared" si="48"/>
        <v>TRUE</v>
      </c>
    </row>
    <row r="928" spans="1:20">
      <c r="A928" t="s">
        <v>1088</v>
      </c>
      <c r="B928" s="14" t="s">
        <v>144</v>
      </c>
      <c r="C928" s="14" t="s">
        <v>157</v>
      </c>
      <c r="D928" s="14">
        <v>1</v>
      </c>
      <c r="E928" s="14">
        <v>0</v>
      </c>
      <c r="F928" s="14">
        <v>1</v>
      </c>
      <c r="G928" s="14">
        <v>1</v>
      </c>
      <c r="H928" s="14"/>
      <c r="I928" s="8" t="s">
        <v>38</v>
      </c>
      <c r="J928" s="8" t="s">
        <v>38</v>
      </c>
      <c r="K928">
        <v>60</v>
      </c>
      <c r="L928">
        <v>43.0625</v>
      </c>
      <c r="M928" s="14">
        <v>1.3125</v>
      </c>
      <c r="N928" s="14" t="s">
        <v>38</v>
      </c>
      <c r="R928" t="str">
        <f t="shared" si="46"/>
        <v xml:space="preserve">XX8X_PV_1585:    Front abuts stile:TRUE       Back abuts stile:TRUE          Panel Section: BOTTOM           Stile in the back Width:            Cutout A:           Cutout B:      F.C.:1.3125 in.         C.C.: in.   </v>
      </c>
      <c r="S928" t="str">
        <f t="shared" si="47"/>
        <v>TRUE</v>
      </c>
      <c r="T928" t="str">
        <f t="shared" si="48"/>
        <v>TRUE</v>
      </c>
    </row>
    <row r="929" spans="1:20">
      <c r="A929" t="s">
        <v>1089</v>
      </c>
      <c r="B929" s="14" t="s">
        <v>144</v>
      </c>
      <c r="C929" s="14" t="s">
        <v>157</v>
      </c>
      <c r="D929" s="14">
        <v>1</v>
      </c>
      <c r="E929" s="14">
        <v>1</v>
      </c>
      <c r="F929" s="14">
        <v>0</v>
      </c>
      <c r="G929" s="14"/>
      <c r="H929" s="14"/>
      <c r="I929" s="8" t="s">
        <v>145</v>
      </c>
      <c r="J929" s="8" t="s">
        <v>38</v>
      </c>
      <c r="K929">
        <v>60</v>
      </c>
      <c r="L929">
        <v>56.1875</v>
      </c>
      <c r="M929" s="14">
        <v>4.5</v>
      </c>
      <c r="N929" s="14" t="s">
        <v>38</v>
      </c>
      <c r="R929" t="str">
        <f t="shared" si="46"/>
        <v xml:space="preserve">XX8X_PV_1586:    Front abuts stile:TRUE       Back abuts stile:FALSE          Panel Section: BOTTOM           Stile in the back Width:            Cutout A: B-347          Cutout B:      F.C.:4.5 in.         C.C.: in.   </v>
      </c>
      <c r="S929" t="str">
        <f t="shared" si="47"/>
        <v>TRUE</v>
      </c>
      <c r="T929" t="str">
        <f t="shared" si="48"/>
        <v>FALSE</v>
      </c>
    </row>
    <row r="930" spans="1:20">
      <c r="A930" t="s">
        <v>1090</v>
      </c>
      <c r="B930" s="14" t="s">
        <v>144</v>
      </c>
      <c r="C930" s="14" t="s">
        <v>157</v>
      </c>
      <c r="D930" s="14">
        <v>1</v>
      </c>
      <c r="E930" s="14">
        <v>1</v>
      </c>
      <c r="F930" s="14">
        <v>1</v>
      </c>
      <c r="G930" s="14">
        <v>0</v>
      </c>
      <c r="H930" s="14">
        <v>12</v>
      </c>
      <c r="I930" s="8" t="s">
        <v>148</v>
      </c>
      <c r="J930" s="8" t="s">
        <v>38</v>
      </c>
      <c r="K930">
        <v>60</v>
      </c>
      <c r="L930">
        <v>63.3125</v>
      </c>
      <c r="M930" s="14">
        <v>3.5</v>
      </c>
      <c r="N930" s="14">
        <v>1.0625</v>
      </c>
      <c r="R930" t="str">
        <f t="shared" si="46"/>
        <v xml:space="preserve">XX8X_PV_1587:    Front abuts stile:TRUE       Back abuts stile:TRUE          Panel Section: BOTTOM           Stile in the back Width: 12           Cutout A: B-3471          Cutout B:      F.C.:3.5 in.         C.C.:1.0625 in.   </v>
      </c>
      <c r="S930" t="str">
        <f t="shared" si="47"/>
        <v>TRUE</v>
      </c>
      <c r="T930" t="str">
        <f t="shared" si="48"/>
        <v>TRUE</v>
      </c>
    </row>
    <row r="931" spans="1:20">
      <c r="A931" t="s">
        <v>1091</v>
      </c>
      <c r="B931" s="14" t="s">
        <v>144</v>
      </c>
      <c r="C931" s="14" t="s">
        <v>157</v>
      </c>
      <c r="D931" s="14">
        <v>1</v>
      </c>
      <c r="E931" s="14">
        <v>1</v>
      </c>
      <c r="F931" s="14">
        <v>1</v>
      </c>
      <c r="G931" s="14">
        <v>0</v>
      </c>
      <c r="H931" s="14">
        <v>24</v>
      </c>
      <c r="I931" s="8" t="s">
        <v>120</v>
      </c>
      <c r="J931" s="8" t="s">
        <v>38</v>
      </c>
      <c r="K931">
        <v>60</v>
      </c>
      <c r="L931">
        <v>49.4375</v>
      </c>
      <c r="M931" s="14">
        <v>4.5</v>
      </c>
      <c r="N931" s="14" t="s">
        <v>38</v>
      </c>
      <c r="R931" t="str">
        <f t="shared" si="46"/>
        <v xml:space="preserve">XX8X_PV_1588:    Front abuts stile:TRUE       Back abuts stile:TRUE          Panel Section: BOTTOM           Stile in the back Width: 24           Cutout A: B-386          Cutout B:      F.C.:4.5 in.         C.C.: in.   </v>
      </c>
      <c r="S931" t="str">
        <f t="shared" si="47"/>
        <v>TRUE</v>
      </c>
      <c r="T931" t="str">
        <f t="shared" si="48"/>
        <v>TRUE</v>
      </c>
    </row>
    <row r="932" spans="1:20">
      <c r="A932" t="s">
        <v>1092</v>
      </c>
      <c r="B932" s="14" t="s">
        <v>144</v>
      </c>
      <c r="C932" s="14" t="s">
        <v>157</v>
      </c>
      <c r="D932" s="14">
        <v>1</v>
      </c>
      <c r="E932" s="14">
        <v>1</v>
      </c>
      <c r="F932" s="14">
        <v>1</v>
      </c>
      <c r="G932" s="14">
        <v>0</v>
      </c>
      <c r="H932" s="14"/>
      <c r="I932" s="8" t="s">
        <v>38</v>
      </c>
      <c r="J932" s="8" t="s">
        <v>38</v>
      </c>
      <c r="K932">
        <v>60</v>
      </c>
      <c r="L932">
        <v>66.1875</v>
      </c>
      <c r="M932" s="14">
        <v>8.9375</v>
      </c>
      <c r="N932" s="14">
        <v>5.6875</v>
      </c>
      <c r="R932" t="str">
        <f t="shared" si="46"/>
        <v xml:space="preserve">XX8X_PV_1589:    Front abuts stile:TRUE       Back abuts stile:TRUE          Panel Section: BOTTOM           Stile in the back Width:            Cutout A:           Cutout B:      F.C.:8.9375 in.         C.C.:5.6875 in.   </v>
      </c>
      <c r="S932" t="str">
        <f t="shared" si="47"/>
        <v>TRUE</v>
      </c>
      <c r="T932" t="str">
        <f t="shared" si="48"/>
        <v>TRUE</v>
      </c>
    </row>
    <row r="933" spans="1:20">
      <c r="A933" t="s">
        <v>1093</v>
      </c>
      <c r="B933" s="14" t="s">
        <v>144</v>
      </c>
      <c r="C933" s="14" t="s">
        <v>157</v>
      </c>
      <c r="D933" s="14">
        <v>1</v>
      </c>
      <c r="E933" s="14">
        <v>1</v>
      </c>
      <c r="F933" s="14">
        <v>1</v>
      </c>
      <c r="G933" s="14">
        <v>1</v>
      </c>
      <c r="H933" s="14"/>
      <c r="I933" s="8" t="s">
        <v>38</v>
      </c>
      <c r="J933" s="8" t="s">
        <v>38</v>
      </c>
      <c r="K933">
        <v>60</v>
      </c>
      <c r="L933">
        <v>33.5</v>
      </c>
      <c r="M933" s="14">
        <v>5.75</v>
      </c>
      <c r="N933" s="14">
        <v>1</v>
      </c>
      <c r="R933" t="str">
        <f t="shared" si="46"/>
        <v xml:space="preserve">XX8X_PV_1590:    Front abuts stile:TRUE       Back abuts stile:TRUE          Panel Section: BOTTOM           Stile in the back Width:            Cutout A:           Cutout B:      F.C.:5.75 in.         C.C.:1 in.   </v>
      </c>
      <c r="S933" t="str">
        <f t="shared" si="47"/>
        <v>TRUE</v>
      </c>
      <c r="T933" t="str">
        <f t="shared" si="48"/>
        <v>TRUE</v>
      </c>
    </row>
    <row r="934" spans="1:20">
      <c r="A934" t="s">
        <v>1094</v>
      </c>
      <c r="B934" s="14" t="s">
        <v>144</v>
      </c>
      <c r="C934" s="14" t="s">
        <v>21</v>
      </c>
      <c r="D934" s="14">
        <v>0</v>
      </c>
      <c r="E934" s="14"/>
      <c r="F934" s="14">
        <v>0</v>
      </c>
      <c r="G934" s="14"/>
      <c r="H934" s="14"/>
      <c r="I934" s="8" t="s">
        <v>121</v>
      </c>
      <c r="J934" s="8" t="s">
        <v>38</v>
      </c>
      <c r="K934">
        <v>94.3125</v>
      </c>
      <c r="L934">
        <v>77.1875</v>
      </c>
      <c r="M934" s="14">
        <v>4.5</v>
      </c>
      <c r="N934" s="14">
        <v>4.25</v>
      </c>
      <c r="R934" t="str">
        <f t="shared" si="46"/>
        <v xml:space="preserve">XX8X_PV_1591:    Front abuts stile:FALSE       Back abuts stile:FALSE          Panel Section: WHOLE           Stile in the back Width:            Cutout A: B-4354          Cutout B:      F.C.:4.5 in.         C.C.:4.25 in.   </v>
      </c>
      <c r="S934" t="str">
        <f t="shared" si="47"/>
        <v>FALSE</v>
      </c>
      <c r="T934" t="str">
        <f t="shared" si="48"/>
        <v>FALSE</v>
      </c>
    </row>
    <row r="935" spans="1:20">
      <c r="A935" t="s">
        <v>1095</v>
      </c>
      <c r="B935" s="14" t="s">
        <v>144</v>
      </c>
      <c r="C935" s="14" t="s">
        <v>21</v>
      </c>
      <c r="D935" s="14">
        <v>0</v>
      </c>
      <c r="E935" s="14"/>
      <c r="F935" s="14">
        <v>1</v>
      </c>
      <c r="G935" s="14">
        <v>0</v>
      </c>
      <c r="H935" s="14">
        <v>12</v>
      </c>
      <c r="I935" s="8" t="s">
        <v>38</v>
      </c>
      <c r="J935" s="8" t="s">
        <v>38</v>
      </c>
      <c r="K935">
        <v>53.875</v>
      </c>
      <c r="L935">
        <v>77.0625</v>
      </c>
      <c r="M935" s="14">
        <v>12</v>
      </c>
      <c r="N935" s="14" t="s">
        <v>38</v>
      </c>
      <c r="R935" t="str">
        <f t="shared" si="46"/>
        <v xml:space="preserve">XX8X_PV_1592:    Front abuts stile:FALSE       Back abuts stile:TRUE          Panel Section: WHOLE           Stile in the back Width: 12           Cutout A:           Cutout B:      F.C.:12 in.         C.C.: in.   </v>
      </c>
      <c r="S935" t="str">
        <f t="shared" si="47"/>
        <v>FALSE</v>
      </c>
      <c r="T935" t="str">
        <f t="shared" si="48"/>
        <v>TRUE</v>
      </c>
    </row>
    <row r="936" spans="1:20">
      <c r="A936" t="s">
        <v>1096</v>
      </c>
      <c r="B936" s="14" t="s">
        <v>144</v>
      </c>
      <c r="C936" s="14" t="s">
        <v>21</v>
      </c>
      <c r="D936" s="14">
        <v>0</v>
      </c>
      <c r="E936" s="14"/>
      <c r="F936" s="14">
        <v>1</v>
      </c>
      <c r="G936" s="14">
        <v>0</v>
      </c>
      <c r="H936" s="14">
        <v>24</v>
      </c>
      <c r="I936" s="8" t="s">
        <v>38</v>
      </c>
      <c r="J936" s="8" t="s">
        <v>38</v>
      </c>
      <c r="K936">
        <v>100.0625</v>
      </c>
      <c r="L936">
        <v>37.625</v>
      </c>
      <c r="M936" s="14">
        <v>1.125</v>
      </c>
      <c r="N936" s="14">
        <v>1</v>
      </c>
      <c r="R936" t="str">
        <f t="shared" si="46"/>
        <v xml:space="preserve">XX8X_PV_1593:    Front abuts stile:FALSE       Back abuts stile:TRUE          Panel Section: WHOLE           Stile in the back Width: 24           Cutout A:           Cutout B:      F.C.:1.125 in.         C.C.:1 in.   </v>
      </c>
      <c r="S936" t="str">
        <f t="shared" si="47"/>
        <v>FALSE</v>
      </c>
      <c r="T936" t="str">
        <f t="shared" si="48"/>
        <v>TRUE</v>
      </c>
    </row>
    <row r="937" spans="1:20">
      <c r="A937" t="s">
        <v>1097</v>
      </c>
      <c r="B937" s="14" t="s">
        <v>144</v>
      </c>
      <c r="C937" s="14" t="s">
        <v>21</v>
      </c>
      <c r="D937" s="14">
        <v>0</v>
      </c>
      <c r="E937" s="14"/>
      <c r="F937" s="14">
        <v>1</v>
      </c>
      <c r="G937" s="14">
        <v>0</v>
      </c>
      <c r="H937" s="14"/>
      <c r="I937" s="8" t="s">
        <v>38</v>
      </c>
      <c r="J937" s="8" t="s">
        <v>38</v>
      </c>
      <c r="K937">
        <v>96</v>
      </c>
      <c r="L937">
        <v>6.125</v>
      </c>
      <c r="M937" s="14">
        <v>3.3125</v>
      </c>
      <c r="N937" s="14">
        <v>2.1875</v>
      </c>
      <c r="R937" t="str">
        <f t="shared" si="46"/>
        <v xml:space="preserve">XX8X_PV_1594:    Front abuts stile:FALSE       Back abuts stile:TRUE          Panel Section: WHOLE           Stile in the back Width:            Cutout A:           Cutout B:      F.C.:3.3125 in.         C.C.:2.1875 in.   </v>
      </c>
      <c r="S937" t="str">
        <f t="shared" si="47"/>
        <v>FALSE</v>
      </c>
      <c r="T937" t="str">
        <f t="shared" si="48"/>
        <v>TRUE</v>
      </c>
    </row>
    <row r="938" spans="1:20">
      <c r="A938" t="s">
        <v>1098</v>
      </c>
      <c r="B938" s="14" t="s">
        <v>144</v>
      </c>
      <c r="C938" s="14" t="s">
        <v>21</v>
      </c>
      <c r="D938" s="14">
        <v>0</v>
      </c>
      <c r="E938" s="14"/>
      <c r="F938" s="14">
        <v>1</v>
      </c>
      <c r="G938" s="14">
        <v>1</v>
      </c>
      <c r="H938" s="14"/>
      <c r="I938" s="8" t="s">
        <v>38</v>
      </c>
      <c r="J938" s="8" t="s">
        <v>38</v>
      </c>
      <c r="K938">
        <v>47.0625</v>
      </c>
      <c r="L938">
        <v>79.125</v>
      </c>
      <c r="M938" s="14">
        <v>9</v>
      </c>
      <c r="N938" s="14">
        <v>7.875</v>
      </c>
      <c r="R938" t="str">
        <f t="shared" si="46"/>
        <v xml:space="preserve">XX8X_PV_1595:    Front abuts stile:FALSE       Back abuts stile:TRUE          Panel Section: WHOLE           Stile in the back Width:            Cutout A:           Cutout B:      F.C.:9 in.         C.C.:7.875 in.   </v>
      </c>
      <c r="S938" t="str">
        <f t="shared" si="47"/>
        <v>FALSE</v>
      </c>
      <c r="T938" t="str">
        <f t="shared" si="48"/>
        <v>TRUE</v>
      </c>
    </row>
    <row r="939" spans="1:20">
      <c r="A939" t="s">
        <v>1099</v>
      </c>
      <c r="B939" s="14" t="s">
        <v>144</v>
      </c>
      <c r="C939" s="14" t="s">
        <v>21</v>
      </c>
      <c r="D939" s="14">
        <v>1</v>
      </c>
      <c r="E939" s="14">
        <v>0</v>
      </c>
      <c r="F939" s="14">
        <v>0</v>
      </c>
      <c r="G939" s="14"/>
      <c r="H939" s="14"/>
      <c r="I939" s="8" t="s">
        <v>148</v>
      </c>
      <c r="J939" s="8" t="s">
        <v>38</v>
      </c>
      <c r="K939">
        <v>96</v>
      </c>
      <c r="L939">
        <v>65.3125</v>
      </c>
      <c r="M939" s="14">
        <v>5.3125</v>
      </c>
      <c r="N939" s="14">
        <v>7.1875</v>
      </c>
      <c r="R939" t="str">
        <f t="shared" si="46"/>
        <v xml:space="preserve">XX8X_PV_1596:    Front abuts stile:TRUE       Back abuts stile:FALSE          Panel Section: WHOLE           Stile in the back Width:            Cutout A: B-3471          Cutout B:      F.C.:5.3125 in.         C.C.:7.1875 in.   </v>
      </c>
      <c r="S939" t="str">
        <f t="shared" si="47"/>
        <v>TRUE</v>
      </c>
      <c r="T939" t="str">
        <f t="shared" si="48"/>
        <v>FALSE</v>
      </c>
    </row>
    <row r="940" spans="1:20">
      <c r="A940" t="s">
        <v>1100</v>
      </c>
      <c r="B940" s="14" t="s">
        <v>144</v>
      </c>
      <c r="C940" s="14" t="s">
        <v>21</v>
      </c>
      <c r="D940" s="14">
        <v>1</v>
      </c>
      <c r="E940" s="14">
        <v>0</v>
      </c>
      <c r="F940" s="14">
        <v>1</v>
      </c>
      <c r="G940" s="14">
        <v>0</v>
      </c>
      <c r="H940" s="14">
        <v>12</v>
      </c>
      <c r="I940" s="8" t="s">
        <v>120</v>
      </c>
      <c r="J940" s="8" t="s">
        <v>38</v>
      </c>
      <c r="K940">
        <v>96</v>
      </c>
      <c r="L940">
        <v>77.4375</v>
      </c>
      <c r="M940" s="14">
        <v>12</v>
      </c>
      <c r="N940" s="14" t="s">
        <v>38</v>
      </c>
      <c r="R940" t="str">
        <f t="shared" si="46"/>
        <v xml:space="preserve">XX8X_PV_1597:    Front abuts stile:TRUE       Back abuts stile:TRUE          Panel Section: WHOLE           Stile in the back Width: 12           Cutout A: B-386          Cutout B:      F.C.:12 in.         C.C.: in.   </v>
      </c>
      <c r="S940" t="str">
        <f t="shared" si="47"/>
        <v>TRUE</v>
      </c>
      <c r="T940" t="str">
        <f t="shared" si="48"/>
        <v>TRUE</v>
      </c>
    </row>
    <row r="941" spans="1:20">
      <c r="A941" t="s">
        <v>1101</v>
      </c>
      <c r="B941" s="14" t="s">
        <v>144</v>
      </c>
      <c r="C941" s="14" t="s">
        <v>21</v>
      </c>
      <c r="D941" s="14">
        <v>1</v>
      </c>
      <c r="E941" s="14">
        <v>0</v>
      </c>
      <c r="F941" s="14">
        <v>1</v>
      </c>
      <c r="G941" s="14">
        <v>0</v>
      </c>
      <c r="H941" s="14">
        <v>24</v>
      </c>
      <c r="I941" s="8" t="s">
        <v>38</v>
      </c>
      <c r="J941" s="8" t="s">
        <v>38</v>
      </c>
      <c r="K941">
        <v>75.875</v>
      </c>
      <c r="L941">
        <v>62</v>
      </c>
      <c r="M941" s="14">
        <v>6.625</v>
      </c>
      <c r="N941" s="14">
        <v>1</v>
      </c>
      <c r="R941" t="str">
        <f t="shared" si="46"/>
        <v xml:space="preserve">XX8X_PV_1598:    Front abuts stile:TRUE       Back abuts stile:TRUE          Panel Section: WHOLE           Stile in the back Width: 24           Cutout A:           Cutout B:      F.C.:6.625 in.         C.C.:1 in.   </v>
      </c>
      <c r="S941" t="str">
        <f t="shared" si="47"/>
        <v>TRUE</v>
      </c>
      <c r="T941" t="str">
        <f t="shared" si="48"/>
        <v>TRUE</v>
      </c>
    </row>
    <row r="942" spans="1:20">
      <c r="A942" t="s">
        <v>1102</v>
      </c>
      <c r="B942" s="14" t="s">
        <v>144</v>
      </c>
      <c r="C942" s="14" t="s">
        <v>21</v>
      </c>
      <c r="D942" s="14">
        <v>1</v>
      </c>
      <c r="E942" s="14">
        <v>0</v>
      </c>
      <c r="F942" s="14">
        <v>1</v>
      </c>
      <c r="G942" s="14">
        <v>0</v>
      </c>
      <c r="H942" s="14"/>
      <c r="I942" s="8" t="s">
        <v>38</v>
      </c>
      <c r="J942" s="8" t="s">
        <v>38</v>
      </c>
      <c r="K942">
        <v>89</v>
      </c>
      <c r="L942">
        <v>70.8125</v>
      </c>
      <c r="M942" s="14">
        <v>9</v>
      </c>
      <c r="N942" s="14">
        <v>7.5625</v>
      </c>
      <c r="R942" t="str">
        <f t="shared" si="46"/>
        <v xml:space="preserve">XX8X_PV_1599:    Front abuts stile:TRUE       Back abuts stile:TRUE          Panel Section: WHOLE           Stile in the back Width:            Cutout A:           Cutout B:      F.C.:9 in.         C.C.:7.5625 in.   </v>
      </c>
      <c r="S942" t="str">
        <f t="shared" si="47"/>
        <v>TRUE</v>
      </c>
      <c r="T942" t="str">
        <f t="shared" si="48"/>
        <v>TRUE</v>
      </c>
    </row>
    <row r="943" spans="1:20">
      <c r="A943" t="s">
        <v>1103</v>
      </c>
      <c r="B943" s="14" t="s">
        <v>144</v>
      </c>
      <c r="C943" s="14" t="s">
        <v>21</v>
      </c>
      <c r="D943" s="14">
        <v>1</v>
      </c>
      <c r="E943" s="14">
        <v>0</v>
      </c>
      <c r="F943" s="14">
        <v>1</v>
      </c>
      <c r="G943" s="14">
        <v>1</v>
      </c>
      <c r="H943" s="14"/>
      <c r="I943" s="8" t="s">
        <v>38</v>
      </c>
      <c r="J943" s="8" t="s">
        <v>38</v>
      </c>
      <c r="K943">
        <v>50.375</v>
      </c>
      <c r="L943">
        <v>71.5</v>
      </c>
      <c r="M943" s="14">
        <v>1</v>
      </c>
      <c r="N943" s="14">
        <v>1</v>
      </c>
      <c r="R943" t="str">
        <f t="shared" si="46"/>
        <v xml:space="preserve">XX8X_PV_1600:    Front abuts stile:TRUE       Back abuts stile:TRUE          Panel Section: WHOLE           Stile in the back Width:            Cutout A:           Cutout B:      F.C.:1 in.         C.C.:1 in.   </v>
      </c>
      <c r="S943" t="str">
        <f t="shared" si="47"/>
        <v>TRUE</v>
      </c>
      <c r="T943" t="str">
        <f t="shared" si="48"/>
        <v>TRUE</v>
      </c>
    </row>
    <row r="944" spans="1:20">
      <c r="A944" t="s">
        <v>1104</v>
      </c>
      <c r="B944" s="14" t="s">
        <v>144</v>
      </c>
      <c r="C944" s="14" t="s">
        <v>21</v>
      </c>
      <c r="D944" s="14">
        <v>1</v>
      </c>
      <c r="E944" s="14">
        <v>1</v>
      </c>
      <c r="F944" s="14">
        <v>0</v>
      </c>
      <c r="G944" s="14"/>
      <c r="H944" s="14"/>
      <c r="I944" s="8" t="s">
        <v>38</v>
      </c>
      <c r="J944" s="8" t="s">
        <v>38</v>
      </c>
      <c r="K944">
        <v>83.5625</v>
      </c>
      <c r="L944">
        <v>45.5625</v>
      </c>
      <c r="M944" s="14">
        <v>1</v>
      </c>
      <c r="N944" s="14">
        <v>5.5625</v>
      </c>
      <c r="R944" t="str">
        <f t="shared" si="46"/>
        <v xml:space="preserve">XX8X_PV_1601:    Front abuts stile:TRUE       Back abuts stile:FALSE          Panel Section: WHOLE           Stile in the back Width:            Cutout A:           Cutout B:      F.C.:1 in.         C.C.:5.5625 in.   </v>
      </c>
      <c r="S944" t="str">
        <f t="shared" si="47"/>
        <v>TRUE</v>
      </c>
      <c r="T944" t="str">
        <f t="shared" si="48"/>
        <v>FALSE</v>
      </c>
    </row>
    <row r="945" spans="1:20">
      <c r="A945" t="s">
        <v>1105</v>
      </c>
      <c r="B945" s="14" t="s">
        <v>144</v>
      </c>
      <c r="C945" s="14" t="s">
        <v>21</v>
      </c>
      <c r="D945" s="14">
        <v>1</v>
      </c>
      <c r="E945" s="14">
        <v>1</v>
      </c>
      <c r="F945" s="14">
        <v>1</v>
      </c>
      <c r="G945" s="14">
        <v>0</v>
      </c>
      <c r="H945" s="14">
        <v>12</v>
      </c>
      <c r="I945" s="8" t="s">
        <v>120</v>
      </c>
      <c r="J945" s="8" t="s">
        <v>38</v>
      </c>
      <c r="K945">
        <v>96</v>
      </c>
      <c r="L945">
        <v>65.625</v>
      </c>
      <c r="M945" s="14">
        <v>12</v>
      </c>
      <c r="N945" s="14">
        <v>1</v>
      </c>
      <c r="R945" t="str">
        <f t="shared" si="46"/>
        <v xml:space="preserve">XX8X_PV_1602:    Front abuts stile:TRUE       Back abuts stile:TRUE          Panel Section: WHOLE           Stile in the back Width: 12           Cutout A: B-386          Cutout B:      F.C.:12 in.         C.C.:1 in.   </v>
      </c>
      <c r="S945" t="str">
        <f t="shared" si="47"/>
        <v>TRUE</v>
      </c>
      <c r="T945" t="str">
        <f t="shared" si="48"/>
        <v>TRUE</v>
      </c>
    </row>
    <row r="946" spans="1:20">
      <c r="A946" t="s">
        <v>1106</v>
      </c>
      <c r="B946" s="14" t="s">
        <v>144</v>
      </c>
      <c r="C946" s="14" t="s">
        <v>21</v>
      </c>
      <c r="D946" s="14">
        <v>1</v>
      </c>
      <c r="E946" s="14">
        <v>1</v>
      </c>
      <c r="F946" s="14">
        <v>1</v>
      </c>
      <c r="G946" s="14">
        <v>0</v>
      </c>
      <c r="H946" s="14">
        <v>24</v>
      </c>
      <c r="I946" s="8" t="s">
        <v>120</v>
      </c>
      <c r="J946" s="8" t="s">
        <v>38</v>
      </c>
      <c r="K946">
        <v>96</v>
      </c>
      <c r="L946">
        <v>62.8125</v>
      </c>
      <c r="M946" s="14">
        <v>9</v>
      </c>
      <c r="N946" s="14">
        <v>1</v>
      </c>
      <c r="R946" t="str">
        <f t="shared" si="46"/>
        <v xml:space="preserve">XX8X_PV_1603:    Front abuts stile:TRUE       Back abuts stile:TRUE          Panel Section: WHOLE           Stile in the back Width: 24           Cutout A: B-386          Cutout B:      F.C.:9 in.         C.C.:1 in.   </v>
      </c>
      <c r="S946" t="str">
        <f t="shared" si="47"/>
        <v>TRUE</v>
      </c>
      <c r="T946" t="str">
        <f t="shared" si="48"/>
        <v>TRUE</v>
      </c>
    </row>
    <row r="947" spans="1:20">
      <c r="A947" t="s">
        <v>1107</v>
      </c>
      <c r="B947" s="14" t="s">
        <v>144</v>
      </c>
      <c r="C947" s="14" t="s">
        <v>21</v>
      </c>
      <c r="D947" s="14">
        <v>1</v>
      </c>
      <c r="E947" s="14">
        <v>1</v>
      </c>
      <c r="F947" s="14">
        <v>1</v>
      </c>
      <c r="G947" s="14">
        <v>0</v>
      </c>
      <c r="H947" s="14"/>
      <c r="I947" s="8" t="s">
        <v>38</v>
      </c>
      <c r="J947" s="8" t="s">
        <v>38</v>
      </c>
      <c r="K947">
        <v>66.875</v>
      </c>
      <c r="L947">
        <v>41.5625</v>
      </c>
      <c r="M947" s="14">
        <v>9</v>
      </c>
      <c r="N947" s="14">
        <v>1</v>
      </c>
      <c r="R947" t="str">
        <f t="shared" si="46"/>
        <v xml:space="preserve">XX8X_PV_1604:    Front abuts stile:TRUE       Back abuts stile:TRUE          Panel Section: WHOLE           Stile in the back Width:            Cutout A:           Cutout B:      F.C.:9 in.         C.C.:1 in.   </v>
      </c>
      <c r="S947" t="str">
        <f t="shared" si="47"/>
        <v>TRUE</v>
      </c>
      <c r="T947" t="str">
        <f t="shared" si="48"/>
        <v>TRUE</v>
      </c>
    </row>
    <row r="948" spans="1:20" ht="15" thickBot="1">
      <c r="A948" t="s">
        <v>1108</v>
      </c>
      <c r="B948" s="14" t="s">
        <v>144</v>
      </c>
      <c r="C948" s="50" t="s">
        <v>21</v>
      </c>
      <c r="D948" s="50">
        <v>1</v>
      </c>
      <c r="E948" s="50">
        <v>1</v>
      </c>
      <c r="F948" s="50">
        <v>1</v>
      </c>
      <c r="G948" s="50">
        <v>1</v>
      </c>
      <c r="H948" s="50"/>
      <c r="I948" s="51" t="s">
        <v>38</v>
      </c>
      <c r="J948" s="51" t="s">
        <v>38</v>
      </c>
      <c r="K948" s="49">
        <v>37.125</v>
      </c>
      <c r="L948" s="49">
        <v>66.6875</v>
      </c>
      <c r="M948" s="50">
        <v>4.9375</v>
      </c>
      <c r="N948" s="14">
        <v>3.75</v>
      </c>
      <c r="R948" t="str">
        <f t="shared" si="46"/>
        <v xml:space="preserve">XX8X_PV_1605:    Front abuts stile:TRUE       Back abuts stile:TRUE          Panel Section: WHOLE           Stile in the back Width:            Cutout A:           Cutout B:      F.C.:4.9375 in.         C.C.:3.75 in.   </v>
      </c>
      <c r="S948" t="str">
        <f t="shared" si="47"/>
        <v>TRUE</v>
      </c>
      <c r="T948" t="str">
        <f t="shared" si="48"/>
        <v>TRUE</v>
      </c>
    </row>
    <row r="949" spans="1:20" ht="15" thickTop="1">
      <c r="A949" t="s">
        <v>1109</v>
      </c>
      <c r="B949" s="14" t="s">
        <v>144</v>
      </c>
      <c r="C949" s="14" t="s">
        <v>156</v>
      </c>
      <c r="D949" s="19">
        <v>0</v>
      </c>
      <c r="E949" s="19"/>
      <c r="F949" s="19">
        <v>0</v>
      </c>
      <c r="G949" s="19"/>
      <c r="H949" s="14"/>
      <c r="I949" s="8" t="s">
        <v>38</v>
      </c>
      <c r="J949" s="8" t="s">
        <v>38</v>
      </c>
      <c r="K949">
        <v>5.0625</v>
      </c>
      <c r="L949">
        <v>30.375</v>
      </c>
      <c r="M949" s="14">
        <v>1</v>
      </c>
      <c r="N949" s="14" t="s">
        <v>38</v>
      </c>
      <c r="R949" t="str">
        <f t="shared" si="46"/>
        <v xml:space="preserve">XX8X_PV_1606:    Front abuts stile:FALSE       Back abuts stile:FALSE          Panel Section: TOP           Stile in the back Width:            Cutout A:           Cutout B:      F.C.:1 in.         C.C.: in.   </v>
      </c>
      <c r="S949" t="str">
        <f t="shared" si="47"/>
        <v>FALSE</v>
      </c>
      <c r="T949" t="str">
        <f t="shared" si="48"/>
        <v>FALSE</v>
      </c>
    </row>
    <row r="950" spans="1:20">
      <c r="A950" t="s">
        <v>1110</v>
      </c>
      <c r="B950" s="14" t="s">
        <v>144</v>
      </c>
      <c r="C950" s="14" t="s">
        <v>156</v>
      </c>
      <c r="D950" s="14">
        <v>0</v>
      </c>
      <c r="E950" s="14"/>
      <c r="F950" s="14">
        <v>1</v>
      </c>
      <c r="G950" s="14">
        <v>0</v>
      </c>
      <c r="H950" s="14">
        <v>12</v>
      </c>
      <c r="I950" s="8" t="s">
        <v>145</v>
      </c>
      <c r="J950" s="8" t="s">
        <v>38</v>
      </c>
      <c r="K950">
        <v>33</v>
      </c>
      <c r="L950">
        <v>42.8125</v>
      </c>
      <c r="M950" s="14">
        <v>12</v>
      </c>
      <c r="N950" s="14">
        <v>3.1875</v>
      </c>
      <c r="R950" t="str">
        <f t="shared" si="46"/>
        <v xml:space="preserve">XX8X_PV_1607:    Front abuts stile:FALSE       Back abuts stile:TRUE          Panel Section: TOP           Stile in the back Width: 12           Cutout A: B-347          Cutout B:      F.C.:12 in.         C.C.:3.1875 in.   </v>
      </c>
      <c r="S950" t="str">
        <f t="shared" si="47"/>
        <v>FALSE</v>
      </c>
      <c r="T950" t="str">
        <f t="shared" si="48"/>
        <v>TRUE</v>
      </c>
    </row>
    <row r="951" spans="1:20">
      <c r="A951" t="s">
        <v>1111</v>
      </c>
      <c r="B951" s="14" t="s">
        <v>144</v>
      </c>
      <c r="C951" s="14" t="s">
        <v>156</v>
      </c>
      <c r="D951" s="14">
        <v>0</v>
      </c>
      <c r="E951" s="14"/>
      <c r="F951" s="14">
        <v>1</v>
      </c>
      <c r="G951" s="14">
        <v>0</v>
      </c>
      <c r="H951" s="14">
        <v>24</v>
      </c>
      <c r="I951" s="8" t="s">
        <v>145</v>
      </c>
      <c r="J951" s="8" t="s">
        <v>38</v>
      </c>
      <c r="K951">
        <v>4.25</v>
      </c>
      <c r="L951">
        <v>57.3125</v>
      </c>
      <c r="M951" s="14">
        <v>12</v>
      </c>
      <c r="N951" s="14">
        <v>6.5</v>
      </c>
      <c r="R951" t="str">
        <f t="shared" si="46"/>
        <v xml:space="preserve">XX8X_PV_1608:    Front abuts stile:FALSE       Back abuts stile:TRUE          Panel Section: TOP           Stile in the back Width: 24           Cutout A: B-347          Cutout B:      F.C.:12 in.         C.C.:6.5 in.   </v>
      </c>
      <c r="S951" t="str">
        <f t="shared" si="47"/>
        <v>FALSE</v>
      </c>
      <c r="T951" t="str">
        <f t="shared" si="48"/>
        <v>TRUE</v>
      </c>
    </row>
    <row r="952" spans="1:20">
      <c r="A952" t="s">
        <v>1112</v>
      </c>
      <c r="B952" s="14" t="s">
        <v>144</v>
      </c>
      <c r="C952" s="14" t="s">
        <v>156</v>
      </c>
      <c r="D952" s="14">
        <v>0</v>
      </c>
      <c r="E952" s="14"/>
      <c r="F952" s="14">
        <v>1</v>
      </c>
      <c r="G952" s="14">
        <v>0</v>
      </c>
      <c r="H952" s="14"/>
      <c r="I952" s="8" t="s">
        <v>38</v>
      </c>
      <c r="J952" s="8" t="s">
        <v>38</v>
      </c>
      <c r="K952">
        <v>6.8125</v>
      </c>
      <c r="L952">
        <v>54.75</v>
      </c>
      <c r="M952" s="14">
        <v>9</v>
      </c>
      <c r="N952" s="14">
        <v>6.6875</v>
      </c>
      <c r="R952" t="str">
        <f t="shared" si="46"/>
        <v xml:space="preserve">XX8X_PV_1609:    Front abuts stile:FALSE       Back abuts stile:TRUE          Panel Section: TOP           Stile in the back Width:            Cutout A:           Cutout B:      F.C.:9 in.         C.C.:6.6875 in.   </v>
      </c>
      <c r="S952" t="str">
        <f t="shared" si="47"/>
        <v>FALSE</v>
      </c>
      <c r="T952" t="str">
        <f t="shared" si="48"/>
        <v>TRUE</v>
      </c>
    </row>
    <row r="953" spans="1:20">
      <c r="A953" t="s">
        <v>1113</v>
      </c>
      <c r="B953" s="14" t="s">
        <v>144</v>
      </c>
      <c r="C953" s="14" t="s">
        <v>156</v>
      </c>
      <c r="D953" s="14">
        <v>0</v>
      </c>
      <c r="E953" s="14"/>
      <c r="F953" s="14">
        <v>1</v>
      </c>
      <c r="G953" s="14">
        <v>1</v>
      </c>
      <c r="H953" s="14"/>
      <c r="I953" s="8" t="s">
        <v>38</v>
      </c>
      <c r="J953" s="8" t="s">
        <v>38</v>
      </c>
      <c r="K953">
        <v>39.875</v>
      </c>
      <c r="L953">
        <v>71.0625</v>
      </c>
      <c r="M953" s="14">
        <v>9.5</v>
      </c>
      <c r="N953" s="14">
        <v>2.375</v>
      </c>
      <c r="R953" t="str">
        <f t="shared" si="46"/>
        <v xml:space="preserve">XX8X_PV_1610:    Front abuts stile:FALSE       Back abuts stile:TRUE          Panel Section: TOP           Stile in the back Width:            Cutout A:           Cutout B:      F.C.:9.5 in.         C.C.:2.375 in.   </v>
      </c>
      <c r="S953" t="str">
        <f t="shared" si="47"/>
        <v>FALSE</v>
      </c>
      <c r="T953" t="str">
        <f t="shared" si="48"/>
        <v>TRUE</v>
      </c>
    </row>
    <row r="954" spans="1:20">
      <c r="A954" t="s">
        <v>1114</v>
      </c>
      <c r="B954" s="14" t="s">
        <v>144</v>
      </c>
      <c r="C954" s="14" t="s">
        <v>156</v>
      </c>
      <c r="D954" s="14">
        <v>1</v>
      </c>
      <c r="E954" s="14">
        <v>0</v>
      </c>
      <c r="F954" s="14">
        <v>0</v>
      </c>
      <c r="G954" s="14"/>
      <c r="H954" s="14"/>
      <c r="I954" s="8" t="s">
        <v>145</v>
      </c>
      <c r="J954" s="8" t="s">
        <v>38</v>
      </c>
      <c r="K954">
        <v>49.125</v>
      </c>
      <c r="L954">
        <v>76.8125</v>
      </c>
      <c r="M954" s="14">
        <v>1</v>
      </c>
      <c r="N954" s="14">
        <v>1</v>
      </c>
      <c r="R954" t="str">
        <f t="shared" si="46"/>
        <v xml:space="preserve">XX8X_PV_1611:    Front abuts stile:TRUE       Back abuts stile:FALSE          Panel Section: TOP           Stile in the back Width:            Cutout A: B-347          Cutout B:      F.C.:1 in.         C.C.:1 in.   </v>
      </c>
      <c r="S954" t="str">
        <f t="shared" si="47"/>
        <v>TRUE</v>
      </c>
      <c r="T954" t="str">
        <f t="shared" si="48"/>
        <v>FALSE</v>
      </c>
    </row>
    <row r="955" spans="1:20">
      <c r="A955" t="s">
        <v>1115</v>
      </c>
      <c r="B955" s="14" t="s">
        <v>144</v>
      </c>
      <c r="C955" s="14" t="s">
        <v>156</v>
      </c>
      <c r="D955" s="14">
        <v>1</v>
      </c>
      <c r="E955" s="14">
        <v>0</v>
      </c>
      <c r="F955" s="14">
        <v>1</v>
      </c>
      <c r="G955" s="14">
        <v>0</v>
      </c>
      <c r="H955" s="14">
        <v>12</v>
      </c>
      <c r="I955" s="8" t="s">
        <v>120</v>
      </c>
      <c r="J955" s="8" t="s">
        <v>38</v>
      </c>
      <c r="K955">
        <v>25.875</v>
      </c>
      <c r="L955">
        <v>69.5</v>
      </c>
      <c r="M955" s="14">
        <v>10.25</v>
      </c>
      <c r="N955" s="14">
        <v>7.125</v>
      </c>
      <c r="R955" t="str">
        <f t="shared" si="46"/>
        <v xml:space="preserve">XX8X_PV_1612:    Front abuts stile:TRUE       Back abuts stile:TRUE          Panel Section: TOP           Stile in the back Width: 12           Cutout A: B-386          Cutout B:      F.C.:10.25 in.         C.C.:7.125 in.   </v>
      </c>
      <c r="S955" t="str">
        <f t="shared" si="47"/>
        <v>TRUE</v>
      </c>
      <c r="T955" t="str">
        <f t="shared" si="48"/>
        <v>TRUE</v>
      </c>
    </row>
    <row r="956" spans="1:20">
      <c r="A956" t="s">
        <v>1116</v>
      </c>
      <c r="B956" s="14" t="s">
        <v>144</v>
      </c>
      <c r="C956" s="14" t="s">
        <v>156</v>
      </c>
      <c r="D956" s="14">
        <v>1</v>
      </c>
      <c r="E956" s="14">
        <v>0</v>
      </c>
      <c r="F956" s="14">
        <v>1</v>
      </c>
      <c r="G956" s="14">
        <v>0</v>
      </c>
      <c r="H956" s="14">
        <v>24</v>
      </c>
      <c r="I956" s="8" t="s">
        <v>120</v>
      </c>
      <c r="J956" s="8" t="s">
        <v>38</v>
      </c>
      <c r="K956">
        <v>10.9375</v>
      </c>
      <c r="L956">
        <v>47.875</v>
      </c>
      <c r="M956" s="14">
        <v>4.5</v>
      </c>
      <c r="N956" s="14">
        <v>1</v>
      </c>
      <c r="R956" t="str">
        <f t="shared" si="46"/>
        <v xml:space="preserve">XX8X_PV_1613:    Front abuts stile:TRUE       Back abuts stile:TRUE          Panel Section: TOP           Stile in the back Width: 24           Cutout A: B-386          Cutout B:      F.C.:4.5 in.         C.C.:1 in.   </v>
      </c>
      <c r="S956" t="str">
        <f t="shared" si="47"/>
        <v>TRUE</v>
      </c>
      <c r="T956" t="str">
        <f t="shared" si="48"/>
        <v>TRUE</v>
      </c>
    </row>
    <row r="957" spans="1:20">
      <c r="A957" t="s">
        <v>1117</v>
      </c>
      <c r="B957" s="14" t="s">
        <v>144</v>
      </c>
      <c r="C957" s="14" t="s">
        <v>156</v>
      </c>
      <c r="D957" s="14">
        <v>1</v>
      </c>
      <c r="E957" s="14">
        <v>0</v>
      </c>
      <c r="F957" s="14">
        <v>1</v>
      </c>
      <c r="G957" s="14">
        <v>0</v>
      </c>
      <c r="H957" s="14"/>
      <c r="I957" s="8" t="s">
        <v>38</v>
      </c>
      <c r="J957" s="8" t="s">
        <v>38</v>
      </c>
      <c r="K957">
        <v>21.375</v>
      </c>
      <c r="L957">
        <v>52.9375</v>
      </c>
      <c r="M957" s="14">
        <v>3.25</v>
      </c>
      <c r="N957" s="14" t="s">
        <v>38</v>
      </c>
      <c r="R957" t="str">
        <f t="shared" si="46"/>
        <v xml:space="preserve">XX8X_PV_1614:    Front abuts stile:TRUE       Back abuts stile:TRUE          Panel Section: TOP           Stile in the back Width:            Cutout A:           Cutout B:      F.C.:3.25 in.         C.C.: in.   </v>
      </c>
      <c r="S957" t="str">
        <f t="shared" si="47"/>
        <v>TRUE</v>
      </c>
      <c r="T957" t="str">
        <f t="shared" si="48"/>
        <v>TRUE</v>
      </c>
    </row>
    <row r="958" spans="1:20">
      <c r="A958" t="s">
        <v>1118</v>
      </c>
      <c r="B958" s="14" t="s">
        <v>144</v>
      </c>
      <c r="C958" s="14" t="s">
        <v>156</v>
      </c>
      <c r="D958" s="14">
        <v>1</v>
      </c>
      <c r="E958" s="14">
        <v>0</v>
      </c>
      <c r="F958" s="14">
        <v>1</v>
      </c>
      <c r="G958" s="14">
        <v>1</v>
      </c>
      <c r="H958" s="14"/>
      <c r="I958" s="8" t="s">
        <v>38</v>
      </c>
      <c r="J958" s="8" t="s">
        <v>38</v>
      </c>
      <c r="K958">
        <v>44.25</v>
      </c>
      <c r="L958">
        <v>49.875</v>
      </c>
      <c r="M958" s="14">
        <v>9</v>
      </c>
      <c r="N958" s="14" t="s">
        <v>38</v>
      </c>
      <c r="R958" t="str">
        <f t="shared" si="46"/>
        <v xml:space="preserve">XX8X_PV_1615:    Front abuts stile:TRUE       Back abuts stile:TRUE          Panel Section: TOP           Stile in the back Width:            Cutout A:           Cutout B:      F.C.:9 in.         C.C.: in.   </v>
      </c>
      <c r="S958" t="str">
        <f t="shared" si="47"/>
        <v>TRUE</v>
      </c>
      <c r="T958" t="str">
        <f t="shared" si="48"/>
        <v>TRUE</v>
      </c>
    </row>
    <row r="959" spans="1:20">
      <c r="A959" t="s">
        <v>1119</v>
      </c>
      <c r="B959" s="14" t="s">
        <v>144</v>
      </c>
      <c r="C959" s="14" t="s">
        <v>156</v>
      </c>
      <c r="D959" s="14">
        <v>1</v>
      </c>
      <c r="E959" s="14">
        <v>1</v>
      </c>
      <c r="F959" s="14">
        <v>0</v>
      </c>
      <c r="G959" s="14"/>
      <c r="H959" s="14"/>
      <c r="I959" s="8" t="s">
        <v>38</v>
      </c>
      <c r="J959" s="8" t="s">
        <v>38</v>
      </c>
      <c r="K959">
        <v>30</v>
      </c>
      <c r="L959">
        <v>60.5625</v>
      </c>
      <c r="M959" s="14">
        <v>1</v>
      </c>
      <c r="N959" s="14">
        <v>1</v>
      </c>
      <c r="R959" t="str">
        <f t="shared" si="46"/>
        <v xml:space="preserve">XX8X_PV_1616:    Front abuts stile:TRUE       Back abuts stile:FALSE          Panel Section: TOP           Stile in the back Width:            Cutout A:           Cutout B:      F.C.:1 in.         C.C.:1 in.   </v>
      </c>
      <c r="S959" t="str">
        <f t="shared" si="47"/>
        <v>TRUE</v>
      </c>
      <c r="T959" t="str">
        <f t="shared" si="48"/>
        <v>FALSE</v>
      </c>
    </row>
    <row r="960" spans="1:20">
      <c r="A960" t="s">
        <v>1120</v>
      </c>
      <c r="B960" s="14" t="s">
        <v>144</v>
      </c>
      <c r="C960" s="14" t="s">
        <v>156</v>
      </c>
      <c r="D960" s="14">
        <v>1</v>
      </c>
      <c r="E960" s="14">
        <v>1</v>
      </c>
      <c r="F960" s="14">
        <v>1</v>
      </c>
      <c r="G960" s="14">
        <v>0</v>
      </c>
      <c r="H960" s="14">
        <v>12</v>
      </c>
      <c r="I960" s="8" t="s">
        <v>38</v>
      </c>
      <c r="J960" s="8" t="s">
        <v>38</v>
      </c>
      <c r="K960">
        <v>7.1875</v>
      </c>
      <c r="L960">
        <v>34.25</v>
      </c>
      <c r="M960" s="14">
        <v>4</v>
      </c>
      <c r="N960" s="14" t="s">
        <v>38</v>
      </c>
      <c r="R960" t="str">
        <f t="shared" si="46"/>
        <v xml:space="preserve">XX8X_PV_1617:    Front abuts stile:TRUE       Back abuts stile:TRUE          Panel Section: TOP           Stile in the back Width: 12           Cutout A:           Cutout B:      F.C.:4 in.         C.C.: in.   </v>
      </c>
      <c r="S960" t="str">
        <f t="shared" si="47"/>
        <v>TRUE</v>
      </c>
      <c r="T960" t="str">
        <f t="shared" si="48"/>
        <v>TRUE</v>
      </c>
    </row>
    <row r="961" spans="1:20">
      <c r="A961" t="s">
        <v>1121</v>
      </c>
      <c r="B961" s="14" t="s">
        <v>144</v>
      </c>
      <c r="C961" s="14" t="s">
        <v>156</v>
      </c>
      <c r="D961" s="14">
        <v>1</v>
      </c>
      <c r="E961" s="14">
        <v>1</v>
      </c>
      <c r="F961" s="14">
        <v>1</v>
      </c>
      <c r="G961" s="14">
        <v>0</v>
      </c>
      <c r="H961" s="14">
        <v>24</v>
      </c>
      <c r="I961" s="8" t="s">
        <v>38</v>
      </c>
      <c r="J961" s="8" t="s">
        <v>38</v>
      </c>
      <c r="K961">
        <v>39.8125</v>
      </c>
      <c r="L961">
        <v>76.1875</v>
      </c>
      <c r="M961" s="14">
        <v>8.9375</v>
      </c>
      <c r="N961" s="14" t="s">
        <v>38</v>
      </c>
      <c r="R961" t="str">
        <f t="shared" ref="R961:R1024" si="49">A961&amp;":    Front abuts stile:"&amp;S961&amp;"       Back abuts stile:"&amp;T961&amp;"          Panel Section: "&amp;C961&amp;"           Stile in the back Width: "&amp;H961&amp;"           Cutout A: "&amp;I961&amp;"          Cutout B:"&amp;J961&amp;"      F.C.:"&amp;M961&amp;" in. "&amp;"        C.C.:"&amp;N961&amp;" in. "&amp;"  "</f>
        <v xml:space="preserve">XX8X_PV_1618:    Front abuts stile:TRUE       Back abuts stile:TRUE          Panel Section: TOP           Stile in the back Width: 24           Cutout A:           Cutout B:      F.C.:8.9375 in.         C.C.: in.   </v>
      </c>
      <c r="S961" t="str">
        <f t="shared" ref="S961:S1024" si="50">IF(D961=1, "TRUE", "FALSE")</f>
        <v>TRUE</v>
      </c>
      <c r="T961" t="str">
        <f t="shared" ref="T961:T1024" si="51">IF(F961=1, "TRUE", "FALSE")</f>
        <v>TRUE</v>
      </c>
    </row>
    <row r="962" spans="1:20">
      <c r="A962" t="s">
        <v>1122</v>
      </c>
      <c r="B962" s="14" t="s">
        <v>144</v>
      </c>
      <c r="C962" s="14" t="s">
        <v>156</v>
      </c>
      <c r="D962" s="14">
        <v>1</v>
      </c>
      <c r="E962" s="14">
        <v>1</v>
      </c>
      <c r="F962" s="14">
        <v>1</v>
      </c>
      <c r="G962" s="14">
        <v>0</v>
      </c>
      <c r="H962" s="14"/>
      <c r="I962" s="8" t="s">
        <v>38</v>
      </c>
      <c r="J962" s="8" t="s">
        <v>38</v>
      </c>
      <c r="K962">
        <v>35.875</v>
      </c>
      <c r="L962">
        <v>46.75</v>
      </c>
      <c r="M962" s="14">
        <v>1.8125</v>
      </c>
      <c r="N962" s="14">
        <v>1</v>
      </c>
      <c r="R962" t="str">
        <f t="shared" si="49"/>
        <v xml:space="preserve">XX8X_PV_1619:    Front abuts stile:TRUE       Back abuts stile:TRUE          Panel Section: TOP           Stile in the back Width:            Cutout A:           Cutout B:      F.C.:1.8125 in.         C.C.:1 in.   </v>
      </c>
      <c r="S962" t="str">
        <f t="shared" si="50"/>
        <v>TRUE</v>
      </c>
      <c r="T962" t="str">
        <f t="shared" si="51"/>
        <v>TRUE</v>
      </c>
    </row>
    <row r="963" spans="1:20">
      <c r="A963" t="s">
        <v>1123</v>
      </c>
      <c r="B963" s="14" t="s">
        <v>144</v>
      </c>
      <c r="C963" s="14" t="s">
        <v>156</v>
      </c>
      <c r="D963" s="14">
        <v>1</v>
      </c>
      <c r="E963" s="14">
        <v>1</v>
      </c>
      <c r="F963" s="14">
        <v>1</v>
      </c>
      <c r="G963" s="14">
        <v>1</v>
      </c>
      <c r="H963" s="14"/>
      <c r="I963" s="8" t="s">
        <v>38</v>
      </c>
      <c r="J963" s="8" t="s">
        <v>38</v>
      </c>
      <c r="K963">
        <v>35.0625</v>
      </c>
      <c r="L963">
        <v>68.375</v>
      </c>
      <c r="M963" s="14">
        <v>1.5625</v>
      </c>
      <c r="N963" s="14">
        <v>2.125</v>
      </c>
      <c r="R963" t="str">
        <f t="shared" si="49"/>
        <v xml:space="preserve">XX8X_PV_1620:    Front abuts stile:TRUE       Back abuts stile:TRUE          Panel Section: TOP           Stile in the back Width:            Cutout A:           Cutout B:      F.C.:1.5625 in.         C.C.:2.125 in.   </v>
      </c>
      <c r="S963" t="str">
        <f t="shared" si="50"/>
        <v>TRUE</v>
      </c>
      <c r="T963" t="str">
        <f t="shared" si="51"/>
        <v>TRUE</v>
      </c>
    </row>
    <row r="964" spans="1:20">
      <c r="A964" t="s">
        <v>1124</v>
      </c>
      <c r="B964" s="14" t="s">
        <v>144</v>
      </c>
      <c r="C964" s="14" t="s">
        <v>157</v>
      </c>
      <c r="D964" s="14">
        <v>0</v>
      </c>
      <c r="E964" s="14"/>
      <c r="F964" s="14">
        <v>0</v>
      </c>
      <c r="G964" s="14"/>
      <c r="H964" s="14"/>
      <c r="I964" s="8" t="s">
        <v>35</v>
      </c>
      <c r="J964" s="8" t="s">
        <v>38</v>
      </c>
      <c r="K964">
        <v>60</v>
      </c>
      <c r="L964">
        <v>52.1875</v>
      </c>
      <c r="M964" s="14">
        <v>4.375</v>
      </c>
      <c r="N964" s="14">
        <v>4.3125</v>
      </c>
      <c r="R964" t="str">
        <f t="shared" si="49"/>
        <v xml:space="preserve">XX8X_PV_1621:    Front abuts stile:FALSE       Back abuts stile:FALSE          Panel Section: BOTTOM           Stile in the back Width:            Cutout A: B-357          Cutout B:      F.C.:4.375 in.         C.C.:4.3125 in.   </v>
      </c>
      <c r="S964" t="str">
        <f t="shared" si="50"/>
        <v>FALSE</v>
      </c>
      <c r="T964" t="str">
        <f t="shared" si="51"/>
        <v>FALSE</v>
      </c>
    </row>
    <row r="965" spans="1:20">
      <c r="A965" t="s">
        <v>1125</v>
      </c>
      <c r="B965" s="14" t="s">
        <v>144</v>
      </c>
      <c r="C965" s="14" t="s">
        <v>157</v>
      </c>
      <c r="D965" s="14">
        <v>0</v>
      </c>
      <c r="E965" s="14"/>
      <c r="F965" s="14">
        <v>1</v>
      </c>
      <c r="G965" s="14">
        <v>0</v>
      </c>
      <c r="H965" s="14">
        <v>12</v>
      </c>
      <c r="I965" s="8" t="s">
        <v>151</v>
      </c>
      <c r="J965" s="8" t="s">
        <v>38</v>
      </c>
      <c r="K965">
        <v>60</v>
      </c>
      <c r="L965">
        <v>79.9375</v>
      </c>
      <c r="M965" s="14">
        <v>12</v>
      </c>
      <c r="N965" s="14">
        <v>2.6875</v>
      </c>
      <c r="R965" t="str">
        <f t="shared" si="49"/>
        <v xml:space="preserve">XX8X_PV_1622:    Front abuts stile:FALSE       Back abuts stile:TRUE          Panel Section: BOTTOM           Stile in the back Width: 12           Cutout A: B-35715          Cutout B:      F.C.:12 in.         C.C.:2.6875 in.   </v>
      </c>
      <c r="S965" t="str">
        <f t="shared" si="50"/>
        <v>FALSE</v>
      </c>
      <c r="T965" t="str">
        <f t="shared" si="51"/>
        <v>TRUE</v>
      </c>
    </row>
    <row r="966" spans="1:20">
      <c r="A966" t="s">
        <v>1126</v>
      </c>
      <c r="B966" s="14" t="s">
        <v>144</v>
      </c>
      <c r="C966" s="14" t="s">
        <v>157</v>
      </c>
      <c r="D966" s="14">
        <v>0</v>
      </c>
      <c r="E966" s="14"/>
      <c r="F966" s="14">
        <v>1</v>
      </c>
      <c r="G966" s="14">
        <v>0</v>
      </c>
      <c r="H966" s="14">
        <v>24</v>
      </c>
      <c r="I966" s="8" t="s">
        <v>121</v>
      </c>
      <c r="J966" s="8" t="s">
        <v>38</v>
      </c>
      <c r="K966">
        <v>60</v>
      </c>
      <c r="L966">
        <v>50.4375</v>
      </c>
      <c r="M966" s="14">
        <v>4.5</v>
      </c>
      <c r="N966" s="14">
        <v>2.75</v>
      </c>
      <c r="R966" t="str">
        <f t="shared" si="49"/>
        <v xml:space="preserve">XX8X_PV_1623:    Front abuts stile:FALSE       Back abuts stile:TRUE          Panel Section: BOTTOM           Stile in the back Width: 24           Cutout A: B-4354          Cutout B:      F.C.:4.5 in.         C.C.:2.75 in.   </v>
      </c>
      <c r="S966" t="str">
        <f t="shared" si="50"/>
        <v>FALSE</v>
      </c>
      <c r="T966" t="str">
        <f t="shared" si="51"/>
        <v>TRUE</v>
      </c>
    </row>
    <row r="967" spans="1:20">
      <c r="A967" t="s">
        <v>1127</v>
      </c>
      <c r="B967" s="14" t="s">
        <v>144</v>
      </c>
      <c r="C967" s="14" t="s">
        <v>157</v>
      </c>
      <c r="D967" s="14">
        <v>0</v>
      </c>
      <c r="E967" s="14"/>
      <c r="F967" s="14">
        <v>1</v>
      </c>
      <c r="G967" s="14">
        <v>0</v>
      </c>
      <c r="H967" s="14"/>
      <c r="I967" s="8" t="s">
        <v>38</v>
      </c>
      <c r="J967" s="8" t="s">
        <v>38</v>
      </c>
      <c r="K967">
        <v>60</v>
      </c>
      <c r="L967">
        <v>13.625</v>
      </c>
      <c r="M967" s="14">
        <v>1</v>
      </c>
      <c r="N967" s="14">
        <v>7.875</v>
      </c>
      <c r="R967" t="str">
        <f t="shared" si="49"/>
        <v xml:space="preserve">XX8X_PV_1624:    Front abuts stile:FALSE       Back abuts stile:TRUE          Panel Section: BOTTOM           Stile in the back Width:            Cutout A:           Cutout B:      F.C.:1 in.         C.C.:7.875 in.   </v>
      </c>
      <c r="S967" t="str">
        <f t="shared" si="50"/>
        <v>FALSE</v>
      </c>
      <c r="T967" t="str">
        <f t="shared" si="51"/>
        <v>TRUE</v>
      </c>
    </row>
    <row r="968" spans="1:20">
      <c r="A968" t="s">
        <v>1128</v>
      </c>
      <c r="B968" s="14" t="s">
        <v>144</v>
      </c>
      <c r="C968" s="14" t="s">
        <v>157</v>
      </c>
      <c r="D968" s="14">
        <v>0</v>
      </c>
      <c r="E968" s="14"/>
      <c r="F968" s="14">
        <v>1</v>
      </c>
      <c r="G968" s="14">
        <v>1</v>
      </c>
      <c r="H968" s="14"/>
      <c r="I968" s="8" t="s">
        <v>38</v>
      </c>
      <c r="J968" s="8" t="s">
        <v>38</v>
      </c>
      <c r="K968">
        <v>60</v>
      </c>
      <c r="L968">
        <v>70.8125</v>
      </c>
      <c r="M968" s="14">
        <v>9</v>
      </c>
      <c r="N968" s="14" t="s">
        <v>38</v>
      </c>
      <c r="R968" t="str">
        <f t="shared" si="49"/>
        <v xml:space="preserve">XX8X_PV_1625:    Front abuts stile:FALSE       Back abuts stile:TRUE          Panel Section: BOTTOM           Stile in the back Width:            Cutout A:           Cutout B:      F.C.:9 in.         C.C.: in.   </v>
      </c>
      <c r="S968" t="str">
        <f t="shared" si="50"/>
        <v>FALSE</v>
      </c>
      <c r="T968" t="str">
        <f t="shared" si="51"/>
        <v>TRUE</v>
      </c>
    </row>
    <row r="969" spans="1:20">
      <c r="A969" t="s">
        <v>1129</v>
      </c>
      <c r="B969" s="14" t="s">
        <v>144</v>
      </c>
      <c r="C969" s="14" t="s">
        <v>157</v>
      </c>
      <c r="D969" s="14">
        <v>1</v>
      </c>
      <c r="E969" s="14">
        <v>0</v>
      </c>
      <c r="F969" s="14">
        <v>0</v>
      </c>
      <c r="G969" s="14"/>
      <c r="H969" s="14"/>
      <c r="I969" s="8" t="s">
        <v>119</v>
      </c>
      <c r="J969" s="8" t="s">
        <v>38</v>
      </c>
      <c r="K969">
        <v>60</v>
      </c>
      <c r="L969">
        <v>66.5625</v>
      </c>
      <c r="M969" s="14">
        <v>12</v>
      </c>
      <c r="N969" s="14">
        <v>5.6875</v>
      </c>
      <c r="R969" t="str">
        <f t="shared" si="49"/>
        <v xml:space="preserve">XX8X_PV_1626:    Front abuts stile:TRUE       Back abuts stile:FALSE          Panel Section: BOTTOM           Stile in the back Width:            Cutout A: B-354          Cutout B:      F.C.:12 in.         C.C.:5.6875 in.   </v>
      </c>
      <c r="S969" t="str">
        <f t="shared" si="50"/>
        <v>TRUE</v>
      </c>
      <c r="T969" t="str">
        <f t="shared" si="51"/>
        <v>FALSE</v>
      </c>
    </row>
    <row r="970" spans="1:20">
      <c r="A970" t="s">
        <v>1130</v>
      </c>
      <c r="B970" s="14" t="s">
        <v>144</v>
      </c>
      <c r="C970" s="14" t="s">
        <v>157</v>
      </c>
      <c r="D970" s="14">
        <v>1</v>
      </c>
      <c r="E970" s="14">
        <v>0</v>
      </c>
      <c r="F970" s="14">
        <v>1</v>
      </c>
      <c r="G970" s="14">
        <v>0</v>
      </c>
      <c r="H970" s="14">
        <v>12</v>
      </c>
      <c r="I970" s="8" t="s">
        <v>38</v>
      </c>
      <c r="J970" s="8" t="s">
        <v>38</v>
      </c>
      <c r="K970">
        <v>60</v>
      </c>
      <c r="L970">
        <v>60</v>
      </c>
      <c r="M970" s="14">
        <v>1.375</v>
      </c>
      <c r="N970" s="14">
        <v>8.25</v>
      </c>
      <c r="R970" t="str">
        <f t="shared" si="49"/>
        <v xml:space="preserve">XX8X_PV_1627:    Front abuts stile:TRUE       Back abuts stile:TRUE          Panel Section: BOTTOM           Stile in the back Width: 12           Cutout A:           Cutout B:      F.C.:1.375 in.         C.C.:8.25 in.   </v>
      </c>
      <c r="S970" t="str">
        <f t="shared" si="50"/>
        <v>TRUE</v>
      </c>
      <c r="T970" t="str">
        <f t="shared" si="51"/>
        <v>TRUE</v>
      </c>
    </row>
    <row r="971" spans="1:20">
      <c r="A971" t="s">
        <v>1131</v>
      </c>
      <c r="B971" s="14" t="s">
        <v>144</v>
      </c>
      <c r="C971" s="14" t="s">
        <v>157</v>
      </c>
      <c r="D971" s="14">
        <v>1</v>
      </c>
      <c r="E971" s="14">
        <v>0</v>
      </c>
      <c r="F971" s="14">
        <v>1</v>
      </c>
      <c r="G971" s="14">
        <v>0</v>
      </c>
      <c r="H971" s="14">
        <v>24</v>
      </c>
      <c r="I971" s="8" t="s">
        <v>149</v>
      </c>
      <c r="J971" s="8" t="s">
        <v>38</v>
      </c>
      <c r="K971">
        <v>60</v>
      </c>
      <c r="L971">
        <v>57.75</v>
      </c>
      <c r="M971" s="14">
        <v>1</v>
      </c>
      <c r="N971" s="14">
        <v>1</v>
      </c>
      <c r="R971" t="str">
        <f t="shared" si="49"/>
        <v xml:space="preserve">XX8X_PV_1628:    Front abuts stile:TRUE       Back abuts stile:TRUE          Panel Section: BOTTOM           Stile in the back Width: 24           Cutout A: B-34715          Cutout B:      F.C.:1 in.         C.C.:1 in.   </v>
      </c>
      <c r="S971" t="str">
        <f t="shared" si="50"/>
        <v>TRUE</v>
      </c>
      <c r="T971" t="str">
        <f t="shared" si="51"/>
        <v>TRUE</v>
      </c>
    </row>
    <row r="972" spans="1:20">
      <c r="A972" t="s">
        <v>1132</v>
      </c>
      <c r="B972" s="14" t="s">
        <v>144</v>
      </c>
      <c r="C972" s="14" t="s">
        <v>157</v>
      </c>
      <c r="D972" s="14">
        <v>1</v>
      </c>
      <c r="E972" s="14">
        <v>0</v>
      </c>
      <c r="F972" s="14">
        <v>1</v>
      </c>
      <c r="G972" s="14">
        <v>0</v>
      </c>
      <c r="H972" s="14"/>
      <c r="I972" s="8" t="s">
        <v>38</v>
      </c>
      <c r="J972" s="8" t="s">
        <v>38</v>
      </c>
      <c r="K972">
        <v>60</v>
      </c>
      <c r="L972">
        <v>59.0625</v>
      </c>
      <c r="M972" s="14">
        <v>9</v>
      </c>
      <c r="N972" s="14">
        <v>2.375</v>
      </c>
      <c r="R972" t="str">
        <f t="shared" si="49"/>
        <v xml:space="preserve">XX8X_PV_1629:    Front abuts stile:TRUE       Back abuts stile:TRUE          Panel Section: BOTTOM           Stile in the back Width:            Cutout A:           Cutout B:      F.C.:9 in.         C.C.:2.375 in.   </v>
      </c>
      <c r="S972" t="str">
        <f t="shared" si="50"/>
        <v>TRUE</v>
      </c>
      <c r="T972" t="str">
        <f t="shared" si="51"/>
        <v>TRUE</v>
      </c>
    </row>
    <row r="973" spans="1:20">
      <c r="A973" t="s">
        <v>1133</v>
      </c>
      <c r="B973" s="14" t="s">
        <v>144</v>
      </c>
      <c r="C973" s="14" t="s">
        <v>157</v>
      </c>
      <c r="D973" s="14">
        <v>1</v>
      </c>
      <c r="E973" s="14">
        <v>0</v>
      </c>
      <c r="F973" s="14">
        <v>1</v>
      </c>
      <c r="G973" s="14">
        <v>1</v>
      </c>
      <c r="H973" s="14"/>
      <c r="I973" s="8" t="s">
        <v>38</v>
      </c>
      <c r="J973" s="8" t="s">
        <v>38</v>
      </c>
      <c r="K973">
        <v>60</v>
      </c>
      <c r="L973">
        <v>59.625</v>
      </c>
      <c r="M973" s="14">
        <v>7.375</v>
      </c>
      <c r="N973" s="14">
        <v>1.0625</v>
      </c>
      <c r="R973" t="str">
        <f t="shared" si="49"/>
        <v xml:space="preserve">XX8X_PV_1630:    Front abuts stile:TRUE       Back abuts stile:TRUE          Panel Section: BOTTOM           Stile in the back Width:            Cutout A:           Cutout B:      F.C.:7.375 in.         C.C.:1.0625 in.   </v>
      </c>
      <c r="S973" t="str">
        <f t="shared" si="50"/>
        <v>TRUE</v>
      </c>
      <c r="T973" t="str">
        <f t="shared" si="51"/>
        <v>TRUE</v>
      </c>
    </row>
    <row r="974" spans="1:20">
      <c r="A974" t="s">
        <v>1134</v>
      </c>
      <c r="B974" s="14" t="s">
        <v>144</v>
      </c>
      <c r="C974" s="14" t="s">
        <v>157</v>
      </c>
      <c r="D974" s="14">
        <v>1</v>
      </c>
      <c r="E974" s="14">
        <v>1</v>
      </c>
      <c r="F974" s="14">
        <v>0</v>
      </c>
      <c r="G974" s="14"/>
      <c r="H974" s="14"/>
      <c r="I974" s="8" t="s">
        <v>120</v>
      </c>
      <c r="J974" s="8" t="s">
        <v>38</v>
      </c>
      <c r="K974">
        <v>60</v>
      </c>
      <c r="L974">
        <v>55.6875</v>
      </c>
      <c r="M974" s="14">
        <v>4.8125</v>
      </c>
      <c r="N974" s="14">
        <v>1</v>
      </c>
      <c r="R974" t="str">
        <f t="shared" si="49"/>
        <v xml:space="preserve">XX8X_PV_1631:    Front abuts stile:TRUE       Back abuts stile:FALSE          Panel Section: BOTTOM           Stile in the back Width:            Cutout A: B-386          Cutout B:      F.C.:4.8125 in.         C.C.:1 in.   </v>
      </c>
      <c r="S974" t="str">
        <f t="shared" si="50"/>
        <v>TRUE</v>
      </c>
      <c r="T974" t="str">
        <f t="shared" si="51"/>
        <v>FALSE</v>
      </c>
    </row>
    <row r="975" spans="1:20">
      <c r="A975" t="s">
        <v>1135</v>
      </c>
      <c r="B975" s="14" t="s">
        <v>144</v>
      </c>
      <c r="C975" s="14" t="s">
        <v>157</v>
      </c>
      <c r="D975" s="14">
        <v>1</v>
      </c>
      <c r="E975" s="14">
        <v>1</v>
      </c>
      <c r="F975" s="14">
        <v>1</v>
      </c>
      <c r="G975" s="14">
        <v>0</v>
      </c>
      <c r="H975" s="14">
        <v>12</v>
      </c>
      <c r="I975" s="8" t="s">
        <v>120</v>
      </c>
      <c r="J975" s="8" t="s">
        <v>38</v>
      </c>
      <c r="K975">
        <v>60</v>
      </c>
      <c r="L975">
        <v>43.125</v>
      </c>
      <c r="M975" s="14">
        <v>12</v>
      </c>
      <c r="N975" s="14">
        <v>1</v>
      </c>
      <c r="R975" t="str">
        <f t="shared" si="49"/>
        <v xml:space="preserve">XX8X_PV_1632:    Front abuts stile:TRUE       Back abuts stile:TRUE          Panel Section: BOTTOM           Stile in the back Width: 12           Cutout A: B-386          Cutout B:      F.C.:12 in.         C.C.:1 in.   </v>
      </c>
      <c r="S975" t="str">
        <f t="shared" si="50"/>
        <v>TRUE</v>
      </c>
      <c r="T975" t="str">
        <f t="shared" si="51"/>
        <v>TRUE</v>
      </c>
    </row>
    <row r="976" spans="1:20">
      <c r="A976" t="s">
        <v>1136</v>
      </c>
      <c r="B976" s="14" t="s">
        <v>144</v>
      </c>
      <c r="C976" s="14" t="s">
        <v>157</v>
      </c>
      <c r="D976" s="14">
        <v>1</v>
      </c>
      <c r="E976" s="14">
        <v>1</v>
      </c>
      <c r="F976" s="14">
        <v>1</v>
      </c>
      <c r="G976" s="14">
        <v>0</v>
      </c>
      <c r="H976" s="14">
        <v>24</v>
      </c>
      <c r="I976" s="8" t="s">
        <v>35</v>
      </c>
      <c r="J976" s="8" t="s">
        <v>38</v>
      </c>
      <c r="K976">
        <v>60</v>
      </c>
      <c r="L976">
        <v>62.9375</v>
      </c>
      <c r="M976" s="14">
        <v>1.6875</v>
      </c>
      <c r="N976" s="14">
        <v>6.6875</v>
      </c>
      <c r="R976" t="str">
        <f t="shared" si="49"/>
        <v xml:space="preserve">XX8X_PV_1633:    Front abuts stile:TRUE       Back abuts stile:TRUE          Panel Section: BOTTOM           Stile in the back Width: 24           Cutout A: B-357          Cutout B:      F.C.:1.6875 in.         C.C.:6.6875 in.   </v>
      </c>
      <c r="S976" t="str">
        <f t="shared" si="50"/>
        <v>TRUE</v>
      </c>
      <c r="T976" t="str">
        <f t="shared" si="51"/>
        <v>TRUE</v>
      </c>
    </row>
    <row r="977" spans="1:20">
      <c r="A977" t="s">
        <v>1137</v>
      </c>
      <c r="B977" s="14" t="s">
        <v>144</v>
      </c>
      <c r="C977" s="14" t="s">
        <v>157</v>
      </c>
      <c r="D977" s="14">
        <v>1</v>
      </c>
      <c r="E977" s="14">
        <v>1</v>
      </c>
      <c r="F977" s="14">
        <v>1</v>
      </c>
      <c r="G977" s="14">
        <v>0</v>
      </c>
      <c r="H977" s="14"/>
      <c r="I977" s="8" t="s">
        <v>38</v>
      </c>
      <c r="J977" s="8" t="s">
        <v>38</v>
      </c>
      <c r="K977">
        <v>60</v>
      </c>
      <c r="L977">
        <v>57.8125</v>
      </c>
      <c r="M977" s="14">
        <v>4.5</v>
      </c>
      <c r="N977" s="14">
        <v>3.625</v>
      </c>
      <c r="R977" t="str">
        <f t="shared" si="49"/>
        <v xml:space="preserve">XX8X_PV_1634:    Front abuts stile:TRUE       Back abuts stile:TRUE          Panel Section: BOTTOM           Stile in the back Width:            Cutout A:           Cutout B:      F.C.:4.5 in.         C.C.:3.625 in.   </v>
      </c>
      <c r="S977" t="str">
        <f t="shared" si="50"/>
        <v>TRUE</v>
      </c>
      <c r="T977" t="str">
        <f t="shared" si="51"/>
        <v>TRUE</v>
      </c>
    </row>
    <row r="978" spans="1:20">
      <c r="A978" t="s">
        <v>1138</v>
      </c>
      <c r="B978" s="14" t="s">
        <v>144</v>
      </c>
      <c r="C978" s="14" t="s">
        <v>157</v>
      </c>
      <c r="D978" s="14">
        <v>1</v>
      </c>
      <c r="E978" s="14">
        <v>1</v>
      </c>
      <c r="F978" s="14">
        <v>1</v>
      </c>
      <c r="G978" s="14">
        <v>1</v>
      </c>
      <c r="H978" s="14"/>
      <c r="I978" s="8" t="s">
        <v>38</v>
      </c>
      <c r="J978" s="8" t="s">
        <v>38</v>
      </c>
      <c r="K978">
        <v>60</v>
      </c>
      <c r="L978">
        <v>53.1875</v>
      </c>
      <c r="M978" s="14">
        <v>1.3125</v>
      </c>
      <c r="N978" s="14">
        <v>1</v>
      </c>
      <c r="R978" t="str">
        <f t="shared" si="49"/>
        <v xml:space="preserve">XX8X_PV_1635:    Front abuts stile:TRUE       Back abuts stile:TRUE          Panel Section: BOTTOM           Stile in the back Width:            Cutout A:           Cutout B:      F.C.:1.3125 in.         C.C.:1 in.   </v>
      </c>
      <c r="S978" t="str">
        <f t="shared" si="50"/>
        <v>TRUE</v>
      </c>
      <c r="T978" t="str">
        <f t="shared" si="51"/>
        <v>TRUE</v>
      </c>
    </row>
    <row r="979" spans="1:20">
      <c r="A979" t="s">
        <v>1139</v>
      </c>
      <c r="B979" s="14" t="s">
        <v>144</v>
      </c>
      <c r="C979" s="14" t="s">
        <v>21</v>
      </c>
      <c r="D979" s="14">
        <v>0</v>
      </c>
      <c r="E979" s="14"/>
      <c r="F979" s="14">
        <v>0</v>
      </c>
      <c r="G979" s="14"/>
      <c r="H979" s="14"/>
      <c r="I979" s="8" t="s">
        <v>145</v>
      </c>
      <c r="J979" s="8" t="s">
        <v>38</v>
      </c>
      <c r="K979">
        <v>45.8125</v>
      </c>
      <c r="L979">
        <v>71.9375</v>
      </c>
      <c r="M979" s="14">
        <v>9</v>
      </c>
      <c r="N979" s="14">
        <v>1</v>
      </c>
      <c r="R979" t="str">
        <f t="shared" si="49"/>
        <v xml:space="preserve">XX8X_PV_1636:    Front abuts stile:FALSE       Back abuts stile:FALSE          Panel Section: WHOLE           Stile in the back Width:            Cutout A: B-347          Cutout B:      F.C.:9 in.         C.C.:1 in.   </v>
      </c>
      <c r="S979" t="str">
        <f t="shared" si="50"/>
        <v>FALSE</v>
      </c>
      <c r="T979" t="str">
        <f t="shared" si="51"/>
        <v>FALSE</v>
      </c>
    </row>
    <row r="980" spans="1:20">
      <c r="A980" t="s">
        <v>1140</v>
      </c>
      <c r="B980" s="14" t="s">
        <v>144</v>
      </c>
      <c r="C980" s="14" t="s">
        <v>21</v>
      </c>
      <c r="D980" s="14">
        <v>0</v>
      </c>
      <c r="E980" s="14"/>
      <c r="F980" s="14">
        <v>1</v>
      </c>
      <c r="G980" s="14">
        <v>0</v>
      </c>
      <c r="H980" s="14">
        <v>12</v>
      </c>
      <c r="I980" s="8" t="s">
        <v>119</v>
      </c>
      <c r="J980" s="8" t="s">
        <v>38</v>
      </c>
      <c r="K980">
        <v>45.9375</v>
      </c>
      <c r="L980">
        <v>52.5</v>
      </c>
      <c r="M980" s="14">
        <v>1</v>
      </c>
      <c r="N980" s="14" t="s">
        <v>38</v>
      </c>
      <c r="R980" t="str">
        <f t="shared" si="49"/>
        <v xml:space="preserve">XX8X_PV_1637:    Front abuts stile:FALSE       Back abuts stile:TRUE          Panel Section: WHOLE           Stile in the back Width: 12           Cutout A: B-354          Cutout B:      F.C.:1 in.         C.C.: in.   </v>
      </c>
      <c r="S980" t="str">
        <f t="shared" si="50"/>
        <v>FALSE</v>
      </c>
      <c r="T980" t="str">
        <f t="shared" si="51"/>
        <v>TRUE</v>
      </c>
    </row>
    <row r="981" spans="1:20">
      <c r="A981" t="s">
        <v>1141</v>
      </c>
      <c r="B981" s="14" t="s">
        <v>144</v>
      </c>
      <c r="C981" s="14" t="s">
        <v>21</v>
      </c>
      <c r="D981" s="14">
        <v>0</v>
      </c>
      <c r="E981" s="14"/>
      <c r="F981" s="14">
        <v>1</v>
      </c>
      <c r="G981" s="14">
        <v>0</v>
      </c>
      <c r="H981" s="14">
        <v>24</v>
      </c>
      <c r="I981" s="8" t="s">
        <v>121</v>
      </c>
      <c r="J981" s="8" t="s">
        <v>38</v>
      </c>
      <c r="K981">
        <v>96</v>
      </c>
      <c r="L981">
        <v>62.4375</v>
      </c>
      <c r="M981" s="14">
        <v>4.5</v>
      </c>
      <c r="N981" s="14" t="s">
        <v>38</v>
      </c>
      <c r="R981" t="str">
        <f t="shared" si="49"/>
        <v xml:space="preserve">XX8X_PV_1638:    Front abuts stile:FALSE       Back abuts stile:TRUE          Panel Section: WHOLE           Stile in the back Width: 24           Cutout A: B-4354          Cutout B:      F.C.:4.5 in.         C.C.: in.   </v>
      </c>
      <c r="S981" t="str">
        <f t="shared" si="50"/>
        <v>FALSE</v>
      </c>
      <c r="T981" t="str">
        <f t="shared" si="51"/>
        <v>TRUE</v>
      </c>
    </row>
    <row r="982" spans="1:20">
      <c r="A982" t="s">
        <v>1142</v>
      </c>
      <c r="B982" s="14" t="s">
        <v>144</v>
      </c>
      <c r="C982" s="14" t="s">
        <v>21</v>
      </c>
      <c r="D982" s="14">
        <v>0</v>
      </c>
      <c r="E982" s="14"/>
      <c r="F982" s="14">
        <v>1</v>
      </c>
      <c r="G982" s="14">
        <v>0</v>
      </c>
      <c r="H982" s="14"/>
      <c r="I982" s="8" t="s">
        <v>38</v>
      </c>
      <c r="J982" s="8" t="s">
        <v>38</v>
      </c>
      <c r="K982">
        <v>101.875</v>
      </c>
      <c r="L982">
        <v>62.9375</v>
      </c>
      <c r="M982" s="14">
        <v>9</v>
      </c>
      <c r="N982" s="14" t="s">
        <v>38</v>
      </c>
      <c r="R982" t="str">
        <f t="shared" si="49"/>
        <v xml:space="preserve">XX8X_PV_1639:    Front abuts stile:FALSE       Back abuts stile:TRUE          Panel Section: WHOLE           Stile in the back Width:            Cutout A:           Cutout B:      F.C.:9 in.         C.C.: in.   </v>
      </c>
      <c r="S982" t="str">
        <f t="shared" si="50"/>
        <v>FALSE</v>
      </c>
      <c r="T982" t="str">
        <f t="shared" si="51"/>
        <v>TRUE</v>
      </c>
    </row>
    <row r="983" spans="1:20">
      <c r="A983" t="s">
        <v>1143</v>
      </c>
      <c r="B983" s="14" t="s">
        <v>144</v>
      </c>
      <c r="C983" s="14" t="s">
        <v>21</v>
      </c>
      <c r="D983" s="14">
        <v>0</v>
      </c>
      <c r="E983" s="14"/>
      <c r="F983" s="14">
        <v>1</v>
      </c>
      <c r="G983" s="14">
        <v>1</v>
      </c>
      <c r="H983" s="14"/>
      <c r="I983" s="8" t="s">
        <v>38</v>
      </c>
      <c r="J983" s="8" t="s">
        <v>38</v>
      </c>
      <c r="K983">
        <v>86.625</v>
      </c>
      <c r="L983">
        <v>17.8125</v>
      </c>
      <c r="M983" s="14">
        <v>12</v>
      </c>
      <c r="N983" s="14" t="s">
        <v>38</v>
      </c>
      <c r="R983" t="str">
        <f t="shared" si="49"/>
        <v xml:space="preserve">XX8X_PV_1640:    Front abuts stile:FALSE       Back abuts stile:TRUE          Panel Section: WHOLE           Stile in the back Width:            Cutout A:           Cutout B:      F.C.:12 in.         C.C.: in.   </v>
      </c>
      <c r="S983" t="str">
        <f t="shared" si="50"/>
        <v>FALSE</v>
      </c>
      <c r="T983" t="str">
        <f t="shared" si="51"/>
        <v>TRUE</v>
      </c>
    </row>
    <row r="984" spans="1:20">
      <c r="A984" t="s">
        <v>1144</v>
      </c>
      <c r="B984" s="14" t="s">
        <v>144</v>
      </c>
      <c r="C984" s="14" t="s">
        <v>21</v>
      </c>
      <c r="D984" s="14">
        <v>1</v>
      </c>
      <c r="E984" s="14">
        <v>0</v>
      </c>
      <c r="F984" s="14">
        <v>0</v>
      </c>
      <c r="G984" s="14"/>
      <c r="H984" s="14"/>
      <c r="I984" s="8" t="s">
        <v>119</v>
      </c>
      <c r="J984" s="8" t="s">
        <v>38</v>
      </c>
      <c r="K984">
        <v>96</v>
      </c>
      <c r="L984">
        <v>56.5</v>
      </c>
      <c r="M984" s="14">
        <v>10.875</v>
      </c>
      <c r="N984" s="14" t="s">
        <v>38</v>
      </c>
      <c r="R984" t="str">
        <f t="shared" si="49"/>
        <v xml:space="preserve">XX8X_PV_1641:    Front abuts stile:TRUE       Back abuts stile:FALSE          Panel Section: WHOLE           Stile in the back Width:            Cutout A: B-354          Cutout B:      F.C.:10.875 in.         C.C.: in.   </v>
      </c>
      <c r="S984" t="str">
        <f t="shared" si="50"/>
        <v>TRUE</v>
      </c>
      <c r="T984" t="str">
        <f t="shared" si="51"/>
        <v>FALSE</v>
      </c>
    </row>
    <row r="985" spans="1:20">
      <c r="A985" t="s">
        <v>1145</v>
      </c>
      <c r="B985" s="14" t="s">
        <v>144</v>
      </c>
      <c r="C985" s="14" t="s">
        <v>21</v>
      </c>
      <c r="D985" s="14">
        <v>1</v>
      </c>
      <c r="E985" s="14">
        <v>0</v>
      </c>
      <c r="F985" s="14">
        <v>1</v>
      </c>
      <c r="G985" s="14">
        <v>0</v>
      </c>
      <c r="H985" s="14">
        <v>12</v>
      </c>
      <c r="I985" s="8" t="s">
        <v>119</v>
      </c>
      <c r="J985" s="8" t="s">
        <v>38</v>
      </c>
      <c r="K985">
        <v>96</v>
      </c>
      <c r="L985">
        <v>70.5</v>
      </c>
      <c r="M985" s="14">
        <v>12</v>
      </c>
      <c r="N985" s="14">
        <v>2.375</v>
      </c>
      <c r="R985" t="str">
        <f t="shared" si="49"/>
        <v xml:space="preserve">XX8X_PV_1642:    Front abuts stile:TRUE       Back abuts stile:TRUE          Panel Section: WHOLE           Stile in the back Width: 12           Cutout A: B-354          Cutout B:      F.C.:12 in.         C.C.:2.375 in.   </v>
      </c>
      <c r="S985" t="str">
        <f t="shared" si="50"/>
        <v>TRUE</v>
      </c>
      <c r="T985" t="str">
        <f t="shared" si="51"/>
        <v>TRUE</v>
      </c>
    </row>
    <row r="986" spans="1:20">
      <c r="A986" t="s">
        <v>1146</v>
      </c>
      <c r="B986" s="14" t="s">
        <v>144</v>
      </c>
      <c r="C986" s="14" t="s">
        <v>21</v>
      </c>
      <c r="D986" s="14">
        <v>1</v>
      </c>
      <c r="E986" s="14">
        <v>0</v>
      </c>
      <c r="F986" s="14">
        <v>1</v>
      </c>
      <c r="G986" s="14">
        <v>0</v>
      </c>
      <c r="H986" s="14">
        <v>24</v>
      </c>
      <c r="I986" s="8" t="s">
        <v>38</v>
      </c>
      <c r="J986" s="8" t="s">
        <v>38</v>
      </c>
      <c r="K986">
        <v>78</v>
      </c>
      <c r="L986">
        <v>42.25</v>
      </c>
      <c r="M986" s="14">
        <v>12</v>
      </c>
      <c r="N986" s="14">
        <v>3.5</v>
      </c>
      <c r="R986" t="str">
        <f t="shared" si="49"/>
        <v xml:space="preserve">XX8X_PV_1643:    Front abuts stile:TRUE       Back abuts stile:TRUE          Panel Section: WHOLE           Stile in the back Width: 24           Cutout A:           Cutout B:      F.C.:12 in.         C.C.:3.5 in.   </v>
      </c>
      <c r="S986" t="str">
        <f t="shared" si="50"/>
        <v>TRUE</v>
      </c>
      <c r="T986" t="str">
        <f t="shared" si="51"/>
        <v>TRUE</v>
      </c>
    </row>
    <row r="987" spans="1:20">
      <c r="A987" t="s">
        <v>1147</v>
      </c>
      <c r="B987" s="14" t="s">
        <v>144</v>
      </c>
      <c r="C987" s="14" t="s">
        <v>21</v>
      </c>
      <c r="D987" s="14">
        <v>1</v>
      </c>
      <c r="E987" s="14">
        <v>0</v>
      </c>
      <c r="F987" s="14">
        <v>1</v>
      </c>
      <c r="G987" s="14">
        <v>0</v>
      </c>
      <c r="H987" s="14"/>
      <c r="I987" s="8" t="s">
        <v>38</v>
      </c>
      <c r="J987" s="8" t="s">
        <v>38</v>
      </c>
      <c r="K987">
        <v>96.25</v>
      </c>
      <c r="L987">
        <v>45.4375</v>
      </c>
      <c r="M987" s="14">
        <v>9</v>
      </c>
      <c r="N987" s="14">
        <v>1</v>
      </c>
      <c r="R987" t="str">
        <f t="shared" si="49"/>
        <v xml:space="preserve">XX8X_PV_1644:    Front abuts stile:TRUE       Back abuts stile:TRUE          Panel Section: WHOLE           Stile in the back Width:            Cutout A:           Cutout B:      F.C.:9 in.         C.C.:1 in.   </v>
      </c>
      <c r="S987" t="str">
        <f t="shared" si="50"/>
        <v>TRUE</v>
      </c>
      <c r="T987" t="str">
        <f t="shared" si="51"/>
        <v>TRUE</v>
      </c>
    </row>
    <row r="988" spans="1:20">
      <c r="A988" t="s">
        <v>1148</v>
      </c>
      <c r="B988" s="14" t="s">
        <v>144</v>
      </c>
      <c r="C988" s="14" t="s">
        <v>21</v>
      </c>
      <c r="D988" s="14">
        <v>1</v>
      </c>
      <c r="E988" s="14">
        <v>0</v>
      </c>
      <c r="F988" s="14">
        <v>1</v>
      </c>
      <c r="G988" s="14">
        <v>1</v>
      </c>
      <c r="H988" s="14"/>
      <c r="I988" s="8" t="s">
        <v>38</v>
      </c>
      <c r="J988" s="8" t="s">
        <v>38</v>
      </c>
      <c r="K988">
        <v>98.25</v>
      </c>
      <c r="L988">
        <v>50</v>
      </c>
      <c r="M988" s="14">
        <v>12</v>
      </c>
      <c r="N988" s="14" t="s">
        <v>38</v>
      </c>
      <c r="R988" t="str">
        <f t="shared" si="49"/>
        <v xml:space="preserve">XX8X_PV_1645:    Front abuts stile:TRUE       Back abuts stile:TRUE          Panel Section: WHOLE           Stile in the back Width:            Cutout A:           Cutout B:      F.C.:12 in.         C.C.: in.   </v>
      </c>
      <c r="S988" t="str">
        <f t="shared" si="50"/>
        <v>TRUE</v>
      </c>
      <c r="T988" t="str">
        <f t="shared" si="51"/>
        <v>TRUE</v>
      </c>
    </row>
    <row r="989" spans="1:20">
      <c r="A989" t="s">
        <v>1149</v>
      </c>
      <c r="B989" s="14" t="s">
        <v>144</v>
      </c>
      <c r="C989" s="14" t="s">
        <v>21</v>
      </c>
      <c r="D989" s="14">
        <v>1</v>
      </c>
      <c r="E989" s="14">
        <v>1</v>
      </c>
      <c r="F989" s="14">
        <v>0</v>
      </c>
      <c r="G989" s="14"/>
      <c r="H989" s="14"/>
      <c r="I989" s="8" t="s">
        <v>120</v>
      </c>
      <c r="J989" s="8" t="s">
        <v>38</v>
      </c>
      <c r="K989">
        <v>105.1875</v>
      </c>
      <c r="L989">
        <v>67.4375</v>
      </c>
      <c r="M989" s="14">
        <v>9</v>
      </c>
      <c r="N989" s="14">
        <v>1</v>
      </c>
      <c r="R989" t="str">
        <f t="shared" si="49"/>
        <v xml:space="preserve">XX8X_PV_1646:    Front abuts stile:TRUE       Back abuts stile:FALSE          Panel Section: WHOLE           Stile in the back Width:            Cutout A: B-386          Cutout B:      F.C.:9 in.         C.C.:1 in.   </v>
      </c>
      <c r="S989" t="str">
        <f t="shared" si="50"/>
        <v>TRUE</v>
      </c>
      <c r="T989" t="str">
        <f t="shared" si="51"/>
        <v>FALSE</v>
      </c>
    </row>
    <row r="990" spans="1:20">
      <c r="A990" t="s">
        <v>1150</v>
      </c>
      <c r="B990" s="14" t="s">
        <v>144</v>
      </c>
      <c r="C990" s="14" t="s">
        <v>21</v>
      </c>
      <c r="D990" s="14">
        <v>1</v>
      </c>
      <c r="E990" s="14">
        <v>1</v>
      </c>
      <c r="F990" s="14">
        <v>1</v>
      </c>
      <c r="G990" s="14">
        <v>0</v>
      </c>
      <c r="H990" s="14">
        <v>12</v>
      </c>
      <c r="I990" s="8" t="s">
        <v>151</v>
      </c>
      <c r="J990" s="8" t="s">
        <v>38</v>
      </c>
      <c r="K990">
        <v>55.375</v>
      </c>
      <c r="L990">
        <v>73.25</v>
      </c>
      <c r="M990" s="14">
        <v>5.25</v>
      </c>
      <c r="N990" s="14" t="s">
        <v>38</v>
      </c>
      <c r="R990" t="str">
        <f t="shared" si="49"/>
        <v xml:space="preserve">XX8X_PV_1647:    Front abuts stile:TRUE       Back abuts stile:TRUE          Panel Section: WHOLE           Stile in the back Width: 12           Cutout A: B-35715          Cutout B:      F.C.:5.25 in.         C.C.: in.   </v>
      </c>
      <c r="S990" t="str">
        <f t="shared" si="50"/>
        <v>TRUE</v>
      </c>
      <c r="T990" t="str">
        <f t="shared" si="51"/>
        <v>TRUE</v>
      </c>
    </row>
    <row r="991" spans="1:20">
      <c r="A991" t="s">
        <v>1151</v>
      </c>
      <c r="B991" s="14" t="s">
        <v>144</v>
      </c>
      <c r="C991" s="14" t="s">
        <v>21</v>
      </c>
      <c r="D991" s="14">
        <v>1</v>
      </c>
      <c r="E991" s="14">
        <v>1</v>
      </c>
      <c r="F991" s="14">
        <v>1</v>
      </c>
      <c r="G991" s="14">
        <v>0</v>
      </c>
      <c r="H991" s="14">
        <v>24</v>
      </c>
      <c r="I991" s="8" t="s">
        <v>120</v>
      </c>
      <c r="J991" s="8" t="s">
        <v>38</v>
      </c>
      <c r="K991">
        <v>65.125</v>
      </c>
      <c r="L991">
        <v>66.4375</v>
      </c>
      <c r="M991" s="14">
        <v>4.5</v>
      </c>
      <c r="N991" s="14">
        <v>1</v>
      </c>
      <c r="R991" t="str">
        <f t="shared" si="49"/>
        <v xml:space="preserve">XX8X_PV_1648:    Front abuts stile:TRUE       Back abuts stile:TRUE          Panel Section: WHOLE           Stile in the back Width: 24           Cutout A: B-386          Cutout B:      F.C.:4.5 in.         C.C.:1 in.   </v>
      </c>
      <c r="S991" t="str">
        <f t="shared" si="50"/>
        <v>TRUE</v>
      </c>
      <c r="T991" t="str">
        <f t="shared" si="51"/>
        <v>TRUE</v>
      </c>
    </row>
    <row r="992" spans="1:20">
      <c r="A992" t="s">
        <v>1152</v>
      </c>
      <c r="B992" s="14" t="s">
        <v>144</v>
      </c>
      <c r="C992" s="14" t="s">
        <v>21</v>
      </c>
      <c r="D992" s="14">
        <v>1</v>
      </c>
      <c r="E992" s="14">
        <v>1</v>
      </c>
      <c r="F992" s="14">
        <v>1</v>
      </c>
      <c r="G992" s="14">
        <v>0</v>
      </c>
      <c r="H992" s="14"/>
      <c r="I992" s="8" t="s">
        <v>38</v>
      </c>
      <c r="J992" s="8" t="s">
        <v>38</v>
      </c>
      <c r="K992">
        <v>81.6875</v>
      </c>
      <c r="L992">
        <v>61.25</v>
      </c>
      <c r="M992" s="14">
        <v>1</v>
      </c>
      <c r="N992" s="14">
        <v>3.25</v>
      </c>
      <c r="R992" t="str">
        <f t="shared" si="49"/>
        <v xml:space="preserve">XX8X_PV_1649:    Front abuts stile:TRUE       Back abuts stile:TRUE          Panel Section: WHOLE           Stile in the back Width:            Cutout A:           Cutout B:      F.C.:1 in.         C.C.:3.25 in.   </v>
      </c>
      <c r="S992" t="str">
        <f t="shared" si="50"/>
        <v>TRUE</v>
      </c>
      <c r="T992" t="str">
        <f t="shared" si="51"/>
        <v>TRUE</v>
      </c>
    </row>
    <row r="993" spans="1:20" ht="15" thickBot="1">
      <c r="A993" t="s">
        <v>1153</v>
      </c>
      <c r="B993" s="14" t="s">
        <v>144</v>
      </c>
      <c r="C993" s="50" t="s">
        <v>21</v>
      </c>
      <c r="D993" s="50">
        <v>1</v>
      </c>
      <c r="E993" s="50">
        <v>1</v>
      </c>
      <c r="F993" s="50">
        <v>1</v>
      </c>
      <c r="G993" s="50">
        <v>1</v>
      </c>
      <c r="H993" s="50"/>
      <c r="I993" s="51" t="s">
        <v>38</v>
      </c>
      <c r="J993" s="51" t="s">
        <v>38</v>
      </c>
      <c r="K993" s="49">
        <v>79.3125</v>
      </c>
      <c r="L993" s="49">
        <v>48.125</v>
      </c>
      <c r="M993" s="50">
        <v>9</v>
      </c>
      <c r="N993" s="14">
        <v>1</v>
      </c>
      <c r="R993" t="str">
        <f t="shared" si="49"/>
        <v xml:space="preserve">XX8X_PV_1650:    Front abuts stile:TRUE       Back abuts stile:TRUE          Panel Section: WHOLE           Stile in the back Width:            Cutout A:           Cutout B:      F.C.:9 in.         C.C.:1 in.   </v>
      </c>
      <c r="S993" t="str">
        <f t="shared" si="50"/>
        <v>TRUE</v>
      </c>
      <c r="T993" t="str">
        <f t="shared" si="51"/>
        <v>TRUE</v>
      </c>
    </row>
    <row r="994" spans="1:20" ht="15" thickTop="1">
      <c r="A994" t="s">
        <v>1154</v>
      </c>
      <c r="B994" s="14" t="s">
        <v>144</v>
      </c>
      <c r="C994" s="14" t="s">
        <v>156</v>
      </c>
      <c r="D994" s="19">
        <v>0</v>
      </c>
      <c r="E994" s="19"/>
      <c r="F994" s="19">
        <v>0</v>
      </c>
      <c r="G994" s="19"/>
      <c r="H994" s="14"/>
      <c r="I994" s="8" t="s">
        <v>151</v>
      </c>
      <c r="J994" s="8" t="s">
        <v>38</v>
      </c>
      <c r="K994">
        <v>25.4375</v>
      </c>
      <c r="L994">
        <v>52.6875</v>
      </c>
      <c r="M994" s="14">
        <v>8.8125</v>
      </c>
      <c r="N994" s="14" t="s">
        <v>38</v>
      </c>
      <c r="R994" t="str">
        <f t="shared" si="49"/>
        <v xml:space="preserve">XX8X_PV_1651:    Front abuts stile:FALSE       Back abuts stile:FALSE          Panel Section: TOP           Stile in the back Width:            Cutout A: B-35715          Cutout B:      F.C.:8.8125 in.         C.C.: in.   </v>
      </c>
      <c r="S994" t="str">
        <f t="shared" si="50"/>
        <v>FALSE</v>
      </c>
      <c r="T994" t="str">
        <f t="shared" si="51"/>
        <v>FALSE</v>
      </c>
    </row>
    <row r="995" spans="1:20">
      <c r="A995" t="s">
        <v>1155</v>
      </c>
      <c r="B995" s="14" t="s">
        <v>144</v>
      </c>
      <c r="C995" s="14" t="s">
        <v>156</v>
      </c>
      <c r="D995" s="14">
        <v>0</v>
      </c>
      <c r="E995" s="14"/>
      <c r="F995" s="14">
        <v>1</v>
      </c>
      <c r="G995" s="14">
        <v>0</v>
      </c>
      <c r="H995" s="14">
        <v>12</v>
      </c>
      <c r="I995" s="8" t="s">
        <v>120</v>
      </c>
      <c r="J995" s="8" t="s">
        <v>38</v>
      </c>
      <c r="K995">
        <v>28.6875</v>
      </c>
      <c r="L995">
        <v>53</v>
      </c>
      <c r="M995" s="14">
        <v>12</v>
      </c>
      <c r="N995" s="14">
        <v>1</v>
      </c>
      <c r="R995" t="str">
        <f t="shared" si="49"/>
        <v xml:space="preserve">XX8X_PV_1652:    Front abuts stile:FALSE       Back abuts stile:TRUE          Panel Section: TOP           Stile in the back Width: 12           Cutout A: B-386          Cutout B:      F.C.:12 in.         C.C.:1 in.   </v>
      </c>
      <c r="S995" t="str">
        <f t="shared" si="50"/>
        <v>FALSE</v>
      </c>
      <c r="T995" t="str">
        <f t="shared" si="51"/>
        <v>TRUE</v>
      </c>
    </row>
    <row r="996" spans="1:20">
      <c r="A996" t="s">
        <v>1156</v>
      </c>
      <c r="B996" s="14" t="s">
        <v>144</v>
      </c>
      <c r="C996" s="14" t="s">
        <v>156</v>
      </c>
      <c r="D996" s="14">
        <v>0</v>
      </c>
      <c r="E996" s="14"/>
      <c r="F996" s="14">
        <v>1</v>
      </c>
      <c r="G996" s="14">
        <v>0</v>
      </c>
      <c r="H996" s="14">
        <v>24</v>
      </c>
      <c r="I996" s="8" t="s">
        <v>35</v>
      </c>
      <c r="J996" s="8" t="s">
        <v>38</v>
      </c>
      <c r="K996">
        <v>13.75</v>
      </c>
      <c r="L996">
        <v>75.1875</v>
      </c>
      <c r="M996" s="14">
        <v>4.5</v>
      </c>
      <c r="N996" s="14" t="s">
        <v>38</v>
      </c>
      <c r="R996" t="str">
        <f t="shared" si="49"/>
        <v xml:space="preserve">XX8X_PV_1653:    Front abuts stile:FALSE       Back abuts stile:TRUE          Panel Section: TOP           Stile in the back Width: 24           Cutout A: B-357          Cutout B:      F.C.:4.5 in.         C.C.: in.   </v>
      </c>
      <c r="S996" t="str">
        <f t="shared" si="50"/>
        <v>FALSE</v>
      </c>
      <c r="T996" t="str">
        <f t="shared" si="51"/>
        <v>TRUE</v>
      </c>
    </row>
    <row r="997" spans="1:20">
      <c r="A997" t="s">
        <v>1157</v>
      </c>
      <c r="B997" s="14" t="s">
        <v>144</v>
      </c>
      <c r="C997" s="14" t="s">
        <v>156</v>
      </c>
      <c r="D997" s="14">
        <v>0</v>
      </c>
      <c r="E997" s="14"/>
      <c r="F997" s="14">
        <v>1</v>
      </c>
      <c r="G997" s="14">
        <v>0</v>
      </c>
      <c r="H997" s="14"/>
      <c r="I997" s="8" t="s">
        <v>38</v>
      </c>
      <c r="J997" s="8" t="s">
        <v>38</v>
      </c>
      <c r="K997">
        <v>48.6875</v>
      </c>
      <c r="L997">
        <v>57.5625</v>
      </c>
      <c r="M997" s="14">
        <v>4.5</v>
      </c>
      <c r="N997" s="14">
        <v>1</v>
      </c>
      <c r="R997" t="str">
        <f t="shared" si="49"/>
        <v xml:space="preserve">XX8X_PV_1654:    Front abuts stile:FALSE       Back abuts stile:TRUE          Panel Section: TOP           Stile in the back Width:            Cutout A:           Cutout B:      F.C.:4.5 in.         C.C.:1 in.   </v>
      </c>
      <c r="S997" t="str">
        <f t="shared" si="50"/>
        <v>FALSE</v>
      </c>
      <c r="T997" t="str">
        <f t="shared" si="51"/>
        <v>TRUE</v>
      </c>
    </row>
    <row r="998" spans="1:20">
      <c r="A998" t="s">
        <v>1158</v>
      </c>
      <c r="B998" s="14" t="s">
        <v>144</v>
      </c>
      <c r="C998" s="14" t="s">
        <v>156</v>
      </c>
      <c r="D998" s="14">
        <v>0</v>
      </c>
      <c r="E998" s="14"/>
      <c r="F998" s="14">
        <v>1</v>
      </c>
      <c r="G998" s="14">
        <v>1</v>
      </c>
      <c r="H998" s="14"/>
      <c r="I998" s="8" t="s">
        <v>38</v>
      </c>
      <c r="J998" s="8" t="s">
        <v>38</v>
      </c>
      <c r="K998">
        <v>17.3125</v>
      </c>
      <c r="L998">
        <v>40.3125</v>
      </c>
      <c r="M998" s="14">
        <v>1</v>
      </c>
      <c r="N998" s="14">
        <v>1</v>
      </c>
      <c r="R998" t="str">
        <f t="shared" si="49"/>
        <v xml:space="preserve">XX8X_PV_1655:    Front abuts stile:FALSE       Back abuts stile:TRUE          Panel Section: TOP           Stile in the back Width:            Cutout A:           Cutout B:      F.C.:1 in.         C.C.:1 in.   </v>
      </c>
      <c r="S998" t="str">
        <f t="shared" si="50"/>
        <v>FALSE</v>
      </c>
      <c r="T998" t="str">
        <f t="shared" si="51"/>
        <v>TRUE</v>
      </c>
    </row>
    <row r="999" spans="1:20">
      <c r="A999" t="s">
        <v>1159</v>
      </c>
      <c r="B999" s="14" t="s">
        <v>144</v>
      </c>
      <c r="C999" s="14" t="s">
        <v>156</v>
      </c>
      <c r="D999" s="14">
        <v>1</v>
      </c>
      <c r="E999" s="14">
        <v>0</v>
      </c>
      <c r="F999" s="14">
        <v>0</v>
      </c>
      <c r="G999" s="14"/>
      <c r="H999" s="14"/>
      <c r="I999" s="8" t="s">
        <v>151</v>
      </c>
      <c r="J999" s="8" t="s">
        <v>38</v>
      </c>
      <c r="K999">
        <v>47.9375</v>
      </c>
      <c r="L999">
        <v>49</v>
      </c>
      <c r="M999" s="14">
        <v>1</v>
      </c>
      <c r="N999" s="14">
        <v>1</v>
      </c>
      <c r="R999" t="str">
        <f t="shared" si="49"/>
        <v xml:space="preserve">XX8X_PV_1656:    Front abuts stile:TRUE       Back abuts stile:FALSE          Panel Section: TOP           Stile in the back Width:            Cutout A: B-35715          Cutout B:      F.C.:1 in.         C.C.:1 in.   </v>
      </c>
      <c r="S999" t="str">
        <f t="shared" si="50"/>
        <v>TRUE</v>
      </c>
      <c r="T999" t="str">
        <f t="shared" si="51"/>
        <v>FALSE</v>
      </c>
    </row>
    <row r="1000" spans="1:20">
      <c r="A1000" t="s">
        <v>1160</v>
      </c>
      <c r="B1000" s="14" t="s">
        <v>144</v>
      </c>
      <c r="C1000" s="14" t="s">
        <v>156</v>
      </c>
      <c r="D1000" s="14">
        <v>1</v>
      </c>
      <c r="E1000" s="14">
        <v>0</v>
      </c>
      <c r="F1000" s="14">
        <v>1</v>
      </c>
      <c r="G1000" s="14">
        <v>0</v>
      </c>
      <c r="H1000" s="14">
        <v>12</v>
      </c>
      <c r="I1000" s="8" t="s">
        <v>119</v>
      </c>
      <c r="J1000" s="8" t="s">
        <v>38</v>
      </c>
      <c r="K1000">
        <v>14.875</v>
      </c>
      <c r="L1000">
        <v>40.75</v>
      </c>
      <c r="M1000" s="14">
        <v>1.4375</v>
      </c>
      <c r="N1000" s="14">
        <v>1</v>
      </c>
      <c r="R1000" t="str">
        <f t="shared" si="49"/>
        <v xml:space="preserve">XX8X_PV_1657:    Front abuts stile:TRUE       Back abuts stile:TRUE          Panel Section: TOP           Stile in the back Width: 12           Cutout A: B-354          Cutout B:      F.C.:1.4375 in.         C.C.:1 in.   </v>
      </c>
      <c r="S1000" t="str">
        <f t="shared" si="50"/>
        <v>TRUE</v>
      </c>
      <c r="T1000" t="str">
        <f t="shared" si="51"/>
        <v>TRUE</v>
      </c>
    </row>
    <row r="1001" spans="1:20">
      <c r="A1001" t="s">
        <v>1161</v>
      </c>
      <c r="B1001" s="14" t="s">
        <v>144</v>
      </c>
      <c r="C1001" s="14" t="s">
        <v>156</v>
      </c>
      <c r="D1001" s="14">
        <v>1</v>
      </c>
      <c r="E1001" s="14">
        <v>0</v>
      </c>
      <c r="F1001" s="14">
        <v>1</v>
      </c>
      <c r="G1001" s="14">
        <v>0</v>
      </c>
      <c r="H1001" s="14">
        <v>24</v>
      </c>
      <c r="I1001" s="8" t="s">
        <v>120</v>
      </c>
      <c r="J1001" s="8" t="s">
        <v>38</v>
      </c>
      <c r="K1001">
        <v>24.1875</v>
      </c>
      <c r="L1001">
        <v>69.375</v>
      </c>
      <c r="M1001" s="14">
        <v>1</v>
      </c>
      <c r="N1001" s="14">
        <v>4.0625</v>
      </c>
      <c r="R1001" t="str">
        <f t="shared" si="49"/>
        <v xml:space="preserve">XX8X_PV_1658:    Front abuts stile:TRUE       Back abuts stile:TRUE          Panel Section: TOP           Stile in the back Width: 24           Cutout A: B-386          Cutout B:      F.C.:1 in.         C.C.:4.0625 in.   </v>
      </c>
      <c r="S1001" t="str">
        <f t="shared" si="50"/>
        <v>TRUE</v>
      </c>
      <c r="T1001" t="str">
        <f t="shared" si="51"/>
        <v>TRUE</v>
      </c>
    </row>
    <row r="1002" spans="1:20">
      <c r="A1002" t="s">
        <v>1162</v>
      </c>
      <c r="B1002" s="14" t="s">
        <v>144</v>
      </c>
      <c r="C1002" s="14" t="s">
        <v>156</v>
      </c>
      <c r="D1002" s="14">
        <v>1</v>
      </c>
      <c r="E1002" s="14">
        <v>0</v>
      </c>
      <c r="F1002" s="14">
        <v>1</v>
      </c>
      <c r="G1002" s="14">
        <v>0</v>
      </c>
      <c r="H1002" s="14"/>
      <c r="I1002" s="8" t="s">
        <v>38</v>
      </c>
      <c r="J1002" s="8" t="s">
        <v>38</v>
      </c>
      <c r="K1002">
        <v>42.875</v>
      </c>
      <c r="L1002">
        <v>76.5625</v>
      </c>
      <c r="M1002" s="14">
        <v>1</v>
      </c>
      <c r="N1002" s="14" t="s">
        <v>38</v>
      </c>
      <c r="R1002" t="str">
        <f t="shared" si="49"/>
        <v xml:space="preserve">XX8X_PV_1659:    Front abuts stile:TRUE       Back abuts stile:TRUE          Panel Section: TOP           Stile in the back Width:            Cutout A:           Cutout B:      F.C.:1 in.         C.C.: in.   </v>
      </c>
      <c r="S1002" t="str">
        <f t="shared" si="50"/>
        <v>TRUE</v>
      </c>
      <c r="T1002" t="str">
        <f t="shared" si="51"/>
        <v>TRUE</v>
      </c>
    </row>
    <row r="1003" spans="1:20">
      <c r="A1003" t="s">
        <v>1163</v>
      </c>
      <c r="B1003" s="14" t="s">
        <v>144</v>
      </c>
      <c r="C1003" s="14" t="s">
        <v>156</v>
      </c>
      <c r="D1003" s="14">
        <v>1</v>
      </c>
      <c r="E1003" s="14">
        <v>0</v>
      </c>
      <c r="F1003" s="14">
        <v>1</v>
      </c>
      <c r="G1003" s="14">
        <v>1</v>
      </c>
      <c r="H1003" s="14"/>
      <c r="I1003" s="8" t="s">
        <v>38</v>
      </c>
      <c r="J1003" s="8" t="s">
        <v>38</v>
      </c>
      <c r="K1003">
        <v>11.0625</v>
      </c>
      <c r="L1003">
        <v>63.4375</v>
      </c>
      <c r="M1003" s="14">
        <v>9</v>
      </c>
      <c r="N1003" s="14">
        <v>4.875</v>
      </c>
      <c r="R1003" t="str">
        <f t="shared" si="49"/>
        <v xml:space="preserve">XX8X_PV_1660:    Front abuts stile:TRUE       Back abuts stile:TRUE          Panel Section: TOP           Stile in the back Width:            Cutout A:           Cutout B:      F.C.:9 in.         C.C.:4.875 in.   </v>
      </c>
      <c r="S1003" t="str">
        <f t="shared" si="50"/>
        <v>TRUE</v>
      </c>
      <c r="T1003" t="str">
        <f t="shared" si="51"/>
        <v>TRUE</v>
      </c>
    </row>
    <row r="1004" spans="1:20">
      <c r="A1004" t="s">
        <v>1164</v>
      </c>
      <c r="B1004" s="14" t="s">
        <v>144</v>
      </c>
      <c r="C1004" s="14" t="s">
        <v>156</v>
      </c>
      <c r="D1004" s="14">
        <v>1</v>
      </c>
      <c r="E1004" s="14">
        <v>1</v>
      </c>
      <c r="F1004" s="14">
        <v>0</v>
      </c>
      <c r="G1004" s="14"/>
      <c r="H1004" s="14"/>
      <c r="I1004" s="8" t="s">
        <v>145</v>
      </c>
      <c r="J1004" s="8" t="s">
        <v>38</v>
      </c>
      <c r="K1004">
        <v>31.9375</v>
      </c>
      <c r="L1004">
        <v>73.6875</v>
      </c>
      <c r="M1004" s="14">
        <v>12</v>
      </c>
      <c r="N1004" s="14">
        <v>5.875</v>
      </c>
      <c r="R1004" t="str">
        <f t="shared" si="49"/>
        <v xml:space="preserve">XX8X_PV_1661:    Front abuts stile:TRUE       Back abuts stile:FALSE          Panel Section: TOP           Stile in the back Width:            Cutout A: B-347          Cutout B:      F.C.:12 in.         C.C.:5.875 in.   </v>
      </c>
      <c r="S1004" t="str">
        <f t="shared" si="50"/>
        <v>TRUE</v>
      </c>
      <c r="T1004" t="str">
        <f t="shared" si="51"/>
        <v>FALSE</v>
      </c>
    </row>
    <row r="1005" spans="1:20">
      <c r="A1005" t="s">
        <v>1165</v>
      </c>
      <c r="B1005" s="14" t="s">
        <v>144</v>
      </c>
      <c r="C1005" s="14" t="s">
        <v>156</v>
      </c>
      <c r="D1005" s="14">
        <v>1</v>
      </c>
      <c r="E1005" s="14">
        <v>1</v>
      </c>
      <c r="F1005" s="14">
        <v>1</v>
      </c>
      <c r="G1005" s="14">
        <v>0</v>
      </c>
      <c r="H1005" s="14">
        <v>12</v>
      </c>
      <c r="I1005" s="8" t="s">
        <v>38</v>
      </c>
      <c r="J1005" s="8" t="s">
        <v>38</v>
      </c>
      <c r="K1005">
        <v>18.0625</v>
      </c>
      <c r="L1005">
        <v>67.5625</v>
      </c>
      <c r="M1005" s="14">
        <v>1.1875</v>
      </c>
      <c r="N1005" s="14" t="s">
        <v>38</v>
      </c>
      <c r="R1005" t="str">
        <f t="shared" si="49"/>
        <v xml:space="preserve">XX8X_PV_1662:    Front abuts stile:TRUE       Back abuts stile:TRUE          Panel Section: TOP           Stile in the back Width: 12           Cutout A:           Cutout B:      F.C.:1.1875 in.         C.C.: in.   </v>
      </c>
      <c r="S1005" t="str">
        <f t="shared" si="50"/>
        <v>TRUE</v>
      </c>
      <c r="T1005" t="str">
        <f t="shared" si="51"/>
        <v>TRUE</v>
      </c>
    </row>
    <row r="1006" spans="1:20">
      <c r="A1006" t="s">
        <v>1166</v>
      </c>
      <c r="B1006" s="14" t="s">
        <v>144</v>
      </c>
      <c r="C1006" s="14" t="s">
        <v>156</v>
      </c>
      <c r="D1006" s="14">
        <v>1</v>
      </c>
      <c r="E1006" s="14">
        <v>1</v>
      </c>
      <c r="F1006" s="14">
        <v>1</v>
      </c>
      <c r="G1006" s="14">
        <v>0</v>
      </c>
      <c r="H1006" s="14">
        <v>24</v>
      </c>
      <c r="I1006" s="8" t="s">
        <v>38</v>
      </c>
      <c r="J1006" s="8" t="s">
        <v>38</v>
      </c>
      <c r="K1006">
        <v>12.5625</v>
      </c>
      <c r="L1006">
        <v>37.9375</v>
      </c>
      <c r="M1006" s="14">
        <v>4.875</v>
      </c>
      <c r="N1006" s="14">
        <v>1</v>
      </c>
      <c r="R1006" t="str">
        <f t="shared" si="49"/>
        <v xml:space="preserve">XX8X_PV_1663:    Front abuts stile:TRUE       Back abuts stile:TRUE          Panel Section: TOP           Stile in the back Width: 24           Cutout A:           Cutout B:      F.C.:4.875 in.         C.C.:1 in.   </v>
      </c>
      <c r="S1006" t="str">
        <f t="shared" si="50"/>
        <v>TRUE</v>
      </c>
      <c r="T1006" t="str">
        <f t="shared" si="51"/>
        <v>TRUE</v>
      </c>
    </row>
    <row r="1007" spans="1:20">
      <c r="A1007" t="s">
        <v>1167</v>
      </c>
      <c r="B1007" s="14" t="s">
        <v>144</v>
      </c>
      <c r="C1007" s="14" t="s">
        <v>156</v>
      </c>
      <c r="D1007" s="14">
        <v>1</v>
      </c>
      <c r="E1007" s="14">
        <v>1</v>
      </c>
      <c r="F1007" s="14">
        <v>1</v>
      </c>
      <c r="G1007" s="14">
        <v>0</v>
      </c>
      <c r="H1007" s="14"/>
      <c r="I1007" s="8" t="s">
        <v>38</v>
      </c>
      <c r="J1007" s="8" t="s">
        <v>38</v>
      </c>
      <c r="K1007">
        <v>17.1875</v>
      </c>
      <c r="L1007">
        <v>53.5625</v>
      </c>
      <c r="M1007" s="14">
        <v>4.5</v>
      </c>
      <c r="N1007" s="14">
        <v>1.75</v>
      </c>
      <c r="R1007" t="str">
        <f t="shared" si="49"/>
        <v xml:space="preserve">XX8X_PV_1664:    Front abuts stile:TRUE       Back abuts stile:TRUE          Panel Section: TOP           Stile in the back Width:            Cutout A:           Cutout B:      F.C.:4.5 in.         C.C.:1.75 in.   </v>
      </c>
      <c r="S1007" t="str">
        <f t="shared" si="50"/>
        <v>TRUE</v>
      </c>
      <c r="T1007" t="str">
        <f t="shared" si="51"/>
        <v>TRUE</v>
      </c>
    </row>
    <row r="1008" spans="1:20">
      <c r="A1008" t="s">
        <v>1168</v>
      </c>
      <c r="B1008" s="14" t="s">
        <v>144</v>
      </c>
      <c r="C1008" s="14" t="s">
        <v>156</v>
      </c>
      <c r="D1008" s="14">
        <v>1</v>
      </c>
      <c r="E1008" s="14">
        <v>1</v>
      </c>
      <c r="F1008" s="14">
        <v>1</v>
      </c>
      <c r="G1008" s="14">
        <v>1</v>
      </c>
      <c r="H1008" s="14"/>
      <c r="I1008" s="8" t="s">
        <v>38</v>
      </c>
      <c r="J1008" s="8" t="s">
        <v>38</v>
      </c>
      <c r="K1008">
        <v>8.8125</v>
      </c>
      <c r="L1008">
        <v>52.8125</v>
      </c>
      <c r="M1008" s="14">
        <v>4.4375</v>
      </c>
      <c r="N1008" s="14">
        <v>5.5</v>
      </c>
      <c r="R1008" t="str">
        <f t="shared" si="49"/>
        <v xml:space="preserve">XX8X_PV_1665:    Front abuts stile:TRUE       Back abuts stile:TRUE          Panel Section: TOP           Stile in the back Width:            Cutout A:           Cutout B:      F.C.:4.4375 in.         C.C.:5.5 in.   </v>
      </c>
      <c r="S1008" t="str">
        <f t="shared" si="50"/>
        <v>TRUE</v>
      </c>
      <c r="T1008" t="str">
        <f t="shared" si="51"/>
        <v>TRUE</v>
      </c>
    </row>
    <row r="1009" spans="1:20">
      <c r="A1009" t="s">
        <v>1169</v>
      </c>
      <c r="B1009" s="14" t="s">
        <v>144</v>
      </c>
      <c r="C1009" s="14" t="s">
        <v>157</v>
      </c>
      <c r="D1009" s="14">
        <v>0</v>
      </c>
      <c r="E1009" s="14"/>
      <c r="F1009" s="14">
        <v>0</v>
      </c>
      <c r="G1009" s="14"/>
      <c r="H1009" s="14"/>
      <c r="I1009" s="8" t="s">
        <v>148</v>
      </c>
      <c r="J1009" s="8" t="s">
        <v>38</v>
      </c>
      <c r="K1009">
        <v>60</v>
      </c>
      <c r="L1009">
        <v>60.6875</v>
      </c>
      <c r="M1009" s="14">
        <v>1</v>
      </c>
      <c r="N1009" s="14">
        <v>5.3125</v>
      </c>
      <c r="R1009" t="str">
        <f t="shared" si="49"/>
        <v xml:space="preserve">XX8X_PV_1666:    Front abuts stile:FALSE       Back abuts stile:FALSE          Panel Section: BOTTOM           Stile in the back Width:            Cutout A: B-3471          Cutout B:      F.C.:1 in.         C.C.:5.3125 in.   </v>
      </c>
      <c r="S1009" t="str">
        <f t="shared" si="50"/>
        <v>FALSE</v>
      </c>
      <c r="T1009" t="str">
        <f t="shared" si="51"/>
        <v>FALSE</v>
      </c>
    </row>
    <row r="1010" spans="1:20">
      <c r="A1010" t="s">
        <v>1170</v>
      </c>
      <c r="B1010" s="14" t="s">
        <v>144</v>
      </c>
      <c r="C1010" s="14" t="s">
        <v>157</v>
      </c>
      <c r="D1010" s="14">
        <v>0</v>
      </c>
      <c r="E1010" s="14"/>
      <c r="F1010" s="14">
        <v>1</v>
      </c>
      <c r="G1010" s="14">
        <v>0</v>
      </c>
      <c r="H1010" s="14">
        <v>12</v>
      </c>
      <c r="I1010" s="8" t="s">
        <v>35</v>
      </c>
      <c r="J1010" s="8" t="s">
        <v>38</v>
      </c>
      <c r="K1010">
        <v>60</v>
      </c>
      <c r="L1010">
        <v>54.3125</v>
      </c>
      <c r="M1010" s="14">
        <v>9</v>
      </c>
      <c r="N1010" s="14">
        <v>1</v>
      </c>
      <c r="R1010" t="str">
        <f t="shared" si="49"/>
        <v xml:space="preserve">XX8X_PV_1667:    Front abuts stile:FALSE       Back abuts stile:TRUE          Panel Section: BOTTOM           Stile in the back Width: 12           Cutout A: B-357          Cutout B:      F.C.:9 in.         C.C.:1 in.   </v>
      </c>
      <c r="S1010" t="str">
        <f t="shared" si="50"/>
        <v>FALSE</v>
      </c>
      <c r="T1010" t="str">
        <f t="shared" si="51"/>
        <v>TRUE</v>
      </c>
    </row>
    <row r="1011" spans="1:20">
      <c r="A1011" t="s">
        <v>1171</v>
      </c>
      <c r="B1011" s="14" t="s">
        <v>144</v>
      </c>
      <c r="C1011" s="14" t="s">
        <v>157</v>
      </c>
      <c r="D1011" s="14">
        <v>0</v>
      </c>
      <c r="E1011" s="14"/>
      <c r="F1011" s="14">
        <v>1</v>
      </c>
      <c r="G1011" s="14">
        <v>0</v>
      </c>
      <c r="H1011" s="14">
        <v>24</v>
      </c>
      <c r="I1011" s="8" t="s">
        <v>35</v>
      </c>
      <c r="J1011" s="8" t="s">
        <v>38</v>
      </c>
      <c r="K1011">
        <v>60</v>
      </c>
      <c r="L1011">
        <v>67.625</v>
      </c>
      <c r="M1011" s="14">
        <v>12</v>
      </c>
      <c r="N1011" s="14">
        <v>1</v>
      </c>
      <c r="R1011" t="str">
        <f t="shared" si="49"/>
        <v xml:space="preserve">XX8X_PV_1668:    Front abuts stile:FALSE       Back abuts stile:TRUE          Panel Section: BOTTOM           Stile in the back Width: 24           Cutout A: B-357          Cutout B:      F.C.:12 in.         C.C.:1 in.   </v>
      </c>
      <c r="S1011" t="str">
        <f t="shared" si="50"/>
        <v>FALSE</v>
      </c>
      <c r="T1011" t="str">
        <f t="shared" si="51"/>
        <v>TRUE</v>
      </c>
    </row>
    <row r="1012" spans="1:20">
      <c r="A1012" t="s">
        <v>1172</v>
      </c>
      <c r="B1012" s="14" t="s">
        <v>144</v>
      </c>
      <c r="C1012" s="14" t="s">
        <v>157</v>
      </c>
      <c r="D1012" s="14">
        <v>0</v>
      </c>
      <c r="E1012" s="14"/>
      <c r="F1012" s="14">
        <v>1</v>
      </c>
      <c r="G1012" s="14">
        <v>0</v>
      </c>
      <c r="H1012" s="14"/>
      <c r="I1012" s="8" t="s">
        <v>38</v>
      </c>
      <c r="J1012" s="8" t="s">
        <v>38</v>
      </c>
      <c r="K1012">
        <v>60</v>
      </c>
      <c r="L1012">
        <v>46.0625</v>
      </c>
      <c r="M1012" s="14">
        <v>8.375</v>
      </c>
      <c r="N1012" s="14">
        <v>4.0625</v>
      </c>
      <c r="R1012" t="str">
        <f t="shared" si="49"/>
        <v xml:space="preserve">XX8X_PV_1669:    Front abuts stile:FALSE       Back abuts stile:TRUE          Panel Section: BOTTOM           Stile in the back Width:            Cutout A:           Cutout B:      F.C.:8.375 in.         C.C.:4.0625 in.   </v>
      </c>
      <c r="S1012" t="str">
        <f t="shared" si="50"/>
        <v>FALSE</v>
      </c>
      <c r="T1012" t="str">
        <f t="shared" si="51"/>
        <v>TRUE</v>
      </c>
    </row>
    <row r="1013" spans="1:20">
      <c r="A1013" t="s">
        <v>1173</v>
      </c>
      <c r="B1013" s="14" t="s">
        <v>144</v>
      </c>
      <c r="C1013" s="14" t="s">
        <v>157</v>
      </c>
      <c r="D1013" s="14">
        <v>0</v>
      </c>
      <c r="E1013" s="14"/>
      <c r="F1013" s="14">
        <v>1</v>
      </c>
      <c r="G1013" s="14">
        <v>1</v>
      </c>
      <c r="H1013" s="14"/>
      <c r="I1013" s="8" t="s">
        <v>38</v>
      </c>
      <c r="J1013" s="8" t="s">
        <v>38</v>
      </c>
      <c r="K1013">
        <v>60</v>
      </c>
      <c r="L1013">
        <v>66.875</v>
      </c>
      <c r="M1013" s="14">
        <v>4.5</v>
      </c>
      <c r="N1013" s="14">
        <v>3.125</v>
      </c>
      <c r="R1013" t="str">
        <f t="shared" si="49"/>
        <v xml:space="preserve">XX8X_PV_1670:    Front abuts stile:FALSE       Back abuts stile:TRUE          Panel Section: BOTTOM           Stile in the back Width:            Cutout A:           Cutout B:      F.C.:4.5 in.         C.C.:3.125 in.   </v>
      </c>
      <c r="S1013" t="str">
        <f t="shared" si="50"/>
        <v>FALSE</v>
      </c>
      <c r="T1013" t="str">
        <f t="shared" si="51"/>
        <v>TRUE</v>
      </c>
    </row>
    <row r="1014" spans="1:20">
      <c r="A1014" t="s">
        <v>1174</v>
      </c>
      <c r="B1014" s="14" t="s">
        <v>144</v>
      </c>
      <c r="C1014" s="14" t="s">
        <v>157</v>
      </c>
      <c r="D1014" s="14">
        <v>1</v>
      </c>
      <c r="E1014" s="14">
        <v>0</v>
      </c>
      <c r="F1014" s="14">
        <v>0</v>
      </c>
      <c r="G1014" s="14"/>
      <c r="H1014" s="14"/>
      <c r="I1014" s="8" t="s">
        <v>119</v>
      </c>
      <c r="J1014" s="8" t="s">
        <v>38</v>
      </c>
      <c r="K1014">
        <v>60</v>
      </c>
      <c r="L1014">
        <v>46.8125</v>
      </c>
      <c r="M1014" s="14">
        <v>9</v>
      </c>
      <c r="N1014" s="14" t="s">
        <v>38</v>
      </c>
      <c r="R1014" t="str">
        <f t="shared" si="49"/>
        <v xml:space="preserve">XX8X_PV_1671:    Front abuts stile:TRUE       Back abuts stile:FALSE          Panel Section: BOTTOM           Stile in the back Width:            Cutout A: B-354          Cutout B:      F.C.:9 in.         C.C.: in.   </v>
      </c>
      <c r="S1014" t="str">
        <f t="shared" si="50"/>
        <v>TRUE</v>
      </c>
      <c r="T1014" t="str">
        <f t="shared" si="51"/>
        <v>FALSE</v>
      </c>
    </row>
    <row r="1015" spans="1:20">
      <c r="A1015" t="s">
        <v>1175</v>
      </c>
      <c r="B1015" s="14" t="s">
        <v>144</v>
      </c>
      <c r="C1015" s="14" t="s">
        <v>157</v>
      </c>
      <c r="D1015" s="14">
        <v>1</v>
      </c>
      <c r="E1015" s="14">
        <v>0</v>
      </c>
      <c r="F1015" s="14">
        <v>1</v>
      </c>
      <c r="G1015" s="14">
        <v>0</v>
      </c>
      <c r="H1015" s="14">
        <v>12</v>
      </c>
      <c r="I1015" s="8" t="s">
        <v>120</v>
      </c>
      <c r="J1015" s="8" t="s">
        <v>38</v>
      </c>
      <c r="K1015">
        <v>60</v>
      </c>
      <c r="L1015">
        <v>47.8125</v>
      </c>
      <c r="M1015" s="14">
        <v>1</v>
      </c>
      <c r="N1015" s="14" t="s">
        <v>38</v>
      </c>
      <c r="R1015" t="str">
        <f t="shared" si="49"/>
        <v xml:space="preserve">XX8X_PV_1672:    Front abuts stile:TRUE       Back abuts stile:TRUE          Panel Section: BOTTOM           Stile in the back Width: 12           Cutout A: B-386          Cutout B:      F.C.:1 in.         C.C.: in.   </v>
      </c>
      <c r="S1015" t="str">
        <f t="shared" si="50"/>
        <v>TRUE</v>
      </c>
      <c r="T1015" t="str">
        <f t="shared" si="51"/>
        <v>TRUE</v>
      </c>
    </row>
    <row r="1016" spans="1:20">
      <c r="A1016" t="s">
        <v>1176</v>
      </c>
      <c r="B1016" s="14" t="s">
        <v>144</v>
      </c>
      <c r="C1016" s="14" t="s">
        <v>157</v>
      </c>
      <c r="D1016" s="14">
        <v>1</v>
      </c>
      <c r="E1016" s="14">
        <v>0</v>
      </c>
      <c r="F1016" s="14">
        <v>1</v>
      </c>
      <c r="G1016" s="14">
        <v>0</v>
      </c>
      <c r="H1016" s="14">
        <v>24</v>
      </c>
      <c r="I1016" s="8" t="s">
        <v>35</v>
      </c>
      <c r="J1016" s="8" t="s">
        <v>38</v>
      </c>
      <c r="K1016">
        <v>60</v>
      </c>
      <c r="L1016">
        <v>44.0625</v>
      </c>
      <c r="M1016" s="14">
        <v>9</v>
      </c>
      <c r="N1016" s="14" t="s">
        <v>38</v>
      </c>
      <c r="R1016" t="str">
        <f t="shared" si="49"/>
        <v xml:space="preserve">XX8X_PV_1673:    Front abuts stile:TRUE       Back abuts stile:TRUE          Panel Section: BOTTOM           Stile in the back Width: 24           Cutout A: B-357          Cutout B:      F.C.:9 in.         C.C.: in.   </v>
      </c>
      <c r="S1016" t="str">
        <f t="shared" si="50"/>
        <v>TRUE</v>
      </c>
      <c r="T1016" t="str">
        <f t="shared" si="51"/>
        <v>TRUE</v>
      </c>
    </row>
    <row r="1017" spans="1:20">
      <c r="A1017" t="s">
        <v>1177</v>
      </c>
      <c r="B1017" s="14" t="s">
        <v>144</v>
      </c>
      <c r="C1017" s="14" t="s">
        <v>157</v>
      </c>
      <c r="D1017" s="14">
        <v>1</v>
      </c>
      <c r="E1017" s="14">
        <v>0</v>
      </c>
      <c r="F1017" s="14">
        <v>1</v>
      </c>
      <c r="G1017" s="14">
        <v>0</v>
      </c>
      <c r="H1017" s="14"/>
      <c r="I1017" s="8" t="s">
        <v>38</v>
      </c>
      <c r="J1017" s="8" t="s">
        <v>38</v>
      </c>
      <c r="K1017">
        <v>60</v>
      </c>
      <c r="L1017">
        <v>59.3125</v>
      </c>
      <c r="M1017" s="14">
        <v>9</v>
      </c>
      <c r="N1017" s="14" t="s">
        <v>38</v>
      </c>
      <c r="R1017" t="str">
        <f t="shared" si="49"/>
        <v xml:space="preserve">XX8X_PV_1674:    Front abuts stile:TRUE       Back abuts stile:TRUE          Panel Section: BOTTOM           Stile in the back Width:            Cutout A:           Cutout B:      F.C.:9 in.         C.C.: in.   </v>
      </c>
      <c r="S1017" t="str">
        <f t="shared" si="50"/>
        <v>TRUE</v>
      </c>
      <c r="T1017" t="str">
        <f t="shared" si="51"/>
        <v>TRUE</v>
      </c>
    </row>
    <row r="1018" spans="1:20">
      <c r="A1018" t="s">
        <v>1178</v>
      </c>
      <c r="B1018" s="14" t="s">
        <v>144</v>
      </c>
      <c r="C1018" s="14" t="s">
        <v>157</v>
      </c>
      <c r="D1018" s="14">
        <v>1</v>
      </c>
      <c r="E1018" s="14">
        <v>0</v>
      </c>
      <c r="F1018" s="14">
        <v>1</v>
      </c>
      <c r="G1018" s="14">
        <v>1</v>
      </c>
      <c r="H1018" s="14"/>
      <c r="I1018" s="8" t="s">
        <v>38</v>
      </c>
      <c r="J1018" s="8" t="s">
        <v>38</v>
      </c>
      <c r="K1018">
        <v>60</v>
      </c>
      <c r="L1018">
        <v>50.5625</v>
      </c>
      <c r="M1018" s="14">
        <v>1</v>
      </c>
      <c r="N1018" s="14">
        <v>1</v>
      </c>
      <c r="R1018" t="str">
        <f t="shared" si="49"/>
        <v xml:space="preserve">XX8X_PV_1675:    Front abuts stile:TRUE       Back abuts stile:TRUE          Panel Section: BOTTOM           Stile in the back Width:            Cutout A:           Cutout B:      F.C.:1 in.         C.C.:1 in.   </v>
      </c>
      <c r="S1018" t="str">
        <f t="shared" si="50"/>
        <v>TRUE</v>
      </c>
      <c r="T1018" t="str">
        <f t="shared" si="51"/>
        <v>TRUE</v>
      </c>
    </row>
    <row r="1019" spans="1:20">
      <c r="A1019" t="s">
        <v>1179</v>
      </c>
      <c r="B1019" s="14" t="s">
        <v>144</v>
      </c>
      <c r="C1019" s="14" t="s">
        <v>157</v>
      </c>
      <c r="D1019" s="14">
        <v>1</v>
      </c>
      <c r="E1019" s="14">
        <v>1</v>
      </c>
      <c r="F1019" s="14">
        <v>0</v>
      </c>
      <c r="G1019" s="14"/>
      <c r="H1019" s="14"/>
      <c r="I1019" s="8" t="s">
        <v>35</v>
      </c>
      <c r="J1019" s="8" t="s">
        <v>38</v>
      </c>
      <c r="K1019">
        <v>60</v>
      </c>
      <c r="L1019">
        <v>79</v>
      </c>
      <c r="M1019" s="14">
        <v>9</v>
      </c>
      <c r="N1019" s="14">
        <v>2.625</v>
      </c>
      <c r="R1019" t="str">
        <f t="shared" si="49"/>
        <v xml:space="preserve">XX8X_PV_1676:    Front abuts stile:TRUE       Back abuts stile:FALSE          Panel Section: BOTTOM           Stile in the back Width:            Cutout A: B-357          Cutout B:      F.C.:9 in.         C.C.:2.625 in.   </v>
      </c>
      <c r="S1019" t="str">
        <f t="shared" si="50"/>
        <v>TRUE</v>
      </c>
      <c r="T1019" t="str">
        <f t="shared" si="51"/>
        <v>FALSE</v>
      </c>
    </row>
    <row r="1020" spans="1:20">
      <c r="A1020" t="s">
        <v>1180</v>
      </c>
      <c r="B1020" s="14" t="s">
        <v>144</v>
      </c>
      <c r="C1020" s="14" t="s">
        <v>157</v>
      </c>
      <c r="D1020" s="14">
        <v>1</v>
      </c>
      <c r="E1020" s="14">
        <v>1</v>
      </c>
      <c r="F1020" s="14">
        <v>1</v>
      </c>
      <c r="G1020" s="14">
        <v>0</v>
      </c>
      <c r="H1020" s="14">
        <v>12</v>
      </c>
      <c r="I1020" s="8" t="s">
        <v>38</v>
      </c>
      <c r="J1020" s="8" t="s">
        <v>38</v>
      </c>
      <c r="K1020">
        <v>60</v>
      </c>
      <c r="L1020">
        <v>58.5625</v>
      </c>
      <c r="M1020" s="14">
        <v>3.5</v>
      </c>
      <c r="N1020" s="14">
        <v>1</v>
      </c>
      <c r="R1020" t="str">
        <f t="shared" si="49"/>
        <v xml:space="preserve">XX8X_PV_1677:    Front abuts stile:TRUE       Back abuts stile:TRUE          Panel Section: BOTTOM           Stile in the back Width: 12           Cutout A:           Cutout B:      F.C.:3.5 in.         C.C.:1 in.   </v>
      </c>
      <c r="S1020" t="str">
        <f t="shared" si="50"/>
        <v>TRUE</v>
      </c>
      <c r="T1020" t="str">
        <f t="shared" si="51"/>
        <v>TRUE</v>
      </c>
    </row>
    <row r="1021" spans="1:20">
      <c r="A1021" t="s">
        <v>1181</v>
      </c>
      <c r="B1021" s="14" t="s">
        <v>144</v>
      </c>
      <c r="C1021" s="14" t="s">
        <v>157</v>
      </c>
      <c r="D1021" s="14">
        <v>1</v>
      </c>
      <c r="E1021" s="14">
        <v>1</v>
      </c>
      <c r="F1021" s="14">
        <v>1</v>
      </c>
      <c r="G1021" s="14">
        <v>0</v>
      </c>
      <c r="H1021" s="14">
        <v>24</v>
      </c>
      <c r="I1021" s="8" t="s">
        <v>35</v>
      </c>
      <c r="J1021" s="8" t="s">
        <v>38</v>
      </c>
      <c r="K1021">
        <v>60</v>
      </c>
      <c r="L1021">
        <v>67</v>
      </c>
      <c r="M1021" s="14">
        <v>9</v>
      </c>
      <c r="N1021" s="14">
        <v>1</v>
      </c>
      <c r="R1021" t="str">
        <f t="shared" si="49"/>
        <v xml:space="preserve">XX8X_PV_1678:    Front abuts stile:TRUE       Back abuts stile:TRUE          Panel Section: BOTTOM           Stile in the back Width: 24           Cutout A: B-357          Cutout B:      F.C.:9 in.         C.C.:1 in.   </v>
      </c>
      <c r="S1021" t="str">
        <f t="shared" si="50"/>
        <v>TRUE</v>
      </c>
      <c r="T1021" t="str">
        <f t="shared" si="51"/>
        <v>TRUE</v>
      </c>
    </row>
    <row r="1022" spans="1:20">
      <c r="A1022" t="s">
        <v>1182</v>
      </c>
      <c r="B1022" s="14" t="s">
        <v>144</v>
      </c>
      <c r="C1022" s="14" t="s">
        <v>157</v>
      </c>
      <c r="D1022" s="14">
        <v>1</v>
      </c>
      <c r="E1022" s="14">
        <v>1</v>
      </c>
      <c r="F1022" s="14">
        <v>1</v>
      </c>
      <c r="G1022" s="14">
        <v>0</v>
      </c>
      <c r="H1022" s="14"/>
      <c r="I1022" s="8" t="s">
        <v>38</v>
      </c>
      <c r="J1022" s="8" t="s">
        <v>38</v>
      </c>
      <c r="K1022">
        <v>60</v>
      </c>
      <c r="L1022">
        <v>52.5625</v>
      </c>
      <c r="M1022" s="14">
        <v>6.8125</v>
      </c>
      <c r="N1022" s="14">
        <v>3</v>
      </c>
      <c r="R1022" t="str">
        <f t="shared" si="49"/>
        <v xml:space="preserve">XX8X_PV_1679:    Front abuts stile:TRUE       Back abuts stile:TRUE          Panel Section: BOTTOM           Stile in the back Width:            Cutout A:           Cutout B:      F.C.:6.8125 in.         C.C.:3 in.   </v>
      </c>
      <c r="S1022" t="str">
        <f t="shared" si="50"/>
        <v>TRUE</v>
      </c>
      <c r="T1022" t="str">
        <f t="shared" si="51"/>
        <v>TRUE</v>
      </c>
    </row>
    <row r="1023" spans="1:20">
      <c r="A1023" t="s">
        <v>1183</v>
      </c>
      <c r="B1023" s="14" t="s">
        <v>144</v>
      </c>
      <c r="C1023" s="14" t="s">
        <v>157</v>
      </c>
      <c r="D1023" s="14">
        <v>1</v>
      </c>
      <c r="E1023" s="14">
        <v>1</v>
      </c>
      <c r="F1023" s="14">
        <v>1</v>
      </c>
      <c r="G1023" s="14">
        <v>1</v>
      </c>
      <c r="H1023" s="14"/>
      <c r="I1023" s="8" t="s">
        <v>38</v>
      </c>
      <c r="J1023" s="8" t="s">
        <v>38</v>
      </c>
      <c r="K1023">
        <v>60</v>
      </c>
      <c r="L1023">
        <v>66.4375</v>
      </c>
      <c r="M1023" s="14">
        <v>4.5</v>
      </c>
      <c r="N1023" s="14" t="s">
        <v>38</v>
      </c>
      <c r="R1023" t="str">
        <f t="shared" si="49"/>
        <v xml:space="preserve">XX8X_PV_1680:    Front abuts stile:TRUE       Back abuts stile:TRUE          Panel Section: BOTTOM           Stile in the back Width:            Cutout A:           Cutout B:      F.C.:4.5 in.         C.C.: in.   </v>
      </c>
      <c r="S1023" t="str">
        <f t="shared" si="50"/>
        <v>TRUE</v>
      </c>
      <c r="T1023" t="str">
        <f t="shared" si="51"/>
        <v>TRUE</v>
      </c>
    </row>
    <row r="1024" spans="1:20">
      <c r="A1024" t="s">
        <v>1184</v>
      </c>
      <c r="B1024" s="14" t="s">
        <v>144</v>
      </c>
      <c r="C1024" s="14" t="s">
        <v>21</v>
      </c>
      <c r="D1024" s="14">
        <v>0</v>
      </c>
      <c r="E1024" s="14"/>
      <c r="F1024" s="14">
        <v>0</v>
      </c>
      <c r="G1024" s="14"/>
      <c r="H1024" s="14"/>
      <c r="I1024" s="8" t="s">
        <v>120</v>
      </c>
      <c r="J1024" s="8" t="s">
        <v>38</v>
      </c>
      <c r="K1024">
        <v>54.25</v>
      </c>
      <c r="L1024">
        <v>43.6875</v>
      </c>
      <c r="M1024" s="14">
        <v>12</v>
      </c>
      <c r="N1024" s="14">
        <v>5.25</v>
      </c>
      <c r="R1024" t="str">
        <f t="shared" si="49"/>
        <v xml:space="preserve">XX8X_PV_1681:    Front abuts stile:FALSE       Back abuts stile:FALSE          Panel Section: WHOLE           Stile in the back Width:            Cutout A: B-386          Cutout B:      F.C.:12 in.         C.C.:5.25 in.   </v>
      </c>
      <c r="S1024" t="str">
        <f t="shared" si="50"/>
        <v>FALSE</v>
      </c>
      <c r="T1024" t="str">
        <f t="shared" si="51"/>
        <v>FALSE</v>
      </c>
    </row>
    <row r="1025" spans="1:20">
      <c r="A1025" t="s">
        <v>1185</v>
      </c>
      <c r="B1025" s="14" t="s">
        <v>144</v>
      </c>
      <c r="C1025" s="14" t="s">
        <v>21</v>
      </c>
      <c r="D1025" s="14">
        <v>0</v>
      </c>
      <c r="E1025" s="14"/>
      <c r="F1025" s="14">
        <v>1</v>
      </c>
      <c r="G1025" s="14">
        <v>0</v>
      </c>
      <c r="H1025" s="14">
        <v>12</v>
      </c>
      <c r="I1025" s="8" t="s">
        <v>38</v>
      </c>
      <c r="J1025" s="8" t="s">
        <v>38</v>
      </c>
      <c r="K1025">
        <v>85.5</v>
      </c>
      <c r="L1025">
        <v>21.1875</v>
      </c>
      <c r="M1025" s="14">
        <v>12</v>
      </c>
      <c r="N1025" s="14">
        <v>1</v>
      </c>
      <c r="R1025" t="str">
        <f t="shared" ref="R1025:R1088" si="52">A1025&amp;":    Front abuts stile:"&amp;S1025&amp;"       Back abuts stile:"&amp;T1025&amp;"          Panel Section: "&amp;C1025&amp;"           Stile in the back Width: "&amp;H1025&amp;"           Cutout A: "&amp;I1025&amp;"          Cutout B:"&amp;J1025&amp;"      F.C.:"&amp;M1025&amp;" in. "&amp;"        C.C.:"&amp;N1025&amp;" in. "&amp;"  "</f>
        <v xml:space="preserve">XX8X_PV_1682:    Front abuts stile:FALSE       Back abuts stile:TRUE          Panel Section: WHOLE           Stile in the back Width: 12           Cutout A:           Cutout B:      F.C.:12 in.         C.C.:1 in.   </v>
      </c>
      <c r="S1025" t="str">
        <f t="shared" ref="S1025:S1088" si="53">IF(D1025=1, "TRUE", "FALSE")</f>
        <v>FALSE</v>
      </c>
      <c r="T1025" t="str">
        <f t="shared" ref="T1025:T1088" si="54">IF(F1025=1, "TRUE", "FALSE")</f>
        <v>TRUE</v>
      </c>
    </row>
    <row r="1026" spans="1:20">
      <c r="A1026" t="s">
        <v>1186</v>
      </c>
      <c r="B1026" s="14" t="s">
        <v>144</v>
      </c>
      <c r="C1026" s="14" t="s">
        <v>21</v>
      </c>
      <c r="D1026" s="14">
        <v>0</v>
      </c>
      <c r="E1026" s="14"/>
      <c r="F1026" s="14">
        <v>1</v>
      </c>
      <c r="G1026" s="14">
        <v>0</v>
      </c>
      <c r="H1026" s="14">
        <v>24</v>
      </c>
      <c r="I1026" s="8" t="s">
        <v>151</v>
      </c>
      <c r="J1026" s="8" t="s">
        <v>38</v>
      </c>
      <c r="K1026">
        <v>37.125</v>
      </c>
      <c r="L1026">
        <v>61.25</v>
      </c>
      <c r="M1026" s="14">
        <v>12</v>
      </c>
      <c r="N1026" s="14">
        <v>7</v>
      </c>
      <c r="R1026" t="str">
        <f t="shared" si="52"/>
        <v xml:space="preserve">XX8X_PV_1683:    Front abuts stile:FALSE       Back abuts stile:TRUE          Panel Section: WHOLE           Stile in the back Width: 24           Cutout A: B-35715          Cutout B:      F.C.:12 in.         C.C.:7 in.   </v>
      </c>
      <c r="S1026" t="str">
        <f t="shared" si="53"/>
        <v>FALSE</v>
      </c>
      <c r="T1026" t="str">
        <f t="shared" si="54"/>
        <v>TRUE</v>
      </c>
    </row>
    <row r="1027" spans="1:20">
      <c r="A1027" t="s">
        <v>1187</v>
      </c>
      <c r="B1027" s="14" t="s">
        <v>144</v>
      </c>
      <c r="C1027" s="14" t="s">
        <v>21</v>
      </c>
      <c r="D1027" s="14">
        <v>0</v>
      </c>
      <c r="E1027" s="14"/>
      <c r="F1027" s="14">
        <v>1</v>
      </c>
      <c r="G1027" s="14">
        <v>0</v>
      </c>
      <c r="H1027" s="14"/>
      <c r="I1027" s="8" t="s">
        <v>38</v>
      </c>
      <c r="J1027" s="8" t="s">
        <v>38</v>
      </c>
      <c r="K1027">
        <v>53.625</v>
      </c>
      <c r="L1027">
        <v>76.0625</v>
      </c>
      <c r="M1027" s="14">
        <v>12</v>
      </c>
      <c r="N1027" s="14">
        <v>8.25</v>
      </c>
      <c r="R1027" t="str">
        <f t="shared" si="52"/>
        <v xml:space="preserve">XX8X_PV_1684:    Front abuts stile:FALSE       Back abuts stile:TRUE          Panel Section: WHOLE           Stile in the back Width:            Cutout A:           Cutout B:      F.C.:12 in.         C.C.:8.25 in.   </v>
      </c>
      <c r="S1027" t="str">
        <f t="shared" si="53"/>
        <v>FALSE</v>
      </c>
      <c r="T1027" t="str">
        <f t="shared" si="54"/>
        <v>TRUE</v>
      </c>
    </row>
    <row r="1028" spans="1:20">
      <c r="A1028" t="s">
        <v>1188</v>
      </c>
      <c r="B1028" s="14" t="s">
        <v>144</v>
      </c>
      <c r="C1028" s="14" t="s">
        <v>21</v>
      </c>
      <c r="D1028" s="14">
        <v>0</v>
      </c>
      <c r="E1028" s="14"/>
      <c r="F1028" s="14">
        <v>1</v>
      </c>
      <c r="G1028" s="14">
        <v>1</v>
      </c>
      <c r="H1028" s="14"/>
      <c r="I1028" s="8" t="s">
        <v>38</v>
      </c>
      <c r="J1028" s="8" t="s">
        <v>38</v>
      </c>
      <c r="K1028">
        <v>77</v>
      </c>
      <c r="L1028">
        <v>78.1875</v>
      </c>
      <c r="M1028" s="14">
        <v>12</v>
      </c>
      <c r="N1028" s="14">
        <v>1</v>
      </c>
      <c r="R1028" t="str">
        <f t="shared" si="52"/>
        <v xml:space="preserve">XX8X_PV_1685:    Front abuts stile:FALSE       Back abuts stile:TRUE          Panel Section: WHOLE           Stile in the back Width:            Cutout A:           Cutout B:      F.C.:12 in.         C.C.:1 in.   </v>
      </c>
      <c r="S1028" t="str">
        <f t="shared" si="53"/>
        <v>FALSE</v>
      </c>
      <c r="T1028" t="str">
        <f t="shared" si="54"/>
        <v>TRUE</v>
      </c>
    </row>
    <row r="1029" spans="1:20">
      <c r="A1029" t="s">
        <v>1189</v>
      </c>
      <c r="B1029" s="14" t="s">
        <v>144</v>
      </c>
      <c r="C1029" s="14" t="s">
        <v>21</v>
      </c>
      <c r="D1029" s="14">
        <v>1</v>
      </c>
      <c r="E1029" s="14">
        <v>0</v>
      </c>
      <c r="F1029" s="14">
        <v>0</v>
      </c>
      <c r="G1029" s="14"/>
      <c r="H1029" s="14"/>
      <c r="I1029" s="8" t="s">
        <v>119</v>
      </c>
      <c r="J1029" s="8" t="s">
        <v>38</v>
      </c>
      <c r="K1029">
        <v>102.5</v>
      </c>
      <c r="L1029">
        <v>56.9375</v>
      </c>
      <c r="M1029" s="14">
        <v>8.5625</v>
      </c>
      <c r="N1029" s="14">
        <v>1</v>
      </c>
      <c r="R1029" t="str">
        <f t="shared" si="52"/>
        <v xml:space="preserve">XX8X_PV_1686:    Front abuts stile:TRUE       Back abuts stile:FALSE          Panel Section: WHOLE           Stile in the back Width:            Cutout A: B-354          Cutout B:      F.C.:8.5625 in.         C.C.:1 in.   </v>
      </c>
      <c r="S1029" t="str">
        <f t="shared" si="53"/>
        <v>TRUE</v>
      </c>
      <c r="T1029" t="str">
        <f t="shared" si="54"/>
        <v>FALSE</v>
      </c>
    </row>
    <row r="1030" spans="1:20">
      <c r="A1030" t="s">
        <v>1190</v>
      </c>
      <c r="B1030" s="14" t="s">
        <v>144</v>
      </c>
      <c r="C1030" s="14" t="s">
        <v>21</v>
      </c>
      <c r="D1030" s="14">
        <v>1</v>
      </c>
      <c r="E1030" s="14">
        <v>0</v>
      </c>
      <c r="F1030" s="14">
        <v>1</v>
      </c>
      <c r="G1030" s="14">
        <v>0</v>
      </c>
      <c r="H1030" s="14">
        <v>12</v>
      </c>
      <c r="I1030" s="8" t="s">
        <v>121</v>
      </c>
      <c r="J1030" s="8" t="s">
        <v>38</v>
      </c>
      <c r="K1030">
        <v>102.1875</v>
      </c>
      <c r="L1030">
        <v>68.0625</v>
      </c>
      <c r="M1030" s="14">
        <v>4.5</v>
      </c>
      <c r="N1030" s="14">
        <v>1</v>
      </c>
      <c r="R1030" t="str">
        <f t="shared" si="52"/>
        <v xml:space="preserve">XX8X_PV_1687:    Front abuts stile:TRUE       Back abuts stile:TRUE          Panel Section: WHOLE           Stile in the back Width: 12           Cutout A: B-4354          Cutout B:      F.C.:4.5 in.         C.C.:1 in.   </v>
      </c>
      <c r="S1030" t="str">
        <f t="shared" si="53"/>
        <v>TRUE</v>
      </c>
      <c r="T1030" t="str">
        <f t="shared" si="54"/>
        <v>TRUE</v>
      </c>
    </row>
    <row r="1031" spans="1:20">
      <c r="A1031" t="s">
        <v>1191</v>
      </c>
      <c r="B1031" s="14" t="s">
        <v>144</v>
      </c>
      <c r="C1031" s="14" t="s">
        <v>21</v>
      </c>
      <c r="D1031" s="14">
        <v>1</v>
      </c>
      <c r="E1031" s="14">
        <v>0</v>
      </c>
      <c r="F1031" s="14">
        <v>1</v>
      </c>
      <c r="G1031" s="14">
        <v>0</v>
      </c>
      <c r="H1031" s="14">
        <v>24</v>
      </c>
      <c r="I1031" s="8" t="s">
        <v>35</v>
      </c>
      <c r="J1031" s="8" t="s">
        <v>38</v>
      </c>
      <c r="K1031">
        <v>79.9375</v>
      </c>
      <c r="L1031">
        <v>63.9375</v>
      </c>
      <c r="M1031" s="14">
        <v>1</v>
      </c>
      <c r="N1031" s="14" t="s">
        <v>38</v>
      </c>
      <c r="R1031" t="str">
        <f t="shared" si="52"/>
        <v xml:space="preserve">XX8X_PV_1688:    Front abuts stile:TRUE       Back abuts stile:TRUE          Panel Section: WHOLE           Stile in the back Width: 24           Cutout A: B-357          Cutout B:      F.C.:1 in.         C.C.: in.   </v>
      </c>
      <c r="S1031" t="str">
        <f t="shared" si="53"/>
        <v>TRUE</v>
      </c>
      <c r="T1031" t="str">
        <f t="shared" si="54"/>
        <v>TRUE</v>
      </c>
    </row>
    <row r="1032" spans="1:20">
      <c r="A1032" t="s">
        <v>1192</v>
      </c>
      <c r="B1032" s="14" t="s">
        <v>144</v>
      </c>
      <c r="C1032" s="14" t="s">
        <v>21</v>
      </c>
      <c r="D1032" s="14">
        <v>1</v>
      </c>
      <c r="E1032" s="14">
        <v>0</v>
      </c>
      <c r="F1032" s="14">
        <v>1</v>
      </c>
      <c r="G1032" s="14">
        <v>0</v>
      </c>
      <c r="H1032" s="14"/>
      <c r="I1032" s="8" t="s">
        <v>38</v>
      </c>
      <c r="J1032" s="8" t="s">
        <v>38</v>
      </c>
      <c r="K1032">
        <v>83.6875</v>
      </c>
      <c r="L1032">
        <v>51.375</v>
      </c>
      <c r="M1032" s="14">
        <v>9</v>
      </c>
      <c r="N1032" s="14">
        <v>4.875</v>
      </c>
      <c r="R1032" t="str">
        <f t="shared" si="52"/>
        <v xml:space="preserve">XX8X_PV_1689:    Front abuts stile:TRUE       Back abuts stile:TRUE          Panel Section: WHOLE           Stile in the back Width:            Cutout A:           Cutout B:      F.C.:9 in.         C.C.:4.875 in.   </v>
      </c>
      <c r="S1032" t="str">
        <f t="shared" si="53"/>
        <v>TRUE</v>
      </c>
      <c r="T1032" t="str">
        <f t="shared" si="54"/>
        <v>TRUE</v>
      </c>
    </row>
    <row r="1033" spans="1:20">
      <c r="A1033" t="s">
        <v>1193</v>
      </c>
      <c r="B1033" s="14" t="s">
        <v>144</v>
      </c>
      <c r="C1033" s="14" t="s">
        <v>21</v>
      </c>
      <c r="D1033" s="14">
        <v>1</v>
      </c>
      <c r="E1033" s="14">
        <v>0</v>
      </c>
      <c r="F1033" s="14">
        <v>1</v>
      </c>
      <c r="G1033" s="14">
        <v>1</v>
      </c>
      <c r="H1033" s="14"/>
      <c r="I1033" s="8" t="s">
        <v>38</v>
      </c>
      <c r="J1033" s="8" t="s">
        <v>38</v>
      </c>
      <c r="K1033">
        <v>96</v>
      </c>
      <c r="L1033">
        <v>56.875</v>
      </c>
      <c r="M1033" s="14">
        <v>12</v>
      </c>
      <c r="N1033" s="14">
        <v>1</v>
      </c>
      <c r="R1033" t="str">
        <f t="shared" si="52"/>
        <v xml:space="preserve">XX8X_PV_1690:    Front abuts stile:TRUE       Back abuts stile:TRUE          Panel Section: WHOLE           Stile in the back Width:            Cutout A:           Cutout B:      F.C.:12 in.         C.C.:1 in.   </v>
      </c>
      <c r="S1033" t="str">
        <f t="shared" si="53"/>
        <v>TRUE</v>
      </c>
      <c r="T1033" t="str">
        <f t="shared" si="54"/>
        <v>TRUE</v>
      </c>
    </row>
    <row r="1034" spans="1:20">
      <c r="A1034" t="s">
        <v>1194</v>
      </c>
      <c r="B1034" s="14" t="s">
        <v>144</v>
      </c>
      <c r="C1034" s="14" t="s">
        <v>21</v>
      </c>
      <c r="D1034" s="14">
        <v>1</v>
      </c>
      <c r="E1034" s="14">
        <v>1</v>
      </c>
      <c r="F1034" s="14">
        <v>0</v>
      </c>
      <c r="G1034" s="14"/>
      <c r="H1034" s="14"/>
      <c r="I1034" s="8" t="s">
        <v>151</v>
      </c>
      <c r="J1034" s="8" t="s">
        <v>38</v>
      </c>
      <c r="K1034">
        <v>63.1875</v>
      </c>
      <c r="L1034">
        <v>79.3125</v>
      </c>
      <c r="M1034" s="14">
        <v>1</v>
      </c>
      <c r="N1034" s="14" t="s">
        <v>38</v>
      </c>
      <c r="R1034" t="str">
        <f t="shared" si="52"/>
        <v xml:space="preserve">XX8X_PV_1691:    Front abuts stile:TRUE       Back abuts stile:FALSE          Panel Section: WHOLE           Stile in the back Width:            Cutout A: B-35715          Cutout B:      F.C.:1 in.         C.C.: in.   </v>
      </c>
      <c r="S1034" t="str">
        <f t="shared" si="53"/>
        <v>TRUE</v>
      </c>
      <c r="T1034" t="str">
        <f t="shared" si="54"/>
        <v>FALSE</v>
      </c>
    </row>
    <row r="1035" spans="1:20">
      <c r="A1035" t="s">
        <v>1195</v>
      </c>
      <c r="B1035" s="14" t="s">
        <v>144</v>
      </c>
      <c r="C1035" s="14" t="s">
        <v>21</v>
      </c>
      <c r="D1035" s="14">
        <v>1</v>
      </c>
      <c r="E1035" s="14">
        <v>1</v>
      </c>
      <c r="F1035" s="14">
        <v>1</v>
      </c>
      <c r="G1035" s="14">
        <v>0</v>
      </c>
      <c r="H1035" s="14">
        <v>12</v>
      </c>
      <c r="I1035" s="8" t="s">
        <v>38</v>
      </c>
      <c r="J1035" s="8" t="s">
        <v>38</v>
      </c>
      <c r="K1035">
        <v>36.6875</v>
      </c>
      <c r="L1035">
        <v>11</v>
      </c>
      <c r="M1035" s="14">
        <v>12</v>
      </c>
      <c r="N1035" s="14" t="s">
        <v>38</v>
      </c>
      <c r="R1035" t="str">
        <f t="shared" si="52"/>
        <v xml:space="preserve">XX8X_PV_1692:    Front abuts stile:TRUE       Back abuts stile:TRUE          Panel Section: WHOLE           Stile in the back Width: 12           Cutout A:           Cutout B:      F.C.:12 in.         C.C.: in.   </v>
      </c>
      <c r="S1035" t="str">
        <f t="shared" si="53"/>
        <v>TRUE</v>
      </c>
      <c r="T1035" t="str">
        <f t="shared" si="54"/>
        <v>TRUE</v>
      </c>
    </row>
    <row r="1036" spans="1:20">
      <c r="A1036" t="s">
        <v>1196</v>
      </c>
      <c r="B1036" s="14" t="s">
        <v>144</v>
      </c>
      <c r="C1036" s="14" t="s">
        <v>21</v>
      </c>
      <c r="D1036" s="14">
        <v>1</v>
      </c>
      <c r="E1036" s="14">
        <v>1</v>
      </c>
      <c r="F1036" s="14">
        <v>1</v>
      </c>
      <c r="G1036" s="14">
        <v>0</v>
      </c>
      <c r="H1036" s="14">
        <v>24</v>
      </c>
      <c r="I1036" s="8" t="s">
        <v>38</v>
      </c>
      <c r="J1036" s="8" t="s">
        <v>38</v>
      </c>
      <c r="K1036">
        <v>45.4375</v>
      </c>
      <c r="L1036">
        <v>22.75</v>
      </c>
      <c r="M1036" s="14">
        <v>12</v>
      </c>
      <c r="N1036" s="14" t="s">
        <v>38</v>
      </c>
      <c r="R1036" t="str">
        <f t="shared" si="52"/>
        <v xml:space="preserve">XX8X_PV_1693:    Front abuts stile:TRUE       Back abuts stile:TRUE          Panel Section: WHOLE           Stile in the back Width: 24           Cutout A:           Cutout B:      F.C.:12 in.         C.C.: in.   </v>
      </c>
      <c r="S1036" t="str">
        <f t="shared" si="53"/>
        <v>TRUE</v>
      </c>
      <c r="T1036" t="str">
        <f t="shared" si="54"/>
        <v>TRUE</v>
      </c>
    </row>
    <row r="1037" spans="1:20">
      <c r="A1037" t="s">
        <v>1197</v>
      </c>
      <c r="B1037" s="14" t="s">
        <v>144</v>
      </c>
      <c r="C1037" s="14" t="s">
        <v>21</v>
      </c>
      <c r="D1037" s="14">
        <v>1</v>
      </c>
      <c r="E1037" s="14">
        <v>1</v>
      </c>
      <c r="F1037" s="14">
        <v>1</v>
      </c>
      <c r="G1037" s="14">
        <v>0</v>
      </c>
      <c r="H1037" s="14"/>
      <c r="I1037" s="8" t="s">
        <v>38</v>
      </c>
      <c r="J1037" s="8" t="s">
        <v>38</v>
      </c>
      <c r="K1037">
        <v>96</v>
      </c>
      <c r="L1037">
        <v>77.1875</v>
      </c>
      <c r="M1037" s="14">
        <v>5.875</v>
      </c>
      <c r="N1037" s="14">
        <v>7.1875</v>
      </c>
      <c r="R1037" t="str">
        <f t="shared" si="52"/>
        <v xml:space="preserve">XX8X_PV_1694:    Front abuts stile:TRUE       Back abuts stile:TRUE          Panel Section: WHOLE           Stile in the back Width:            Cutout A:           Cutout B:      F.C.:5.875 in.         C.C.:7.1875 in.   </v>
      </c>
      <c r="S1037" t="str">
        <f t="shared" si="53"/>
        <v>TRUE</v>
      </c>
      <c r="T1037" t="str">
        <f t="shared" si="54"/>
        <v>TRUE</v>
      </c>
    </row>
    <row r="1038" spans="1:20" ht="15" thickBot="1">
      <c r="A1038" t="s">
        <v>1198</v>
      </c>
      <c r="B1038" s="14" t="s">
        <v>144</v>
      </c>
      <c r="C1038" s="50" t="s">
        <v>21</v>
      </c>
      <c r="D1038" s="50">
        <v>1</v>
      </c>
      <c r="E1038" s="50">
        <v>1</v>
      </c>
      <c r="F1038" s="50">
        <v>1</v>
      </c>
      <c r="G1038" s="50">
        <v>1</v>
      </c>
      <c r="H1038" s="50"/>
      <c r="I1038" s="51" t="s">
        <v>38</v>
      </c>
      <c r="J1038" s="51" t="s">
        <v>38</v>
      </c>
      <c r="K1038" s="49">
        <v>47.6875</v>
      </c>
      <c r="L1038" s="49">
        <v>71.125</v>
      </c>
      <c r="M1038" s="50">
        <v>3.8125</v>
      </c>
      <c r="N1038" s="14">
        <v>1</v>
      </c>
      <c r="R1038" t="str">
        <f t="shared" si="52"/>
        <v xml:space="preserve">XX8X_PV_1695:    Front abuts stile:TRUE       Back abuts stile:TRUE          Panel Section: WHOLE           Stile in the back Width:            Cutout A:           Cutout B:      F.C.:3.8125 in.         C.C.:1 in.   </v>
      </c>
      <c r="S1038" t="str">
        <f t="shared" si="53"/>
        <v>TRUE</v>
      </c>
      <c r="T1038" t="str">
        <f t="shared" si="54"/>
        <v>TRUE</v>
      </c>
    </row>
    <row r="1039" spans="1:20" ht="15" thickTop="1">
      <c r="A1039" t="s">
        <v>1199</v>
      </c>
      <c r="B1039" s="14" t="s">
        <v>144</v>
      </c>
      <c r="C1039" s="14" t="s">
        <v>156</v>
      </c>
      <c r="D1039" s="19">
        <v>0</v>
      </c>
      <c r="E1039" s="19"/>
      <c r="F1039" s="19">
        <v>0</v>
      </c>
      <c r="G1039" s="19"/>
      <c r="H1039" s="14"/>
      <c r="I1039" s="8" t="s">
        <v>121</v>
      </c>
      <c r="J1039" s="8" t="s">
        <v>38</v>
      </c>
      <c r="K1039">
        <v>35</v>
      </c>
      <c r="L1039">
        <v>64.5625</v>
      </c>
      <c r="M1039" s="14">
        <v>1</v>
      </c>
      <c r="N1039" s="14">
        <v>1</v>
      </c>
      <c r="R1039" t="str">
        <f t="shared" si="52"/>
        <v xml:space="preserve">XX8X_PV_1696:    Front abuts stile:FALSE       Back abuts stile:FALSE          Panel Section: TOP           Stile in the back Width:            Cutout A: B-4354          Cutout B:      F.C.:1 in.         C.C.:1 in.   </v>
      </c>
      <c r="S1039" t="str">
        <f t="shared" si="53"/>
        <v>FALSE</v>
      </c>
      <c r="T1039" t="str">
        <f t="shared" si="54"/>
        <v>FALSE</v>
      </c>
    </row>
    <row r="1040" spans="1:20">
      <c r="A1040" t="s">
        <v>1200</v>
      </c>
      <c r="B1040" s="14" t="s">
        <v>144</v>
      </c>
      <c r="C1040" s="14" t="s">
        <v>156</v>
      </c>
      <c r="D1040" s="14">
        <v>0</v>
      </c>
      <c r="E1040" s="14"/>
      <c r="F1040" s="14">
        <v>1</v>
      </c>
      <c r="G1040" s="14">
        <v>0</v>
      </c>
      <c r="H1040" s="14">
        <v>12</v>
      </c>
      <c r="I1040" s="8" t="s">
        <v>38</v>
      </c>
      <c r="J1040" s="8" t="s">
        <v>38</v>
      </c>
      <c r="K1040">
        <v>19.5625</v>
      </c>
      <c r="L1040">
        <v>5.125</v>
      </c>
      <c r="M1040" s="14">
        <v>3.9375</v>
      </c>
      <c r="N1040" s="14">
        <v>7</v>
      </c>
      <c r="R1040" t="str">
        <f t="shared" si="52"/>
        <v xml:space="preserve">XX8X_PV_1697:    Front abuts stile:FALSE       Back abuts stile:TRUE          Panel Section: TOP           Stile in the back Width: 12           Cutout A:           Cutout B:      F.C.:3.9375 in.         C.C.:7 in.   </v>
      </c>
      <c r="S1040" t="str">
        <f t="shared" si="53"/>
        <v>FALSE</v>
      </c>
      <c r="T1040" t="str">
        <f t="shared" si="54"/>
        <v>TRUE</v>
      </c>
    </row>
    <row r="1041" spans="1:20">
      <c r="A1041" t="s">
        <v>1201</v>
      </c>
      <c r="B1041" s="14" t="s">
        <v>144</v>
      </c>
      <c r="C1041" s="14" t="s">
        <v>156</v>
      </c>
      <c r="D1041" s="14">
        <v>0</v>
      </c>
      <c r="E1041" s="14"/>
      <c r="F1041" s="14">
        <v>1</v>
      </c>
      <c r="G1041" s="14">
        <v>0</v>
      </c>
      <c r="H1041" s="14">
        <v>24</v>
      </c>
      <c r="I1041" s="8" t="s">
        <v>38</v>
      </c>
      <c r="J1041" s="8" t="s">
        <v>38</v>
      </c>
      <c r="K1041">
        <v>44.75</v>
      </c>
      <c r="L1041">
        <v>17.625</v>
      </c>
      <c r="M1041" s="14">
        <v>12</v>
      </c>
      <c r="N1041" s="14">
        <v>5</v>
      </c>
      <c r="R1041" t="str">
        <f t="shared" si="52"/>
        <v xml:space="preserve">XX8X_PV_1698:    Front abuts stile:FALSE       Back abuts stile:TRUE          Panel Section: TOP           Stile in the back Width: 24           Cutout A:           Cutout B:      F.C.:12 in.         C.C.:5 in.   </v>
      </c>
      <c r="S1041" t="str">
        <f t="shared" si="53"/>
        <v>FALSE</v>
      </c>
      <c r="T1041" t="str">
        <f t="shared" si="54"/>
        <v>TRUE</v>
      </c>
    </row>
    <row r="1042" spans="1:20">
      <c r="A1042" t="s">
        <v>1202</v>
      </c>
      <c r="B1042" s="14" t="s">
        <v>144</v>
      </c>
      <c r="C1042" s="14" t="s">
        <v>156</v>
      </c>
      <c r="D1042" s="14">
        <v>0</v>
      </c>
      <c r="E1042" s="14"/>
      <c r="F1042" s="14">
        <v>1</v>
      </c>
      <c r="G1042" s="14">
        <v>0</v>
      </c>
      <c r="H1042" s="14"/>
      <c r="I1042" s="8" t="s">
        <v>38</v>
      </c>
      <c r="J1042" s="8" t="s">
        <v>38</v>
      </c>
      <c r="K1042">
        <v>37.3125</v>
      </c>
      <c r="L1042">
        <v>50.8125</v>
      </c>
      <c r="M1042" s="14">
        <v>12</v>
      </c>
      <c r="N1042" s="14">
        <v>4.375</v>
      </c>
      <c r="R1042" t="str">
        <f t="shared" si="52"/>
        <v xml:space="preserve">XX8X_PV_1699:    Front abuts stile:FALSE       Back abuts stile:TRUE          Panel Section: TOP           Stile in the back Width:            Cutout A:           Cutout B:      F.C.:12 in.         C.C.:4.375 in.   </v>
      </c>
      <c r="S1042" t="str">
        <f t="shared" si="53"/>
        <v>FALSE</v>
      </c>
      <c r="T1042" t="str">
        <f t="shared" si="54"/>
        <v>TRUE</v>
      </c>
    </row>
    <row r="1043" spans="1:20">
      <c r="A1043" t="s">
        <v>1203</v>
      </c>
      <c r="B1043" s="14" t="s">
        <v>144</v>
      </c>
      <c r="C1043" s="14" t="s">
        <v>156</v>
      </c>
      <c r="D1043" s="14">
        <v>0</v>
      </c>
      <c r="E1043" s="14"/>
      <c r="F1043" s="14">
        <v>1</v>
      </c>
      <c r="G1043" s="14">
        <v>1</v>
      </c>
      <c r="H1043" s="14"/>
      <c r="I1043" s="8" t="s">
        <v>38</v>
      </c>
      <c r="J1043" s="8" t="s">
        <v>38</v>
      </c>
      <c r="K1043">
        <v>25.6875</v>
      </c>
      <c r="L1043">
        <v>62.4375</v>
      </c>
      <c r="M1043" s="14">
        <v>9</v>
      </c>
      <c r="N1043" s="14">
        <v>1</v>
      </c>
      <c r="R1043" t="str">
        <f t="shared" si="52"/>
        <v xml:space="preserve">XX8X_PV_1700:    Front abuts stile:FALSE       Back abuts stile:TRUE          Panel Section: TOP           Stile in the back Width:            Cutout A:           Cutout B:      F.C.:9 in.         C.C.:1 in.   </v>
      </c>
      <c r="S1043" t="str">
        <f t="shared" si="53"/>
        <v>FALSE</v>
      </c>
      <c r="T1043" t="str">
        <f t="shared" si="54"/>
        <v>TRUE</v>
      </c>
    </row>
    <row r="1044" spans="1:20">
      <c r="A1044" t="s">
        <v>1204</v>
      </c>
      <c r="B1044" s="14" t="s">
        <v>144</v>
      </c>
      <c r="C1044" s="14" t="s">
        <v>156</v>
      </c>
      <c r="D1044" s="14">
        <v>1</v>
      </c>
      <c r="E1044" s="14">
        <v>0</v>
      </c>
      <c r="F1044" s="14">
        <v>0</v>
      </c>
      <c r="G1044" s="14"/>
      <c r="H1044" s="14"/>
      <c r="I1044" s="8" t="s">
        <v>148</v>
      </c>
      <c r="J1044" s="8" t="s">
        <v>38</v>
      </c>
      <c r="K1044">
        <v>19.25</v>
      </c>
      <c r="L1044">
        <v>58.3125</v>
      </c>
      <c r="M1044" s="14">
        <v>12</v>
      </c>
      <c r="N1044" s="14">
        <v>3.1875</v>
      </c>
      <c r="R1044" t="str">
        <f t="shared" si="52"/>
        <v xml:space="preserve">XX8X_PV_1701:    Front abuts stile:TRUE       Back abuts stile:FALSE          Panel Section: TOP           Stile in the back Width:            Cutout A: B-3471          Cutout B:      F.C.:12 in.         C.C.:3.1875 in.   </v>
      </c>
      <c r="S1044" t="str">
        <f t="shared" si="53"/>
        <v>TRUE</v>
      </c>
      <c r="T1044" t="str">
        <f t="shared" si="54"/>
        <v>FALSE</v>
      </c>
    </row>
    <row r="1045" spans="1:20">
      <c r="A1045" t="s">
        <v>1205</v>
      </c>
      <c r="B1045" s="14" t="s">
        <v>144</v>
      </c>
      <c r="C1045" s="14" t="s">
        <v>156</v>
      </c>
      <c r="D1045" s="14">
        <v>1</v>
      </c>
      <c r="E1045" s="14">
        <v>0</v>
      </c>
      <c r="F1045" s="14">
        <v>1</v>
      </c>
      <c r="G1045" s="14">
        <v>0</v>
      </c>
      <c r="H1045" s="14">
        <v>12</v>
      </c>
      <c r="I1045" s="8" t="s">
        <v>38</v>
      </c>
      <c r="J1045" s="8" t="s">
        <v>38</v>
      </c>
      <c r="K1045">
        <v>42.6875</v>
      </c>
      <c r="L1045">
        <v>6.0625</v>
      </c>
      <c r="M1045" s="14">
        <v>4.5</v>
      </c>
      <c r="N1045" s="14" t="s">
        <v>38</v>
      </c>
      <c r="R1045" t="str">
        <f t="shared" si="52"/>
        <v xml:space="preserve">XX8X_PV_1702:    Front abuts stile:TRUE       Back abuts stile:TRUE          Panel Section: TOP           Stile in the back Width: 12           Cutout A:           Cutout B:      F.C.:4.5 in.         C.C.: in.   </v>
      </c>
      <c r="S1045" t="str">
        <f t="shared" si="53"/>
        <v>TRUE</v>
      </c>
      <c r="T1045" t="str">
        <f t="shared" si="54"/>
        <v>TRUE</v>
      </c>
    </row>
    <row r="1046" spans="1:20">
      <c r="A1046" t="s">
        <v>1206</v>
      </c>
      <c r="B1046" s="14" t="s">
        <v>144</v>
      </c>
      <c r="C1046" s="14" t="s">
        <v>156</v>
      </c>
      <c r="D1046" s="14">
        <v>1</v>
      </c>
      <c r="E1046" s="14">
        <v>0</v>
      </c>
      <c r="F1046" s="14">
        <v>1</v>
      </c>
      <c r="G1046" s="14">
        <v>0</v>
      </c>
      <c r="H1046" s="14">
        <v>24</v>
      </c>
      <c r="I1046" s="8" t="s">
        <v>38</v>
      </c>
      <c r="J1046" s="8" t="s">
        <v>38</v>
      </c>
      <c r="K1046">
        <v>33.375</v>
      </c>
      <c r="L1046">
        <v>9.1875</v>
      </c>
      <c r="M1046" s="14">
        <v>9</v>
      </c>
      <c r="N1046" s="14" t="s">
        <v>38</v>
      </c>
      <c r="R1046" t="str">
        <f t="shared" si="52"/>
        <v xml:space="preserve">XX8X_PV_1703:    Front abuts stile:TRUE       Back abuts stile:TRUE          Panel Section: TOP           Stile in the back Width: 24           Cutout A:           Cutout B:      F.C.:9 in.         C.C.: in.   </v>
      </c>
      <c r="S1046" t="str">
        <f t="shared" si="53"/>
        <v>TRUE</v>
      </c>
      <c r="T1046" t="str">
        <f t="shared" si="54"/>
        <v>TRUE</v>
      </c>
    </row>
    <row r="1047" spans="1:20">
      <c r="A1047" t="s">
        <v>1207</v>
      </c>
      <c r="B1047" s="14" t="s">
        <v>144</v>
      </c>
      <c r="C1047" s="14" t="s">
        <v>156</v>
      </c>
      <c r="D1047" s="14">
        <v>1</v>
      </c>
      <c r="E1047" s="14">
        <v>0</v>
      </c>
      <c r="F1047" s="14">
        <v>1</v>
      </c>
      <c r="G1047" s="14">
        <v>0</v>
      </c>
      <c r="H1047" s="14"/>
      <c r="I1047" s="8" t="s">
        <v>38</v>
      </c>
      <c r="J1047" s="8" t="s">
        <v>38</v>
      </c>
      <c r="K1047">
        <v>42.4375</v>
      </c>
      <c r="L1047">
        <v>55.9375</v>
      </c>
      <c r="M1047" s="14">
        <v>4.5</v>
      </c>
      <c r="N1047" s="14">
        <v>6.5</v>
      </c>
      <c r="R1047" t="str">
        <f t="shared" si="52"/>
        <v xml:space="preserve">XX8X_PV_1704:    Front abuts stile:TRUE       Back abuts stile:TRUE          Panel Section: TOP           Stile in the back Width:            Cutout A:           Cutout B:      F.C.:4.5 in.         C.C.:6.5 in.   </v>
      </c>
      <c r="S1047" t="str">
        <f t="shared" si="53"/>
        <v>TRUE</v>
      </c>
      <c r="T1047" t="str">
        <f t="shared" si="54"/>
        <v>TRUE</v>
      </c>
    </row>
    <row r="1048" spans="1:20">
      <c r="A1048" t="s">
        <v>1208</v>
      </c>
      <c r="B1048" s="14" t="s">
        <v>144</v>
      </c>
      <c r="C1048" s="14" t="s">
        <v>156</v>
      </c>
      <c r="D1048" s="14">
        <v>1</v>
      </c>
      <c r="E1048" s="14">
        <v>0</v>
      </c>
      <c r="F1048" s="14">
        <v>1</v>
      </c>
      <c r="G1048" s="14">
        <v>1</v>
      </c>
      <c r="H1048" s="14"/>
      <c r="I1048" s="8" t="s">
        <v>38</v>
      </c>
      <c r="J1048" s="8" t="s">
        <v>38</v>
      </c>
      <c r="K1048">
        <v>49.25</v>
      </c>
      <c r="L1048">
        <v>53.875</v>
      </c>
      <c r="M1048" s="14">
        <v>9</v>
      </c>
      <c r="N1048" s="14">
        <v>1</v>
      </c>
      <c r="R1048" t="str">
        <f t="shared" si="52"/>
        <v xml:space="preserve">XX8X_PV_1705:    Front abuts stile:TRUE       Back abuts stile:TRUE          Panel Section: TOP           Stile in the back Width:            Cutout A:           Cutout B:      F.C.:9 in.         C.C.:1 in.   </v>
      </c>
      <c r="S1048" t="str">
        <f t="shared" si="53"/>
        <v>TRUE</v>
      </c>
      <c r="T1048" t="str">
        <f t="shared" si="54"/>
        <v>TRUE</v>
      </c>
    </row>
    <row r="1049" spans="1:20">
      <c r="A1049" t="s">
        <v>1209</v>
      </c>
      <c r="B1049" s="14" t="s">
        <v>144</v>
      </c>
      <c r="C1049" s="14" t="s">
        <v>156</v>
      </c>
      <c r="D1049" s="14">
        <v>1</v>
      </c>
      <c r="E1049" s="14">
        <v>1</v>
      </c>
      <c r="F1049" s="14">
        <v>0</v>
      </c>
      <c r="G1049" s="14"/>
      <c r="H1049" s="14"/>
      <c r="I1049" s="8" t="s">
        <v>38</v>
      </c>
      <c r="J1049" s="8" t="s">
        <v>38</v>
      </c>
      <c r="K1049">
        <v>18.125</v>
      </c>
      <c r="L1049">
        <v>66.4375</v>
      </c>
      <c r="M1049" s="14">
        <v>2.0625</v>
      </c>
      <c r="N1049" s="14" t="s">
        <v>38</v>
      </c>
      <c r="R1049" t="str">
        <f t="shared" si="52"/>
        <v xml:space="preserve">XX8X_PV_1706:    Front abuts stile:TRUE       Back abuts stile:FALSE          Panel Section: TOP           Stile in the back Width:            Cutout A:           Cutout B:      F.C.:2.0625 in.         C.C.: in.   </v>
      </c>
      <c r="S1049" t="str">
        <f t="shared" si="53"/>
        <v>TRUE</v>
      </c>
      <c r="T1049" t="str">
        <f t="shared" si="54"/>
        <v>FALSE</v>
      </c>
    </row>
    <row r="1050" spans="1:20">
      <c r="A1050" t="s">
        <v>1210</v>
      </c>
      <c r="B1050" s="14" t="s">
        <v>144</v>
      </c>
      <c r="C1050" s="14" t="s">
        <v>156</v>
      </c>
      <c r="D1050" s="14">
        <v>1</v>
      </c>
      <c r="E1050" s="14">
        <v>1</v>
      </c>
      <c r="F1050" s="14">
        <v>1</v>
      </c>
      <c r="G1050" s="14">
        <v>0</v>
      </c>
      <c r="H1050" s="14">
        <v>12</v>
      </c>
      <c r="I1050" s="8" t="s">
        <v>38</v>
      </c>
      <c r="J1050" s="8" t="s">
        <v>38</v>
      </c>
      <c r="K1050">
        <v>41.4375</v>
      </c>
      <c r="L1050">
        <v>40.25</v>
      </c>
      <c r="M1050" s="14">
        <v>12</v>
      </c>
      <c r="N1050" s="14">
        <v>1</v>
      </c>
      <c r="R1050" t="str">
        <f t="shared" si="52"/>
        <v xml:space="preserve">XX8X_PV_1707:    Front abuts stile:TRUE       Back abuts stile:TRUE          Panel Section: TOP           Stile in the back Width: 12           Cutout A:           Cutout B:      F.C.:12 in.         C.C.:1 in.   </v>
      </c>
      <c r="S1050" t="str">
        <f t="shared" si="53"/>
        <v>TRUE</v>
      </c>
      <c r="T1050" t="str">
        <f t="shared" si="54"/>
        <v>TRUE</v>
      </c>
    </row>
    <row r="1051" spans="1:20">
      <c r="A1051" t="s">
        <v>1211</v>
      </c>
      <c r="B1051" s="14" t="s">
        <v>144</v>
      </c>
      <c r="C1051" s="14" t="s">
        <v>156</v>
      </c>
      <c r="D1051" s="14">
        <v>1</v>
      </c>
      <c r="E1051" s="14">
        <v>1</v>
      </c>
      <c r="F1051" s="14">
        <v>1</v>
      </c>
      <c r="G1051" s="14">
        <v>0</v>
      </c>
      <c r="H1051" s="14">
        <v>24</v>
      </c>
      <c r="I1051" s="8" t="s">
        <v>120</v>
      </c>
      <c r="J1051" s="8" t="s">
        <v>38</v>
      </c>
      <c r="K1051">
        <v>36.875</v>
      </c>
      <c r="L1051">
        <v>78.125</v>
      </c>
      <c r="M1051" s="14">
        <v>9</v>
      </c>
      <c r="N1051" s="14" t="s">
        <v>38</v>
      </c>
      <c r="R1051" t="str">
        <f t="shared" si="52"/>
        <v xml:space="preserve">XX8X_PV_1708:    Front abuts stile:TRUE       Back abuts stile:TRUE          Panel Section: TOP           Stile in the back Width: 24           Cutout A: B-386          Cutout B:      F.C.:9 in.         C.C.: in.   </v>
      </c>
      <c r="S1051" t="str">
        <f t="shared" si="53"/>
        <v>TRUE</v>
      </c>
      <c r="T1051" t="str">
        <f t="shared" si="54"/>
        <v>TRUE</v>
      </c>
    </row>
    <row r="1052" spans="1:20">
      <c r="A1052" t="s">
        <v>1212</v>
      </c>
      <c r="B1052" s="14" t="s">
        <v>144</v>
      </c>
      <c r="C1052" s="14" t="s">
        <v>156</v>
      </c>
      <c r="D1052" s="14">
        <v>1</v>
      </c>
      <c r="E1052" s="14">
        <v>1</v>
      </c>
      <c r="F1052" s="14">
        <v>1</v>
      </c>
      <c r="G1052" s="14">
        <v>0</v>
      </c>
      <c r="H1052" s="14"/>
      <c r="I1052" s="8" t="s">
        <v>38</v>
      </c>
      <c r="J1052" s="8" t="s">
        <v>38</v>
      </c>
      <c r="K1052">
        <v>45.3125</v>
      </c>
      <c r="L1052">
        <v>61.625</v>
      </c>
      <c r="M1052" s="14">
        <v>4.5</v>
      </c>
      <c r="N1052" s="14">
        <v>2.3125</v>
      </c>
      <c r="R1052" t="str">
        <f t="shared" si="52"/>
        <v xml:space="preserve">XX8X_PV_1709:    Front abuts stile:TRUE       Back abuts stile:TRUE          Panel Section: TOP           Stile in the back Width:            Cutout A:           Cutout B:      F.C.:4.5 in.         C.C.:2.3125 in.   </v>
      </c>
      <c r="S1052" t="str">
        <f t="shared" si="53"/>
        <v>TRUE</v>
      </c>
      <c r="T1052" t="str">
        <f t="shared" si="54"/>
        <v>TRUE</v>
      </c>
    </row>
    <row r="1053" spans="1:20">
      <c r="A1053" t="s">
        <v>1213</v>
      </c>
      <c r="B1053" s="14" t="s">
        <v>144</v>
      </c>
      <c r="C1053" s="14" t="s">
        <v>156</v>
      </c>
      <c r="D1053" s="14">
        <v>1</v>
      </c>
      <c r="E1053" s="14">
        <v>1</v>
      </c>
      <c r="F1053" s="14">
        <v>1</v>
      </c>
      <c r="G1053" s="14">
        <v>1</v>
      </c>
      <c r="H1053" s="14"/>
      <c r="I1053" s="8" t="s">
        <v>38</v>
      </c>
      <c r="J1053" s="8" t="s">
        <v>38</v>
      </c>
      <c r="K1053">
        <v>47.9375</v>
      </c>
      <c r="L1053">
        <v>52.4375</v>
      </c>
      <c r="M1053" s="14">
        <v>9</v>
      </c>
      <c r="N1053" s="14" t="s">
        <v>38</v>
      </c>
      <c r="R1053" t="str">
        <f t="shared" si="52"/>
        <v xml:space="preserve">XX8X_PV_1710:    Front abuts stile:TRUE       Back abuts stile:TRUE          Panel Section: TOP           Stile in the back Width:            Cutout A:           Cutout B:      F.C.:9 in.         C.C.: in.   </v>
      </c>
      <c r="S1053" t="str">
        <f t="shared" si="53"/>
        <v>TRUE</v>
      </c>
      <c r="T1053" t="str">
        <f t="shared" si="54"/>
        <v>TRUE</v>
      </c>
    </row>
    <row r="1054" spans="1:20">
      <c r="A1054" t="s">
        <v>1214</v>
      </c>
      <c r="B1054" s="14" t="s">
        <v>144</v>
      </c>
      <c r="C1054" s="14" t="s">
        <v>157</v>
      </c>
      <c r="D1054" s="14">
        <v>0</v>
      </c>
      <c r="E1054" s="14"/>
      <c r="F1054" s="14">
        <v>0</v>
      </c>
      <c r="G1054" s="14"/>
      <c r="H1054" s="14"/>
      <c r="I1054" s="8" t="s">
        <v>38</v>
      </c>
      <c r="J1054" s="8" t="s">
        <v>38</v>
      </c>
      <c r="K1054">
        <v>60</v>
      </c>
      <c r="L1054">
        <v>24.1875</v>
      </c>
      <c r="M1054" s="14">
        <v>11.25</v>
      </c>
      <c r="N1054" s="14" t="s">
        <v>38</v>
      </c>
      <c r="R1054" t="str">
        <f t="shared" si="52"/>
        <v xml:space="preserve">XX8X_PV_1711:    Front abuts stile:FALSE       Back abuts stile:FALSE          Panel Section: BOTTOM           Stile in the back Width:            Cutout A:           Cutout B:      F.C.:11.25 in.         C.C.: in.   </v>
      </c>
      <c r="S1054" t="str">
        <f t="shared" si="53"/>
        <v>FALSE</v>
      </c>
      <c r="T1054" t="str">
        <f t="shared" si="54"/>
        <v>FALSE</v>
      </c>
    </row>
    <row r="1055" spans="1:20">
      <c r="A1055" t="s">
        <v>1215</v>
      </c>
      <c r="B1055" s="14" t="s">
        <v>144</v>
      </c>
      <c r="C1055" s="14" t="s">
        <v>157</v>
      </c>
      <c r="D1055" s="14">
        <v>0</v>
      </c>
      <c r="E1055" s="14"/>
      <c r="F1055" s="14">
        <v>1</v>
      </c>
      <c r="G1055" s="14">
        <v>0</v>
      </c>
      <c r="H1055" s="14">
        <v>12</v>
      </c>
      <c r="I1055" s="8" t="s">
        <v>120</v>
      </c>
      <c r="J1055" s="8" t="s">
        <v>38</v>
      </c>
      <c r="K1055">
        <v>60</v>
      </c>
      <c r="L1055">
        <v>67.25</v>
      </c>
      <c r="M1055" s="14">
        <v>10.125</v>
      </c>
      <c r="N1055" s="14">
        <v>1</v>
      </c>
      <c r="R1055" t="str">
        <f t="shared" si="52"/>
        <v xml:space="preserve">XX8X_PV_1712:    Front abuts stile:FALSE       Back abuts stile:TRUE          Panel Section: BOTTOM           Stile in the back Width: 12           Cutout A: B-386          Cutout B:      F.C.:10.125 in.         C.C.:1 in.   </v>
      </c>
      <c r="S1055" t="str">
        <f t="shared" si="53"/>
        <v>FALSE</v>
      </c>
      <c r="T1055" t="str">
        <f t="shared" si="54"/>
        <v>TRUE</v>
      </c>
    </row>
    <row r="1056" spans="1:20">
      <c r="A1056" t="s">
        <v>1216</v>
      </c>
      <c r="B1056" s="14" t="s">
        <v>144</v>
      </c>
      <c r="C1056" s="14" t="s">
        <v>157</v>
      </c>
      <c r="D1056" s="14">
        <v>0</v>
      </c>
      <c r="E1056" s="14"/>
      <c r="F1056" s="14">
        <v>1</v>
      </c>
      <c r="G1056" s="14">
        <v>0</v>
      </c>
      <c r="H1056" s="14">
        <v>24</v>
      </c>
      <c r="I1056" s="8" t="s">
        <v>148</v>
      </c>
      <c r="J1056" s="8" t="s">
        <v>38</v>
      </c>
      <c r="K1056">
        <v>60</v>
      </c>
      <c r="L1056">
        <v>61.5</v>
      </c>
      <c r="M1056" s="14">
        <v>2.75</v>
      </c>
      <c r="N1056" s="14">
        <v>2.5</v>
      </c>
      <c r="R1056" t="str">
        <f t="shared" si="52"/>
        <v xml:space="preserve">XX8X_PV_1713:    Front abuts stile:FALSE       Back abuts stile:TRUE          Panel Section: BOTTOM           Stile in the back Width: 24           Cutout A: B-3471          Cutout B:      F.C.:2.75 in.         C.C.:2.5 in.   </v>
      </c>
      <c r="S1056" t="str">
        <f t="shared" si="53"/>
        <v>FALSE</v>
      </c>
      <c r="T1056" t="str">
        <f t="shared" si="54"/>
        <v>TRUE</v>
      </c>
    </row>
    <row r="1057" spans="1:20">
      <c r="A1057" t="s">
        <v>1217</v>
      </c>
      <c r="B1057" s="14" t="s">
        <v>144</v>
      </c>
      <c r="C1057" s="14" t="s">
        <v>157</v>
      </c>
      <c r="D1057" s="14">
        <v>0</v>
      </c>
      <c r="E1057" s="14"/>
      <c r="F1057" s="14">
        <v>1</v>
      </c>
      <c r="G1057" s="14">
        <v>0</v>
      </c>
      <c r="H1057" s="14"/>
      <c r="I1057" s="8" t="s">
        <v>38</v>
      </c>
      <c r="J1057" s="8" t="s">
        <v>38</v>
      </c>
      <c r="K1057">
        <v>60</v>
      </c>
      <c r="L1057">
        <v>42.6875</v>
      </c>
      <c r="M1057" s="14">
        <v>2</v>
      </c>
      <c r="N1057" s="14">
        <v>1.5</v>
      </c>
      <c r="R1057" t="str">
        <f t="shared" si="52"/>
        <v xml:space="preserve">XX8X_PV_1714:    Front abuts stile:FALSE       Back abuts stile:TRUE          Panel Section: BOTTOM           Stile in the back Width:            Cutout A:           Cutout B:      F.C.:2 in.         C.C.:1.5 in.   </v>
      </c>
      <c r="S1057" t="str">
        <f t="shared" si="53"/>
        <v>FALSE</v>
      </c>
      <c r="T1057" t="str">
        <f t="shared" si="54"/>
        <v>TRUE</v>
      </c>
    </row>
    <row r="1058" spans="1:20">
      <c r="A1058" t="s">
        <v>1218</v>
      </c>
      <c r="B1058" s="14" t="s">
        <v>144</v>
      </c>
      <c r="C1058" s="14" t="s">
        <v>157</v>
      </c>
      <c r="D1058" s="14">
        <v>0</v>
      </c>
      <c r="E1058" s="14"/>
      <c r="F1058" s="14">
        <v>1</v>
      </c>
      <c r="G1058" s="14">
        <v>1</v>
      </c>
      <c r="H1058" s="14"/>
      <c r="I1058" s="8" t="s">
        <v>38</v>
      </c>
      <c r="J1058" s="8" t="s">
        <v>38</v>
      </c>
      <c r="K1058">
        <v>60</v>
      </c>
      <c r="L1058">
        <v>62.5625</v>
      </c>
      <c r="M1058" s="14">
        <v>7.625</v>
      </c>
      <c r="N1058" s="14" t="s">
        <v>38</v>
      </c>
      <c r="R1058" t="str">
        <f t="shared" si="52"/>
        <v xml:space="preserve">XX8X_PV_1715:    Front abuts stile:FALSE       Back abuts stile:TRUE          Panel Section: BOTTOM           Stile in the back Width:            Cutout A:           Cutout B:      F.C.:7.625 in.         C.C.: in.   </v>
      </c>
      <c r="S1058" t="str">
        <f t="shared" si="53"/>
        <v>FALSE</v>
      </c>
      <c r="T1058" t="str">
        <f t="shared" si="54"/>
        <v>TRUE</v>
      </c>
    </row>
    <row r="1059" spans="1:20">
      <c r="A1059" t="s">
        <v>1219</v>
      </c>
      <c r="B1059" s="14" t="s">
        <v>144</v>
      </c>
      <c r="C1059" s="14" t="s">
        <v>157</v>
      </c>
      <c r="D1059" s="14">
        <v>1</v>
      </c>
      <c r="E1059" s="14">
        <v>0</v>
      </c>
      <c r="F1059" s="14">
        <v>0</v>
      </c>
      <c r="G1059" s="14"/>
      <c r="H1059" s="14"/>
      <c r="I1059" s="8" t="s">
        <v>38</v>
      </c>
      <c r="J1059" s="8" t="s">
        <v>38</v>
      </c>
      <c r="K1059">
        <v>60</v>
      </c>
      <c r="L1059">
        <v>75.1875</v>
      </c>
      <c r="M1059" s="14">
        <v>3</v>
      </c>
      <c r="N1059" s="14" t="s">
        <v>38</v>
      </c>
      <c r="R1059" t="str">
        <f t="shared" si="52"/>
        <v xml:space="preserve">XX8X_PV_1716:    Front abuts stile:TRUE       Back abuts stile:FALSE          Panel Section: BOTTOM           Stile in the back Width:            Cutout A:           Cutout B:      F.C.:3 in.         C.C.: in.   </v>
      </c>
      <c r="S1059" t="str">
        <f t="shared" si="53"/>
        <v>TRUE</v>
      </c>
      <c r="T1059" t="str">
        <f t="shared" si="54"/>
        <v>FALSE</v>
      </c>
    </row>
    <row r="1060" spans="1:20">
      <c r="A1060" t="s">
        <v>1220</v>
      </c>
      <c r="B1060" s="14" t="s">
        <v>144</v>
      </c>
      <c r="C1060" s="14" t="s">
        <v>157</v>
      </c>
      <c r="D1060" s="14">
        <v>1</v>
      </c>
      <c r="E1060" s="14">
        <v>0</v>
      </c>
      <c r="F1060" s="14">
        <v>1</v>
      </c>
      <c r="G1060" s="14">
        <v>0</v>
      </c>
      <c r="H1060" s="14">
        <v>12</v>
      </c>
      <c r="I1060" s="8" t="s">
        <v>151</v>
      </c>
      <c r="J1060" s="8" t="s">
        <v>38</v>
      </c>
      <c r="K1060">
        <v>60</v>
      </c>
      <c r="L1060">
        <v>56.75</v>
      </c>
      <c r="M1060" s="14">
        <v>12</v>
      </c>
      <c r="N1060" s="14" t="s">
        <v>38</v>
      </c>
      <c r="R1060" t="str">
        <f t="shared" si="52"/>
        <v xml:space="preserve">XX8X_PV_1717:    Front abuts stile:TRUE       Back abuts stile:TRUE          Panel Section: BOTTOM           Stile in the back Width: 12           Cutout A: B-35715          Cutout B:      F.C.:12 in.         C.C.: in.   </v>
      </c>
      <c r="S1060" t="str">
        <f t="shared" si="53"/>
        <v>TRUE</v>
      </c>
      <c r="T1060" t="str">
        <f t="shared" si="54"/>
        <v>TRUE</v>
      </c>
    </row>
    <row r="1061" spans="1:20">
      <c r="A1061" t="s">
        <v>1221</v>
      </c>
      <c r="B1061" s="14" t="s">
        <v>144</v>
      </c>
      <c r="C1061" s="14" t="s">
        <v>157</v>
      </c>
      <c r="D1061" s="14">
        <v>1</v>
      </c>
      <c r="E1061" s="14">
        <v>0</v>
      </c>
      <c r="F1061" s="14">
        <v>1</v>
      </c>
      <c r="G1061" s="14">
        <v>0</v>
      </c>
      <c r="H1061" s="14">
        <v>24</v>
      </c>
      <c r="I1061" s="8" t="s">
        <v>38</v>
      </c>
      <c r="J1061" s="8" t="s">
        <v>38</v>
      </c>
      <c r="K1061">
        <v>60</v>
      </c>
      <c r="L1061">
        <v>62</v>
      </c>
      <c r="M1061" s="14">
        <v>9</v>
      </c>
      <c r="N1061" s="14">
        <v>7</v>
      </c>
      <c r="R1061" t="str">
        <f t="shared" si="52"/>
        <v xml:space="preserve">XX8X_PV_1718:    Front abuts stile:TRUE       Back abuts stile:TRUE          Panel Section: BOTTOM           Stile in the back Width: 24           Cutout A:           Cutout B:      F.C.:9 in.         C.C.:7 in.   </v>
      </c>
      <c r="S1061" t="str">
        <f t="shared" si="53"/>
        <v>TRUE</v>
      </c>
      <c r="T1061" t="str">
        <f t="shared" si="54"/>
        <v>TRUE</v>
      </c>
    </row>
    <row r="1062" spans="1:20">
      <c r="A1062" t="s">
        <v>1222</v>
      </c>
      <c r="B1062" s="14" t="s">
        <v>144</v>
      </c>
      <c r="C1062" s="14" t="s">
        <v>157</v>
      </c>
      <c r="D1062" s="14">
        <v>1</v>
      </c>
      <c r="E1062" s="14">
        <v>0</v>
      </c>
      <c r="F1062" s="14">
        <v>1</v>
      </c>
      <c r="G1062" s="14">
        <v>0</v>
      </c>
      <c r="H1062" s="14"/>
      <c r="I1062" s="8" t="s">
        <v>38</v>
      </c>
      <c r="J1062" s="8" t="s">
        <v>38</v>
      </c>
      <c r="K1062">
        <v>60</v>
      </c>
      <c r="L1062">
        <v>72.5</v>
      </c>
      <c r="M1062" s="14">
        <v>9</v>
      </c>
      <c r="N1062" s="14">
        <v>5</v>
      </c>
      <c r="R1062" t="str">
        <f t="shared" si="52"/>
        <v xml:space="preserve">XX8X_PV_1719:    Front abuts stile:TRUE       Back abuts stile:TRUE          Panel Section: BOTTOM           Stile in the back Width:            Cutout A:           Cutout B:      F.C.:9 in.         C.C.:5 in.   </v>
      </c>
      <c r="S1062" t="str">
        <f t="shared" si="53"/>
        <v>TRUE</v>
      </c>
      <c r="T1062" t="str">
        <f t="shared" si="54"/>
        <v>TRUE</v>
      </c>
    </row>
    <row r="1063" spans="1:20">
      <c r="A1063" t="s">
        <v>1223</v>
      </c>
      <c r="B1063" s="14" t="s">
        <v>144</v>
      </c>
      <c r="C1063" s="14" t="s">
        <v>157</v>
      </c>
      <c r="D1063" s="14">
        <v>1</v>
      </c>
      <c r="E1063" s="14">
        <v>0</v>
      </c>
      <c r="F1063" s="14">
        <v>1</v>
      </c>
      <c r="G1063" s="14">
        <v>1</v>
      </c>
      <c r="H1063" s="14"/>
      <c r="I1063" s="8" t="s">
        <v>38</v>
      </c>
      <c r="J1063" s="8" t="s">
        <v>38</v>
      </c>
      <c r="K1063">
        <v>60</v>
      </c>
      <c r="L1063">
        <v>65.5</v>
      </c>
      <c r="M1063" s="14">
        <v>1</v>
      </c>
      <c r="N1063" s="14" t="s">
        <v>38</v>
      </c>
      <c r="R1063" t="str">
        <f t="shared" si="52"/>
        <v xml:space="preserve">XX8X_PV_1720:    Front abuts stile:TRUE       Back abuts stile:TRUE          Panel Section: BOTTOM           Stile in the back Width:            Cutout A:           Cutout B:      F.C.:1 in.         C.C.: in.   </v>
      </c>
      <c r="S1063" t="str">
        <f t="shared" si="53"/>
        <v>TRUE</v>
      </c>
      <c r="T1063" t="str">
        <f t="shared" si="54"/>
        <v>TRUE</v>
      </c>
    </row>
    <row r="1064" spans="1:20">
      <c r="A1064" t="s">
        <v>1224</v>
      </c>
      <c r="B1064" s="14" t="s">
        <v>144</v>
      </c>
      <c r="C1064" s="14" t="s">
        <v>157</v>
      </c>
      <c r="D1064" s="14">
        <v>1</v>
      </c>
      <c r="E1064" s="14">
        <v>1</v>
      </c>
      <c r="F1064" s="14">
        <v>0</v>
      </c>
      <c r="G1064" s="14"/>
      <c r="H1064" s="14"/>
      <c r="I1064" s="8" t="s">
        <v>149</v>
      </c>
      <c r="J1064" s="8" t="s">
        <v>38</v>
      </c>
      <c r="K1064">
        <v>60</v>
      </c>
      <c r="L1064">
        <v>69.375</v>
      </c>
      <c r="M1064" s="14">
        <v>12</v>
      </c>
      <c r="N1064" s="14">
        <v>7.5</v>
      </c>
      <c r="R1064" t="str">
        <f t="shared" si="52"/>
        <v xml:space="preserve">XX8X_PV_1721:    Front abuts stile:TRUE       Back abuts stile:FALSE          Panel Section: BOTTOM           Stile in the back Width:            Cutout A: B-34715          Cutout B:      F.C.:12 in.         C.C.:7.5 in.   </v>
      </c>
      <c r="S1064" t="str">
        <f t="shared" si="53"/>
        <v>TRUE</v>
      </c>
      <c r="T1064" t="str">
        <f t="shared" si="54"/>
        <v>FALSE</v>
      </c>
    </row>
    <row r="1065" spans="1:20">
      <c r="A1065" t="s">
        <v>1225</v>
      </c>
      <c r="B1065" s="14" t="s">
        <v>144</v>
      </c>
      <c r="C1065" s="14" t="s">
        <v>157</v>
      </c>
      <c r="D1065" s="14">
        <v>1</v>
      </c>
      <c r="E1065" s="14">
        <v>1</v>
      </c>
      <c r="F1065" s="14">
        <v>1</v>
      </c>
      <c r="G1065" s="14">
        <v>0</v>
      </c>
      <c r="H1065" s="14">
        <v>12</v>
      </c>
      <c r="I1065" s="8" t="s">
        <v>145</v>
      </c>
      <c r="J1065" s="8" t="s">
        <v>38</v>
      </c>
      <c r="K1065">
        <v>60</v>
      </c>
      <c r="L1065">
        <v>67.6875</v>
      </c>
      <c r="M1065" s="14">
        <v>12</v>
      </c>
      <c r="N1065" s="14">
        <v>1</v>
      </c>
      <c r="R1065" t="str">
        <f t="shared" si="52"/>
        <v xml:space="preserve">XX8X_PV_1722:    Front abuts stile:TRUE       Back abuts stile:TRUE          Panel Section: BOTTOM           Stile in the back Width: 12           Cutout A: B-347          Cutout B:      F.C.:12 in.         C.C.:1 in.   </v>
      </c>
      <c r="S1065" t="str">
        <f t="shared" si="53"/>
        <v>TRUE</v>
      </c>
      <c r="T1065" t="str">
        <f t="shared" si="54"/>
        <v>TRUE</v>
      </c>
    </row>
    <row r="1066" spans="1:20">
      <c r="A1066" t="s">
        <v>1226</v>
      </c>
      <c r="B1066" s="14" t="s">
        <v>144</v>
      </c>
      <c r="C1066" s="14" t="s">
        <v>157</v>
      </c>
      <c r="D1066" s="14">
        <v>1</v>
      </c>
      <c r="E1066" s="14">
        <v>1</v>
      </c>
      <c r="F1066" s="14">
        <v>1</v>
      </c>
      <c r="G1066" s="14">
        <v>0</v>
      </c>
      <c r="H1066" s="14">
        <v>24</v>
      </c>
      <c r="I1066" s="8" t="s">
        <v>35</v>
      </c>
      <c r="J1066" s="8" t="s">
        <v>38</v>
      </c>
      <c r="K1066">
        <v>60</v>
      </c>
      <c r="L1066">
        <v>59.3125</v>
      </c>
      <c r="M1066" s="14">
        <v>4.5</v>
      </c>
      <c r="N1066" s="14">
        <v>4.8125</v>
      </c>
      <c r="R1066" t="str">
        <f t="shared" si="52"/>
        <v xml:space="preserve">XX8X_PV_1723:    Front abuts stile:TRUE       Back abuts stile:TRUE          Panel Section: BOTTOM           Stile in the back Width: 24           Cutout A: B-357          Cutout B:      F.C.:4.5 in.         C.C.:4.8125 in.   </v>
      </c>
      <c r="S1066" t="str">
        <f t="shared" si="53"/>
        <v>TRUE</v>
      </c>
      <c r="T1066" t="str">
        <f t="shared" si="54"/>
        <v>TRUE</v>
      </c>
    </row>
    <row r="1067" spans="1:20">
      <c r="A1067" t="s">
        <v>1227</v>
      </c>
      <c r="B1067" s="14" t="s">
        <v>144</v>
      </c>
      <c r="C1067" s="14" t="s">
        <v>157</v>
      </c>
      <c r="D1067" s="14">
        <v>1</v>
      </c>
      <c r="E1067" s="14">
        <v>1</v>
      </c>
      <c r="F1067" s="14">
        <v>1</v>
      </c>
      <c r="G1067" s="14">
        <v>0</v>
      </c>
      <c r="H1067" s="14"/>
      <c r="I1067" s="8" t="s">
        <v>38</v>
      </c>
      <c r="J1067" s="8" t="s">
        <v>38</v>
      </c>
      <c r="K1067">
        <v>60</v>
      </c>
      <c r="L1067">
        <v>58.9375</v>
      </c>
      <c r="M1067" s="14">
        <v>12</v>
      </c>
      <c r="N1067" s="14">
        <v>3.25</v>
      </c>
      <c r="R1067" t="str">
        <f t="shared" si="52"/>
        <v xml:space="preserve">XX8X_PV_1724:    Front abuts stile:TRUE       Back abuts stile:TRUE          Panel Section: BOTTOM           Stile in the back Width:            Cutout A:           Cutout B:      F.C.:12 in.         C.C.:3.25 in.   </v>
      </c>
      <c r="S1067" t="str">
        <f t="shared" si="53"/>
        <v>TRUE</v>
      </c>
      <c r="T1067" t="str">
        <f t="shared" si="54"/>
        <v>TRUE</v>
      </c>
    </row>
    <row r="1068" spans="1:20">
      <c r="A1068" t="s">
        <v>1228</v>
      </c>
      <c r="B1068" s="14" t="s">
        <v>144</v>
      </c>
      <c r="C1068" s="14" t="s">
        <v>157</v>
      </c>
      <c r="D1068" s="14">
        <v>1</v>
      </c>
      <c r="E1068" s="14">
        <v>1</v>
      </c>
      <c r="F1068" s="14">
        <v>1</v>
      </c>
      <c r="G1068" s="14">
        <v>1</v>
      </c>
      <c r="H1068" s="14"/>
      <c r="I1068" s="8" t="s">
        <v>38</v>
      </c>
      <c r="J1068" s="8" t="s">
        <v>38</v>
      </c>
      <c r="K1068">
        <v>60</v>
      </c>
      <c r="L1068">
        <v>68.625</v>
      </c>
      <c r="M1068" s="14">
        <v>4.5</v>
      </c>
      <c r="N1068" s="14">
        <v>3</v>
      </c>
      <c r="R1068" t="str">
        <f t="shared" si="52"/>
        <v xml:space="preserve">XX8X_PV_1725:    Front abuts stile:TRUE       Back abuts stile:TRUE          Panel Section: BOTTOM           Stile in the back Width:            Cutout A:           Cutout B:      F.C.:4.5 in.         C.C.:3 in.   </v>
      </c>
      <c r="S1068" t="str">
        <f t="shared" si="53"/>
        <v>TRUE</v>
      </c>
      <c r="T1068" t="str">
        <f t="shared" si="54"/>
        <v>TRUE</v>
      </c>
    </row>
    <row r="1069" spans="1:20">
      <c r="A1069" t="s">
        <v>1229</v>
      </c>
      <c r="B1069" s="14" t="s">
        <v>144</v>
      </c>
      <c r="C1069" s="14" t="s">
        <v>21</v>
      </c>
      <c r="D1069" s="14">
        <v>0</v>
      </c>
      <c r="E1069" s="14"/>
      <c r="F1069" s="14">
        <v>0</v>
      </c>
      <c r="G1069" s="14"/>
      <c r="H1069" s="14"/>
      <c r="I1069" s="8" t="s">
        <v>38</v>
      </c>
      <c r="J1069" s="8" t="s">
        <v>38</v>
      </c>
      <c r="K1069">
        <v>96</v>
      </c>
      <c r="L1069">
        <v>54.9375</v>
      </c>
      <c r="M1069" s="14">
        <v>9</v>
      </c>
      <c r="N1069" s="14">
        <v>1</v>
      </c>
      <c r="R1069" t="str">
        <f t="shared" si="52"/>
        <v xml:space="preserve">XX8X_PV_1726:    Front abuts stile:FALSE       Back abuts stile:FALSE          Panel Section: WHOLE           Stile in the back Width:            Cutout A:           Cutout B:      F.C.:9 in.         C.C.:1 in.   </v>
      </c>
      <c r="S1069" t="str">
        <f t="shared" si="53"/>
        <v>FALSE</v>
      </c>
      <c r="T1069" t="str">
        <f t="shared" si="54"/>
        <v>FALSE</v>
      </c>
    </row>
    <row r="1070" spans="1:20">
      <c r="A1070" t="s">
        <v>1230</v>
      </c>
      <c r="B1070" s="14" t="s">
        <v>144</v>
      </c>
      <c r="C1070" s="14" t="s">
        <v>21</v>
      </c>
      <c r="D1070" s="14">
        <v>0</v>
      </c>
      <c r="E1070" s="14"/>
      <c r="F1070" s="14">
        <v>1</v>
      </c>
      <c r="G1070" s="14">
        <v>0</v>
      </c>
      <c r="H1070" s="14">
        <v>12</v>
      </c>
      <c r="I1070" s="8" t="s">
        <v>38</v>
      </c>
      <c r="J1070" s="8" t="s">
        <v>38</v>
      </c>
      <c r="K1070">
        <v>106.6875</v>
      </c>
      <c r="L1070">
        <v>20.125</v>
      </c>
      <c r="M1070" s="14">
        <v>3.4375</v>
      </c>
      <c r="N1070" s="14" t="s">
        <v>38</v>
      </c>
      <c r="R1070" t="str">
        <f t="shared" si="52"/>
        <v xml:space="preserve">XX8X_PV_1727:    Front abuts stile:FALSE       Back abuts stile:TRUE          Panel Section: WHOLE           Stile in the back Width: 12           Cutout A:           Cutout B:      F.C.:3.4375 in.         C.C.: in.   </v>
      </c>
      <c r="S1070" t="str">
        <f t="shared" si="53"/>
        <v>FALSE</v>
      </c>
      <c r="T1070" t="str">
        <f t="shared" si="54"/>
        <v>TRUE</v>
      </c>
    </row>
    <row r="1071" spans="1:20">
      <c r="A1071" t="s">
        <v>1231</v>
      </c>
      <c r="B1071" s="14" t="s">
        <v>144</v>
      </c>
      <c r="C1071" s="14" t="s">
        <v>21</v>
      </c>
      <c r="D1071" s="14">
        <v>0</v>
      </c>
      <c r="E1071" s="14"/>
      <c r="F1071" s="14">
        <v>1</v>
      </c>
      <c r="G1071" s="14">
        <v>0</v>
      </c>
      <c r="H1071" s="14">
        <v>24</v>
      </c>
      <c r="I1071" s="8" t="s">
        <v>120</v>
      </c>
      <c r="J1071" s="8" t="s">
        <v>38</v>
      </c>
      <c r="K1071">
        <v>55.5625</v>
      </c>
      <c r="L1071">
        <v>72.5625</v>
      </c>
      <c r="M1071" s="14">
        <v>12</v>
      </c>
      <c r="N1071" s="14">
        <v>6.5625</v>
      </c>
      <c r="R1071" t="str">
        <f t="shared" si="52"/>
        <v xml:space="preserve">XX8X_PV_1728:    Front abuts stile:FALSE       Back abuts stile:TRUE          Panel Section: WHOLE           Stile in the back Width: 24           Cutout A: B-386          Cutout B:      F.C.:12 in.         C.C.:6.5625 in.   </v>
      </c>
      <c r="S1071" t="str">
        <f t="shared" si="53"/>
        <v>FALSE</v>
      </c>
      <c r="T1071" t="str">
        <f t="shared" si="54"/>
        <v>TRUE</v>
      </c>
    </row>
    <row r="1072" spans="1:20">
      <c r="A1072" t="s">
        <v>1232</v>
      </c>
      <c r="B1072" s="14" t="s">
        <v>144</v>
      </c>
      <c r="C1072" s="14" t="s">
        <v>21</v>
      </c>
      <c r="D1072" s="14">
        <v>0</v>
      </c>
      <c r="E1072" s="14"/>
      <c r="F1072" s="14">
        <v>1</v>
      </c>
      <c r="G1072" s="14">
        <v>0</v>
      </c>
      <c r="H1072" s="14"/>
      <c r="I1072" s="8" t="s">
        <v>38</v>
      </c>
      <c r="J1072" s="8" t="s">
        <v>38</v>
      </c>
      <c r="K1072">
        <v>105.375</v>
      </c>
      <c r="L1072">
        <v>78.9375</v>
      </c>
      <c r="M1072" s="14">
        <v>1</v>
      </c>
      <c r="N1072" s="14" t="s">
        <v>38</v>
      </c>
      <c r="R1072" t="str">
        <f t="shared" si="52"/>
        <v xml:space="preserve">XX8X_PV_1729:    Front abuts stile:FALSE       Back abuts stile:TRUE          Panel Section: WHOLE           Stile in the back Width:            Cutout A:           Cutout B:      F.C.:1 in.         C.C.: in.   </v>
      </c>
      <c r="S1072" t="str">
        <f t="shared" si="53"/>
        <v>FALSE</v>
      </c>
      <c r="T1072" t="str">
        <f t="shared" si="54"/>
        <v>TRUE</v>
      </c>
    </row>
    <row r="1073" spans="1:20">
      <c r="A1073" t="s">
        <v>1233</v>
      </c>
      <c r="B1073" s="14" t="s">
        <v>144</v>
      </c>
      <c r="C1073" s="14" t="s">
        <v>21</v>
      </c>
      <c r="D1073" s="14">
        <v>0</v>
      </c>
      <c r="E1073" s="14"/>
      <c r="F1073" s="14">
        <v>1</v>
      </c>
      <c r="G1073" s="14">
        <v>1</v>
      </c>
      <c r="H1073" s="14"/>
      <c r="I1073" s="8" t="s">
        <v>38</v>
      </c>
      <c r="J1073" s="8" t="s">
        <v>38</v>
      </c>
      <c r="K1073">
        <v>95.75</v>
      </c>
      <c r="L1073">
        <v>52.5</v>
      </c>
      <c r="M1073" s="14">
        <v>1</v>
      </c>
      <c r="N1073" s="14">
        <v>3.5</v>
      </c>
      <c r="R1073" t="str">
        <f t="shared" si="52"/>
        <v xml:space="preserve">XX8X_PV_1730:    Front abuts stile:FALSE       Back abuts stile:TRUE          Panel Section: WHOLE           Stile in the back Width:            Cutout A:           Cutout B:      F.C.:1 in.         C.C.:3.5 in.   </v>
      </c>
      <c r="S1073" t="str">
        <f t="shared" si="53"/>
        <v>FALSE</v>
      </c>
      <c r="T1073" t="str">
        <f t="shared" si="54"/>
        <v>TRUE</v>
      </c>
    </row>
    <row r="1074" spans="1:20">
      <c r="A1074" t="s">
        <v>1234</v>
      </c>
      <c r="B1074" s="14" t="s">
        <v>144</v>
      </c>
      <c r="C1074" s="14" t="s">
        <v>21</v>
      </c>
      <c r="D1074" s="14">
        <v>1</v>
      </c>
      <c r="E1074" s="14">
        <v>0</v>
      </c>
      <c r="F1074" s="14">
        <v>0</v>
      </c>
      <c r="G1074" s="14"/>
      <c r="H1074" s="14"/>
      <c r="I1074" s="8" t="s">
        <v>38</v>
      </c>
      <c r="J1074" s="8" t="s">
        <v>38</v>
      </c>
      <c r="K1074">
        <v>92</v>
      </c>
      <c r="L1074">
        <v>6.25</v>
      </c>
      <c r="M1074" s="14">
        <v>12</v>
      </c>
      <c r="N1074" s="14" t="s">
        <v>38</v>
      </c>
      <c r="R1074" t="str">
        <f t="shared" si="52"/>
        <v xml:space="preserve">XX8X_PV_1731:    Front abuts stile:TRUE       Back abuts stile:FALSE          Panel Section: WHOLE           Stile in the back Width:            Cutout A:           Cutout B:      F.C.:12 in.         C.C.: in.   </v>
      </c>
      <c r="S1074" t="str">
        <f t="shared" si="53"/>
        <v>TRUE</v>
      </c>
      <c r="T1074" t="str">
        <f t="shared" si="54"/>
        <v>FALSE</v>
      </c>
    </row>
    <row r="1075" spans="1:20">
      <c r="A1075" t="s">
        <v>1235</v>
      </c>
      <c r="B1075" s="14" t="s">
        <v>144</v>
      </c>
      <c r="C1075" s="14" t="s">
        <v>21</v>
      </c>
      <c r="D1075" s="14">
        <v>1</v>
      </c>
      <c r="E1075" s="14">
        <v>0</v>
      </c>
      <c r="F1075" s="14">
        <v>1</v>
      </c>
      <c r="G1075" s="14">
        <v>0</v>
      </c>
      <c r="H1075" s="14">
        <v>12</v>
      </c>
      <c r="I1075" s="8" t="s">
        <v>120</v>
      </c>
      <c r="J1075" s="8" t="s">
        <v>38</v>
      </c>
      <c r="K1075">
        <v>108.25</v>
      </c>
      <c r="L1075">
        <v>47</v>
      </c>
      <c r="M1075" s="14">
        <v>4.5</v>
      </c>
      <c r="N1075" s="14">
        <v>2.1875</v>
      </c>
      <c r="R1075" t="str">
        <f t="shared" si="52"/>
        <v xml:space="preserve">XX8X_PV_1732:    Front abuts stile:TRUE       Back abuts stile:TRUE          Panel Section: WHOLE           Stile in the back Width: 12           Cutout A: B-386          Cutout B:      F.C.:4.5 in.         C.C.:2.1875 in.   </v>
      </c>
      <c r="S1075" t="str">
        <f t="shared" si="53"/>
        <v>TRUE</v>
      </c>
      <c r="T1075" t="str">
        <f t="shared" si="54"/>
        <v>TRUE</v>
      </c>
    </row>
    <row r="1076" spans="1:20">
      <c r="A1076" t="s">
        <v>1236</v>
      </c>
      <c r="B1076" s="14" t="s">
        <v>144</v>
      </c>
      <c r="C1076" s="14" t="s">
        <v>21</v>
      </c>
      <c r="D1076" s="14">
        <v>1</v>
      </c>
      <c r="E1076" s="14">
        <v>0</v>
      </c>
      <c r="F1076" s="14">
        <v>1</v>
      </c>
      <c r="G1076" s="14">
        <v>0</v>
      </c>
      <c r="H1076" s="14">
        <v>24</v>
      </c>
      <c r="I1076" s="8" t="s">
        <v>120</v>
      </c>
      <c r="J1076" s="8" t="s">
        <v>38</v>
      </c>
      <c r="K1076">
        <v>40.25</v>
      </c>
      <c r="L1076">
        <v>50.3125</v>
      </c>
      <c r="M1076" s="14">
        <v>1</v>
      </c>
      <c r="N1076" s="14">
        <v>1</v>
      </c>
      <c r="R1076" t="str">
        <f t="shared" si="52"/>
        <v xml:space="preserve">XX8X_PV_1733:    Front abuts stile:TRUE       Back abuts stile:TRUE          Panel Section: WHOLE           Stile in the back Width: 24           Cutout A: B-386          Cutout B:      F.C.:1 in.         C.C.:1 in.   </v>
      </c>
      <c r="S1076" t="str">
        <f t="shared" si="53"/>
        <v>TRUE</v>
      </c>
      <c r="T1076" t="str">
        <f t="shared" si="54"/>
        <v>TRUE</v>
      </c>
    </row>
    <row r="1077" spans="1:20">
      <c r="A1077" t="s">
        <v>1237</v>
      </c>
      <c r="B1077" s="14" t="s">
        <v>144</v>
      </c>
      <c r="C1077" s="14" t="s">
        <v>21</v>
      </c>
      <c r="D1077" s="14">
        <v>1</v>
      </c>
      <c r="E1077" s="14">
        <v>0</v>
      </c>
      <c r="F1077" s="14">
        <v>1</v>
      </c>
      <c r="G1077" s="14">
        <v>0</v>
      </c>
      <c r="H1077" s="14"/>
      <c r="I1077" s="8" t="s">
        <v>38</v>
      </c>
      <c r="J1077" s="8" t="s">
        <v>38</v>
      </c>
      <c r="K1077">
        <v>106.75</v>
      </c>
      <c r="L1077">
        <v>65.875</v>
      </c>
      <c r="M1077" s="14">
        <v>1</v>
      </c>
      <c r="N1077" s="14">
        <v>1</v>
      </c>
      <c r="R1077" t="str">
        <f t="shared" si="52"/>
        <v xml:space="preserve">XX8X_PV_1734:    Front abuts stile:TRUE       Back abuts stile:TRUE          Panel Section: WHOLE           Stile in the back Width:            Cutout A:           Cutout B:      F.C.:1 in.         C.C.:1 in.   </v>
      </c>
      <c r="S1077" t="str">
        <f t="shared" si="53"/>
        <v>TRUE</v>
      </c>
      <c r="T1077" t="str">
        <f t="shared" si="54"/>
        <v>TRUE</v>
      </c>
    </row>
    <row r="1078" spans="1:20">
      <c r="A1078" t="s">
        <v>1238</v>
      </c>
      <c r="B1078" s="14" t="s">
        <v>144</v>
      </c>
      <c r="C1078" s="14" t="s">
        <v>21</v>
      </c>
      <c r="D1078" s="14">
        <v>1</v>
      </c>
      <c r="E1078" s="14">
        <v>0</v>
      </c>
      <c r="F1078" s="14">
        <v>1</v>
      </c>
      <c r="G1078" s="14">
        <v>1</v>
      </c>
      <c r="H1078" s="14"/>
      <c r="I1078" s="8" t="s">
        <v>38</v>
      </c>
      <c r="J1078" s="8" t="s">
        <v>38</v>
      </c>
      <c r="K1078">
        <v>70.375</v>
      </c>
      <c r="L1078">
        <v>54.3125</v>
      </c>
      <c r="M1078" s="14">
        <v>12</v>
      </c>
      <c r="N1078" s="14">
        <v>3.9375</v>
      </c>
      <c r="R1078" t="str">
        <f t="shared" si="52"/>
        <v xml:space="preserve">XX8X_PV_1735:    Front abuts stile:TRUE       Back abuts stile:TRUE          Panel Section: WHOLE           Stile in the back Width:            Cutout A:           Cutout B:      F.C.:12 in.         C.C.:3.9375 in.   </v>
      </c>
      <c r="S1078" t="str">
        <f t="shared" si="53"/>
        <v>TRUE</v>
      </c>
      <c r="T1078" t="str">
        <f t="shared" si="54"/>
        <v>TRUE</v>
      </c>
    </row>
    <row r="1079" spans="1:20">
      <c r="A1079" t="s">
        <v>1239</v>
      </c>
      <c r="B1079" s="14" t="s">
        <v>144</v>
      </c>
      <c r="C1079" s="14" t="s">
        <v>21</v>
      </c>
      <c r="D1079" s="14">
        <v>1</v>
      </c>
      <c r="E1079" s="14">
        <v>1</v>
      </c>
      <c r="F1079" s="14">
        <v>0</v>
      </c>
      <c r="G1079" s="14"/>
      <c r="H1079" s="14"/>
      <c r="I1079" s="8" t="s">
        <v>38</v>
      </c>
      <c r="J1079" s="8" t="s">
        <v>38</v>
      </c>
      <c r="K1079">
        <v>96</v>
      </c>
      <c r="L1079">
        <v>24.4375</v>
      </c>
      <c r="M1079" s="14">
        <v>12</v>
      </c>
      <c r="N1079" s="14">
        <v>8.125</v>
      </c>
      <c r="R1079" t="str">
        <f t="shared" si="52"/>
        <v xml:space="preserve">XX8X_PV_1736:    Front abuts stile:TRUE       Back abuts stile:FALSE          Panel Section: WHOLE           Stile in the back Width:            Cutout A:           Cutout B:      F.C.:12 in.         C.C.:8.125 in.   </v>
      </c>
      <c r="S1079" t="str">
        <f t="shared" si="53"/>
        <v>TRUE</v>
      </c>
      <c r="T1079" t="str">
        <f t="shared" si="54"/>
        <v>FALSE</v>
      </c>
    </row>
    <row r="1080" spans="1:20">
      <c r="A1080" t="s">
        <v>1240</v>
      </c>
      <c r="B1080" s="14" t="s">
        <v>144</v>
      </c>
      <c r="C1080" s="14" t="s">
        <v>21</v>
      </c>
      <c r="D1080" s="14">
        <v>1</v>
      </c>
      <c r="E1080" s="14">
        <v>1</v>
      </c>
      <c r="F1080" s="14">
        <v>1</v>
      </c>
      <c r="G1080" s="14">
        <v>0</v>
      </c>
      <c r="H1080" s="14">
        <v>12</v>
      </c>
      <c r="I1080" s="8" t="s">
        <v>145</v>
      </c>
      <c r="J1080" s="8" t="s">
        <v>38</v>
      </c>
      <c r="K1080">
        <v>78.4375</v>
      </c>
      <c r="L1080">
        <v>45.375</v>
      </c>
      <c r="M1080" s="14">
        <v>1.1875</v>
      </c>
      <c r="N1080" s="14">
        <v>7.0625</v>
      </c>
      <c r="R1080" t="str">
        <f t="shared" si="52"/>
        <v xml:space="preserve">XX8X_PV_1737:    Front abuts stile:TRUE       Back abuts stile:TRUE          Panel Section: WHOLE           Stile in the back Width: 12           Cutout A: B-347          Cutout B:      F.C.:1.1875 in.         C.C.:7.0625 in.   </v>
      </c>
      <c r="S1080" t="str">
        <f t="shared" si="53"/>
        <v>TRUE</v>
      </c>
      <c r="T1080" t="str">
        <f t="shared" si="54"/>
        <v>TRUE</v>
      </c>
    </row>
    <row r="1081" spans="1:20">
      <c r="A1081" t="s">
        <v>1241</v>
      </c>
      <c r="B1081" s="14" t="s">
        <v>144</v>
      </c>
      <c r="C1081" s="14" t="s">
        <v>21</v>
      </c>
      <c r="D1081" s="14">
        <v>1</v>
      </c>
      <c r="E1081" s="14">
        <v>1</v>
      </c>
      <c r="F1081" s="14">
        <v>1</v>
      </c>
      <c r="G1081" s="14">
        <v>0</v>
      </c>
      <c r="H1081" s="14">
        <v>24</v>
      </c>
      <c r="I1081" s="8" t="s">
        <v>38</v>
      </c>
      <c r="J1081" s="8" t="s">
        <v>38</v>
      </c>
      <c r="K1081">
        <v>73.875</v>
      </c>
      <c r="L1081">
        <v>8.0625</v>
      </c>
      <c r="M1081" s="14">
        <v>1.375</v>
      </c>
      <c r="N1081" s="14">
        <v>7.5625</v>
      </c>
      <c r="R1081" t="str">
        <f t="shared" si="52"/>
        <v xml:space="preserve">XX8X_PV_1738:    Front abuts stile:TRUE       Back abuts stile:TRUE          Panel Section: WHOLE           Stile in the back Width: 24           Cutout A:           Cutout B:      F.C.:1.375 in.         C.C.:7.5625 in.   </v>
      </c>
      <c r="S1081" t="str">
        <f t="shared" si="53"/>
        <v>TRUE</v>
      </c>
      <c r="T1081" t="str">
        <f t="shared" si="54"/>
        <v>TRUE</v>
      </c>
    </row>
    <row r="1082" spans="1:20">
      <c r="A1082" t="s">
        <v>1242</v>
      </c>
      <c r="B1082" s="14" t="s">
        <v>144</v>
      </c>
      <c r="C1082" s="14" t="s">
        <v>21</v>
      </c>
      <c r="D1082" s="14">
        <v>1</v>
      </c>
      <c r="E1082" s="14">
        <v>1</v>
      </c>
      <c r="F1082" s="14">
        <v>1</v>
      </c>
      <c r="G1082" s="14">
        <v>0</v>
      </c>
      <c r="H1082" s="14"/>
      <c r="I1082" s="8" t="s">
        <v>38</v>
      </c>
      <c r="J1082" s="8" t="s">
        <v>38</v>
      </c>
      <c r="K1082">
        <v>50.9375</v>
      </c>
      <c r="L1082">
        <v>46.25</v>
      </c>
      <c r="M1082" s="14">
        <v>12</v>
      </c>
      <c r="N1082" s="14" t="s">
        <v>38</v>
      </c>
      <c r="R1082" t="str">
        <f t="shared" si="52"/>
        <v xml:space="preserve">XX8X_PV_1739:    Front abuts stile:TRUE       Back abuts stile:TRUE          Panel Section: WHOLE           Stile in the back Width:            Cutout A:           Cutout B:      F.C.:12 in.         C.C.: in.   </v>
      </c>
      <c r="S1082" t="str">
        <f t="shared" si="53"/>
        <v>TRUE</v>
      </c>
      <c r="T1082" t="str">
        <f t="shared" si="54"/>
        <v>TRUE</v>
      </c>
    </row>
    <row r="1083" spans="1:20" ht="15" thickBot="1">
      <c r="A1083" t="s">
        <v>1243</v>
      </c>
      <c r="B1083" s="14" t="s">
        <v>144</v>
      </c>
      <c r="C1083" s="50" t="s">
        <v>21</v>
      </c>
      <c r="D1083" s="50">
        <v>1</v>
      </c>
      <c r="E1083" s="50">
        <v>1</v>
      </c>
      <c r="F1083" s="50">
        <v>1</v>
      </c>
      <c r="G1083" s="50">
        <v>1</v>
      </c>
      <c r="H1083" s="50"/>
      <c r="I1083" s="51" t="s">
        <v>38</v>
      </c>
      <c r="J1083" s="51" t="s">
        <v>38</v>
      </c>
      <c r="K1083" s="49">
        <v>96</v>
      </c>
      <c r="L1083" s="49">
        <v>40.4375</v>
      </c>
      <c r="M1083" s="50">
        <v>10.375</v>
      </c>
      <c r="N1083" s="14">
        <v>2.25</v>
      </c>
      <c r="R1083" t="str">
        <f t="shared" si="52"/>
        <v xml:space="preserve">XX8X_PV_1740:    Front abuts stile:TRUE       Back abuts stile:TRUE          Panel Section: WHOLE           Stile in the back Width:            Cutout A:           Cutout B:      F.C.:10.375 in.         C.C.:2.25 in.   </v>
      </c>
      <c r="S1083" t="str">
        <f t="shared" si="53"/>
        <v>TRUE</v>
      </c>
      <c r="T1083" t="str">
        <f t="shared" si="54"/>
        <v>TRUE</v>
      </c>
    </row>
    <row r="1084" spans="1:20" ht="15" thickTop="1">
      <c r="A1084" t="s">
        <v>1244</v>
      </c>
      <c r="B1084" s="14" t="s">
        <v>144</v>
      </c>
      <c r="C1084" s="14" t="s">
        <v>156</v>
      </c>
      <c r="D1084" s="19">
        <v>0</v>
      </c>
      <c r="E1084" s="19"/>
      <c r="F1084" s="19">
        <v>0</v>
      </c>
      <c r="G1084" s="19"/>
      <c r="H1084" s="14"/>
      <c r="I1084" s="8" t="s">
        <v>121</v>
      </c>
      <c r="J1084" s="8" t="s">
        <v>38</v>
      </c>
      <c r="K1084">
        <v>10.5625</v>
      </c>
      <c r="L1084">
        <v>47.6875</v>
      </c>
      <c r="M1084" s="14">
        <v>9</v>
      </c>
      <c r="N1084" s="14">
        <v>1</v>
      </c>
      <c r="R1084" t="str">
        <f t="shared" si="52"/>
        <v xml:space="preserve">XX8X_PV_1741:    Front abuts stile:FALSE       Back abuts stile:FALSE          Panel Section: TOP           Stile in the back Width:            Cutout A: B-4354          Cutout B:      F.C.:9 in.         C.C.:1 in.   </v>
      </c>
      <c r="S1084" t="str">
        <f t="shared" si="53"/>
        <v>FALSE</v>
      </c>
      <c r="T1084" t="str">
        <f t="shared" si="54"/>
        <v>FALSE</v>
      </c>
    </row>
    <row r="1085" spans="1:20">
      <c r="A1085" t="s">
        <v>1245</v>
      </c>
      <c r="B1085" s="14" t="s">
        <v>144</v>
      </c>
      <c r="C1085" s="14" t="s">
        <v>156</v>
      </c>
      <c r="D1085" s="14">
        <v>0</v>
      </c>
      <c r="E1085" s="14"/>
      <c r="F1085" s="14">
        <v>1</v>
      </c>
      <c r="G1085" s="14">
        <v>0</v>
      </c>
      <c r="H1085" s="14">
        <v>12</v>
      </c>
      <c r="I1085" s="8" t="s">
        <v>121</v>
      </c>
      <c r="J1085" s="8" t="s">
        <v>38</v>
      </c>
      <c r="K1085">
        <v>21.4375</v>
      </c>
      <c r="L1085">
        <v>47.625</v>
      </c>
      <c r="M1085" s="14">
        <v>9.5625</v>
      </c>
      <c r="N1085" s="14">
        <v>1.1875</v>
      </c>
      <c r="R1085" t="str">
        <f t="shared" si="52"/>
        <v xml:space="preserve">XX8X_PV_1742:    Front abuts stile:FALSE       Back abuts stile:TRUE          Panel Section: TOP           Stile in the back Width: 12           Cutout A: B-4354          Cutout B:      F.C.:9.5625 in.         C.C.:1.1875 in.   </v>
      </c>
      <c r="S1085" t="str">
        <f t="shared" si="53"/>
        <v>FALSE</v>
      </c>
      <c r="T1085" t="str">
        <f t="shared" si="54"/>
        <v>TRUE</v>
      </c>
    </row>
    <row r="1086" spans="1:20">
      <c r="A1086" t="s">
        <v>1246</v>
      </c>
      <c r="B1086" s="14" t="s">
        <v>144</v>
      </c>
      <c r="C1086" s="14" t="s">
        <v>156</v>
      </c>
      <c r="D1086" s="14">
        <v>0</v>
      </c>
      <c r="E1086" s="14"/>
      <c r="F1086" s="14">
        <v>1</v>
      </c>
      <c r="G1086" s="14">
        <v>0</v>
      </c>
      <c r="H1086" s="14">
        <v>24</v>
      </c>
      <c r="I1086" s="8" t="s">
        <v>38</v>
      </c>
      <c r="J1086" s="8" t="s">
        <v>38</v>
      </c>
      <c r="K1086">
        <v>43.0625</v>
      </c>
      <c r="L1086">
        <v>46.375</v>
      </c>
      <c r="M1086" s="14">
        <v>9</v>
      </c>
      <c r="N1086" s="14">
        <v>3.9375</v>
      </c>
      <c r="R1086" t="str">
        <f t="shared" si="52"/>
        <v xml:space="preserve">XX8X_PV_1743:    Front abuts stile:FALSE       Back abuts stile:TRUE          Panel Section: TOP           Stile in the back Width: 24           Cutout A:           Cutout B:      F.C.:9 in.         C.C.:3.9375 in.   </v>
      </c>
      <c r="S1086" t="str">
        <f t="shared" si="53"/>
        <v>FALSE</v>
      </c>
      <c r="T1086" t="str">
        <f t="shared" si="54"/>
        <v>TRUE</v>
      </c>
    </row>
    <row r="1087" spans="1:20">
      <c r="A1087" t="s">
        <v>1247</v>
      </c>
      <c r="B1087" s="14" t="s">
        <v>144</v>
      </c>
      <c r="C1087" s="14" t="s">
        <v>156</v>
      </c>
      <c r="D1087" s="14">
        <v>0</v>
      </c>
      <c r="E1087" s="14"/>
      <c r="F1087" s="14">
        <v>1</v>
      </c>
      <c r="G1087" s="14">
        <v>0</v>
      </c>
      <c r="H1087" s="14"/>
      <c r="I1087" s="8" t="s">
        <v>38</v>
      </c>
      <c r="J1087" s="8" t="s">
        <v>38</v>
      </c>
      <c r="K1087">
        <v>25.0625</v>
      </c>
      <c r="L1087">
        <v>57.0625</v>
      </c>
      <c r="M1087" s="14">
        <v>9</v>
      </c>
      <c r="N1087" s="14">
        <v>6.875</v>
      </c>
      <c r="R1087" t="str">
        <f t="shared" si="52"/>
        <v xml:space="preserve">XX8X_PV_1744:    Front abuts stile:FALSE       Back abuts stile:TRUE          Panel Section: TOP           Stile in the back Width:            Cutout A:           Cutout B:      F.C.:9 in.         C.C.:6.875 in.   </v>
      </c>
      <c r="S1087" t="str">
        <f t="shared" si="53"/>
        <v>FALSE</v>
      </c>
      <c r="T1087" t="str">
        <f t="shared" si="54"/>
        <v>TRUE</v>
      </c>
    </row>
    <row r="1088" spans="1:20">
      <c r="A1088" t="s">
        <v>1248</v>
      </c>
      <c r="B1088" s="14" t="s">
        <v>144</v>
      </c>
      <c r="C1088" s="14" t="s">
        <v>156</v>
      </c>
      <c r="D1088" s="14">
        <v>0</v>
      </c>
      <c r="E1088" s="14"/>
      <c r="F1088" s="14">
        <v>1</v>
      </c>
      <c r="G1088" s="14">
        <v>1</v>
      </c>
      <c r="H1088" s="14"/>
      <c r="I1088" s="8" t="s">
        <v>38</v>
      </c>
      <c r="J1088" s="8" t="s">
        <v>38</v>
      </c>
      <c r="K1088">
        <v>43.3125</v>
      </c>
      <c r="L1088">
        <v>67.5625</v>
      </c>
      <c r="M1088" s="14">
        <v>9</v>
      </c>
      <c r="N1088" s="14">
        <v>1.125</v>
      </c>
      <c r="R1088" t="str">
        <f t="shared" si="52"/>
        <v xml:space="preserve">XX8X_PV_1745:    Front abuts stile:FALSE       Back abuts stile:TRUE          Panel Section: TOP           Stile in the back Width:            Cutout A:           Cutout B:      F.C.:9 in.         C.C.:1.125 in.   </v>
      </c>
      <c r="S1088" t="str">
        <f t="shared" si="53"/>
        <v>FALSE</v>
      </c>
      <c r="T1088" t="str">
        <f t="shared" si="54"/>
        <v>TRUE</v>
      </c>
    </row>
    <row r="1089" spans="1:20">
      <c r="A1089" t="s">
        <v>1249</v>
      </c>
      <c r="B1089" s="14" t="s">
        <v>144</v>
      </c>
      <c r="C1089" s="14" t="s">
        <v>156</v>
      </c>
      <c r="D1089" s="14">
        <v>1</v>
      </c>
      <c r="E1089" s="14">
        <v>0</v>
      </c>
      <c r="F1089" s="14">
        <v>0</v>
      </c>
      <c r="G1089" s="14"/>
      <c r="H1089" s="14"/>
      <c r="I1089" s="8" t="s">
        <v>38</v>
      </c>
      <c r="J1089" s="8" t="s">
        <v>38</v>
      </c>
      <c r="K1089">
        <v>23.75</v>
      </c>
      <c r="L1089">
        <v>52.5</v>
      </c>
      <c r="M1089" s="14">
        <v>4.75</v>
      </c>
      <c r="N1089" s="14">
        <v>1</v>
      </c>
      <c r="R1089" t="str">
        <f t="shared" ref="R1089:R1152" si="55">A1089&amp;":    Front abuts stile:"&amp;S1089&amp;"       Back abuts stile:"&amp;T1089&amp;"          Panel Section: "&amp;C1089&amp;"           Stile in the back Width: "&amp;H1089&amp;"           Cutout A: "&amp;I1089&amp;"          Cutout B:"&amp;J1089&amp;"      F.C.:"&amp;M1089&amp;" in. "&amp;"        C.C.:"&amp;N1089&amp;" in. "&amp;"  "</f>
        <v xml:space="preserve">XX8X_PV_1746:    Front abuts stile:TRUE       Back abuts stile:FALSE          Panel Section: TOP           Stile in the back Width:            Cutout A:           Cutout B:      F.C.:4.75 in.         C.C.:1 in.   </v>
      </c>
      <c r="S1089" t="str">
        <f t="shared" ref="S1089:S1152" si="56">IF(D1089=1, "TRUE", "FALSE")</f>
        <v>TRUE</v>
      </c>
      <c r="T1089" t="str">
        <f t="shared" ref="T1089:T1152" si="57">IF(F1089=1, "TRUE", "FALSE")</f>
        <v>FALSE</v>
      </c>
    </row>
    <row r="1090" spans="1:20">
      <c r="A1090" t="s">
        <v>1250</v>
      </c>
      <c r="B1090" s="14" t="s">
        <v>144</v>
      </c>
      <c r="C1090" s="14" t="s">
        <v>156</v>
      </c>
      <c r="D1090" s="14">
        <v>1</v>
      </c>
      <c r="E1090" s="14">
        <v>0</v>
      </c>
      <c r="F1090" s="14">
        <v>1</v>
      </c>
      <c r="G1090" s="14">
        <v>0</v>
      </c>
      <c r="H1090" s="14">
        <v>12</v>
      </c>
      <c r="I1090" s="8" t="s">
        <v>121</v>
      </c>
      <c r="J1090" s="8" t="s">
        <v>38</v>
      </c>
      <c r="K1090">
        <v>13.875</v>
      </c>
      <c r="L1090">
        <v>44</v>
      </c>
      <c r="M1090" s="14">
        <v>1</v>
      </c>
      <c r="N1090" s="14" t="s">
        <v>38</v>
      </c>
      <c r="R1090" t="str">
        <f t="shared" si="55"/>
        <v xml:space="preserve">XX8X_PV_1747:    Front abuts stile:TRUE       Back abuts stile:TRUE          Panel Section: TOP           Stile in the back Width: 12           Cutout A: B-4354          Cutout B:      F.C.:1 in.         C.C.: in.   </v>
      </c>
      <c r="S1090" t="str">
        <f t="shared" si="56"/>
        <v>TRUE</v>
      </c>
      <c r="T1090" t="str">
        <f t="shared" si="57"/>
        <v>TRUE</v>
      </c>
    </row>
    <row r="1091" spans="1:20">
      <c r="A1091" t="s">
        <v>1251</v>
      </c>
      <c r="B1091" s="14" t="s">
        <v>144</v>
      </c>
      <c r="C1091" s="14" t="s">
        <v>156</v>
      </c>
      <c r="D1091" s="14">
        <v>1</v>
      </c>
      <c r="E1091" s="14">
        <v>0</v>
      </c>
      <c r="F1091" s="14">
        <v>1</v>
      </c>
      <c r="G1091" s="14">
        <v>0</v>
      </c>
      <c r="H1091" s="14">
        <v>24</v>
      </c>
      <c r="I1091" s="8" t="s">
        <v>119</v>
      </c>
      <c r="J1091" s="8" t="s">
        <v>38</v>
      </c>
      <c r="K1091">
        <v>38.25</v>
      </c>
      <c r="L1091">
        <v>64.1875</v>
      </c>
      <c r="M1091" s="14">
        <v>9</v>
      </c>
      <c r="N1091" s="14">
        <v>1.875</v>
      </c>
      <c r="R1091" t="str">
        <f t="shared" si="55"/>
        <v xml:space="preserve">XX8X_PV_1748:    Front abuts stile:TRUE       Back abuts stile:TRUE          Panel Section: TOP           Stile in the back Width: 24           Cutout A: B-354          Cutout B:      F.C.:9 in.         C.C.:1.875 in.   </v>
      </c>
      <c r="S1091" t="str">
        <f t="shared" si="56"/>
        <v>TRUE</v>
      </c>
      <c r="T1091" t="str">
        <f t="shared" si="57"/>
        <v>TRUE</v>
      </c>
    </row>
    <row r="1092" spans="1:20">
      <c r="A1092" t="s">
        <v>1252</v>
      </c>
      <c r="B1092" s="14" t="s">
        <v>144</v>
      </c>
      <c r="C1092" s="14" t="s">
        <v>156</v>
      </c>
      <c r="D1092" s="14">
        <v>1</v>
      </c>
      <c r="E1092" s="14">
        <v>0</v>
      </c>
      <c r="F1092" s="14">
        <v>1</v>
      </c>
      <c r="G1092" s="14">
        <v>0</v>
      </c>
      <c r="H1092" s="14"/>
      <c r="I1092" s="8" t="s">
        <v>38</v>
      </c>
      <c r="J1092" s="8" t="s">
        <v>38</v>
      </c>
      <c r="K1092">
        <v>40.5625</v>
      </c>
      <c r="L1092">
        <v>40.5</v>
      </c>
      <c r="M1092" s="14">
        <v>4.5</v>
      </c>
      <c r="N1092" s="14" t="s">
        <v>38</v>
      </c>
      <c r="R1092" t="str">
        <f t="shared" si="55"/>
        <v xml:space="preserve">XX8X_PV_1749:    Front abuts stile:TRUE       Back abuts stile:TRUE          Panel Section: TOP           Stile in the back Width:            Cutout A:           Cutout B:      F.C.:4.5 in.         C.C.: in.   </v>
      </c>
      <c r="S1092" t="str">
        <f t="shared" si="56"/>
        <v>TRUE</v>
      </c>
      <c r="T1092" t="str">
        <f t="shared" si="57"/>
        <v>TRUE</v>
      </c>
    </row>
    <row r="1093" spans="1:20">
      <c r="A1093" t="s">
        <v>1253</v>
      </c>
      <c r="B1093" s="14" t="s">
        <v>144</v>
      </c>
      <c r="C1093" s="14" t="s">
        <v>156</v>
      </c>
      <c r="D1093" s="14">
        <v>1</v>
      </c>
      <c r="E1093" s="14">
        <v>0</v>
      </c>
      <c r="F1093" s="14">
        <v>1</v>
      </c>
      <c r="G1093" s="14">
        <v>1</v>
      </c>
      <c r="H1093" s="14"/>
      <c r="I1093" s="8" t="s">
        <v>38</v>
      </c>
      <c r="J1093" s="8" t="s">
        <v>38</v>
      </c>
      <c r="K1093">
        <v>18.8125</v>
      </c>
      <c r="L1093">
        <v>73.625</v>
      </c>
      <c r="M1093" s="14">
        <v>9</v>
      </c>
      <c r="N1093" s="14" t="s">
        <v>38</v>
      </c>
      <c r="R1093" t="str">
        <f t="shared" si="55"/>
        <v xml:space="preserve">XX8X_PV_1750:    Front abuts stile:TRUE       Back abuts stile:TRUE          Panel Section: TOP           Stile in the back Width:            Cutout A:           Cutout B:      F.C.:9 in.         C.C.: in.   </v>
      </c>
      <c r="S1093" t="str">
        <f t="shared" si="56"/>
        <v>TRUE</v>
      </c>
      <c r="T1093" t="str">
        <f t="shared" si="57"/>
        <v>TRUE</v>
      </c>
    </row>
    <row r="1094" spans="1:20">
      <c r="A1094" t="s">
        <v>1254</v>
      </c>
      <c r="B1094" s="14" t="s">
        <v>144</v>
      </c>
      <c r="C1094" s="14" t="s">
        <v>156</v>
      </c>
      <c r="D1094" s="14">
        <v>1</v>
      </c>
      <c r="E1094" s="14">
        <v>1</v>
      </c>
      <c r="F1094" s="14">
        <v>0</v>
      </c>
      <c r="G1094" s="14"/>
      <c r="H1094" s="14"/>
      <c r="I1094" s="8" t="s">
        <v>120</v>
      </c>
      <c r="J1094" s="8" t="s">
        <v>38</v>
      </c>
      <c r="K1094">
        <v>23.1875</v>
      </c>
      <c r="L1094">
        <v>46.9375</v>
      </c>
      <c r="M1094" s="14">
        <v>4.5</v>
      </c>
      <c r="N1094" s="14" t="s">
        <v>38</v>
      </c>
      <c r="R1094" t="str">
        <f t="shared" si="55"/>
        <v xml:space="preserve">XX8X_PV_1751:    Front abuts stile:TRUE       Back abuts stile:FALSE          Panel Section: TOP           Stile in the back Width:            Cutout A: B-386          Cutout B:      F.C.:4.5 in.         C.C.: in.   </v>
      </c>
      <c r="S1094" t="str">
        <f t="shared" si="56"/>
        <v>TRUE</v>
      </c>
      <c r="T1094" t="str">
        <f t="shared" si="57"/>
        <v>FALSE</v>
      </c>
    </row>
    <row r="1095" spans="1:20">
      <c r="A1095" t="s">
        <v>1255</v>
      </c>
      <c r="B1095" s="14" t="s">
        <v>144</v>
      </c>
      <c r="C1095" s="14" t="s">
        <v>156</v>
      </c>
      <c r="D1095" s="14">
        <v>1</v>
      </c>
      <c r="E1095" s="14">
        <v>1</v>
      </c>
      <c r="F1095" s="14">
        <v>1</v>
      </c>
      <c r="G1095" s="14">
        <v>0</v>
      </c>
      <c r="H1095" s="14">
        <v>12</v>
      </c>
      <c r="I1095" s="8" t="s">
        <v>35</v>
      </c>
      <c r="J1095" s="8" t="s">
        <v>38</v>
      </c>
      <c r="K1095">
        <v>32.25</v>
      </c>
      <c r="L1095">
        <v>56.875</v>
      </c>
      <c r="M1095" s="14">
        <v>11.4375</v>
      </c>
      <c r="N1095" s="14" t="s">
        <v>38</v>
      </c>
      <c r="R1095" t="str">
        <f t="shared" si="55"/>
        <v xml:space="preserve">XX8X_PV_1752:    Front abuts stile:TRUE       Back abuts stile:TRUE          Panel Section: TOP           Stile in the back Width: 12           Cutout A: B-357          Cutout B:      F.C.:11.4375 in.         C.C.: in.   </v>
      </c>
      <c r="S1095" t="str">
        <f t="shared" si="56"/>
        <v>TRUE</v>
      </c>
      <c r="T1095" t="str">
        <f t="shared" si="57"/>
        <v>TRUE</v>
      </c>
    </row>
    <row r="1096" spans="1:20">
      <c r="A1096" t="s">
        <v>1256</v>
      </c>
      <c r="B1096" s="14" t="s">
        <v>144</v>
      </c>
      <c r="C1096" s="14" t="s">
        <v>156</v>
      </c>
      <c r="D1096" s="14">
        <v>1</v>
      </c>
      <c r="E1096" s="14">
        <v>1</v>
      </c>
      <c r="F1096" s="14">
        <v>1</v>
      </c>
      <c r="G1096" s="14">
        <v>0</v>
      </c>
      <c r="H1096" s="14">
        <v>24</v>
      </c>
      <c r="I1096" s="8" t="s">
        <v>145</v>
      </c>
      <c r="J1096" s="8" t="s">
        <v>38</v>
      </c>
      <c r="K1096">
        <v>24.375</v>
      </c>
      <c r="L1096">
        <v>56.75</v>
      </c>
      <c r="M1096" s="14">
        <v>10.5625</v>
      </c>
      <c r="N1096" s="14">
        <v>1</v>
      </c>
      <c r="R1096" t="str">
        <f t="shared" si="55"/>
        <v xml:space="preserve">XX8X_PV_1753:    Front abuts stile:TRUE       Back abuts stile:TRUE          Panel Section: TOP           Stile in the back Width: 24           Cutout A: B-347          Cutout B:      F.C.:10.5625 in.         C.C.:1 in.   </v>
      </c>
      <c r="S1096" t="str">
        <f t="shared" si="56"/>
        <v>TRUE</v>
      </c>
      <c r="T1096" t="str">
        <f t="shared" si="57"/>
        <v>TRUE</v>
      </c>
    </row>
    <row r="1097" spans="1:20">
      <c r="A1097" t="s">
        <v>1257</v>
      </c>
      <c r="B1097" s="14" t="s">
        <v>144</v>
      </c>
      <c r="C1097" s="14" t="s">
        <v>156</v>
      </c>
      <c r="D1097" s="14">
        <v>1</v>
      </c>
      <c r="E1097" s="14">
        <v>1</v>
      </c>
      <c r="F1097" s="14">
        <v>1</v>
      </c>
      <c r="G1097" s="14">
        <v>0</v>
      </c>
      <c r="H1097" s="14"/>
      <c r="I1097" s="8" t="s">
        <v>38</v>
      </c>
      <c r="J1097" s="8" t="s">
        <v>38</v>
      </c>
      <c r="K1097">
        <v>48.3125</v>
      </c>
      <c r="L1097">
        <v>76.125</v>
      </c>
      <c r="M1097" s="14">
        <v>1</v>
      </c>
      <c r="N1097" s="14">
        <v>3.0625</v>
      </c>
      <c r="R1097" t="str">
        <f t="shared" si="55"/>
        <v xml:space="preserve">XX8X_PV_1754:    Front abuts stile:TRUE       Back abuts stile:TRUE          Panel Section: TOP           Stile in the back Width:            Cutout A:           Cutout B:      F.C.:1 in.         C.C.:3.0625 in.   </v>
      </c>
      <c r="S1097" t="str">
        <f t="shared" si="56"/>
        <v>TRUE</v>
      </c>
      <c r="T1097" t="str">
        <f t="shared" si="57"/>
        <v>TRUE</v>
      </c>
    </row>
    <row r="1098" spans="1:20">
      <c r="A1098" t="s">
        <v>1258</v>
      </c>
      <c r="B1098" s="14" t="s">
        <v>144</v>
      </c>
      <c r="C1098" s="14" t="s">
        <v>156</v>
      </c>
      <c r="D1098" s="14">
        <v>1</v>
      </c>
      <c r="E1098" s="14">
        <v>1</v>
      </c>
      <c r="F1098" s="14">
        <v>1</v>
      </c>
      <c r="G1098" s="14">
        <v>1</v>
      </c>
      <c r="H1098" s="14"/>
      <c r="I1098" s="8" t="s">
        <v>38</v>
      </c>
      <c r="J1098" s="8" t="s">
        <v>38</v>
      </c>
      <c r="K1098">
        <v>25.6875</v>
      </c>
      <c r="L1098">
        <v>36.625</v>
      </c>
      <c r="M1098" s="14">
        <v>1</v>
      </c>
      <c r="N1098" s="14">
        <v>1</v>
      </c>
      <c r="R1098" t="str">
        <f t="shared" si="55"/>
        <v xml:space="preserve">XX8X_PV_1755:    Front abuts stile:TRUE       Back abuts stile:TRUE          Panel Section: TOP           Stile in the back Width:            Cutout A:           Cutout B:      F.C.:1 in.         C.C.:1 in.   </v>
      </c>
      <c r="S1098" t="str">
        <f t="shared" si="56"/>
        <v>TRUE</v>
      </c>
      <c r="T1098" t="str">
        <f t="shared" si="57"/>
        <v>TRUE</v>
      </c>
    </row>
    <row r="1099" spans="1:20">
      <c r="A1099" t="s">
        <v>1259</v>
      </c>
      <c r="B1099" s="14" t="s">
        <v>144</v>
      </c>
      <c r="C1099" s="14" t="s">
        <v>157</v>
      </c>
      <c r="D1099" s="14">
        <v>0</v>
      </c>
      <c r="E1099" s="14"/>
      <c r="F1099" s="14">
        <v>0</v>
      </c>
      <c r="G1099" s="14"/>
      <c r="H1099" s="14"/>
      <c r="I1099" s="8" t="s">
        <v>120</v>
      </c>
      <c r="J1099" s="8" t="s">
        <v>38</v>
      </c>
      <c r="K1099">
        <v>60</v>
      </c>
      <c r="L1099">
        <v>72</v>
      </c>
      <c r="M1099" s="14">
        <v>4.5</v>
      </c>
      <c r="N1099" s="14">
        <v>6</v>
      </c>
      <c r="R1099" t="str">
        <f t="shared" si="55"/>
        <v xml:space="preserve">XX8X_PV_1756:    Front abuts stile:FALSE       Back abuts stile:FALSE          Panel Section: BOTTOM           Stile in the back Width:            Cutout A: B-386          Cutout B:      F.C.:4.5 in.         C.C.:6 in.   </v>
      </c>
      <c r="S1099" t="str">
        <f t="shared" si="56"/>
        <v>FALSE</v>
      </c>
      <c r="T1099" t="str">
        <f t="shared" si="57"/>
        <v>FALSE</v>
      </c>
    </row>
    <row r="1100" spans="1:20">
      <c r="A1100" t="s">
        <v>1260</v>
      </c>
      <c r="B1100" s="14" t="s">
        <v>144</v>
      </c>
      <c r="C1100" s="14" t="s">
        <v>157</v>
      </c>
      <c r="D1100" s="14">
        <v>0</v>
      </c>
      <c r="E1100" s="14"/>
      <c r="F1100" s="14">
        <v>1</v>
      </c>
      <c r="G1100" s="14">
        <v>0</v>
      </c>
      <c r="H1100" s="14">
        <v>12</v>
      </c>
      <c r="I1100" s="8" t="s">
        <v>145</v>
      </c>
      <c r="J1100" s="8" t="s">
        <v>38</v>
      </c>
      <c r="K1100">
        <v>60</v>
      </c>
      <c r="L1100">
        <v>46.0625</v>
      </c>
      <c r="M1100" s="14">
        <v>4.5</v>
      </c>
      <c r="N1100" s="14" t="s">
        <v>38</v>
      </c>
      <c r="R1100" t="str">
        <f t="shared" si="55"/>
        <v xml:space="preserve">XX8X_PV_1757:    Front abuts stile:FALSE       Back abuts stile:TRUE          Panel Section: BOTTOM           Stile in the back Width: 12           Cutout A: B-347          Cutout B:      F.C.:4.5 in.         C.C.: in.   </v>
      </c>
      <c r="S1100" t="str">
        <f t="shared" si="56"/>
        <v>FALSE</v>
      </c>
      <c r="T1100" t="str">
        <f t="shared" si="57"/>
        <v>TRUE</v>
      </c>
    </row>
    <row r="1101" spans="1:20">
      <c r="A1101" t="s">
        <v>1261</v>
      </c>
      <c r="B1101" s="14" t="s">
        <v>144</v>
      </c>
      <c r="C1101" s="14" t="s">
        <v>157</v>
      </c>
      <c r="D1101" s="14">
        <v>0</v>
      </c>
      <c r="E1101" s="14"/>
      <c r="F1101" s="14">
        <v>1</v>
      </c>
      <c r="G1101" s="14">
        <v>0</v>
      </c>
      <c r="H1101" s="14">
        <v>24</v>
      </c>
      <c r="I1101" s="8" t="s">
        <v>151</v>
      </c>
      <c r="J1101" s="8" t="s">
        <v>38</v>
      </c>
      <c r="K1101">
        <v>60</v>
      </c>
      <c r="L1101">
        <v>60.9375</v>
      </c>
      <c r="M1101" s="14">
        <v>12</v>
      </c>
      <c r="N1101" s="14">
        <v>2.3125</v>
      </c>
      <c r="R1101" t="str">
        <f t="shared" si="55"/>
        <v xml:space="preserve">XX8X_PV_1758:    Front abuts stile:FALSE       Back abuts stile:TRUE          Panel Section: BOTTOM           Stile in the back Width: 24           Cutout A: B-35715          Cutout B:      F.C.:12 in.         C.C.:2.3125 in.   </v>
      </c>
      <c r="S1101" t="str">
        <f t="shared" si="56"/>
        <v>FALSE</v>
      </c>
      <c r="T1101" t="str">
        <f t="shared" si="57"/>
        <v>TRUE</v>
      </c>
    </row>
    <row r="1102" spans="1:20">
      <c r="A1102" t="s">
        <v>1262</v>
      </c>
      <c r="B1102" s="14" t="s">
        <v>144</v>
      </c>
      <c r="C1102" s="14" t="s">
        <v>157</v>
      </c>
      <c r="D1102" s="14">
        <v>0</v>
      </c>
      <c r="E1102" s="14"/>
      <c r="F1102" s="14">
        <v>1</v>
      </c>
      <c r="G1102" s="14">
        <v>0</v>
      </c>
      <c r="H1102" s="14"/>
      <c r="I1102" s="8" t="s">
        <v>38</v>
      </c>
      <c r="J1102" s="8" t="s">
        <v>38</v>
      </c>
      <c r="K1102">
        <v>60</v>
      </c>
      <c r="L1102">
        <v>75.125</v>
      </c>
      <c r="M1102" s="14">
        <v>7.4375</v>
      </c>
      <c r="N1102" s="14">
        <v>7.5625</v>
      </c>
      <c r="R1102" t="str">
        <f t="shared" si="55"/>
        <v xml:space="preserve">XX8X_PV_1759:    Front abuts stile:FALSE       Back abuts stile:TRUE          Panel Section: BOTTOM           Stile in the back Width:            Cutout A:           Cutout B:      F.C.:7.4375 in.         C.C.:7.5625 in.   </v>
      </c>
      <c r="S1102" t="str">
        <f t="shared" si="56"/>
        <v>FALSE</v>
      </c>
      <c r="T1102" t="str">
        <f t="shared" si="57"/>
        <v>TRUE</v>
      </c>
    </row>
    <row r="1103" spans="1:20">
      <c r="A1103" t="s">
        <v>1263</v>
      </c>
      <c r="B1103" s="14" t="s">
        <v>144</v>
      </c>
      <c r="C1103" s="14" t="s">
        <v>157</v>
      </c>
      <c r="D1103" s="14">
        <v>0</v>
      </c>
      <c r="E1103" s="14"/>
      <c r="F1103" s="14">
        <v>1</v>
      </c>
      <c r="G1103" s="14">
        <v>1</v>
      </c>
      <c r="H1103" s="14"/>
      <c r="I1103" s="8" t="s">
        <v>38</v>
      </c>
      <c r="J1103" s="8" t="s">
        <v>38</v>
      </c>
      <c r="K1103">
        <v>60</v>
      </c>
      <c r="L1103">
        <v>51.375</v>
      </c>
      <c r="M1103" s="14">
        <v>4.5</v>
      </c>
      <c r="N1103" s="14">
        <v>8.4375</v>
      </c>
      <c r="R1103" t="str">
        <f t="shared" si="55"/>
        <v xml:space="preserve">XX8X_PV_1760:    Front abuts stile:FALSE       Back abuts stile:TRUE          Panel Section: BOTTOM           Stile in the back Width:            Cutout A:           Cutout B:      F.C.:4.5 in.         C.C.:8.4375 in.   </v>
      </c>
      <c r="S1103" t="str">
        <f t="shared" si="56"/>
        <v>FALSE</v>
      </c>
      <c r="T1103" t="str">
        <f t="shared" si="57"/>
        <v>TRUE</v>
      </c>
    </row>
    <row r="1104" spans="1:20">
      <c r="A1104" t="s">
        <v>1264</v>
      </c>
      <c r="B1104" s="14" t="s">
        <v>144</v>
      </c>
      <c r="C1104" s="14" t="s">
        <v>157</v>
      </c>
      <c r="D1104" s="14">
        <v>1</v>
      </c>
      <c r="E1104" s="14">
        <v>0</v>
      </c>
      <c r="F1104" s="14">
        <v>0</v>
      </c>
      <c r="G1104" s="14"/>
      <c r="H1104" s="14"/>
      <c r="I1104" s="8" t="s">
        <v>120</v>
      </c>
      <c r="J1104" s="8" t="s">
        <v>38</v>
      </c>
      <c r="K1104">
        <v>60</v>
      </c>
      <c r="L1104">
        <v>43.25</v>
      </c>
      <c r="M1104" s="14">
        <v>9</v>
      </c>
      <c r="N1104" s="14" t="s">
        <v>38</v>
      </c>
      <c r="R1104" t="str">
        <f t="shared" si="55"/>
        <v xml:space="preserve">XX8X_PV_1761:    Front abuts stile:TRUE       Back abuts stile:FALSE          Panel Section: BOTTOM           Stile in the back Width:            Cutout A: B-386          Cutout B:      F.C.:9 in.         C.C.: in.   </v>
      </c>
      <c r="S1104" t="str">
        <f t="shared" si="56"/>
        <v>TRUE</v>
      </c>
      <c r="T1104" t="str">
        <f t="shared" si="57"/>
        <v>FALSE</v>
      </c>
    </row>
    <row r="1105" spans="1:20">
      <c r="A1105" t="s">
        <v>1265</v>
      </c>
      <c r="B1105" s="14" t="s">
        <v>144</v>
      </c>
      <c r="C1105" s="14" t="s">
        <v>157</v>
      </c>
      <c r="D1105" s="14">
        <v>1</v>
      </c>
      <c r="E1105" s="14">
        <v>0</v>
      </c>
      <c r="F1105" s="14">
        <v>1</v>
      </c>
      <c r="G1105" s="14">
        <v>0</v>
      </c>
      <c r="H1105" s="14">
        <v>12</v>
      </c>
      <c r="I1105" s="8" t="s">
        <v>145</v>
      </c>
      <c r="J1105" s="8" t="s">
        <v>38</v>
      </c>
      <c r="K1105">
        <v>60</v>
      </c>
      <c r="L1105">
        <v>71.625</v>
      </c>
      <c r="M1105" s="14">
        <v>1.875</v>
      </c>
      <c r="N1105" s="14" t="s">
        <v>38</v>
      </c>
      <c r="R1105" t="str">
        <f t="shared" si="55"/>
        <v xml:space="preserve">XX8X_PV_1762:    Front abuts stile:TRUE       Back abuts stile:TRUE          Panel Section: BOTTOM           Stile in the back Width: 12           Cutout A: B-347          Cutout B:      F.C.:1.875 in.         C.C.: in.   </v>
      </c>
      <c r="S1105" t="str">
        <f t="shared" si="56"/>
        <v>TRUE</v>
      </c>
      <c r="T1105" t="str">
        <f t="shared" si="57"/>
        <v>TRUE</v>
      </c>
    </row>
    <row r="1106" spans="1:20">
      <c r="A1106" t="s">
        <v>1266</v>
      </c>
      <c r="B1106" s="14" t="s">
        <v>144</v>
      </c>
      <c r="C1106" s="14" t="s">
        <v>157</v>
      </c>
      <c r="D1106" s="14">
        <v>1</v>
      </c>
      <c r="E1106" s="14">
        <v>0</v>
      </c>
      <c r="F1106" s="14">
        <v>1</v>
      </c>
      <c r="G1106" s="14">
        <v>0</v>
      </c>
      <c r="H1106" s="14">
        <v>24</v>
      </c>
      <c r="I1106" s="8" t="s">
        <v>38</v>
      </c>
      <c r="J1106" s="8" t="s">
        <v>38</v>
      </c>
      <c r="K1106">
        <v>60</v>
      </c>
      <c r="L1106">
        <v>46.8125</v>
      </c>
      <c r="M1106" s="14">
        <v>4.5</v>
      </c>
      <c r="N1106" s="14">
        <v>7.25</v>
      </c>
      <c r="R1106" t="str">
        <f t="shared" si="55"/>
        <v xml:space="preserve">XX8X_PV_1763:    Front abuts stile:TRUE       Back abuts stile:TRUE          Panel Section: BOTTOM           Stile in the back Width: 24           Cutout A:           Cutout B:      F.C.:4.5 in.         C.C.:7.25 in.   </v>
      </c>
      <c r="S1106" t="str">
        <f t="shared" si="56"/>
        <v>TRUE</v>
      </c>
      <c r="T1106" t="str">
        <f t="shared" si="57"/>
        <v>TRUE</v>
      </c>
    </row>
    <row r="1107" spans="1:20">
      <c r="A1107" t="s">
        <v>1267</v>
      </c>
      <c r="B1107" s="14" t="s">
        <v>144</v>
      </c>
      <c r="C1107" s="14" t="s">
        <v>157</v>
      </c>
      <c r="D1107" s="14">
        <v>1</v>
      </c>
      <c r="E1107" s="14">
        <v>0</v>
      </c>
      <c r="F1107" s="14">
        <v>1</v>
      </c>
      <c r="G1107" s="14">
        <v>0</v>
      </c>
      <c r="H1107" s="14"/>
      <c r="I1107" s="8" t="s">
        <v>38</v>
      </c>
      <c r="J1107" s="8" t="s">
        <v>38</v>
      </c>
      <c r="K1107">
        <v>60</v>
      </c>
      <c r="L1107">
        <v>48.75</v>
      </c>
      <c r="M1107" s="14">
        <v>11.0625</v>
      </c>
      <c r="N1107" s="14">
        <v>6.125</v>
      </c>
      <c r="R1107" t="str">
        <f t="shared" si="55"/>
        <v xml:space="preserve">XX8X_PV_1764:    Front abuts stile:TRUE       Back abuts stile:TRUE          Panel Section: BOTTOM           Stile in the back Width:            Cutout A:           Cutout B:      F.C.:11.0625 in.         C.C.:6.125 in.   </v>
      </c>
      <c r="S1107" t="str">
        <f t="shared" si="56"/>
        <v>TRUE</v>
      </c>
      <c r="T1107" t="str">
        <f t="shared" si="57"/>
        <v>TRUE</v>
      </c>
    </row>
    <row r="1108" spans="1:20">
      <c r="A1108" t="s">
        <v>1268</v>
      </c>
      <c r="B1108" s="14" t="s">
        <v>144</v>
      </c>
      <c r="C1108" s="14" t="s">
        <v>157</v>
      </c>
      <c r="D1108" s="14">
        <v>1</v>
      </c>
      <c r="E1108" s="14">
        <v>0</v>
      </c>
      <c r="F1108" s="14">
        <v>1</v>
      </c>
      <c r="G1108" s="14">
        <v>1</v>
      </c>
      <c r="H1108" s="14"/>
      <c r="I1108" s="8" t="s">
        <v>38</v>
      </c>
      <c r="J1108" s="8" t="s">
        <v>38</v>
      </c>
      <c r="K1108">
        <v>60</v>
      </c>
      <c r="L1108">
        <v>72.0625</v>
      </c>
      <c r="M1108" s="14">
        <v>2.375</v>
      </c>
      <c r="N1108" s="14">
        <v>1</v>
      </c>
      <c r="R1108" t="str">
        <f t="shared" si="55"/>
        <v xml:space="preserve">XX8X_PV_1765:    Front abuts stile:TRUE       Back abuts stile:TRUE          Panel Section: BOTTOM           Stile in the back Width:            Cutout A:           Cutout B:      F.C.:2.375 in.         C.C.:1 in.   </v>
      </c>
      <c r="S1108" t="str">
        <f t="shared" si="56"/>
        <v>TRUE</v>
      </c>
      <c r="T1108" t="str">
        <f t="shared" si="57"/>
        <v>TRUE</v>
      </c>
    </row>
    <row r="1109" spans="1:20">
      <c r="A1109" t="s">
        <v>1269</v>
      </c>
      <c r="B1109" s="14" t="s">
        <v>144</v>
      </c>
      <c r="C1109" s="14" t="s">
        <v>157</v>
      </c>
      <c r="D1109" s="14">
        <v>1</v>
      </c>
      <c r="E1109" s="14">
        <v>1</v>
      </c>
      <c r="F1109" s="14">
        <v>0</v>
      </c>
      <c r="G1109" s="14"/>
      <c r="H1109" s="14"/>
      <c r="I1109" s="8" t="s">
        <v>150</v>
      </c>
      <c r="J1109" s="8" t="s">
        <v>38</v>
      </c>
      <c r="K1109">
        <v>60</v>
      </c>
      <c r="L1109">
        <v>70.4375</v>
      </c>
      <c r="M1109" s="14">
        <v>4.5</v>
      </c>
      <c r="N1109" s="14" t="s">
        <v>38</v>
      </c>
      <c r="R1109" t="str">
        <f t="shared" si="55"/>
        <v xml:space="preserve">XX8X_PV_1766:    Front abuts stile:TRUE       Back abuts stile:FALSE          Panel Section: BOTTOM           Stile in the back Width:            Cutout A: B-3571          Cutout B:      F.C.:4.5 in.         C.C.: in.   </v>
      </c>
      <c r="S1109" t="str">
        <f t="shared" si="56"/>
        <v>TRUE</v>
      </c>
      <c r="T1109" t="str">
        <f t="shared" si="57"/>
        <v>FALSE</v>
      </c>
    </row>
    <row r="1110" spans="1:20">
      <c r="A1110" t="s">
        <v>1270</v>
      </c>
      <c r="B1110" s="14" t="s">
        <v>144</v>
      </c>
      <c r="C1110" s="14" t="s">
        <v>157</v>
      </c>
      <c r="D1110" s="14">
        <v>1</v>
      </c>
      <c r="E1110" s="14">
        <v>1</v>
      </c>
      <c r="F1110" s="14">
        <v>1</v>
      </c>
      <c r="G1110" s="14">
        <v>0</v>
      </c>
      <c r="H1110" s="14">
        <v>12</v>
      </c>
      <c r="I1110" s="8" t="s">
        <v>148</v>
      </c>
      <c r="J1110" s="8" t="s">
        <v>38</v>
      </c>
      <c r="K1110">
        <v>60</v>
      </c>
      <c r="L1110">
        <v>50.5</v>
      </c>
      <c r="M1110" s="14">
        <v>4.5</v>
      </c>
      <c r="N1110" s="14">
        <v>1</v>
      </c>
      <c r="R1110" t="str">
        <f t="shared" si="55"/>
        <v xml:space="preserve">XX8X_PV_1767:    Front abuts stile:TRUE       Back abuts stile:TRUE          Panel Section: BOTTOM           Stile in the back Width: 12           Cutout A: B-3471          Cutout B:      F.C.:4.5 in.         C.C.:1 in.   </v>
      </c>
      <c r="S1110" t="str">
        <f t="shared" si="56"/>
        <v>TRUE</v>
      </c>
      <c r="T1110" t="str">
        <f t="shared" si="57"/>
        <v>TRUE</v>
      </c>
    </row>
    <row r="1111" spans="1:20">
      <c r="A1111" t="s">
        <v>1271</v>
      </c>
      <c r="B1111" s="14" t="s">
        <v>144</v>
      </c>
      <c r="C1111" s="14" t="s">
        <v>157</v>
      </c>
      <c r="D1111" s="14">
        <v>1</v>
      </c>
      <c r="E1111" s="14">
        <v>1</v>
      </c>
      <c r="F1111" s="14">
        <v>1</v>
      </c>
      <c r="G1111" s="14">
        <v>0</v>
      </c>
      <c r="H1111" s="14">
        <v>24</v>
      </c>
      <c r="I1111" s="8" t="s">
        <v>145</v>
      </c>
      <c r="J1111" s="8" t="s">
        <v>38</v>
      </c>
      <c r="K1111">
        <v>60</v>
      </c>
      <c r="L1111">
        <v>62.125</v>
      </c>
      <c r="M1111" s="14">
        <v>4.5</v>
      </c>
      <c r="N1111" s="14">
        <v>6.375</v>
      </c>
      <c r="R1111" t="str">
        <f t="shared" si="55"/>
        <v xml:space="preserve">XX8X_PV_1768:    Front abuts stile:TRUE       Back abuts stile:TRUE          Panel Section: BOTTOM           Stile in the back Width: 24           Cutout A: B-347          Cutout B:      F.C.:4.5 in.         C.C.:6.375 in.   </v>
      </c>
      <c r="S1111" t="str">
        <f t="shared" si="56"/>
        <v>TRUE</v>
      </c>
      <c r="T1111" t="str">
        <f t="shared" si="57"/>
        <v>TRUE</v>
      </c>
    </row>
    <row r="1112" spans="1:20">
      <c r="A1112" t="s">
        <v>1272</v>
      </c>
      <c r="B1112" s="14" t="s">
        <v>144</v>
      </c>
      <c r="C1112" s="14" t="s">
        <v>157</v>
      </c>
      <c r="D1112" s="14">
        <v>1</v>
      </c>
      <c r="E1112" s="14">
        <v>1</v>
      </c>
      <c r="F1112" s="14">
        <v>1</v>
      </c>
      <c r="G1112" s="14">
        <v>0</v>
      </c>
      <c r="H1112" s="14"/>
      <c r="I1112" s="8" t="s">
        <v>38</v>
      </c>
      <c r="J1112" s="8" t="s">
        <v>38</v>
      </c>
      <c r="K1112">
        <v>60</v>
      </c>
      <c r="L1112">
        <v>79.75</v>
      </c>
      <c r="M1112" s="14">
        <v>2</v>
      </c>
      <c r="N1112" s="14">
        <v>3</v>
      </c>
      <c r="R1112" t="str">
        <f t="shared" si="55"/>
        <v xml:space="preserve">XX8X_PV_1769:    Front abuts stile:TRUE       Back abuts stile:TRUE          Panel Section: BOTTOM           Stile in the back Width:            Cutout A:           Cutout B:      F.C.:2 in.         C.C.:3 in.   </v>
      </c>
      <c r="S1112" t="str">
        <f t="shared" si="56"/>
        <v>TRUE</v>
      </c>
      <c r="T1112" t="str">
        <f t="shared" si="57"/>
        <v>TRUE</v>
      </c>
    </row>
    <row r="1113" spans="1:20">
      <c r="A1113" t="s">
        <v>1273</v>
      </c>
      <c r="B1113" s="14" t="s">
        <v>144</v>
      </c>
      <c r="C1113" s="14" t="s">
        <v>157</v>
      </c>
      <c r="D1113" s="14">
        <v>1</v>
      </c>
      <c r="E1113" s="14">
        <v>1</v>
      </c>
      <c r="F1113" s="14">
        <v>1</v>
      </c>
      <c r="G1113" s="14">
        <v>1</v>
      </c>
      <c r="H1113" s="14"/>
      <c r="I1113" s="8" t="s">
        <v>38</v>
      </c>
      <c r="J1113" s="8" t="s">
        <v>38</v>
      </c>
      <c r="K1113">
        <v>60</v>
      </c>
      <c r="L1113">
        <v>48.9375</v>
      </c>
      <c r="M1113" s="14">
        <v>12</v>
      </c>
      <c r="N1113" s="14" t="s">
        <v>38</v>
      </c>
      <c r="R1113" t="str">
        <f t="shared" si="55"/>
        <v xml:space="preserve">XX8X_PV_1770:    Front abuts stile:TRUE       Back abuts stile:TRUE          Panel Section: BOTTOM           Stile in the back Width:            Cutout A:           Cutout B:      F.C.:12 in.         C.C.: in.   </v>
      </c>
      <c r="S1113" t="str">
        <f t="shared" si="56"/>
        <v>TRUE</v>
      </c>
      <c r="T1113" t="str">
        <f t="shared" si="57"/>
        <v>TRUE</v>
      </c>
    </row>
    <row r="1114" spans="1:20">
      <c r="A1114" t="s">
        <v>1274</v>
      </c>
      <c r="B1114" s="14" t="s">
        <v>144</v>
      </c>
      <c r="C1114" s="14" t="s">
        <v>21</v>
      </c>
      <c r="D1114" s="14">
        <v>0</v>
      </c>
      <c r="E1114" s="14"/>
      <c r="F1114" s="14">
        <v>0</v>
      </c>
      <c r="G1114" s="14"/>
      <c r="H1114" s="14"/>
      <c r="I1114" s="8" t="s">
        <v>121</v>
      </c>
      <c r="J1114" s="8" t="s">
        <v>38</v>
      </c>
      <c r="K1114">
        <v>88.5625</v>
      </c>
      <c r="L1114">
        <v>50.25</v>
      </c>
      <c r="M1114" s="14">
        <v>1</v>
      </c>
      <c r="N1114" s="14" t="s">
        <v>38</v>
      </c>
      <c r="R1114" t="str">
        <f t="shared" si="55"/>
        <v xml:space="preserve">XX8X_PV_1771:    Front abuts stile:FALSE       Back abuts stile:FALSE          Panel Section: WHOLE           Stile in the back Width:            Cutout A: B-4354          Cutout B:      F.C.:1 in.         C.C.: in.   </v>
      </c>
      <c r="S1114" t="str">
        <f t="shared" si="56"/>
        <v>FALSE</v>
      </c>
      <c r="T1114" t="str">
        <f t="shared" si="57"/>
        <v>FALSE</v>
      </c>
    </row>
    <row r="1115" spans="1:20">
      <c r="A1115" t="s">
        <v>1275</v>
      </c>
      <c r="B1115" s="14" t="s">
        <v>144</v>
      </c>
      <c r="C1115" s="14" t="s">
        <v>21</v>
      </c>
      <c r="D1115" s="14">
        <v>0</v>
      </c>
      <c r="E1115" s="14"/>
      <c r="F1115" s="14">
        <v>1</v>
      </c>
      <c r="G1115" s="14">
        <v>0</v>
      </c>
      <c r="H1115" s="14">
        <v>12</v>
      </c>
      <c r="I1115" s="8" t="s">
        <v>119</v>
      </c>
      <c r="J1115" s="8" t="s">
        <v>38</v>
      </c>
      <c r="K1115">
        <v>59.4375</v>
      </c>
      <c r="L1115">
        <v>54.125</v>
      </c>
      <c r="M1115" s="14">
        <v>4.5</v>
      </c>
      <c r="N1115" s="14">
        <v>1</v>
      </c>
      <c r="R1115" t="str">
        <f t="shared" si="55"/>
        <v xml:space="preserve">XX8X_PV_1772:    Front abuts stile:FALSE       Back abuts stile:TRUE          Panel Section: WHOLE           Stile in the back Width: 12           Cutout A: B-354          Cutout B:      F.C.:4.5 in.         C.C.:1 in.   </v>
      </c>
      <c r="S1115" t="str">
        <f t="shared" si="56"/>
        <v>FALSE</v>
      </c>
      <c r="T1115" t="str">
        <f t="shared" si="57"/>
        <v>TRUE</v>
      </c>
    </row>
    <row r="1116" spans="1:20">
      <c r="A1116" t="s">
        <v>1276</v>
      </c>
      <c r="B1116" s="14" t="s">
        <v>144</v>
      </c>
      <c r="C1116" s="14" t="s">
        <v>21</v>
      </c>
      <c r="D1116" s="14">
        <v>0</v>
      </c>
      <c r="E1116" s="14"/>
      <c r="F1116" s="14">
        <v>1</v>
      </c>
      <c r="G1116" s="14">
        <v>0</v>
      </c>
      <c r="H1116" s="14">
        <v>24</v>
      </c>
      <c r="I1116" s="8" t="s">
        <v>38</v>
      </c>
      <c r="J1116" s="8" t="s">
        <v>38</v>
      </c>
      <c r="K1116">
        <v>68</v>
      </c>
      <c r="L1116">
        <v>75.125</v>
      </c>
      <c r="M1116" s="14">
        <v>1</v>
      </c>
      <c r="N1116" s="14">
        <v>7.125</v>
      </c>
      <c r="R1116" t="str">
        <f t="shared" si="55"/>
        <v xml:space="preserve">XX8X_PV_1773:    Front abuts stile:FALSE       Back abuts stile:TRUE          Panel Section: WHOLE           Stile in the back Width: 24           Cutout A:           Cutout B:      F.C.:1 in.         C.C.:7.125 in.   </v>
      </c>
      <c r="S1116" t="str">
        <f t="shared" si="56"/>
        <v>FALSE</v>
      </c>
      <c r="T1116" t="str">
        <f t="shared" si="57"/>
        <v>TRUE</v>
      </c>
    </row>
    <row r="1117" spans="1:20">
      <c r="A1117" t="s">
        <v>1277</v>
      </c>
      <c r="B1117" s="14" t="s">
        <v>144</v>
      </c>
      <c r="C1117" s="14" t="s">
        <v>21</v>
      </c>
      <c r="D1117" s="14">
        <v>0</v>
      </c>
      <c r="E1117" s="14"/>
      <c r="F1117" s="14">
        <v>1</v>
      </c>
      <c r="G1117" s="14">
        <v>0</v>
      </c>
      <c r="H1117" s="14"/>
      <c r="I1117" s="8" t="s">
        <v>38</v>
      </c>
      <c r="J1117" s="8" t="s">
        <v>38</v>
      </c>
      <c r="K1117">
        <v>76.875</v>
      </c>
      <c r="L1117">
        <v>46.5</v>
      </c>
      <c r="M1117" s="14">
        <v>11.5</v>
      </c>
      <c r="N1117" s="14">
        <v>6.8125</v>
      </c>
      <c r="R1117" t="str">
        <f t="shared" si="55"/>
        <v xml:space="preserve">XX8X_PV_1774:    Front abuts stile:FALSE       Back abuts stile:TRUE          Panel Section: WHOLE           Stile in the back Width:            Cutout A:           Cutout B:      F.C.:11.5 in.         C.C.:6.8125 in.   </v>
      </c>
      <c r="S1117" t="str">
        <f t="shared" si="56"/>
        <v>FALSE</v>
      </c>
      <c r="T1117" t="str">
        <f t="shared" si="57"/>
        <v>TRUE</v>
      </c>
    </row>
    <row r="1118" spans="1:20">
      <c r="A1118" t="s">
        <v>1278</v>
      </c>
      <c r="B1118" s="14" t="s">
        <v>144</v>
      </c>
      <c r="C1118" s="14" t="s">
        <v>21</v>
      </c>
      <c r="D1118" s="14">
        <v>0</v>
      </c>
      <c r="E1118" s="14"/>
      <c r="F1118" s="14">
        <v>1</v>
      </c>
      <c r="G1118" s="14">
        <v>1</v>
      </c>
      <c r="H1118" s="14"/>
      <c r="I1118" s="8" t="s">
        <v>38</v>
      </c>
      <c r="J1118" s="8" t="s">
        <v>38</v>
      </c>
      <c r="K1118">
        <v>96</v>
      </c>
      <c r="L1118">
        <v>49.5625</v>
      </c>
      <c r="M1118" s="14">
        <v>3.0625</v>
      </c>
      <c r="N1118" s="14">
        <v>7.5625</v>
      </c>
      <c r="R1118" t="str">
        <f t="shared" si="55"/>
        <v xml:space="preserve">XX8X_PV_1775:    Front abuts stile:FALSE       Back abuts stile:TRUE          Panel Section: WHOLE           Stile in the back Width:            Cutout A:           Cutout B:      F.C.:3.0625 in.         C.C.:7.5625 in.   </v>
      </c>
      <c r="S1118" t="str">
        <f t="shared" si="56"/>
        <v>FALSE</v>
      </c>
      <c r="T1118" t="str">
        <f t="shared" si="57"/>
        <v>TRUE</v>
      </c>
    </row>
    <row r="1119" spans="1:20">
      <c r="A1119" t="s">
        <v>1279</v>
      </c>
      <c r="B1119" s="14" t="s">
        <v>144</v>
      </c>
      <c r="C1119" s="14" t="s">
        <v>21</v>
      </c>
      <c r="D1119" s="14">
        <v>1</v>
      </c>
      <c r="E1119" s="14">
        <v>0</v>
      </c>
      <c r="F1119" s="14">
        <v>0</v>
      </c>
      <c r="G1119" s="14"/>
      <c r="H1119" s="14"/>
      <c r="I1119" s="8" t="s">
        <v>35</v>
      </c>
      <c r="J1119" s="8" t="s">
        <v>38</v>
      </c>
      <c r="K1119">
        <v>96</v>
      </c>
      <c r="L1119">
        <v>62.75</v>
      </c>
      <c r="M1119" s="14">
        <v>4.5</v>
      </c>
      <c r="N1119" s="14">
        <v>1.9375</v>
      </c>
      <c r="R1119" t="str">
        <f t="shared" si="55"/>
        <v xml:space="preserve">XX8X_PV_1776:    Front abuts stile:TRUE       Back abuts stile:FALSE          Panel Section: WHOLE           Stile in the back Width:            Cutout A: B-357          Cutout B:      F.C.:4.5 in.         C.C.:1.9375 in.   </v>
      </c>
      <c r="S1119" t="str">
        <f t="shared" si="56"/>
        <v>TRUE</v>
      </c>
      <c r="T1119" t="str">
        <f t="shared" si="57"/>
        <v>FALSE</v>
      </c>
    </row>
    <row r="1120" spans="1:20">
      <c r="A1120" t="s">
        <v>1280</v>
      </c>
      <c r="B1120" s="14" t="s">
        <v>144</v>
      </c>
      <c r="C1120" s="14" t="s">
        <v>21</v>
      </c>
      <c r="D1120" s="14">
        <v>1</v>
      </c>
      <c r="E1120" s="14">
        <v>0</v>
      </c>
      <c r="F1120" s="14">
        <v>1</v>
      </c>
      <c r="G1120" s="14">
        <v>0</v>
      </c>
      <c r="H1120" s="14">
        <v>12</v>
      </c>
      <c r="I1120" s="8" t="s">
        <v>148</v>
      </c>
      <c r="J1120" s="8" t="s">
        <v>38</v>
      </c>
      <c r="K1120">
        <v>39.3125</v>
      </c>
      <c r="L1120">
        <v>69.625</v>
      </c>
      <c r="M1120" s="14">
        <v>2.8125</v>
      </c>
      <c r="N1120" s="14" t="s">
        <v>38</v>
      </c>
      <c r="R1120" t="str">
        <f t="shared" si="55"/>
        <v xml:space="preserve">XX8X_PV_1777:    Front abuts stile:TRUE       Back abuts stile:TRUE          Panel Section: WHOLE           Stile in the back Width: 12           Cutout A: B-3471          Cutout B:      F.C.:2.8125 in.         C.C.: in.   </v>
      </c>
      <c r="S1120" t="str">
        <f t="shared" si="56"/>
        <v>TRUE</v>
      </c>
      <c r="T1120" t="str">
        <f t="shared" si="57"/>
        <v>TRUE</v>
      </c>
    </row>
    <row r="1121" spans="1:20">
      <c r="A1121" t="s">
        <v>1281</v>
      </c>
      <c r="B1121" s="14" t="s">
        <v>144</v>
      </c>
      <c r="C1121" s="14" t="s">
        <v>21</v>
      </c>
      <c r="D1121" s="14">
        <v>1</v>
      </c>
      <c r="E1121" s="14">
        <v>0</v>
      </c>
      <c r="F1121" s="14">
        <v>1</v>
      </c>
      <c r="G1121" s="14">
        <v>0</v>
      </c>
      <c r="H1121" s="14">
        <v>24</v>
      </c>
      <c r="I1121" s="8" t="s">
        <v>120</v>
      </c>
      <c r="J1121" s="8" t="s">
        <v>38</v>
      </c>
      <c r="K1121">
        <v>52.0625</v>
      </c>
      <c r="L1121">
        <v>43.0625</v>
      </c>
      <c r="M1121" s="14">
        <v>1.5625</v>
      </c>
      <c r="N1121" s="14" t="s">
        <v>38</v>
      </c>
      <c r="R1121" t="str">
        <f t="shared" si="55"/>
        <v xml:space="preserve">XX8X_PV_1778:    Front abuts stile:TRUE       Back abuts stile:TRUE          Panel Section: WHOLE           Stile in the back Width: 24           Cutout A: B-386          Cutout B:      F.C.:1.5625 in.         C.C.: in.   </v>
      </c>
      <c r="S1121" t="str">
        <f t="shared" si="56"/>
        <v>TRUE</v>
      </c>
      <c r="T1121" t="str">
        <f t="shared" si="57"/>
        <v>TRUE</v>
      </c>
    </row>
    <row r="1122" spans="1:20">
      <c r="A1122" t="s">
        <v>1282</v>
      </c>
      <c r="B1122" s="14" t="s">
        <v>144</v>
      </c>
      <c r="C1122" s="14" t="s">
        <v>21</v>
      </c>
      <c r="D1122" s="14">
        <v>1</v>
      </c>
      <c r="E1122" s="14">
        <v>0</v>
      </c>
      <c r="F1122" s="14">
        <v>1</v>
      </c>
      <c r="G1122" s="14">
        <v>0</v>
      </c>
      <c r="H1122" s="14"/>
      <c r="I1122" s="8" t="s">
        <v>38</v>
      </c>
      <c r="J1122" s="8" t="s">
        <v>38</v>
      </c>
      <c r="K1122">
        <v>96</v>
      </c>
      <c r="L1122">
        <v>43.375</v>
      </c>
      <c r="M1122" s="14">
        <v>9.625</v>
      </c>
      <c r="N1122" s="14">
        <v>7.75</v>
      </c>
      <c r="R1122" t="str">
        <f t="shared" si="55"/>
        <v xml:space="preserve">XX8X_PV_1779:    Front abuts stile:TRUE       Back abuts stile:TRUE          Panel Section: WHOLE           Stile in the back Width:            Cutout A:           Cutout B:      F.C.:9.625 in.         C.C.:7.75 in.   </v>
      </c>
      <c r="S1122" t="str">
        <f t="shared" si="56"/>
        <v>TRUE</v>
      </c>
      <c r="T1122" t="str">
        <f t="shared" si="57"/>
        <v>TRUE</v>
      </c>
    </row>
    <row r="1123" spans="1:20">
      <c r="A1123" t="s">
        <v>1283</v>
      </c>
      <c r="B1123" s="14" t="s">
        <v>144</v>
      </c>
      <c r="C1123" s="14" t="s">
        <v>21</v>
      </c>
      <c r="D1123" s="14">
        <v>1</v>
      </c>
      <c r="E1123" s="14">
        <v>0</v>
      </c>
      <c r="F1123" s="14">
        <v>1</v>
      </c>
      <c r="G1123" s="14">
        <v>1</v>
      </c>
      <c r="H1123" s="14"/>
      <c r="I1123" s="8" t="s">
        <v>38</v>
      </c>
      <c r="J1123" s="8" t="s">
        <v>38</v>
      </c>
      <c r="K1123">
        <v>72.125</v>
      </c>
      <c r="L1123">
        <v>66.3125</v>
      </c>
      <c r="M1123" s="14">
        <v>7.6875</v>
      </c>
      <c r="N1123" s="14">
        <v>1</v>
      </c>
      <c r="R1123" t="str">
        <f t="shared" si="55"/>
        <v xml:space="preserve">XX8X_PV_1780:    Front abuts stile:TRUE       Back abuts stile:TRUE          Panel Section: WHOLE           Stile in the back Width:            Cutout A:           Cutout B:      F.C.:7.6875 in.         C.C.:1 in.   </v>
      </c>
      <c r="S1123" t="str">
        <f t="shared" si="56"/>
        <v>TRUE</v>
      </c>
      <c r="T1123" t="str">
        <f t="shared" si="57"/>
        <v>TRUE</v>
      </c>
    </row>
    <row r="1124" spans="1:20">
      <c r="A1124" t="s">
        <v>1284</v>
      </c>
      <c r="B1124" s="14" t="s">
        <v>144</v>
      </c>
      <c r="C1124" s="14" t="s">
        <v>21</v>
      </c>
      <c r="D1124" s="14">
        <v>1</v>
      </c>
      <c r="E1124" s="14">
        <v>1</v>
      </c>
      <c r="F1124" s="14">
        <v>0</v>
      </c>
      <c r="G1124" s="14"/>
      <c r="H1124" s="14"/>
      <c r="I1124" s="8" t="s">
        <v>151</v>
      </c>
      <c r="J1124" s="8" t="s">
        <v>38</v>
      </c>
      <c r="K1124">
        <v>96</v>
      </c>
      <c r="L1124">
        <v>67</v>
      </c>
      <c r="M1124" s="14">
        <v>7.1875</v>
      </c>
      <c r="N1124" s="14" t="s">
        <v>38</v>
      </c>
      <c r="R1124" t="str">
        <f t="shared" si="55"/>
        <v xml:space="preserve">XX8X_PV_1781:    Front abuts stile:TRUE       Back abuts stile:FALSE          Panel Section: WHOLE           Stile in the back Width:            Cutout A: B-35715          Cutout B:      F.C.:7.1875 in.         C.C.: in.   </v>
      </c>
      <c r="S1124" t="str">
        <f t="shared" si="56"/>
        <v>TRUE</v>
      </c>
      <c r="T1124" t="str">
        <f t="shared" si="57"/>
        <v>FALSE</v>
      </c>
    </row>
    <row r="1125" spans="1:20">
      <c r="A1125" t="s">
        <v>1285</v>
      </c>
      <c r="B1125" s="14" t="s">
        <v>144</v>
      </c>
      <c r="C1125" s="14" t="s">
        <v>21</v>
      </c>
      <c r="D1125" s="14">
        <v>1</v>
      </c>
      <c r="E1125" s="14">
        <v>1</v>
      </c>
      <c r="F1125" s="14">
        <v>1</v>
      </c>
      <c r="G1125" s="14">
        <v>0</v>
      </c>
      <c r="H1125" s="14">
        <v>12</v>
      </c>
      <c r="I1125" s="8" t="s">
        <v>35</v>
      </c>
      <c r="J1125" s="8" t="s">
        <v>38</v>
      </c>
      <c r="K1125">
        <v>57.25</v>
      </c>
      <c r="L1125">
        <v>62.25</v>
      </c>
      <c r="M1125" s="14">
        <v>1</v>
      </c>
      <c r="N1125" s="14">
        <v>1.1875</v>
      </c>
      <c r="R1125" t="str">
        <f t="shared" si="55"/>
        <v xml:space="preserve">XX8X_PV_1782:    Front abuts stile:TRUE       Back abuts stile:TRUE          Panel Section: WHOLE           Stile in the back Width: 12           Cutout A: B-357          Cutout B:      F.C.:1 in.         C.C.:1.1875 in.   </v>
      </c>
      <c r="S1125" t="str">
        <f t="shared" si="56"/>
        <v>TRUE</v>
      </c>
      <c r="T1125" t="str">
        <f t="shared" si="57"/>
        <v>TRUE</v>
      </c>
    </row>
    <row r="1126" spans="1:20">
      <c r="A1126" t="s">
        <v>1286</v>
      </c>
      <c r="B1126" s="14" t="s">
        <v>144</v>
      </c>
      <c r="C1126" s="14" t="s">
        <v>21</v>
      </c>
      <c r="D1126" s="14">
        <v>1</v>
      </c>
      <c r="E1126" s="14">
        <v>1</v>
      </c>
      <c r="F1126" s="14">
        <v>1</v>
      </c>
      <c r="G1126" s="14">
        <v>0</v>
      </c>
      <c r="H1126" s="14">
        <v>24</v>
      </c>
      <c r="I1126" s="8" t="s">
        <v>149</v>
      </c>
      <c r="J1126" s="8" t="s">
        <v>38</v>
      </c>
      <c r="K1126">
        <v>87.75</v>
      </c>
      <c r="L1126">
        <v>53.0625</v>
      </c>
      <c r="M1126" s="14">
        <v>1</v>
      </c>
      <c r="N1126" s="14">
        <v>1.4375</v>
      </c>
      <c r="R1126" t="str">
        <f t="shared" si="55"/>
        <v xml:space="preserve">XX8X_PV_1783:    Front abuts stile:TRUE       Back abuts stile:TRUE          Panel Section: WHOLE           Stile in the back Width: 24           Cutout A: B-34715          Cutout B:      F.C.:1 in.         C.C.:1.4375 in.   </v>
      </c>
      <c r="S1126" t="str">
        <f t="shared" si="56"/>
        <v>TRUE</v>
      </c>
      <c r="T1126" t="str">
        <f t="shared" si="57"/>
        <v>TRUE</v>
      </c>
    </row>
    <row r="1127" spans="1:20">
      <c r="A1127" t="s">
        <v>1287</v>
      </c>
      <c r="B1127" s="14" t="s">
        <v>144</v>
      </c>
      <c r="C1127" s="14" t="s">
        <v>21</v>
      </c>
      <c r="D1127" s="14">
        <v>1</v>
      </c>
      <c r="E1127" s="14">
        <v>1</v>
      </c>
      <c r="F1127" s="14">
        <v>1</v>
      </c>
      <c r="G1127" s="14">
        <v>0</v>
      </c>
      <c r="H1127" s="14"/>
      <c r="I1127" s="8" t="s">
        <v>38</v>
      </c>
      <c r="J1127" s="8" t="s">
        <v>38</v>
      </c>
      <c r="K1127">
        <v>100.5</v>
      </c>
      <c r="L1127">
        <v>48.625</v>
      </c>
      <c r="M1127" s="14">
        <v>1</v>
      </c>
      <c r="N1127" s="14">
        <v>1.25</v>
      </c>
      <c r="R1127" t="str">
        <f t="shared" si="55"/>
        <v xml:space="preserve">XX8X_PV_1784:    Front abuts stile:TRUE       Back abuts stile:TRUE          Panel Section: WHOLE           Stile in the back Width:            Cutout A:           Cutout B:      F.C.:1 in.         C.C.:1.25 in.   </v>
      </c>
      <c r="S1127" t="str">
        <f t="shared" si="56"/>
        <v>TRUE</v>
      </c>
      <c r="T1127" t="str">
        <f t="shared" si="57"/>
        <v>TRUE</v>
      </c>
    </row>
    <row r="1128" spans="1:20" ht="15" thickBot="1">
      <c r="A1128" t="s">
        <v>1288</v>
      </c>
      <c r="B1128" s="14" t="s">
        <v>144</v>
      </c>
      <c r="C1128" s="50" t="s">
        <v>21</v>
      </c>
      <c r="D1128" s="50">
        <v>1</v>
      </c>
      <c r="E1128" s="50">
        <v>1</v>
      </c>
      <c r="F1128" s="50">
        <v>1</v>
      </c>
      <c r="G1128" s="50">
        <v>1</v>
      </c>
      <c r="H1128" s="50"/>
      <c r="I1128" s="51" t="s">
        <v>38</v>
      </c>
      <c r="J1128" s="51" t="s">
        <v>38</v>
      </c>
      <c r="K1128" s="49">
        <v>57.25</v>
      </c>
      <c r="L1128" s="49">
        <v>8</v>
      </c>
      <c r="M1128" s="50">
        <v>4.5</v>
      </c>
      <c r="N1128" s="14">
        <v>4.9375</v>
      </c>
      <c r="R1128" t="str">
        <f t="shared" si="55"/>
        <v xml:space="preserve">XX8X_PV_1785:    Front abuts stile:TRUE       Back abuts stile:TRUE          Panel Section: WHOLE           Stile in the back Width:            Cutout A:           Cutout B:      F.C.:4.5 in.         C.C.:4.9375 in.   </v>
      </c>
      <c r="S1128" t="str">
        <f t="shared" si="56"/>
        <v>TRUE</v>
      </c>
      <c r="T1128" t="str">
        <f t="shared" si="57"/>
        <v>TRUE</v>
      </c>
    </row>
    <row r="1129" spans="1:20" ht="15" thickTop="1">
      <c r="A1129" t="s">
        <v>1289</v>
      </c>
      <c r="B1129" s="14" t="s">
        <v>144</v>
      </c>
      <c r="C1129" s="14" t="s">
        <v>156</v>
      </c>
      <c r="D1129" s="19">
        <v>0</v>
      </c>
      <c r="E1129" s="19"/>
      <c r="F1129" s="19">
        <v>0</v>
      </c>
      <c r="G1129" s="19"/>
      <c r="H1129" s="14"/>
      <c r="I1129" s="8" t="s">
        <v>119</v>
      </c>
      <c r="J1129" s="8" t="s">
        <v>38</v>
      </c>
      <c r="K1129">
        <v>42.8125</v>
      </c>
      <c r="L1129">
        <v>41.125</v>
      </c>
      <c r="M1129" s="14">
        <v>1</v>
      </c>
      <c r="N1129" s="14">
        <v>3.5</v>
      </c>
      <c r="R1129" t="str">
        <f t="shared" si="55"/>
        <v xml:space="preserve">XX8X_PV_1786:    Front abuts stile:FALSE       Back abuts stile:FALSE          Panel Section: TOP           Stile in the back Width:            Cutout A: B-354          Cutout B:      F.C.:1 in.         C.C.:3.5 in.   </v>
      </c>
      <c r="S1129" t="str">
        <f t="shared" si="56"/>
        <v>FALSE</v>
      </c>
      <c r="T1129" t="str">
        <f t="shared" si="57"/>
        <v>FALSE</v>
      </c>
    </row>
    <row r="1130" spans="1:20">
      <c r="A1130" t="s">
        <v>1290</v>
      </c>
      <c r="B1130" s="14" t="s">
        <v>144</v>
      </c>
      <c r="C1130" s="14" t="s">
        <v>156</v>
      </c>
      <c r="D1130" s="14">
        <v>0</v>
      </c>
      <c r="E1130" s="14"/>
      <c r="F1130" s="14">
        <v>1</v>
      </c>
      <c r="G1130" s="14">
        <v>0</v>
      </c>
      <c r="H1130" s="14">
        <v>12</v>
      </c>
      <c r="I1130" s="8" t="s">
        <v>119</v>
      </c>
      <c r="J1130" s="8" t="s">
        <v>38</v>
      </c>
      <c r="K1130">
        <v>41.4375</v>
      </c>
      <c r="L1130">
        <v>68.625</v>
      </c>
      <c r="M1130" s="14">
        <v>4.5</v>
      </c>
      <c r="N1130" s="14">
        <v>6.875</v>
      </c>
      <c r="R1130" t="str">
        <f t="shared" si="55"/>
        <v xml:space="preserve">XX8X_PV_1787:    Front abuts stile:FALSE       Back abuts stile:TRUE          Panel Section: TOP           Stile in the back Width: 12           Cutout A: B-354          Cutout B:      F.C.:4.5 in.         C.C.:6.875 in.   </v>
      </c>
      <c r="S1130" t="str">
        <f t="shared" si="56"/>
        <v>FALSE</v>
      </c>
      <c r="T1130" t="str">
        <f t="shared" si="57"/>
        <v>TRUE</v>
      </c>
    </row>
    <row r="1131" spans="1:20">
      <c r="A1131" t="s">
        <v>1291</v>
      </c>
      <c r="B1131" s="14" t="s">
        <v>144</v>
      </c>
      <c r="C1131" s="14" t="s">
        <v>156</v>
      </c>
      <c r="D1131" s="14">
        <v>0</v>
      </c>
      <c r="E1131" s="14"/>
      <c r="F1131" s="14">
        <v>1</v>
      </c>
      <c r="G1131" s="14">
        <v>0</v>
      </c>
      <c r="H1131" s="14">
        <v>24</v>
      </c>
      <c r="I1131" s="8" t="s">
        <v>38</v>
      </c>
      <c r="J1131" s="8" t="s">
        <v>38</v>
      </c>
      <c r="K1131">
        <v>14.5</v>
      </c>
      <c r="L1131">
        <v>49.125</v>
      </c>
      <c r="M1131" s="14">
        <v>1.75</v>
      </c>
      <c r="N1131" s="14" t="s">
        <v>38</v>
      </c>
      <c r="R1131" t="str">
        <f t="shared" si="55"/>
        <v xml:space="preserve">XX8X_PV_1788:    Front abuts stile:FALSE       Back abuts stile:TRUE          Panel Section: TOP           Stile in the back Width: 24           Cutout A:           Cutout B:      F.C.:1.75 in.         C.C.: in.   </v>
      </c>
      <c r="S1131" t="str">
        <f t="shared" si="56"/>
        <v>FALSE</v>
      </c>
      <c r="T1131" t="str">
        <f t="shared" si="57"/>
        <v>TRUE</v>
      </c>
    </row>
    <row r="1132" spans="1:20">
      <c r="A1132" t="s">
        <v>1292</v>
      </c>
      <c r="B1132" s="14" t="s">
        <v>144</v>
      </c>
      <c r="C1132" s="14" t="s">
        <v>156</v>
      </c>
      <c r="D1132" s="14">
        <v>0</v>
      </c>
      <c r="E1132" s="14"/>
      <c r="F1132" s="14">
        <v>1</v>
      </c>
      <c r="G1132" s="14">
        <v>0</v>
      </c>
      <c r="H1132" s="14"/>
      <c r="I1132" s="8" t="s">
        <v>38</v>
      </c>
      <c r="J1132" s="8" t="s">
        <v>38</v>
      </c>
      <c r="K1132">
        <v>31.625</v>
      </c>
      <c r="L1132">
        <v>65.5</v>
      </c>
      <c r="M1132" s="14">
        <v>4.5</v>
      </c>
      <c r="N1132" s="14">
        <v>4.8125</v>
      </c>
      <c r="R1132" t="str">
        <f t="shared" si="55"/>
        <v xml:space="preserve">XX8X_PV_1789:    Front abuts stile:FALSE       Back abuts stile:TRUE          Panel Section: TOP           Stile in the back Width:            Cutout A:           Cutout B:      F.C.:4.5 in.         C.C.:4.8125 in.   </v>
      </c>
      <c r="S1132" t="str">
        <f t="shared" si="56"/>
        <v>FALSE</v>
      </c>
      <c r="T1132" t="str">
        <f t="shared" si="57"/>
        <v>TRUE</v>
      </c>
    </row>
    <row r="1133" spans="1:20">
      <c r="A1133" t="s">
        <v>1293</v>
      </c>
      <c r="B1133" s="14" t="s">
        <v>144</v>
      </c>
      <c r="C1133" s="14" t="s">
        <v>156</v>
      </c>
      <c r="D1133" s="14">
        <v>0</v>
      </c>
      <c r="E1133" s="14"/>
      <c r="F1133" s="14">
        <v>1</v>
      </c>
      <c r="G1133" s="14">
        <v>1</v>
      </c>
      <c r="H1133" s="14"/>
      <c r="I1133" s="8" t="s">
        <v>38</v>
      </c>
      <c r="J1133" s="8" t="s">
        <v>38</v>
      </c>
      <c r="K1133">
        <v>7</v>
      </c>
      <c r="L1133">
        <v>10.5</v>
      </c>
      <c r="M1133" s="14">
        <v>11.75</v>
      </c>
      <c r="N1133" s="14">
        <v>3.625</v>
      </c>
      <c r="R1133" t="str">
        <f t="shared" si="55"/>
        <v xml:space="preserve">XX8X_PV_1790:    Front abuts stile:FALSE       Back abuts stile:TRUE          Panel Section: TOP           Stile in the back Width:            Cutout A:           Cutout B:      F.C.:11.75 in.         C.C.:3.625 in.   </v>
      </c>
      <c r="S1133" t="str">
        <f t="shared" si="56"/>
        <v>FALSE</v>
      </c>
      <c r="T1133" t="str">
        <f t="shared" si="57"/>
        <v>TRUE</v>
      </c>
    </row>
    <row r="1134" spans="1:20">
      <c r="A1134" t="s">
        <v>1294</v>
      </c>
      <c r="B1134" s="14" t="s">
        <v>144</v>
      </c>
      <c r="C1134" s="14" t="s">
        <v>156</v>
      </c>
      <c r="D1134" s="14">
        <v>1</v>
      </c>
      <c r="E1134" s="14">
        <v>0</v>
      </c>
      <c r="F1134" s="14">
        <v>0</v>
      </c>
      <c r="G1134" s="14"/>
      <c r="H1134" s="14"/>
      <c r="I1134" s="8" t="s">
        <v>150</v>
      </c>
      <c r="J1134" s="8" t="s">
        <v>38</v>
      </c>
      <c r="K1134">
        <v>21.0625</v>
      </c>
      <c r="L1134">
        <v>43.875</v>
      </c>
      <c r="M1134" s="14">
        <v>4.375</v>
      </c>
      <c r="N1134" s="14">
        <v>1</v>
      </c>
      <c r="R1134" t="str">
        <f t="shared" si="55"/>
        <v xml:space="preserve">XX8X_PV_1791:    Front abuts stile:TRUE       Back abuts stile:FALSE          Panel Section: TOP           Stile in the back Width:            Cutout A: B-3571          Cutout B:      F.C.:4.375 in.         C.C.:1 in.   </v>
      </c>
      <c r="S1134" t="str">
        <f t="shared" si="56"/>
        <v>TRUE</v>
      </c>
      <c r="T1134" t="str">
        <f t="shared" si="57"/>
        <v>FALSE</v>
      </c>
    </row>
    <row r="1135" spans="1:20">
      <c r="A1135" t="s">
        <v>1295</v>
      </c>
      <c r="B1135" s="14" t="s">
        <v>144</v>
      </c>
      <c r="C1135" s="14" t="s">
        <v>156</v>
      </c>
      <c r="D1135" s="14">
        <v>1</v>
      </c>
      <c r="E1135" s="14">
        <v>0</v>
      </c>
      <c r="F1135" s="14">
        <v>1</v>
      </c>
      <c r="G1135" s="14">
        <v>0</v>
      </c>
      <c r="H1135" s="14">
        <v>12</v>
      </c>
      <c r="I1135" s="8" t="s">
        <v>38</v>
      </c>
      <c r="J1135" s="8" t="s">
        <v>38</v>
      </c>
      <c r="K1135">
        <v>21.6875</v>
      </c>
      <c r="L1135">
        <v>16.375</v>
      </c>
      <c r="M1135" s="14">
        <v>1</v>
      </c>
      <c r="N1135" s="14">
        <v>1.375</v>
      </c>
      <c r="R1135" t="str">
        <f t="shared" si="55"/>
        <v xml:space="preserve">XX8X_PV_1792:    Front abuts stile:TRUE       Back abuts stile:TRUE          Panel Section: TOP           Stile in the back Width: 12           Cutout A:           Cutout B:      F.C.:1 in.         C.C.:1.375 in.   </v>
      </c>
      <c r="S1135" t="str">
        <f t="shared" si="56"/>
        <v>TRUE</v>
      </c>
      <c r="T1135" t="str">
        <f t="shared" si="57"/>
        <v>TRUE</v>
      </c>
    </row>
    <row r="1136" spans="1:20">
      <c r="A1136" t="s">
        <v>1296</v>
      </c>
      <c r="B1136" s="14" t="s">
        <v>144</v>
      </c>
      <c r="C1136" s="14" t="s">
        <v>156</v>
      </c>
      <c r="D1136" s="14">
        <v>1</v>
      </c>
      <c r="E1136" s="14">
        <v>0</v>
      </c>
      <c r="F1136" s="14">
        <v>1</v>
      </c>
      <c r="G1136" s="14">
        <v>0</v>
      </c>
      <c r="H1136" s="14">
        <v>24</v>
      </c>
      <c r="I1136" s="8" t="s">
        <v>145</v>
      </c>
      <c r="J1136" s="8" t="s">
        <v>38</v>
      </c>
      <c r="K1136">
        <v>40.875</v>
      </c>
      <c r="L1136">
        <v>77.1875</v>
      </c>
      <c r="M1136" s="14">
        <v>12</v>
      </c>
      <c r="N1136" s="14">
        <v>7.0625</v>
      </c>
      <c r="R1136" t="str">
        <f t="shared" si="55"/>
        <v xml:space="preserve">XX8X_PV_1793:    Front abuts stile:TRUE       Back abuts stile:TRUE          Panel Section: TOP           Stile in the back Width: 24           Cutout A: B-347          Cutout B:      F.C.:12 in.         C.C.:7.0625 in.   </v>
      </c>
      <c r="S1136" t="str">
        <f t="shared" si="56"/>
        <v>TRUE</v>
      </c>
      <c r="T1136" t="str">
        <f t="shared" si="57"/>
        <v>TRUE</v>
      </c>
    </row>
    <row r="1137" spans="1:20">
      <c r="A1137" t="s">
        <v>1297</v>
      </c>
      <c r="B1137" s="14" t="s">
        <v>144</v>
      </c>
      <c r="C1137" s="14" t="s">
        <v>156</v>
      </c>
      <c r="D1137" s="14">
        <v>1</v>
      </c>
      <c r="E1137" s="14">
        <v>0</v>
      </c>
      <c r="F1137" s="14">
        <v>1</v>
      </c>
      <c r="G1137" s="14">
        <v>0</v>
      </c>
      <c r="H1137" s="14"/>
      <c r="I1137" s="8" t="s">
        <v>38</v>
      </c>
      <c r="J1137" s="8" t="s">
        <v>38</v>
      </c>
      <c r="K1137">
        <v>39.3125</v>
      </c>
      <c r="L1137">
        <v>68.5</v>
      </c>
      <c r="M1137" s="14">
        <v>4.5</v>
      </c>
      <c r="N1137" s="14">
        <v>4.5</v>
      </c>
      <c r="R1137" t="str">
        <f t="shared" si="55"/>
        <v xml:space="preserve">XX8X_PV_1794:    Front abuts stile:TRUE       Back abuts stile:TRUE          Panel Section: TOP           Stile in the back Width:            Cutout A:           Cutout B:      F.C.:4.5 in.         C.C.:4.5 in.   </v>
      </c>
      <c r="S1137" t="str">
        <f t="shared" si="56"/>
        <v>TRUE</v>
      </c>
      <c r="T1137" t="str">
        <f t="shared" si="57"/>
        <v>TRUE</v>
      </c>
    </row>
    <row r="1138" spans="1:20">
      <c r="A1138" t="s">
        <v>1298</v>
      </c>
      <c r="B1138" s="14" t="s">
        <v>144</v>
      </c>
      <c r="C1138" s="14" t="s">
        <v>156</v>
      </c>
      <c r="D1138" s="14">
        <v>1</v>
      </c>
      <c r="E1138" s="14">
        <v>0</v>
      </c>
      <c r="F1138" s="14">
        <v>1</v>
      </c>
      <c r="G1138" s="14">
        <v>1</v>
      </c>
      <c r="H1138" s="14"/>
      <c r="I1138" s="8" t="s">
        <v>38</v>
      </c>
      <c r="J1138" s="8" t="s">
        <v>38</v>
      </c>
      <c r="K1138">
        <v>39.125</v>
      </c>
      <c r="L1138">
        <v>41.375</v>
      </c>
      <c r="M1138" s="14">
        <v>12</v>
      </c>
      <c r="N1138" s="14">
        <v>1</v>
      </c>
      <c r="R1138" t="str">
        <f t="shared" si="55"/>
        <v xml:space="preserve">XX8X_PV_1795:    Front abuts stile:TRUE       Back abuts stile:TRUE          Panel Section: TOP           Stile in the back Width:            Cutout A:           Cutout B:      F.C.:12 in.         C.C.:1 in.   </v>
      </c>
      <c r="S1138" t="str">
        <f t="shared" si="56"/>
        <v>TRUE</v>
      </c>
      <c r="T1138" t="str">
        <f t="shared" si="57"/>
        <v>TRUE</v>
      </c>
    </row>
    <row r="1139" spans="1:20">
      <c r="A1139" t="s">
        <v>1299</v>
      </c>
      <c r="B1139" s="14" t="s">
        <v>144</v>
      </c>
      <c r="C1139" s="14" t="s">
        <v>156</v>
      </c>
      <c r="D1139" s="14">
        <v>1</v>
      </c>
      <c r="E1139" s="14">
        <v>1</v>
      </c>
      <c r="F1139" s="14">
        <v>0</v>
      </c>
      <c r="G1139" s="14"/>
      <c r="H1139" s="14"/>
      <c r="I1139" s="8" t="s">
        <v>38</v>
      </c>
      <c r="J1139" s="8" t="s">
        <v>38</v>
      </c>
      <c r="K1139">
        <v>6</v>
      </c>
      <c r="L1139">
        <v>68.25</v>
      </c>
      <c r="M1139" s="14">
        <v>4.5</v>
      </c>
      <c r="N1139" s="14">
        <v>3.375</v>
      </c>
      <c r="R1139" t="str">
        <f t="shared" si="55"/>
        <v xml:space="preserve">XX8X_PV_1796:    Front abuts stile:TRUE       Back abuts stile:FALSE          Panel Section: TOP           Stile in the back Width:            Cutout A:           Cutout B:      F.C.:4.5 in.         C.C.:3.375 in.   </v>
      </c>
      <c r="S1139" t="str">
        <f t="shared" si="56"/>
        <v>TRUE</v>
      </c>
      <c r="T1139" t="str">
        <f t="shared" si="57"/>
        <v>FALSE</v>
      </c>
    </row>
    <row r="1140" spans="1:20">
      <c r="A1140" t="s">
        <v>1300</v>
      </c>
      <c r="B1140" s="14" t="s">
        <v>144</v>
      </c>
      <c r="C1140" s="14" t="s">
        <v>156</v>
      </c>
      <c r="D1140" s="14">
        <v>1</v>
      </c>
      <c r="E1140" s="14">
        <v>1</v>
      </c>
      <c r="F1140" s="14">
        <v>1</v>
      </c>
      <c r="G1140" s="14">
        <v>0</v>
      </c>
      <c r="H1140" s="14">
        <v>12</v>
      </c>
      <c r="I1140" s="8" t="s">
        <v>120</v>
      </c>
      <c r="J1140" s="8" t="s">
        <v>38</v>
      </c>
      <c r="K1140">
        <v>17.25</v>
      </c>
      <c r="L1140">
        <v>51.9375</v>
      </c>
      <c r="M1140" s="14">
        <v>1.375</v>
      </c>
      <c r="N1140" s="14" t="s">
        <v>38</v>
      </c>
      <c r="R1140" t="str">
        <f t="shared" si="55"/>
        <v xml:space="preserve">XX8X_PV_1797:    Front abuts stile:TRUE       Back abuts stile:TRUE          Panel Section: TOP           Stile in the back Width: 12           Cutout A: B-386          Cutout B:      F.C.:1.375 in.         C.C.: in.   </v>
      </c>
      <c r="S1140" t="str">
        <f t="shared" si="56"/>
        <v>TRUE</v>
      </c>
      <c r="T1140" t="str">
        <f t="shared" si="57"/>
        <v>TRUE</v>
      </c>
    </row>
    <row r="1141" spans="1:20">
      <c r="A1141" t="s">
        <v>1301</v>
      </c>
      <c r="B1141" s="14" t="s">
        <v>144</v>
      </c>
      <c r="C1141" s="14" t="s">
        <v>156</v>
      </c>
      <c r="D1141" s="14">
        <v>1</v>
      </c>
      <c r="E1141" s="14">
        <v>1</v>
      </c>
      <c r="F1141" s="14">
        <v>1</v>
      </c>
      <c r="G1141" s="14">
        <v>0</v>
      </c>
      <c r="H1141" s="14">
        <v>24</v>
      </c>
      <c r="I1141" s="8" t="s">
        <v>38</v>
      </c>
      <c r="J1141" s="8" t="s">
        <v>38</v>
      </c>
      <c r="K1141">
        <v>7.5625</v>
      </c>
      <c r="L1141">
        <v>75.5</v>
      </c>
      <c r="M1141" s="14">
        <v>9</v>
      </c>
      <c r="N1141" s="14">
        <v>7.75</v>
      </c>
      <c r="R1141" t="str">
        <f t="shared" si="55"/>
        <v xml:space="preserve">XX8X_PV_1798:    Front abuts stile:TRUE       Back abuts stile:TRUE          Panel Section: TOP           Stile in the back Width: 24           Cutout A:           Cutout B:      F.C.:9 in.         C.C.:7.75 in.   </v>
      </c>
      <c r="S1141" t="str">
        <f t="shared" si="56"/>
        <v>TRUE</v>
      </c>
      <c r="T1141" t="str">
        <f t="shared" si="57"/>
        <v>TRUE</v>
      </c>
    </row>
    <row r="1142" spans="1:20">
      <c r="A1142" t="s">
        <v>1302</v>
      </c>
      <c r="B1142" s="14" t="s">
        <v>144</v>
      </c>
      <c r="C1142" s="14" t="s">
        <v>156</v>
      </c>
      <c r="D1142" s="14">
        <v>1</v>
      </c>
      <c r="E1142" s="14">
        <v>1</v>
      </c>
      <c r="F1142" s="14">
        <v>1</v>
      </c>
      <c r="G1142" s="14">
        <v>0</v>
      </c>
      <c r="H1142" s="14"/>
      <c r="I1142" s="8" t="s">
        <v>38</v>
      </c>
      <c r="J1142" s="8" t="s">
        <v>38</v>
      </c>
      <c r="K1142">
        <v>10.9375</v>
      </c>
      <c r="L1142">
        <v>71.5625</v>
      </c>
      <c r="M1142" s="14">
        <v>4.5</v>
      </c>
      <c r="N1142" s="14">
        <v>8.3125</v>
      </c>
      <c r="R1142" t="str">
        <f t="shared" si="55"/>
        <v xml:space="preserve">XX8X_PV_1799:    Front abuts stile:TRUE       Back abuts stile:TRUE          Panel Section: TOP           Stile in the back Width:            Cutout A:           Cutout B:      F.C.:4.5 in.         C.C.:8.3125 in.   </v>
      </c>
      <c r="S1142" t="str">
        <f t="shared" si="56"/>
        <v>TRUE</v>
      </c>
      <c r="T1142" t="str">
        <f t="shared" si="57"/>
        <v>TRUE</v>
      </c>
    </row>
    <row r="1143" spans="1:20">
      <c r="A1143" t="s">
        <v>1303</v>
      </c>
      <c r="B1143" s="14" t="s">
        <v>144</v>
      </c>
      <c r="C1143" s="14" t="s">
        <v>156</v>
      </c>
      <c r="D1143" s="14">
        <v>1</v>
      </c>
      <c r="E1143" s="14">
        <v>1</v>
      </c>
      <c r="F1143" s="14">
        <v>1</v>
      </c>
      <c r="G1143" s="14">
        <v>1</v>
      </c>
      <c r="H1143" s="14"/>
      <c r="I1143" s="8" t="s">
        <v>38</v>
      </c>
      <c r="J1143" s="8" t="s">
        <v>38</v>
      </c>
      <c r="K1143">
        <v>12.5</v>
      </c>
      <c r="L1143">
        <v>75.3125</v>
      </c>
      <c r="M1143" s="14">
        <v>12</v>
      </c>
      <c r="N1143" s="14" t="s">
        <v>38</v>
      </c>
      <c r="R1143" t="str">
        <f t="shared" si="55"/>
        <v xml:space="preserve">XX8X_PV_1800:    Front abuts stile:TRUE       Back abuts stile:TRUE          Panel Section: TOP           Stile in the back Width:            Cutout A:           Cutout B:      F.C.:12 in.         C.C.: in.   </v>
      </c>
      <c r="S1143" t="str">
        <f t="shared" si="56"/>
        <v>TRUE</v>
      </c>
      <c r="T1143" t="str">
        <f t="shared" si="57"/>
        <v>TRUE</v>
      </c>
    </row>
    <row r="1144" spans="1:20">
      <c r="A1144" t="s">
        <v>1304</v>
      </c>
      <c r="B1144" s="14" t="s">
        <v>144</v>
      </c>
      <c r="C1144" s="14" t="s">
        <v>157</v>
      </c>
      <c r="D1144" s="14">
        <v>0</v>
      </c>
      <c r="E1144" s="14"/>
      <c r="F1144" s="14">
        <v>0</v>
      </c>
      <c r="G1144" s="14"/>
      <c r="H1144" s="14"/>
      <c r="I1144" s="8" t="s">
        <v>145</v>
      </c>
      <c r="J1144" s="8" t="s">
        <v>38</v>
      </c>
      <c r="K1144">
        <v>60</v>
      </c>
      <c r="L1144">
        <v>76.0625</v>
      </c>
      <c r="M1144" s="14">
        <v>12</v>
      </c>
      <c r="N1144" s="14">
        <v>7.625</v>
      </c>
      <c r="R1144" t="str">
        <f t="shared" si="55"/>
        <v xml:space="preserve">XX8X_PV_1801:    Front abuts stile:FALSE       Back abuts stile:FALSE          Panel Section: BOTTOM           Stile in the back Width:            Cutout A: B-347          Cutout B:      F.C.:12 in.         C.C.:7.625 in.   </v>
      </c>
      <c r="S1144" t="str">
        <f t="shared" si="56"/>
        <v>FALSE</v>
      </c>
      <c r="T1144" t="str">
        <f t="shared" si="57"/>
        <v>FALSE</v>
      </c>
    </row>
    <row r="1145" spans="1:20">
      <c r="A1145" t="s">
        <v>1305</v>
      </c>
      <c r="B1145" s="14" t="s">
        <v>144</v>
      </c>
      <c r="C1145" s="14" t="s">
        <v>157</v>
      </c>
      <c r="D1145" s="14">
        <v>0</v>
      </c>
      <c r="E1145" s="14"/>
      <c r="F1145" s="14">
        <v>1</v>
      </c>
      <c r="G1145" s="14">
        <v>0</v>
      </c>
      <c r="H1145" s="14">
        <v>12</v>
      </c>
      <c r="I1145" s="8" t="s">
        <v>38</v>
      </c>
      <c r="J1145" s="8" t="s">
        <v>38</v>
      </c>
      <c r="K1145">
        <v>60</v>
      </c>
      <c r="L1145">
        <v>12.375</v>
      </c>
      <c r="M1145" s="14">
        <v>9</v>
      </c>
      <c r="N1145" s="14" t="s">
        <v>38</v>
      </c>
      <c r="R1145" t="str">
        <f t="shared" si="55"/>
        <v xml:space="preserve">XX8X_PV_1802:    Front abuts stile:FALSE       Back abuts stile:TRUE          Panel Section: BOTTOM           Stile in the back Width: 12           Cutout A:           Cutout B:      F.C.:9 in.         C.C.: in.   </v>
      </c>
      <c r="S1145" t="str">
        <f t="shared" si="56"/>
        <v>FALSE</v>
      </c>
      <c r="T1145" t="str">
        <f t="shared" si="57"/>
        <v>TRUE</v>
      </c>
    </row>
    <row r="1146" spans="1:20">
      <c r="A1146" t="s">
        <v>1306</v>
      </c>
      <c r="B1146" s="14" t="s">
        <v>144</v>
      </c>
      <c r="C1146" s="14" t="s">
        <v>157</v>
      </c>
      <c r="D1146" s="14">
        <v>0</v>
      </c>
      <c r="E1146" s="14"/>
      <c r="F1146" s="14">
        <v>1</v>
      </c>
      <c r="G1146" s="14">
        <v>0</v>
      </c>
      <c r="H1146" s="14">
        <v>24</v>
      </c>
      <c r="I1146" s="8" t="s">
        <v>149</v>
      </c>
      <c r="J1146" s="8" t="s">
        <v>38</v>
      </c>
      <c r="K1146">
        <v>60</v>
      </c>
      <c r="L1146">
        <v>62.3125</v>
      </c>
      <c r="M1146" s="14">
        <v>7.5</v>
      </c>
      <c r="N1146" s="14">
        <v>7.9375</v>
      </c>
      <c r="R1146" t="str">
        <f t="shared" si="55"/>
        <v xml:space="preserve">XX8X_PV_1803:    Front abuts stile:FALSE       Back abuts stile:TRUE          Panel Section: BOTTOM           Stile in the back Width: 24           Cutout A: B-34715          Cutout B:      F.C.:7.5 in.         C.C.:7.9375 in.   </v>
      </c>
      <c r="S1146" t="str">
        <f t="shared" si="56"/>
        <v>FALSE</v>
      </c>
      <c r="T1146" t="str">
        <f t="shared" si="57"/>
        <v>TRUE</v>
      </c>
    </row>
    <row r="1147" spans="1:20">
      <c r="A1147" t="s">
        <v>1307</v>
      </c>
      <c r="B1147" s="14" t="s">
        <v>144</v>
      </c>
      <c r="C1147" s="14" t="s">
        <v>157</v>
      </c>
      <c r="D1147" s="14">
        <v>0</v>
      </c>
      <c r="E1147" s="14"/>
      <c r="F1147" s="14">
        <v>1</v>
      </c>
      <c r="G1147" s="14">
        <v>0</v>
      </c>
      <c r="H1147" s="14"/>
      <c r="I1147" s="8" t="s">
        <v>38</v>
      </c>
      <c r="J1147" s="8" t="s">
        <v>38</v>
      </c>
      <c r="K1147">
        <v>60</v>
      </c>
      <c r="L1147">
        <v>50.5</v>
      </c>
      <c r="M1147" s="14">
        <v>4.9375</v>
      </c>
      <c r="N1147" s="14">
        <v>3.125</v>
      </c>
      <c r="R1147" t="str">
        <f t="shared" si="55"/>
        <v xml:space="preserve">XX8X_PV_1804:    Front abuts stile:FALSE       Back abuts stile:TRUE          Panel Section: BOTTOM           Stile in the back Width:            Cutout A:           Cutout B:      F.C.:4.9375 in.         C.C.:3.125 in.   </v>
      </c>
      <c r="S1147" t="str">
        <f t="shared" si="56"/>
        <v>FALSE</v>
      </c>
      <c r="T1147" t="str">
        <f t="shared" si="57"/>
        <v>TRUE</v>
      </c>
    </row>
    <row r="1148" spans="1:20">
      <c r="A1148" t="s">
        <v>1308</v>
      </c>
      <c r="B1148" s="14" t="s">
        <v>144</v>
      </c>
      <c r="C1148" s="14" t="s">
        <v>157</v>
      </c>
      <c r="D1148" s="14">
        <v>0</v>
      </c>
      <c r="E1148" s="14"/>
      <c r="F1148" s="14">
        <v>1</v>
      </c>
      <c r="G1148" s="14">
        <v>1</v>
      </c>
      <c r="H1148" s="14"/>
      <c r="I1148" s="8" t="s">
        <v>38</v>
      </c>
      <c r="J1148" s="8" t="s">
        <v>38</v>
      </c>
      <c r="K1148">
        <v>60</v>
      </c>
      <c r="L1148">
        <v>41.0625</v>
      </c>
      <c r="M1148" s="14">
        <v>4.5</v>
      </c>
      <c r="N1148" s="14">
        <v>6.1875</v>
      </c>
      <c r="R1148" t="str">
        <f t="shared" si="55"/>
        <v xml:space="preserve">XX8X_PV_1805:    Front abuts stile:FALSE       Back abuts stile:TRUE          Panel Section: BOTTOM           Stile in the back Width:            Cutout A:           Cutout B:      F.C.:4.5 in.         C.C.:6.1875 in.   </v>
      </c>
      <c r="S1148" t="str">
        <f t="shared" si="56"/>
        <v>FALSE</v>
      </c>
      <c r="T1148" t="str">
        <f t="shared" si="57"/>
        <v>TRUE</v>
      </c>
    </row>
    <row r="1149" spans="1:20">
      <c r="A1149" t="s">
        <v>1309</v>
      </c>
      <c r="B1149" s="14" t="s">
        <v>144</v>
      </c>
      <c r="C1149" s="14" t="s">
        <v>157</v>
      </c>
      <c r="D1149" s="14">
        <v>1</v>
      </c>
      <c r="E1149" s="14">
        <v>0</v>
      </c>
      <c r="F1149" s="14">
        <v>0</v>
      </c>
      <c r="G1149" s="14"/>
      <c r="H1149" s="14"/>
      <c r="I1149" s="8" t="s">
        <v>35</v>
      </c>
      <c r="J1149" s="8" t="s">
        <v>38</v>
      </c>
      <c r="K1149">
        <v>60</v>
      </c>
      <c r="L1149">
        <v>66.125</v>
      </c>
      <c r="M1149" s="14">
        <v>1</v>
      </c>
      <c r="N1149" s="14">
        <v>1</v>
      </c>
      <c r="R1149" t="str">
        <f t="shared" si="55"/>
        <v xml:space="preserve">XX8X_PV_1806:    Front abuts stile:TRUE       Back abuts stile:FALSE          Panel Section: BOTTOM           Stile in the back Width:            Cutout A: B-357          Cutout B:      F.C.:1 in.         C.C.:1 in.   </v>
      </c>
      <c r="S1149" t="str">
        <f t="shared" si="56"/>
        <v>TRUE</v>
      </c>
      <c r="T1149" t="str">
        <f t="shared" si="57"/>
        <v>FALSE</v>
      </c>
    </row>
    <row r="1150" spans="1:20">
      <c r="A1150" t="s">
        <v>1310</v>
      </c>
      <c r="B1150" s="14" t="s">
        <v>144</v>
      </c>
      <c r="C1150" s="14" t="s">
        <v>157</v>
      </c>
      <c r="D1150" s="14">
        <v>1</v>
      </c>
      <c r="E1150" s="14">
        <v>0</v>
      </c>
      <c r="F1150" s="14">
        <v>1</v>
      </c>
      <c r="G1150" s="14">
        <v>0</v>
      </c>
      <c r="H1150" s="14">
        <v>12</v>
      </c>
      <c r="I1150" s="8" t="s">
        <v>120</v>
      </c>
      <c r="J1150" s="8" t="s">
        <v>38</v>
      </c>
      <c r="K1150">
        <v>60</v>
      </c>
      <c r="L1150">
        <v>48.3125</v>
      </c>
      <c r="M1150" s="14">
        <v>12</v>
      </c>
      <c r="N1150" s="14">
        <v>1</v>
      </c>
      <c r="R1150" t="str">
        <f t="shared" si="55"/>
        <v xml:space="preserve">XX8X_PV_1807:    Front abuts stile:TRUE       Back abuts stile:TRUE          Panel Section: BOTTOM           Stile in the back Width: 12           Cutout A: B-386          Cutout B:      F.C.:12 in.         C.C.:1 in.   </v>
      </c>
      <c r="S1150" t="str">
        <f t="shared" si="56"/>
        <v>TRUE</v>
      </c>
      <c r="T1150" t="str">
        <f t="shared" si="57"/>
        <v>TRUE</v>
      </c>
    </row>
    <row r="1151" spans="1:20">
      <c r="A1151" t="s">
        <v>1311</v>
      </c>
      <c r="B1151" s="14" t="s">
        <v>144</v>
      </c>
      <c r="C1151" s="14" t="s">
        <v>157</v>
      </c>
      <c r="D1151" s="14">
        <v>1</v>
      </c>
      <c r="E1151" s="14">
        <v>0</v>
      </c>
      <c r="F1151" s="14">
        <v>1</v>
      </c>
      <c r="G1151" s="14">
        <v>0</v>
      </c>
      <c r="H1151" s="14">
        <v>24</v>
      </c>
      <c r="I1151" s="8" t="s">
        <v>38</v>
      </c>
      <c r="J1151" s="8" t="s">
        <v>38</v>
      </c>
      <c r="K1151">
        <v>60</v>
      </c>
      <c r="L1151">
        <v>28.625</v>
      </c>
      <c r="M1151" s="14">
        <v>1</v>
      </c>
      <c r="N1151" s="14">
        <v>1.6875</v>
      </c>
      <c r="R1151" t="str">
        <f t="shared" si="55"/>
        <v xml:space="preserve">XX8X_PV_1808:    Front abuts stile:TRUE       Back abuts stile:TRUE          Panel Section: BOTTOM           Stile in the back Width: 24           Cutout A:           Cutout B:      F.C.:1 in.         C.C.:1.6875 in.   </v>
      </c>
      <c r="S1151" t="str">
        <f t="shared" si="56"/>
        <v>TRUE</v>
      </c>
      <c r="T1151" t="str">
        <f t="shared" si="57"/>
        <v>TRUE</v>
      </c>
    </row>
    <row r="1152" spans="1:20">
      <c r="A1152" t="s">
        <v>1312</v>
      </c>
      <c r="B1152" s="14" t="s">
        <v>144</v>
      </c>
      <c r="C1152" s="14" t="s">
        <v>157</v>
      </c>
      <c r="D1152" s="14">
        <v>1</v>
      </c>
      <c r="E1152" s="14">
        <v>0</v>
      </c>
      <c r="F1152" s="14">
        <v>1</v>
      </c>
      <c r="G1152" s="14">
        <v>0</v>
      </c>
      <c r="H1152" s="14"/>
      <c r="I1152" s="8" t="s">
        <v>38</v>
      </c>
      <c r="J1152" s="8" t="s">
        <v>38</v>
      </c>
      <c r="K1152">
        <v>60</v>
      </c>
      <c r="L1152">
        <v>78.625</v>
      </c>
      <c r="M1152" s="14">
        <v>11.375</v>
      </c>
      <c r="N1152" s="14" t="s">
        <v>38</v>
      </c>
      <c r="R1152" t="str">
        <f t="shared" si="55"/>
        <v xml:space="preserve">XX8X_PV_1809:    Front abuts stile:TRUE       Back abuts stile:TRUE          Panel Section: BOTTOM           Stile in the back Width:            Cutout A:           Cutout B:      F.C.:11.375 in.         C.C.: in.   </v>
      </c>
      <c r="S1152" t="str">
        <f t="shared" si="56"/>
        <v>TRUE</v>
      </c>
      <c r="T1152" t="str">
        <f t="shared" si="57"/>
        <v>TRUE</v>
      </c>
    </row>
    <row r="1153" spans="1:20">
      <c r="A1153" t="s">
        <v>1313</v>
      </c>
      <c r="B1153" s="14" t="s">
        <v>144</v>
      </c>
      <c r="C1153" s="14" t="s">
        <v>157</v>
      </c>
      <c r="D1153" s="14">
        <v>1</v>
      </c>
      <c r="E1153" s="14">
        <v>0</v>
      </c>
      <c r="F1153" s="14">
        <v>1</v>
      </c>
      <c r="G1153" s="14">
        <v>1</v>
      </c>
      <c r="H1153" s="14"/>
      <c r="I1153" s="8" t="s">
        <v>38</v>
      </c>
      <c r="J1153" s="8" t="s">
        <v>38</v>
      </c>
      <c r="K1153">
        <v>60</v>
      </c>
      <c r="L1153">
        <v>25.375</v>
      </c>
      <c r="M1153" s="14">
        <v>10.4375</v>
      </c>
      <c r="N1153" s="14">
        <v>1</v>
      </c>
      <c r="R1153" t="str">
        <f t="shared" ref="R1153:R1216" si="58">A1153&amp;":    Front abuts stile:"&amp;S1153&amp;"       Back abuts stile:"&amp;T1153&amp;"          Panel Section: "&amp;C1153&amp;"           Stile in the back Width: "&amp;H1153&amp;"           Cutout A: "&amp;I1153&amp;"          Cutout B:"&amp;J1153&amp;"      F.C.:"&amp;M1153&amp;" in. "&amp;"        C.C.:"&amp;N1153&amp;" in. "&amp;"  "</f>
        <v xml:space="preserve">XX8X_PV_1810:    Front abuts stile:TRUE       Back abuts stile:TRUE          Panel Section: BOTTOM           Stile in the back Width:            Cutout A:           Cutout B:      F.C.:10.4375 in.         C.C.:1 in.   </v>
      </c>
      <c r="S1153" t="str">
        <f t="shared" ref="S1153:S1216" si="59">IF(D1153=1, "TRUE", "FALSE")</f>
        <v>TRUE</v>
      </c>
      <c r="T1153" t="str">
        <f t="shared" ref="T1153:T1216" si="60">IF(F1153=1, "TRUE", "FALSE")</f>
        <v>TRUE</v>
      </c>
    </row>
    <row r="1154" spans="1:20">
      <c r="A1154" t="s">
        <v>1314</v>
      </c>
      <c r="B1154" s="14" t="s">
        <v>144</v>
      </c>
      <c r="C1154" s="14" t="s">
        <v>157</v>
      </c>
      <c r="D1154" s="14">
        <v>1</v>
      </c>
      <c r="E1154" s="14">
        <v>1</v>
      </c>
      <c r="F1154" s="14">
        <v>0</v>
      </c>
      <c r="G1154" s="14"/>
      <c r="H1154" s="14"/>
      <c r="I1154" s="8" t="s">
        <v>38</v>
      </c>
      <c r="J1154" s="8" t="s">
        <v>38</v>
      </c>
      <c r="K1154">
        <v>60</v>
      </c>
      <c r="L1154">
        <v>73.6875</v>
      </c>
      <c r="M1154" s="14">
        <v>7.75</v>
      </c>
      <c r="N1154" s="14" t="s">
        <v>38</v>
      </c>
      <c r="R1154" t="str">
        <f t="shared" si="58"/>
        <v xml:space="preserve">XX8X_PV_1811:    Front abuts stile:TRUE       Back abuts stile:FALSE          Panel Section: BOTTOM           Stile in the back Width:            Cutout A:           Cutout B:      F.C.:7.75 in.         C.C.: in.   </v>
      </c>
      <c r="S1154" t="str">
        <f t="shared" si="59"/>
        <v>TRUE</v>
      </c>
      <c r="T1154" t="str">
        <f t="shared" si="60"/>
        <v>FALSE</v>
      </c>
    </row>
    <row r="1155" spans="1:20">
      <c r="A1155" t="s">
        <v>1315</v>
      </c>
      <c r="B1155" s="14" t="s">
        <v>144</v>
      </c>
      <c r="C1155" s="14" t="s">
        <v>157</v>
      </c>
      <c r="D1155" s="14">
        <v>1</v>
      </c>
      <c r="E1155" s="14">
        <v>1</v>
      </c>
      <c r="F1155" s="14">
        <v>1</v>
      </c>
      <c r="G1155" s="14">
        <v>0</v>
      </c>
      <c r="H1155" s="14">
        <v>12</v>
      </c>
      <c r="I1155" s="8" t="s">
        <v>149</v>
      </c>
      <c r="J1155" s="8" t="s">
        <v>38</v>
      </c>
      <c r="K1155">
        <v>60</v>
      </c>
      <c r="L1155">
        <v>74.125</v>
      </c>
      <c r="M1155" s="14">
        <v>4.5</v>
      </c>
      <c r="N1155" s="14">
        <v>5.6875</v>
      </c>
      <c r="R1155" t="str">
        <f t="shared" si="58"/>
        <v xml:space="preserve">XX8X_PV_1812:    Front abuts stile:TRUE       Back abuts stile:TRUE          Panel Section: BOTTOM           Stile in the back Width: 12           Cutout A: B-34715          Cutout B:      F.C.:4.5 in.         C.C.:5.6875 in.   </v>
      </c>
      <c r="S1155" t="str">
        <f t="shared" si="59"/>
        <v>TRUE</v>
      </c>
      <c r="T1155" t="str">
        <f t="shared" si="60"/>
        <v>TRUE</v>
      </c>
    </row>
    <row r="1156" spans="1:20">
      <c r="A1156" t="s">
        <v>1316</v>
      </c>
      <c r="B1156" s="14" t="s">
        <v>144</v>
      </c>
      <c r="C1156" s="14" t="s">
        <v>157</v>
      </c>
      <c r="D1156" s="14">
        <v>1</v>
      </c>
      <c r="E1156" s="14">
        <v>1</v>
      </c>
      <c r="F1156" s="14">
        <v>1</v>
      </c>
      <c r="G1156" s="14">
        <v>0</v>
      </c>
      <c r="H1156" s="14">
        <v>24</v>
      </c>
      <c r="I1156" s="8" t="s">
        <v>120</v>
      </c>
      <c r="J1156" s="8" t="s">
        <v>38</v>
      </c>
      <c r="K1156">
        <v>60</v>
      </c>
      <c r="L1156">
        <v>70.4375</v>
      </c>
      <c r="M1156" s="14">
        <v>4.5</v>
      </c>
      <c r="N1156" s="14">
        <v>1.875</v>
      </c>
      <c r="R1156" t="str">
        <f t="shared" si="58"/>
        <v xml:space="preserve">XX8X_PV_1813:    Front abuts stile:TRUE       Back abuts stile:TRUE          Panel Section: BOTTOM           Stile in the back Width: 24           Cutout A: B-386          Cutout B:      F.C.:4.5 in.         C.C.:1.875 in.   </v>
      </c>
      <c r="S1156" t="str">
        <f t="shared" si="59"/>
        <v>TRUE</v>
      </c>
      <c r="T1156" t="str">
        <f t="shared" si="60"/>
        <v>TRUE</v>
      </c>
    </row>
    <row r="1157" spans="1:20">
      <c r="A1157" t="s">
        <v>1317</v>
      </c>
      <c r="B1157" s="14" t="s">
        <v>144</v>
      </c>
      <c r="C1157" s="14" t="s">
        <v>157</v>
      </c>
      <c r="D1157" s="14">
        <v>1</v>
      </c>
      <c r="E1157" s="14">
        <v>1</v>
      </c>
      <c r="F1157" s="14">
        <v>1</v>
      </c>
      <c r="G1157" s="14">
        <v>0</v>
      </c>
      <c r="H1157" s="14"/>
      <c r="I1157" s="8" t="s">
        <v>38</v>
      </c>
      <c r="J1157" s="8" t="s">
        <v>38</v>
      </c>
      <c r="K1157">
        <v>60</v>
      </c>
      <c r="L1157">
        <v>50.1875</v>
      </c>
      <c r="M1157" s="14">
        <v>12</v>
      </c>
      <c r="N1157" s="14">
        <v>4.5</v>
      </c>
      <c r="R1157" t="str">
        <f t="shared" si="58"/>
        <v xml:space="preserve">XX8X_PV_1814:    Front abuts stile:TRUE       Back abuts stile:TRUE          Panel Section: BOTTOM           Stile in the back Width:            Cutout A:           Cutout B:      F.C.:12 in.         C.C.:4.5 in.   </v>
      </c>
      <c r="S1157" t="str">
        <f t="shared" si="59"/>
        <v>TRUE</v>
      </c>
      <c r="T1157" t="str">
        <f t="shared" si="60"/>
        <v>TRUE</v>
      </c>
    </row>
    <row r="1158" spans="1:20">
      <c r="A1158" t="s">
        <v>1318</v>
      </c>
      <c r="B1158" s="14" t="s">
        <v>144</v>
      </c>
      <c r="C1158" s="14" t="s">
        <v>157</v>
      </c>
      <c r="D1158" s="14">
        <v>1</v>
      </c>
      <c r="E1158" s="14">
        <v>1</v>
      </c>
      <c r="F1158" s="14">
        <v>1</v>
      </c>
      <c r="G1158" s="14">
        <v>1</v>
      </c>
      <c r="H1158" s="14"/>
      <c r="I1158" s="8" t="s">
        <v>38</v>
      </c>
      <c r="J1158" s="8" t="s">
        <v>38</v>
      </c>
      <c r="K1158">
        <v>60</v>
      </c>
      <c r="L1158">
        <v>12.1875</v>
      </c>
      <c r="M1158" s="14">
        <v>9</v>
      </c>
      <c r="N1158" s="14">
        <v>1.1875</v>
      </c>
      <c r="R1158" t="str">
        <f t="shared" si="58"/>
        <v xml:space="preserve">XX8X_PV_1815:    Front abuts stile:TRUE       Back abuts stile:TRUE          Panel Section: BOTTOM           Stile in the back Width:            Cutout A:           Cutout B:      F.C.:9 in.         C.C.:1.1875 in.   </v>
      </c>
      <c r="S1158" t="str">
        <f t="shared" si="59"/>
        <v>TRUE</v>
      </c>
      <c r="T1158" t="str">
        <f t="shared" si="60"/>
        <v>TRUE</v>
      </c>
    </row>
    <row r="1159" spans="1:20">
      <c r="A1159" t="s">
        <v>1319</v>
      </c>
      <c r="B1159" s="14" t="s">
        <v>144</v>
      </c>
      <c r="C1159" s="14" t="s">
        <v>21</v>
      </c>
      <c r="D1159" s="14">
        <v>0</v>
      </c>
      <c r="E1159" s="14"/>
      <c r="F1159" s="14">
        <v>0</v>
      </c>
      <c r="G1159" s="14"/>
      <c r="H1159" s="14"/>
      <c r="I1159" s="8" t="s">
        <v>121</v>
      </c>
      <c r="J1159" s="8" t="s">
        <v>38</v>
      </c>
      <c r="K1159">
        <v>95.875</v>
      </c>
      <c r="L1159">
        <v>66.75</v>
      </c>
      <c r="M1159" s="14">
        <v>3.125</v>
      </c>
      <c r="N1159" s="14">
        <v>1</v>
      </c>
      <c r="R1159" t="str">
        <f t="shared" si="58"/>
        <v xml:space="preserve">XX8X_PV_1816:    Front abuts stile:FALSE       Back abuts stile:FALSE          Panel Section: WHOLE           Stile in the back Width:            Cutout A: B-4354          Cutout B:      F.C.:3.125 in.         C.C.:1 in.   </v>
      </c>
      <c r="S1159" t="str">
        <f t="shared" si="59"/>
        <v>FALSE</v>
      </c>
      <c r="T1159" t="str">
        <f t="shared" si="60"/>
        <v>FALSE</v>
      </c>
    </row>
    <row r="1160" spans="1:20">
      <c r="A1160" t="s">
        <v>1320</v>
      </c>
      <c r="B1160" s="14" t="s">
        <v>144</v>
      </c>
      <c r="C1160" s="14" t="s">
        <v>21</v>
      </c>
      <c r="D1160" s="14">
        <v>0</v>
      </c>
      <c r="E1160" s="14"/>
      <c r="F1160" s="14">
        <v>1</v>
      </c>
      <c r="G1160" s="14">
        <v>0</v>
      </c>
      <c r="H1160" s="14">
        <v>12</v>
      </c>
      <c r="I1160" s="8" t="s">
        <v>149</v>
      </c>
      <c r="J1160" s="8" t="s">
        <v>38</v>
      </c>
      <c r="K1160">
        <v>96</v>
      </c>
      <c r="L1160">
        <v>72.4375</v>
      </c>
      <c r="M1160" s="14">
        <v>10.5</v>
      </c>
      <c r="N1160" s="14">
        <v>1</v>
      </c>
      <c r="R1160" t="str">
        <f t="shared" si="58"/>
        <v xml:space="preserve">XX8X_PV_1817:    Front abuts stile:FALSE       Back abuts stile:TRUE          Panel Section: WHOLE           Stile in the back Width: 12           Cutout A: B-34715          Cutout B:      F.C.:10.5 in.         C.C.:1 in.   </v>
      </c>
      <c r="S1160" t="str">
        <f t="shared" si="59"/>
        <v>FALSE</v>
      </c>
      <c r="T1160" t="str">
        <f t="shared" si="60"/>
        <v>TRUE</v>
      </c>
    </row>
    <row r="1161" spans="1:20">
      <c r="A1161" t="s">
        <v>1321</v>
      </c>
      <c r="B1161" s="14" t="s">
        <v>144</v>
      </c>
      <c r="C1161" s="14" t="s">
        <v>21</v>
      </c>
      <c r="D1161" s="14">
        <v>0</v>
      </c>
      <c r="E1161" s="14"/>
      <c r="F1161" s="14">
        <v>1</v>
      </c>
      <c r="G1161" s="14">
        <v>0</v>
      </c>
      <c r="H1161" s="14">
        <v>24</v>
      </c>
      <c r="I1161" s="8" t="s">
        <v>151</v>
      </c>
      <c r="J1161" s="8" t="s">
        <v>38</v>
      </c>
      <c r="K1161">
        <v>60.0625</v>
      </c>
      <c r="L1161">
        <v>51.0625</v>
      </c>
      <c r="M1161" s="14">
        <v>12</v>
      </c>
      <c r="N1161" s="14" t="s">
        <v>38</v>
      </c>
      <c r="R1161" t="str">
        <f t="shared" si="58"/>
        <v xml:space="preserve">XX8X_PV_1818:    Front abuts stile:FALSE       Back abuts stile:TRUE          Panel Section: WHOLE           Stile in the back Width: 24           Cutout A: B-35715          Cutout B:      F.C.:12 in.         C.C.: in.   </v>
      </c>
      <c r="S1161" t="str">
        <f t="shared" si="59"/>
        <v>FALSE</v>
      </c>
      <c r="T1161" t="str">
        <f t="shared" si="60"/>
        <v>TRUE</v>
      </c>
    </row>
    <row r="1162" spans="1:20">
      <c r="A1162" t="s">
        <v>1322</v>
      </c>
      <c r="B1162" s="14" t="s">
        <v>144</v>
      </c>
      <c r="C1162" s="14" t="s">
        <v>21</v>
      </c>
      <c r="D1162" s="14">
        <v>0</v>
      </c>
      <c r="E1162" s="14"/>
      <c r="F1162" s="14">
        <v>1</v>
      </c>
      <c r="G1162" s="14">
        <v>0</v>
      </c>
      <c r="H1162" s="14"/>
      <c r="I1162" s="8" t="s">
        <v>38</v>
      </c>
      <c r="J1162" s="8" t="s">
        <v>38</v>
      </c>
      <c r="K1162">
        <v>96</v>
      </c>
      <c r="L1162">
        <v>63.3125</v>
      </c>
      <c r="M1162" s="14">
        <v>12</v>
      </c>
      <c r="N1162" s="14">
        <v>1</v>
      </c>
      <c r="R1162" t="str">
        <f t="shared" si="58"/>
        <v xml:space="preserve">XX8X_PV_1819:    Front abuts stile:FALSE       Back abuts stile:TRUE          Panel Section: WHOLE           Stile in the back Width:            Cutout A:           Cutout B:      F.C.:12 in.         C.C.:1 in.   </v>
      </c>
      <c r="S1162" t="str">
        <f t="shared" si="59"/>
        <v>FALSE</v>
      </c>
      <c r="T1162" t="str">
        <f t="shared" si="60"/>
        <v>TRUE</v>
      </c>
    </row>
    <row r="1163" spans="1:20">
      <c r="A1163" t="s">
        <v>1323</v>
      </c>
      <c r="B1163" s="14" t="s">
        <v>144</v>
      </c>
      <c r="C1163" s="14" t="s">
        <v>21</v>
      </c>
      <c r="D1163" s="14">
        <v>0</v>
      </c>
      <c r="E1163" s="14"/>
      <c r="F1163" s="14">
        <v>1</v>
      </c>
      <c r="G1163" s="14">
        <v>1</v>
      </c>
      <c r="H1163" s="14"/>
      <c r="I1163" s="8" t="s">
        <v>38</v>
      </c>
      <c r="J1163" s="8" t="s">
        <v>38</v>
      </c>
      <c r="K1163">
        <v>47.875</v>
      </c>
      <c r="L1163">
        <v>61.25</v>
      </c>
      <c r="M1163" s="14">
        <v>4.5</v>
      </c>
      <c r="N1163" s="14">
        <v>5.75</v>
      </c>
      <c r="R1163" t="str">
        <f t="shared" si="58"/>
        <v xml:space="preserve">XX8X_PV_1820:    Front abuts stile:FALSE       Back abuts stile:TRUE          Panel Section: WHOLE           Stile in the back Width:            Cutout A:           Cutout B:      F.C.:4.5 in.         C.C.:5.75 in.   </v>
      </c>
      <c r="S1163" t="str">
        <f t="shared" si="59"/>
        <v>FALSE</v>
      </c>
      <c r="T1163" t="str">
        <f t="shared" si="60"/>
        <v>TRUE</v>
      </c>
    </row>
    <row r="1164" spans="1:20">
      <c r="A1164" t="s">
        <v>1324</v>
      </c>
      <c r="B1164" s="14" t="s">
        <v>144</v>
      </c>
      <c r="C1164" s="14" t="s">
        <v>21</v>
      </c>
      <c r="D1164" s="14">
        <v>1</v>
      </c>
      <c r="E1164" s="14">
        <v>0</v>
      </c>
      <c r="F1164" s="14">
        <v>0</v>
      </c>
      <c r="G1164" s="14"/>
      <c r="H1164" s="14"/>
      <c r="I1164" s="8" t="s">
        <v>145</v>
      </c>
      <c r="J1164" s="8" t="s">
        <v>38</v>
      </c>
      <c r="K1164">
        <v>82.875</v>
      </c>
      <c r="L1164">
        <v>69.75</v>
      </c>
      <c r="M1164" s="14">
        <v>4.5</v>
      </c>
      <c r="N1164" s="14">
        <v>7.75</v>
      </c>
      <c r="R1164" t="str">
        <f t="shared" si="58"/>
        <v xml:space="preserve">XX8X_PV_1821:    Front abuts stile:TRUE       Back abuts stile:FALSE          Panel Section: WHOLE           Stile in the back Width:            Cutout A: B-347          Cutout B:      F.C.:4.5 in.         C.C.:7.75 in.   </v>
      </c>
      <c r="S1164" t="str">
        <f t="shared" si="59"/>
        <v>TRUE</v>
      </c>
      <c r="T1164" t="str">
        <f t="shared" si="60"/>
        <v>FALSE</v>
      </c>
    </row>
    <row r="1165" spans="1:20">
      <c r="A1165" t="s">
        <v>1325</v>
      </c>
      <c r="B1165" s="14" t="s">
        <v>144</v>
      </c>
      <c r="C1165" s="14" t="s">
        <v>21</v>
      </c>
      <c r="D1165" s="14">
        <v>1</v>
      </c>
      <c r="E1165" s="14">
        <v>0</v>
      </c>
      <c r="F1165" s="14">
        <v>1</v>
      </c>
      <c r="G1165" s="14">
        <v>0</v>
      </c>
      <c r="H1165" s="14">
        <v>12</v>
      </c>
      <c r="I1165" s="8" t="s">
        <v>119</v>
      </c>
      <c r="J1165" s="8" t="s">
        <v>38</v>
      </c>
      <c r="K1165">
        <v>60.4375</v>
      </c>
      <c r="L1165">
        <v>66</v>
      </c>
      <c r="M1165" s="14">
        <v>4.5</v>
      </c>
      <c r="N1165" s="14">
        <v>5.75</v>
      </c>
      <c r="R1165" t="str">
        <f t="shared" si="58"/>
        <v xml:space="preserve">XX8X_PV_1822:    Front abuts stile:TRUE       Back abuts stile:TRUE          Panel Section: WHOLE           Stile in the back Width: 12           Cutout A: B-354          Cutout B:      F.C.:4.5 in.         C.C.:5.75 in.   </v>
      </c>
      <c r="S1165" t="str">
        <f t="shared" si="59"/>
        <v>TRUE</v>
      </c>
      <c r="T1165" t="str">
        <f t="shared" si="60"/>
        <v>TRUE</v>
      </c>
    </row>
    <row r="1166" spans="1:20">
      <c r="A1166" t="s">
        <v>1326</v>
      </c>
      <c r="B1166" s="14" t="s">
        <v>144</v>
      </c>
      <c r="C1166" s="14" t="s">
        <v>21</v>
      </c>
      <c r="D1166" s="14">
        <v>1</v>
      </c>
      <c r="E1166" s="14">
        <v>0</v>
      </c>
      <c r="F1166" s="14">
        <v>1</v>
      </c>
      <c r="G1166" s="14">
        <v>0</v>
      </c>
      <c r="H1166" s="14">
        <v>24</v>
      </c>
      <c r="I1166" s="8" t="s">
        <v>119</v>
      </c>
      <c r="J1166" s="8" t="s">
        <v>38</v>
      </c>
      <c r="K1166">
        <v>101.8125</v>
      </c>
      <c r="L1166">
        <v>63.125</v>
      </c>
      <c r="M1166" s="14">
        <v>1</v>
      </c>
      <c r="N1166" s="14">
        <v>1.25</v>
      </c>
      <c r="R1166" t="str">
        <f t="shared" si="58"/>
        <v xml:space="preserve">XX8X_PV_1823:    Front abuts stile:TRUE       Back abuts stile:TRUE          Panel Section: WHOLE           Stile in the back Width: 24           Cutout A: B-354          Cutout B:      F.C.:1 in.         C.C.:1.25 in.   </v>
      </c>
      <c r="S1166" t="str">
        <f t="shared" si="59"/>
        <v>TRUE</v>
      </c>
      <c r="T1166" t="str">
        <f t="shared" si="60"/>
        <v>TRUE</v>
      </c>
    </row>
    <row r="1167" spans="1:20">
      <c r="A1167" t="s">
        <v>1327</v>
      </c>
      <c r="B1167" s="14" t="s">
        <v>144</v>
      </c>
      <c r="C1167" s="14" t="s">
        <v>21</v>
      </c>
      <c r="D1167" s="14">
        <v>1</v>
      </c>
      <c r="E1167" s="14">
        <v>0</v>
      </c>
      <c r="F1167" s="14">
        <v>1</v>
      </c>
      <c r="G1167" s="14">
        <v>0</v>
      </c>
      <c r="H1167" s="14"/>
      <c r="I1167" s="8" t="s">
        <v>38</v>
      </c>
      <c r="J1167" s="8" t="s">
        <v>38</v>
      </c>
      <c r="K1167">
        <v>74.875</v>
      </c>
      <c r="L1167">
        <v>63.1875</v>
      </c>
      <c r="M1167" s="14">
        <v>9</v>
      </c>
      <c r="N1167" s="14">
        <v>1</v>
      </c>
      <c r="R1167" t="str">
        <f t="shared" si="58"/>
        <v xml:space="preserve">XX8X_PV_1824:    Front abuts stile:TRUE       Back abuts stile:TRUE          Panel Section: WHOLE           Stile in the back Width:            Cutout A:           Cutout B:      F.C.:9 in.         C.C.:1 in.   </v>
      </c>
      <c r="S1167" t="str">
        <f t="shared" si="59"/>
        <v>TRUE</v>
      </c>
      <c r="T1167" t="str">
        <f t="shared" si="60"/>
        <v>TRUE</v>
      </c>
    </row>
    <row r="1168" spans="1:20">
      <c r="A1168" t="s">
        <v>1328</v>
      </c>
      <c r="B1168" s="14" t="s">
        <v>144</v>
      </c>
      <c r="C1168" s="14" t="s">
        <v>21</v>
      </c>
      <c r="D1168" s="14">
        <v>1</v>
      </c>
      <c r="E1168" s="14">
        <v>0</v>
      </c>
      <c r="F1168" s="14">
        <v>1</v>
      </c>
      <c r="G1168" s="14">
        <v>1</v>
      </c>
      <c r="H1168" s="14"/>
      <c r="I1168" s="8" t="s">
        <v>38</v>
      </c>
      <c r="J1168" s="8" t="s">
        <v>38</v>
      </c>
      <c r="K1168">
        <v>102.25</v>
      </c>
      <c r="L1168">
        <v>63.375</v>
      </c>
      <c r="M1168" s="14">
        <v>9</v>
      </c>
      <c r="N1168" s="14">
        <v>6.75</v>
      </c>
      <c r="R1168" t="str">
        <f t="shared" si="58"/>
        <v xml:space="preserve">XX8X_PV_1825:    Front abuts stile:TRUE       Back abuts stile:TRUE          Panel Section: WHOLE           Stile in the back Width:            Cutout A:           Cutout B:      F.C.:9 in.         C.C.:6.75 in.   </v>
      </c>
      <c r="S1168" t="str">
        <f t="shared" si="59"/>
        <v>TRUE</v>
      </c>
      <c r="T1168" t="str">
        <f t="shared" si="60"/>
        <v>TRUE</v>
      </c>
    </row>
    <row r="1169" spans="1:20">
      <c r="A1169" t="s">
        <v>1329</v>
      </c>
      <c r="B1169" s="14" t="s">
        <v>144</v>
      </c>
      <c r="C1169" s="14" t="s">
        <v>21</v>
      </c>
      <c r="D1169" s="14">
        <v>1</v>
      </c>
      <c r="E1169" s="14">
        <v>1</v>
      </c>
      <c r="F1169" s="14">
        <v>0</v>
      </c>
      <c r="G1169" s="14"/>
      <c r="H1169" s="14"/>
      <c r="I1169" s="8" t="s">
        <v>38</v>
      </c>
      <c r="J1169" s="8" t="s">
        <v>38</v>
      </c>
      <c r="K1169">
        <v>46.8125</v>
      </c>
      <c r="L1169">
        <v>33.625</v>
      </c>
      <c r="M1169" s="14">
        <v>4.375</v>
      </c>
      <c r="N1169" s="14">
        <v>1.375</v>
      </c>
      <c r="R1169" t="str">
        <f t="shared" si="58"/>
        <v xml:space="preserve">XX8X_PV_1826:    Front abuts stile:TRUE       Back abuts stile:FALSE          Panel Section: WHOLE           Stile in the back Width:            Cutout A:           Cutout B:      F.C.:4.375 in.         C.C.:1.375 in.   </v>
      </c>
      <c r="S1169" t="str">
        <f t="shared" si="59"/>
        <v>TRUE</v>
      </c>
      <c r="T1169" t="str">
        <f t="shared" si="60"/>
        <v>FALSE</v>
      </c>
    </row>
    <row r="1170" spans="1:20">
      <c r="A1170" t="s">
        <v>1330</v>
      </c>
      <c r="B1170" s="14" t="s">
        <v>144</v>
      </c>
      <c r="C1170" s="14" t="s">
        <v>21</v>
      </c>
      <c r="D1170" s="14">
        <v>1</v>
      </c>
      <c r="E1170" s="14">
        <v>1</v>
      </c>
      <c r="F1170" s="14">
        <v>1</v>
      </c>
      <c r="G1170" s="14">
        <v>0</v>
      </c>
      <c r="H1170" s="14">
        <v>12</v>
      </c>
      <c r="I1170" s="8" t="s">
        <v>120</v>
      </c>
      <c r="J1170" s="8" t="s">
        <v>38</v>
      </c>
      <c r="K1170">
        <v>96</v>
      </c>
      <c r="L1170">
        <v>75.5</v>
      </c>
      <c r="M1170" s="14">
        <v>1</v>
      </c>
      <c r="N1170" s="14">
        <v>1</v>
      </c>
      <c r="R1170" t="str">
        <f t="shared" si="58"/>
        <v xml:space="preserve">XX8X_PV_1827:    Front abuts stile:TRUE       Back abuts stile:TRUE          Panel Section: WHOLE           Stile in the back Width: 12           Cutout A: B-386          Cutout B:      F.C.:1 in.         C.C.:1 in.   </v>
      </c>
      <c r="S1170" t="str">
        <f t="shared" si="59"/>
        <v>TRUE</v>
      </c>
      <c r="T1170" t="str">
        <f t="shared" si="60"/>
        <v>TRUE</v>
      </c>
    </row>
    <row r="1171" spans="1:20">
      <c r="A1171" t="s">
        <v>1331</v>
      </c>
      <c r="B1171" s="14" t="s">
        <v>144</v>
      </c>
      <c r="C1171" s="14" t="s">
        <v>21</v>
      </c>
      <c r="D1171" s="14">
        <v>1</v>
      </c>
      <c r="E1171" s="14">
        <v>1</v>
      </c>
      <c r="F1171" s="14">
        <v>1</v>
      </c>
      <c r="G1171" s="14">
        <v>0</v>
      </c>
      <c r="H1171" s="14">
        <v>24</v>
      </c>
      <c r="I1171" s="8" t="s">
        <v>38</v>
      </c>
      <c r="J1171" s="8" t="s">
        <v>38</v>
      </c>
      <c r="K1171">
        <v>92.375</v>
      </c>
      <c r="L1171">
        <v>12.5</v>
      </c>
      <c r="M1171" s="14">
        <v>7.875</v>
      </c>
      <c r="N1171" s="14">
        <v>1</v>
      </c>
      <c r="R1171" t="str">
        <f t="shared" si="58"/>
        <v xml:space="preserve">XX8X_PV_1828:    Front abuts stile:TRUE       Back abuts stile:TRUE          Panel Section: WHOLE           Stile in the back Width: 24           Cutout A:           Cutout B:      F.C.:7.875 in.         C.C.:1 in.   </v>
      </c>
      <c r="S1171" t="str">
        <f t="shared" si="59"/>
        <v>TRUE</v>
      </c>
      <c r="T1171" t="str">
        <f t="shared" si="60"/>
        <v>TRUE</v>
      </c>
    </row>
    <row r="1172" spans="1:20">
      <c r="A1172" t="s">
        <v>1332</v>
      </c>
      <c r="B1172" s="14" t="s">
        <v>144</v>
      </c>
      <c r="C1172" s="14" t="s">
        <v>21</v>
      </c>
      <c r="D1172" s="14">
        <v>1</v>
      </c>
      <c r="E1172" s="14">
        <v>1</v>
      </c>
      <c r="F1172" s="14">
        <v>1</v>
      </c>
      <c r="G1172" s="14">
        <v>0</v>
      </c>
      <c r="H1172" s="14"/>
      <c r="I1172" s="8" t="s">
        <v>38</v>
      </c>
      <c r="J1172" s="8" t="s">
        <v>38</v>
      </c>
      <c r="K1172">
        <v>78</v>
      </c>
      <c r="L1172">
        <v>54.25</v>
      </c>
      <c r="M1172" s="14">
        <v>12</v>
      </c>
      <c r="N1172" s="14" t="s">
        <v>38</v>
      </c>
      <c r="R1172" t="str">
        <f t="shared" si="58"/>
        <v xml:space="preserve">XX8X_PV_1829:    Front abuts stile:TRUE       Back abuts stile:TRUE          Panel Section: WHOLE           Stile in the back Width:            Cutout A:           Cutout B:      F.C.:12 in.         C.C.: in.   </v>
      </c>
      <c r="S1172" t="str">
        <f t="shared" si="59"/>
        <v>TRUE</v>
      </c>
      <c r="T1172" t="str">
        <f t="shared" si="60"/>
        <v>TRUE</v>
      </c>
    </row>
    <row r="1173" spans="1:20" ht="15" thickBot="1">
      <c r="A1173" t="s">
        <v>1333</v>
      </c>
      <c r="B1173" s="14" t="s">
        <v>144</v>
      </c>
      <c r="C1173" s="50" t="s">
        <v>21</v>
      </c>
      <c r="D1173" s="50">
        <v>1</v>
      </c>
      <c r="E1173" s="50">
        <v>1</v>
      </c>
      <c r="F1173" s="50">
        <v>1</v>
      </c>
      <c r="G1173" s="50">
        <v>1</v>
      </c>
      <c r="H1173" s="50"/>
      <c r="I1173" s="51" t="s">
        <v>38</v>
      </c>
      <c r="J1173" s="51" t="s">
        <v>38</v>
      </c>
      <c r="K1173" s="49">
        <v>108.6875</v>
      </c>
      <c r="L1173" s="49">
        <v>57.4375</v>
      </c>
      <c r="M1173" s="50">
        <v>4.5</v>
      </c>
      <c r="N1173" s="14">
        <v>2.4375</v>
      </c>
      <c r="R1173" t="str">
        <f t="shared" si="58"/>
        <v xml:space="preserve">XX8X_PV_1830:    Front abuts stile:TRUE       Back abuts stile:TRUE          Panel Section: WHOLE           Stile in the back Width:            Cutout A:           Cutout B:      F.C.:4.5 in.         C.C.:2.4375 in.   </v>
      </c>
      <c r="S1173" t="str">
        <f t="shared" si="59"/>
        <v>TRUE</v>
      </c>
      <c r="T1173" t="str">
        <f t="shared" si="60"/>
        <v>TRUE</v>
      </c>
    </row>
    <row r="1174" spans="1:20" ht="15" thickTop="1">
      <c r="A1174" t="s">
        <v>1334</v>
      </c>
      <c r="B1174" s="14" t="s">
        <v>144</v>
      </c>
      <c r="C1174" s="14" t="s">
        <v>156</v>
      </c>
      <c r="D1174" s="19">
        <v>0</v>
      </c>
      <c r="E1174" s="19"/>
      <c r="F1174" s="19">
        <v>0</v>
      </c>
      <c r="G1174" s="19"/>
      <c r="H1174" s="14"/>
      <c r="I1174" s="8" t="s">
        <v>121</v>
      </c>
      <c r="J1174" s="8" t="s">
        <v>38</v>
      </c>
      <c r="K1174">
        <v>47.5625</v>
      </c>
      <c r="L1174">
        <v>59.625</v>
      </c>
      <c r="M1174" s="14">
        <v>1.6875</v>
      </c>
      <c r="N1174" s="14">
        <v>7</v>
      </c>
      <c r="R1174" t="str">
        <f t="shared" si="58"/>
        <v xml:space="preserve">XX8X_PV_1831:    Front abuts stile:FALSE       Back abuts stile:FALSE          Panel Section: TOP           Stile in the back Width:            Cutout A: B-4354          Cutout B:      F.C.:1.6875 in.         C.C.:7 in.   </v>
      </c>
      <c r="S1174" t="str">
        <f t="shared" si="59"/>
        <v>FALSE</v>
      </c>
      <c r="T1174" t="str">
        <f t="shared" si="60"/>
        <v>FALSE</v>
      </c>
    </row>
    <row r="1175" spans="1:20">
      <c r="A1175" t="s">
        <v>1335</v>
      </c>
      <c r="B1175" s="14" t="s">
        <v>144</v>
      </c>
      <c r="C1175" s="14" t="s">
        <v>156</v>
      </c>
      <c r="D1175" s="14">
        <v>0</v>
      </c>
      <c r="E1175" s="14"/>
      <c r="F1175" s="14">
        <v>1</v>
      </c>
      <c r="G1175" s="14">
        <v>0</v>
      </c>
      <c r="H1175" s="14">
        <v>12</v>
      </c>
      <c r="I1175" s="8" t="s">
        <v>35</v>
      </c>
      <c r="J1175" s="8" t="s">
        <v>38</v>
      </c>
      <c r="K1175">
        <v>32.625</v>
      </c>
      <c r="L1175">
        <v>65.1875</v>
      </c>
      <c r="M1175" s="14">
        <v>11.4375</v>
      </c>
      <c r="N1175" s="14">
        <v>4.6875</v>
      </c>
      <c r="R1175" t="str">
        <f t="shared" si="58"/>
        <v xml:space="preserve">XX8X_PV_1832:    Front abuts stile:FALSE       Back abuts stile:TRUE          Panel Section: TOP           Stile in the back Width: 12           Cutout A: B-357          Cutout B:      F.C.:11.4375 in.         C.C.:4.6875 in.   </v>
      </c>
      <c r="S1175" t="str">
        <f t="shared" si="59"/>
        <v>FALSE</v>
      </c>
      <c r="T1175" t="str">
        <f t="shared" si="60"/>
        <v>TRUE</v>
      </c>
    </row>
    <row r="1176" spans="1:20">
      <c r="A1176" t="s">
        <v>1336</v>
      </c>
      <c r="B1176" s="14" t="s">
        <v>144</v>
      </c>
      <c r="C1176" s="14" t="s">
        <v>156</v>
      </c>
      <c r="D1176" s="14">
        <v>0</v>
      </c>
      <c r="E1176" s="14"/>
      <c r="F1176" s="14">
        <v>1</v>
      </c>
      <c r="G1176" s="14">
        <v>0</v>
      </c>
      <c r="H1176" s="14">
        <v>24</v>
      </c>
      <c r="I1176" s="8" t="s">
        <v>145</v>
      </c>
      <c r="J1176" s="8" t="s">
        <v>38</v>
      </c>
      <c r="K1176">
        <v>49.0625</v>
      </c>
      <c r="L1176">
        <v>56.6875</v>
      </c>
      <c r="M1176" s="14">
        <v>9</v>
      </c>
      <c r="N1176" s="14">
        <v>1</v>
      </c>
      <c r="R1176" t="str">
        <f t="shared" si="58"/>
        <v xml:space="preserve">XX8X_PV_1833:    Front abuts stile:FALSE       Back abuts stile:TRUE          Panel Section: TOP           Stile in the back Width: 24           Cutout A: B-347          Cutout B:      F.C.:9 in.         C.C.:1 in.   </v>
      </c>
      <c r="S1176" t="str">
        <f t="shared" si="59"/>
        <v>FALSE</v>
      </c>
      <c r="T1176" t="str">
        <f t="shared" si="60"/>
        <v>TRUE</v>
      </c>
    </row>
    <row r="1177" spans="1:20">
      <c r="A1177" t="s">
        <v>1337</v>
      </c>
      <c r="B1177" s="14" t="s">
        <v>144</v>
      </c>
      <c r="C1177" s="14" t="s">
        <v>156</v>
      </c>
      <c r="D1177" s="14">
        <v>0</v>
      </c>
      <c r="E1177" s="14"/>
      <c r="F1177" s="14">
        <v>1</v>
      </c>
      <c r="G1177" s="14">
        <v>0</v>
      </c>
      <c r="H1177" s="14"/>
      <c r="I1177" s="8" t="s">
        <v>38</v>
      </c>
      <c r="J1177" s="8" t="s">
        <v>38</v>
      </c>
      <c r="K1177">
        <v>43</v>
      </c>
      <c r="L1177">
        <v>61.4375</v>
      </c>
      <c r="M1177" s="14">
        <v>4.4375</v>
      </c>
      <c r="N1177" s="14">
        <v>1</v>
      </c>
      <c r="R1177" t="str">
        <f t="shared" si="58"/>
        <v xml:space="preserve">XX8X_PV_1834:    Front abuts stile:FALSE       Back abuts stile:TRUE          Panel Section: TOP           Stile in the back Width:            Cutout A:           Cutout B:      F.C.:4.4375 in.         C.C.:1 in.   </v>
      </c>
      <c r="S1177" t="str">
        <f t="shared" si="59"/>
        <v>FALSE</v>
      </c>
      <c r="T1177" t="str">
        <f t="shared" si="60"/>
        <v>TRUE</v>
      </c>
    </row>
    <row r="1178" spans="1:20">
      <c r="A1178" t="s">
        <v>1338</v>
      </c>
      <c r="B1178" s="14" t="s">
        <v>144</v>
      </c>
      <c r="C1178" s="14" t="s">
        <v>156</v>
      </c>
      <c r="D1178" s="14">
        <v>0</v>
      </c>
      <c r="E1178" s="14"/>
      <c r="F1178" s="14">
        <v>1</v>
      </c>
      <c r="G1178" s="14">
        <v>1</v>
      </c>
      <c r="H1178" s="14"/>
      <c r="I1178" s="8" t="s">
        <v>38</v>
      </c>
      <c r="J1178" s="8" t="s">
        <v>38</v>
      </c>
      <c r="K1178">
        <v>35.9375</v>
      </c>
      <c r="L1178">
        <v>44.9375</v>
      </c>
      <c r="M1178" s="14">
        <v>3.8125</v>
      </c>
      <c r="N1178" s="14">
        <v>1.5625</v>
      </c>
      <c r="R1178" t="str">
        <f t="shared" si="58"/>
        <v xml:space="preserve">XX8X_PV_1835:    Front abuts stile:FALSE       Back abuts stile:TRUE          Panel Section: TOP           Stile in the back Width:            Cutout A:           Cutout B:      F.C.:3.8125 in.         C.C.:1.5625 in.   </v>
      </c>
      <c r="S1178" t="str">
        <f t="shared" si="59"/>
        <v>FALSE</v>
      </c>
      <c r="T1178" t="str">
        <f t="shared" si="60"/>
        <v>TRUE</v>
      </c>
    </row>
    <row r="1179" spans="1:20">
      <c r="A1179" t="s">
        <v>1339</v>
      </c>
      <c r="B1179" s="14" t="s">
        <v>144</v>
      </c>
      <c r="C1179" s="14" t="s">
        <v>156</v>
      </c>
      <c r="D1179" s="14">
        <v>1</v>
      </c>
      <c r="E1179" s="14">
        <v>0</v>
      </c>
      <c r="F1179" s="14">
        <v>0</v>
      </c>
      <c r="G1179" s="14"/>
      <c r="H1179" s="14"/>
      <c r="I1179" s="8" t="s">
        <v>149</v>
      </c>
      <c r="J1179" s="8" t="s">
        <v>38</v>
      </c>
      <c r="K1179">
        <v>21.125</v>
      </c>
      <c r="L1179">
        <v>75.375</v>
      </c>
      <c r="M1179" s="14">
        <v>2.125</v>
      </c>
      <c r="N1179" s="14" t="s">
        <v>38</v>
      </c>
      <c r="R1179" t="str">
        <f t="shared" si="58"/>
        <v xml:space="preserve">XX8X_PV_1836:    Front abuts stile:TRUE       Back abuts stile:FALSE          Panel Section: TOP           Stile in the back Width:            Cutout A: B-34715          Cutout B:      F.C.:2.125 in.         C.C.: in.   </v>
      </c>
      <c r="S1179" t="str">
        <f t="shared" si="59"/>
        <v>TRUE</v>
      </c>
      <c r="T1179" t="str">
        <f t="shared" si="60"/>
        <v>FALSE</v>
      </c>
    </row>
    <row r="1180" spans="1:20">
      <c r="A1180" t="s">
        <v>1340</v>
      </c>
      <c r="B1180" s="14" t="s">
        <v>144</v>
      </c>
      <c r="C1180" s="14" t="s">
        <v>156</v>
      </c>
      <c r="D1180" s="14">
        <v>1</v>
      </c>
      <c r="E1180" s="14">
        <v>0</v>
      </c>
      <c r="F1180" s="14">
        <v>1</v>
      </c>
      <c r="G1180" s="14">
        <v>0</v>
      </c>
      <c r="H1180" s="14">
        <v>12</v>
      </c>
      <c r="I1180" s="8" t="s">
        <v>119</v>
      </c>
      <c r="J1180" s="8" t="s">
        <v>38</v>
      </c>
      <c r="K1180">
        <v>28.8125</v>
      </c>
      <c r="L1180">
        <v>77.0625</v>
      </c>
      <c r="M1180" s="14">
        <v>12</v>
      </c>
      <c r="N1180" s="14">
        <v>1</v>
      </c>
      <c r="R1180" t="str">
        <f t="shared" si="58"/>
        <v xml:space="preserve">XX8X_PV_1837:    Front abuts stile:TRUE       Back abuts stile:TRUE          Panel Section: TOP           Stile in the back Width: 12           Cutout A: B-354          Cutout B:      F.C.:12 in.         C.C.:1 in.   </v>
      </c>
      <c r="S1180" t="str">
        <f t="shared" si="59"/>
        <v>TRUE</v>
      </c>
      <c r="T1180" t="str">
        <f t="shared" si="60"/>
        <v>TRUE</v>
      </c>
    </row>
    <row r="1181" spans="1:20">
      <c r="A1181" t="s">
        <v>1341</v>
      </c>
      <c r="B1181" s="14" t="s">
        <v>144</v>
      </c>
      <c r="C1181" s="14" t="s">
        <v>156</v>
      </c>
      <c r="D1181" s="14">
        <v>1</v>
      </c>
      <c r="E1181" s="14">
        <v>0</v>
      </c>
      <c r="F1181" s="14">
        <v>1</v>
      </c>
      <c r="G1181" s="14">
        <v>0</v>
      </c>
      <c r="H1181" s="14">
        <v>24</v>
      </c>
      <c r="I1181" s="8" t="s">
        <v>119</v>
      </c>
      <c r="J1181" s="8" t="s">
        <v>38</v>
      </c>
      <c r="K1181">
        <v>31.0625</v>
      </c>
      <c r="L1181">
        <v>50.3125</v>
      </c>
      <c r="M1181" s="14">
        <v>12</v>
      </c>
      <c r="N1181" s="14">
        <v>2.625</v>
      </c>
      <c r="R1181" t="str">
        <f t="shared" si="58"/>
        <v xml:space="preserve">XX8X_PV_1838:    Front abuts stile:TRUE       Back abuts stile:TRUE          Panel Section: TOP           Stile in the back Width: 24           Cutout A: B-354          Cutout B:      F.C.:12 in.         C.C.:2.625 in.   </v>
      </c>
      <c r="S1181" t="str">
        <f t="shared" si="59"/>
        <v>TRUE</v>
      </c>
      <c r="T1181" t="str">
        <f t="shared" si="60"/>
        <v>TRUE</v>
      </c>
    </row>
    <row r="1182" spans="1:20">
      <c r="A1182" t="s">
        <v>1342</v>
      </c>
      <c r="B1182" s="14" t="s">
        <v>144</v>
      </c>
      <c r="C1182" s="14" t="s">
        <v>156</v>
      </c>
      <c r="D1182" s="14">
        <v>1</v>
      </c>
      <c r="E1182" s="14">
        <v>0</v>
      </c>
      <c r="F1182" s="14">
        <v>1</v>
      </c>
      <c r="G1182" s="14">
        <v>0</v>
      </c>
      <c r="H1182" s="14"/>
      <c r="I1182" s="8" t="s">
        <v>38</v>
      </c>
      <c r="J1182" s="8" t="s">
        <v>38</v>
      </c>
      <c r="K1182">
        <v>23.4375</v>
      </c>
      <c r="L1182">
        <v>65.6875</v>
      </c>
      <c r="M1182" s="14">
        <v>1</v>
      </c>
      <c r="N1182" s="14">
        <v>1</v>
      </c>
      <c r="R1182" t="str">
        <f t="shared" si="58"/>
        <v xml:space="preserve">XX8X_PV_1839:    Front abuts stile:TRUE       Back abuts stile:TRUE          Panel Section: TOP           Stile in the back Width:            Cutout A:           Cutout B:      F.C.:1 in.         C.C.:1 in.   </v>
      </c>
      <c r="S1182" t="str">
        <f t="shared" si="59"/>
        <v>TRUE</v>
      </c>
      <c r="T1182" t="str">
        <f t="shared" si="60"/>
        <v>TRUE</v>
      </c>
    </row>
    <row r="1183" spans="1:20">
      <c r="A1183" t="s">
        <v>1343</v>
      </c>
      <c r="B1183" s="14" t="s">
        <v>144</v>
      </c>
      <c r="C1183" s="14" t="s">
        <v>156</v>
      </c>
      <c r="D1183" s="14">
        <v>1</v>
      </c>
      <c r="E1183" s="14">
        <v>0</v>
      </c>
      <c r="F1183" s="14">
        <v>1</v>
      </c>
      <c r="G1183" s="14">
        <v>1</v>
      </c>
      <c r="H1183" s="14"/>
      <c r="I1183" s="8" t="s">
        <v>38</v>
      </c>
      <c r="J1183" s="8" t="s">
        <v>38</v>
      </c>
      <c r="K1183">
        <v>46.75</v>
      </c>
      <c r="L1183">
        <v>72.125</v>
      </c>
      <c r="M1183" s="14">
        <v>9</v>
      </c>
      <c r="N1183" s="14">
        <v>3</v>
      </c>
      <c r="R1183" t="str">
        <f t="shared" si="58"/>
        <v xml:space="preserve">XX8X_PV_1840:    Front abuts stile:TRUE       Back abuts stile:TRUE          Panel Section: TOP           Stile in the back Width:            Cutout A:           Cutout B:      F.C.:9 in.         C.C.:3 in.   </v>
      </c>
      <c r="S1183" t="str">
        <f t="shared" si="59"/>
        <v>TRUE</v>
      </c>
      <c r="T1183" t="str">
        <f t="shared" si="60"/>
        <v>TRUE</v>
      </c>
    </row>
    <row r="1184" spans="1:20">
      <c r="A1184" t="s">
        <v>1344</v>
      </c>
      <c r="B1184" s="14" t="s">
        <v>144</v>
      </c>
      <c r="C1184" s="14" t="s">
        <v>156</v>
      </c>
      <c r="D1184" s="14">
        <v>1</v>
      </c>
      <c r="E1184" s="14">
        <v>1</v>
      </c>
      <c r="F1184" s="14">
        <v>0</v>
      </c>
      <c r="G1184" s="14"/>
      <c r="H1184" s="14"/>
      <c r="I1184" s="8" t="s">
        <v>150</v>
      </c>
      <c r="J1184" s="8" t="s">
        <v>38</v>
      </c>
      <c r="K1184">
        <v>26.0625</v>
      </c>
      <c r="L1184">
        <v>74.0625</v>
      </c>
      <c r="M1184" s="14">
        <v>9</v>
      </c>
      <c r="N1184" s="14">
        <v>1.0625</v>
      </c>
      <c r="R1184" t="str">
        <f t="shared" si="58"/>
        <v xml:space="preserve">XX8X_PV_1841:    Front abuts stile:TRUE       Back abuts stile:FALSE          Panel Section: TOP           Stile in the back Width:            Cutout A: B-3571          Cutout B:      F.C.:9 in.         C.C.:1.0625 in.   </v>
      </c>
      <c r="S1184" t="str">
        <f t="shared" si="59"/>
        <v>TRUE</v>
      </c>
      <c r="T1184" t="str">
        <f t="shared" si="60"/>
        <v>FALSE</v>
      </c>
    </row>
    <row r="1185" spans="1:20">
      <c r="A1185" t="s">
        <v>1345</v>
      </c>
      <c r="B1185" s="14" t="s">
        <v>144</v>
      </c>
      <c r="C1185" s="14" t="s">
        <v>156</v>
      </c>
      <c r="D1185" s="14">
        <v>1</v>
      </c>
      <c r="E1185" s="14">
        <v>1</v>
      </c>
      <c r="F1185" s="14">
        <v>1</v>
      </c>
      <c r="G1185" s="14">
        <v>0</v>
      </c>
      <c r="H1185" s="14">
        <v>12</v>
      </c>
      <c r="I1185" s="8" t="s">
        <v>148</v>
      </c>
      <c r="J1185" s="8" t="s">
        <v>38</v>
      </c>
      <c r="K1185">
        <v>41.5</v>
      </c>
      <c r="L1185">
        <v>48.9375</v>
      </c>
      <c r="M1185" s="14">
        <v>4.5</v>
      </c>
      <c r="N1185" s="14">
        <v>1</v>
      </c>
      <c r="R1185" t="str">
        <f t="shared" si="58"/>
        <v xml:space="preserve">XX8X_PV_1842:    Front abuts stile:TRUE       Back abuts stile:TRUE          Panel Section: TOP           Stile in the back Width: 12           Cutout A: B-3471          Cutout B:      F.C.:4.5 in.         C.C.:1 in.   </v>
      </c>
      <c r="S1185" t="str">
        <f t="shared" si="59"/>
        <v>TRUE</v>
      </c>
      <c r="T1185" t="str">
        <f t="shared" si="60"/>
        <v>TRUE</v>
      </c>
    </row>
    <row r="1186" spans="1:20">
      <c r="A1186" t="s">
        <v>1346</v>
      </c>
      <c r="B1186" s="14" t="s">
        <v>144</v>
      </c>
      <c r="C1186" s="14" t="s">
        <v>156</v>
      </c>
      <c r="D1186" s="14">
        <v>1</v>
      </c>
      <c r="E1186" s="14">
        <v>1</v>
      </c>
      <c r="F1186" s="14">
        <v>1</v>
      </c>
      <c r="G1186" s="14">
        <v>0</v>
      </c>
      <c r="H1186" s="14">
        <v>24</v>
      </c>
      <c r="I1186" s="8" t="s">
        <v>120</v>
      </c>
      <c r="J1186" s="8" t="s">
        <v>38</v>
      </c>
      <c r="K1186">
        <v>29.875</v>
      </c>
      <c r="L1186">
        <v>69.3125</v>
      </c>
      <c r="M1186" s="14">
        <v>4.1875</v>
      </c>
      <c r="N1186" s="14">
        <v>4.5</v>
      </c>
      <c r="R1186" t="str">
        <f t="shared" si="58"/>
        <v xml:space="preserve">XX8X_PV_1843:    Front abuts stile:TRUE       Back abuts stile:TRUE          Panel Section: TOP           Stile in the back Width: 24           Cutout A: B-386          Cutout B:      F.C.:4.1875 in.         C.C.:4.5 in.   </v>
      </c>
      <c r="S1186" t="str">
        <f t="shared" si="59"/>
        <v>TRUE</v>
      </c>
      <c r="T1186" t="str">
        <f t="shared" si="60"/>
        <v>TRUE</v>
      </c>
    </row>
    <row r="1187" spans="1:20">
      <c r="A1187" t="s">
        <v>1347</v>
      </c>
      <c r="B1187" s="14" t="s">
        <v>144</v>
      </c>
      <c r="C1187" s="14" t="s">
        <v>156</v>
      </c>
      <c r="D1187" s="14">
        <v>1</v>
      </c>
      <c r="E1187" s="14">
        <v>1</v>
      </c>
      <c r="F1187" s="14">
        <v>1</v>
      </c>
      <c r="G1187" s="14">
        <v>0</v>
      </c>
      <c r="H1187" s="14"/>
      <c r="I1187" s="8" t="s">
        <v>38</v>
      </c>
      <c r="J1187" s="8" t="s">
        <v>38</v>
      </c>
      <c r="K1187">
        <v>15.8125</v>
      </c>
      <c r="L1187">
        <v>66.125</v>
      </c>
      <c r="M1187" s="14">
        <v>3.5</v>
      </c>
      <c r="N1187" s="14">
        <v>1</v>
      </c>
      <c r="R1187" t="str">
        <f t="shared" si="58"/>
        <v xml:space="preserve">XX8X_PV_1844:    Front abuts stile:TRUE       Back abuts stile:TRUE          Panel Section: TOP           Stile in the back Width:            Cutout A:           Cutout B:      F.C.:3.5 in.         C.C.:1 in.   </v>
      </c>
      <c r="S1187" t="str">
        <f t="shared" si="59"/>
        <v>TRUE</v>
      </c>
      <c r="T1187" t="str">
        <f t="shared" si="60"/>
        <v>TRUE</v>
      </c>
    </row>
    <row r="1188" spans="1:20">
      <c r="A1188" t="s">
        <v>1348</v>
      </c>
      <c r="B1188" s="14" t="s">
        <v>144</v>
      </c>
      <c r="C1188" s="14" t="s">
        <v>156</v>
      </c>
      <c r="D1188" s="14">
        <v>1</v>
      </c>
      <c r="E1188" s="14">
        <v>1</v>
      </c>
      <c r="F1188" s="14">
        <v>1</v>
      </c>
      <c r="G1188" s="14">
        <v>1</v>
      </c>
      <c r="H1188" s="14"/>
      <c r="I1188" s="8" t="s">
        <v>38</v>
      </c>
      <c r="J1188" s="8" t="s">
        <v>38</v>
      </c>
      <c r="K1188">
        <v>7.9375</v>
      </c>
      <c r="L1188">
        <v>75.25</v>
      </c>
      <c r="M1188" s="14">
        <v>2.375</v>
      </c>
      <c r="N1188" s="14">
        <v>6.6875</v>
      </c>
      <c r="R1188" t="str">
        <f t="shared" si="58"/>
        <v xml:space="preserve">XX8X_PV_1845:    Front abuts stile:TRUE       Back abuts stile:TRUE          Panel Section: TOP           Stile in the back Width:            Cutout A:           Cutout B:      F.C.:2.375 in.         C.C.:6.6875 in.   </v>
      </c>
      <c r="S1188" t="str">
        <f t="shared" si="59"/>
        <v>TRUE</v>
      </c>
      <c r="T1188" t="str">
        <f t="shared" si="60"/>
        <v>TRUE</v>
      </c>
    </row>
    <row r="1189" spans="1:20">
      <c r="A1189" t="s">
        <v>1349</v>
      </c>
      <c r="B1189" s="14" t="s">
        <v>144</v>
      </c>
      <c r="C1189" s="14" t="s">
        <v>157</v>
      </c>
      <c r="D1189" s="14">
        <v>0</v>
      </c>
      <c r="E1189" s="14"/>
      <c r="F1189" s="14">
        <v>0</v>
      </c>
      <c r="G1189" s="14"/>
      <c r="H1189" s="14"/>
      <c r="I1189" s="8" t="s">
        <v>150</v>
      </c>
      <c r="J1189" s="8" t="s">
        <v>38</v>
      </c>
      <c r="K1189">
        <v>60</v>
      </c>
      <c r="L1189">
        <v>70.625</v>
      </c>
      <c r="M1189" s="14">
        <v>1</v>
      </c>
      <c r="N1189" s="14">
        <v>4.875</v>
      </c>
      <c r="R1189" t="str">
        <f t="shared" si="58"/>
        <v xml:space="preserve">XX8X_PV_1846:    Front abuts stile:FALSE       Back abuts stile:FALSE          Panel Section: BOTTOM           Stile in the back Width:            Cutout A: B-3571          Cutout B:      F.C.:1 in.         C.C.:4.875 in.   </v>
      </c>
      <c r="S1189" t="str">
        <f t="shared" si="59"/>
        <v>FALSE</v>
      </c>
      <c r="T1189" t="str">
        <f t="shared" si="60"/>
        <v>FALSE</v>
      </c>
    </row>
    <row r="1190" spans="1:20">
      <c r="A1190" t="s">
        <v>1350</v>
      </c>
      <c r="B1190" s="14" t="s">
        <v>144</v>
      </c>
      <c r="C1190" s="14" t="s">
        <v>157</v>
      </c>
      <c r="D1190" s="14">
        <v>0</v>
      </c>
      <c r="E1190" s="14"/>
      <c r="F1190" s="14">
        <v>1</v>
      </c>
      <c r="G1190" s="14">
        <v>0</v>
      </c>
      <c r="H1190" s="14">
        <v>12</v>
      </c>
      <c r="I1190" s="8" t="s">
        <v>38</v>
      </c>
      <c r="J1190" s="8" t="s">
        <v>38</v>
      </c>
      <c r="K1190">
        <v>60</v>
      </c>
      <c r="L1190">
        <v>53.75</v>
      </c>
      <c r="M1190" s="14">
        <v>5.3125</v>
      </c>
      <c r="N1190" s="14">
        <v>2.6875</v>
      </c>
      <c r="R1190" t="str">
        <f t="shared" si="58"/>
        <v xml:space="preserve">XX8X_PV_1847:    Front abuts stile:FALSE       Back abuts stile:TRUE          Panel Section: BOTTOM           Stile in the back Width: 12           Cutout A:           Cutout B:      F.C.:5.3125 in.         C.C.:2.6875 in.   </v>
      </c>
      <c r="S1190" t="str">
        <f t="shared" si="59"/>
        <v>FALSE</v>
      </c>
      <c r="T1190" t="str">
        <f t="shared" si="60"/>
        <v>TRUE</v>
      </c>
    </row>
    <row r="1191" spans="1:20">
      <c r="A1191" t="s">
        <v>1351</v>
      </c>
      <c r="B1191" s="14" t="s">
        <v>144</v>
      </c>
      <c r="C1191" s="14" t="s">
        <v>157</v>
      </c>
      <c r="D1191" s="14">
        <v>0</v>
      </c>
      <c r="E1191" s="14"/>
      <c r="F1191" s="14">
        <v>1</v>
      </c>
      <c r="G1191" s="14">
        <v>0</v>
      </c>
      <c r="H1191" s="14">
        <v>24</v>
      </c>
      <c r="I1191" s="8" t="s">
        <v>121</v>
      </c>
      <c r="J1191" s="8" t="s">
        <v>38</v>
      </c>
      <c r="K1191">
        <v>60</v>
      </c>
      <c r="L1191">
        <v>65.125</v>
      </c>
      <c r="M1191" s="14">
        <v>9</v>
      </c>
      <c r="N1191" s="14">
        <v>2.9375</v>
      </c>
      <c r="R1191" t="str">
        <f t="shared" si="58"/>
        <v xml:space="preserve">XX8X_PV_1848:    Front abuts stile:FALSE       Back abuts stile:TRUE          Panel Section: BOTTOM           Stile in the back Width: 24           Cutout A: B-4354          Cutout B:      F.C.:9 in.         C.C.:2.9375 in.   </v>
      </c>
      <c r="S1191" t="str">
        <f t="shared" si="59"/>
        <v>FALSE</v>
      </c>
      <c r="T1191" t="str">
        <f t="shared" si="60"/>
        <v>TRUE</v>
      </c>
    </row>
    <row r="1192" spans="1:20">
      <c r="A1192" t="s">
        <v>1352</v>
      </c>
      <c r="B1192" s="14" t="s">
        <v>144</v>
      </c>
      <c r="C1192" s="14" t="s">
        <v>157</v>
      </c>
      <c r="D1192" s="14">
        <v>0</v>
      </c>
      <c r="E1192" s="14"/>
      <c r="F1192" s="14">
        <v>1</v>
      </c>
      <c r="G1192" s="14">
        <v>0</v>
      </c>
      <c r="H1192" s="14"/>
      <c r="I1192" s="8" t="s">
        <v>38</v>
      </c>
      <c r="J1192" s="8" t="s">
        <v>38</v>
      </c>
      <c r="K1192">
        <v>60</v>
      </c>
      <c r="L1192">
        <v>43.6875</v>
      </c>
      <c r="M1192" s="14">
        <v>4.0625</v>
      </c>
      <c r="N1192" s="14">
        <v>7</v>
      </c>
      <c r="R1192" t="str">
        <f t="shared" si="58"/>
        <v xml:space="preserve">XX8X_PV_1849:    Front abuts stile:FALSE       Back abuts stile:TRUE          Panel Section: BOTTOM           Stile in the back Width:            Cutout A:           Cutout B:      F.C.:4.0625 in.         C.C.:7 in.   </v>
      </c>
      <c r="S1192" t="str">
        <f t="shared" si="59"/>
        <v>FALSE</v>
      </c>
      <c r="T1192" t="str">
        <f t="shared" si="60"/>
        <v>TRUE</v>
      </c>
    </row>
    <row r="1193" spans="1:20">
      <c r="A1193" t="s">
        <v>1353</v>
      </c>
      <c r="B1193" s="14" t="s">
        <v>144</v>
      </c>
      <c r="C1193" s="14" t="s">
        <v>157</v>
      </c>
      <c r="D1193" s="14">
        <v>0</v>
      </c>
      <c r="E1193" s="14"/>
      <c r="F1193" s="14">
        <v>1</v>
      </c>
      <c r="G1193" s="14">
        <v>1</v>
      </c>
      <c r="H1193" s="14"/>
      <c r="I1193" s="8" t="s">
        <v>38</v>
      </c>
      <c r="J1193" s="8" t="s">
        <v>38</v>
      </c>
      <c r="K1193">
        <v>60</v>
      </c>
      <c r="L1193">
        <v>59.4375</v>
      </c>
      <c r="M1193" s="14">
        <v>12</v>
      </c>
      <c r="N1193" s="14">
        <v>3.6875</v>
      </c>
      <c r="R1193" t="str">
        <f t="shared" si="58"/>
        <v xml:space="preserve">XX8X_PV_1850:    Front abuts stile:FALSE       Back abuts stile:TRUE          Panel Section: BOTTOM           Stile in the back Width:            Cutout A:           Cutout B:      F.C.:12 in.         C.C.:3.6875 in.   </v>
      </c>
      <c r="S1193" t="str">
        <f t="shared" si="59"/>
        <v>FALSE</v>
      </c>
      <c r="T1193" t="str">
        <f t="shared" si="60"/>
        <v>TRUE</v>
      </c>
    </row>
    <row r="1194" spans="1:20">
      <c r="A1194" t="s">
        <v>1354</v>
      </c>
      <c r="B1194" s="14" t="s">
        <v>144</v>
      </c>
      <c r="C1194" s="14" t="s">
        <v>157</v>
      </c>
      <c r="D1194" s="14">
        <v>1</v>
      </c>
      <c r="E1194" s="14">
        <v>0</v>
      </c>
      <c r="F1194" s="14">
        <v>0</v>
      </c>
      <c r="G1194" s="14"/>
      <c r="H1194" s="14"/>
      <c r="I1194" s="8" t="s">
        <v>145</v>
      </c>
      <c r="J1194" s="8" t="s">
        <v>38</v>
      </c>
      <c r="K1194">
        <v>60</v>
      </c>
      <c r="L1194">
        <v>52.0625</v>
      </c>
      <c r="M1194" s="14">
        <v>1</v>
      </c>
      <c r="N1194" s="14">
        <v>7.125</v>
      </c>
      <c r="R1194" t="str">
        <f t="shared" si="58"/>
        <v xml:space="preserve">XX8X_PV_1851:    Front abuts stile:TRUE       Back abuts stile:FALSE          Panel Section: BOTTOM           Stile in the back Width:            Cutout A: B-347          Cutout B:      F.C.:1 in.         C.C.:7.125 in.   </v>
      </c>
      <c r="S1194" t="str">
        <f t="shared" si="59"/>
        <v>TRUE</v>
      </c>
      <c r="T1194" t="str">
        <f t="shared" si="60"/>
        <v>FALSE</v>
      </c>
    </row>
    <row r="1195" spans="1:20">
      <c r="A1195" t="s">
        <v>1355</v>
      </c>
      <c r="B1195" s="14" t="s">
        <v>144</v>
      </c>
      <c r="C1195" s="14" t="s">
        <v>157</v>
      </c>
      <c r="D1195" s="14">
        <v>1</v>
      </c>
      <c r="E1195" s="14">
        <v>0</v>
      </c>
      <c r="F1195" s="14">
        <v>1</v>
      </c>
      <c r="G1195" s="14">
        <v>0</v>
      </c>
      <c r="H1195" s="14">
        <v>12</v>
      </c>
      <c r="I1195" s="8" t="s">
        <v>38</v>
      </c>
      <c r="J1195" s="8" t="s">
        <v>38</v>
      </c>
      <c r="K1195">
        <v>60</v>
      </c>
      <c r="L1195">
        <v>41.3125</v>
      </c>
      <c r="M1195" s="14">
        <v>10.1875</v>
      </c>
      <c r="N1195" s="14">
        <v>7.3125</v>
      </c>
      <c r="R1195" t="str">
        <f t="shared" si="58"/>
        <v xml:space="preserve">XX8X_PV_1852:    Front abuts stile:TRUE       Back abuts stile:TRUE          Panel Section: BOTTOM           Stile in the back Width: 12           Cutout A:           Cutout B:      F.C.:10.1875 in.         C.C.:7.3125 in.   </v>
      </c>
      <c r="S1195" t="str">
        <f t="shared" si="59"/>
        <v>TRUE</v>
      </c>
      <c r="T1195" t="str">
        <f t="shared" si="60"/>
        <v>TRUE</v>
      </c>
    </row>
    <row r="1196" spans="1:20">
      <c r="A1196" t="s">
        <v>1356</v>
      </c>
      <c r="B1196" s="14" t="s">
        <v>144</v>
      </c>
      <c r="C1196" s="14" t="s">
        <v>157</v>
      </c>
      <c r="D1196" s="14">
        <v>1</v>
      </c>
      <c r="E1196" s="14">
        <v>0</v>
      </c>
      <c r="F1196" s="14">
        <v>1</v>
      </c>
      <c r="G1196" s="14">
        <v>0</v>
      </c>
      <c r="H1196" s="14">
        <v>24</v>
      </c>
      <c r="I1196" s="8" t="s">
        <v>120</v>
      </c>
      <c r="J1196" s="8" t="s">
        <v>38</v>
      </c>
      <c r="K1196">
        <v>60</v>
      </c>
      <c r="L1196">
        <v>48.8125</v>
      </c>
      <c r="M1196" s="14">
        <v>5.625</v>
      </c>
      <c r="N1196" s="14">
        <v>2.0625</v>
      </c>
      <c r="R1196" t="str">
        <f t="shared" si="58"/>
        <v xml:space="preserve">XX8X_PV_1853:    Front abuts stile:TRUE       Back abuts stile:TRUE          Panel Section: BOTTOM           Stile in the back Width: 24           Cutout A: B-386          Cutout B:      F.C.:5.625 in.         C.C.:2.0625 in.   </v>
      </c>
      <c r="S1196" t="str">
        <f t="shared" si="59"/>
        <v>TRUE</v>
      </c>
      <c r="T1196" t="str">
        <f t="shared" si="60"/>
        <v>TRUE</v>
      </c>
    </row>
    <row r="1197" spans="1:20">
      <c r="A1197" t="s">
        <v>1357</v>
      </c>
      <c r="B1197" s="14" t="s">
        <v>144</v>
      </c>
      <c r="C1197" s="14" t="s">
        <v>157</v>
      </c>
      <c r="D1197" s="14">
        <v>1</v>
      </c>
      <c r="E1197" s="14">
        <v>0</v>
      </c>
      <c r="F1197" s="14">
        <v>1</v>
      </c>
      <c r="G1197" s="14">
        <v>0</v>
      </c>
      <c r="H1197" s="14"/>
      <c r="I1197" s="8" t="s">
        <v>38</v>
      </c>
      <c r="J1197" s="8" t="s">
        <v>38</v>
      </c>
      <c r="K1197">
        <v>60</v>
      </c>
      <c r="L1197">
        <v>19.125</v>
      </c>
      <c r="M1197" s="14">
        <v>3.625</v>
      </c>
      <c r="N1197" s="14" t="s">
        <v>38</v>
      </c>
      <c r="R1197" t="str">
        <f t="shared" si="58"/>
        <v xml:space="preserve">XX8X_PV_1854:    Front abuts stile:TRUE       Back abuts stile:TRUE          Panel Section: BOTTOM           Stile in the back Width:            Cutout A:           Cutout B:      F.C.:3.625 in.         C.C.: in.   </v>
      </c>
      <c r="S1197" t="str">
        <f t="shared" si="59"/>
        <v>TRUE</v>
      </c>
      <c r="T1197" t="str">
        <f t="shared" si="60"/>
        <v>TRUE</v>
      </c>
    </row>
    <row r="1198" spans="1:20">
      <c r="A1198" t="s">
        <v>1358</v>
      </c>
      <c r="B1198" s="14" t="s">
        <v>144</v>
      </c>
      <c r="C1198" s="14" t="s">
        <v>157</v>
      </c>
      <c r="D1198" s="14">
        <v>1</v>
      </c>
      <c r="E1198" s="14">
        <v>0</v>
      </c>
      <c r="F1198" s="14">
        <v>1</v>
      </c>
      <c r="G1198" s="14">
        <v>1</v>
      </c>
      <c r="H1198" s="14"/>
      <c r="I1198" s="8" t="s">
        <v>38</v>
      </c>
      <c r="J1198" s="8" t="s">
        <v>38</v>
      </c>
      <c r="K1198">
        <v>60</v>
      </c>
      <c r="L1198">
        <v>42.5</v>
      </c>
      <c r="M1198" s="14">
        <v>12</v>
      </c>
      <c r="N1198" s="14">
        <v>1</v>
      </c>
      <c r="R1198" t="str">
        <f t="shared" si="58"/>
        <v xml:space="preserve">XX8X_PV_1855:    Front abuts stile:TRUE       Back abuts stile:TRUE          Panel Section: BOTTOM           Stile in the back Width:            Cutout A:           Cutout B:      F.C.:12 in.         C.C.:1 in.   </v>
      </c>
      <c r="S1198" t="str">
        <f t="shared" si="59"/>
        <v>TRUE</v>
      </c>
      <c r="T1198" t="str">
        <f t="shared" si="60"/>
        <v>TRUE</v>
      </c>
    </row>
    <row r="1199" spans="1:20">
      <c r="A1199" t="s">
        <v>1359</v>
      </c>
      <c r="B1199" s="14" t="s">
        <v>144</v>
      </c>
      <c r="C1199" s="14" t="s">
        <v>157</v>
      </c>
      <c r="D1199" s="14">
        <v>1</v>
      </c>
      <c r="E1199" s="14">
        <v>1</v>
      </c>
      <c r="F1199" s="14">
        <v>0</v>
      </c>
      <c r="G1199" s="14"/>
      <c r="H1199" s="14"/>
      <c r="I1199" s="8" t="s">
        <v>120</v>
      </c>
      <c r="J1199" s="8" t="s">
        <v>38</v>
      </c>
      <c r="K1199">
        <v>60</v>
      </c>
      <c r="L1199">
        <v>61.75</v>
      </c>
      <c r="M1199" s="14">
        <v>4.5</v>
      </c>
      <c r="N1199" s="14" t="s">
        <v>38</v>
      </c>
      <c r="R1199" t="str">
        <f t="shared" si="58"/>
        <v xml:space="preserve">XX8X_PV_1856:    Front abuts stile:TRUE       Back abuts stile:FALSE          Panel Section: BOTTOM           Stile in the back Width:            Cutout A: B-386          Cutout B:      F.C.:4.5 in.         C.C.: in.   </v>
      </c>
      <c r="S1199" t="str">
        <f t="shared" si="59"/>
        <v>TRUE</v>
      </c>
      <c r="T1199" t="str">
        <f t="shared" si="60"/>
        <v>FALSE</v>
      </c>
    </row>
    <row r="1200" spans="1:20">
      <c r="A1200" t="s">
        <v>1360</v>
      </c>
      <c r="B1200" s="14" t="s">
        <v>144</v>
      </c>
      <c r="C1200" s="14" t="s">
        <v>157</v>
      </c>
      <c r="D1200" s="14">
        <v>1</v>
      </c>
      <c r="E1200" s="14">
        <v>1</v>
      </c>
      <c r="F1200" s="14">
        <v>1</v>
      </c>
      <c r="G1200" s="14">
        <v>0</v>
      </c>
      <c r="H1200" s="14">
        <v>12</v>
      </c>
      <c r="I1200" s="8" t="s">
        <v>120</v>
      </c>
      <c r="J1200" s="8" t="s">
        <v>38</v>
      </c>
      <c r="K1200">
        <v>60</v>
      </c>
      <c r="L1200">
        <v>77.4375</v>
      </c>
      <c r="M1200" s="14">
        <v>6.5625</v>
      </c>
      <c r="N1200" s="14">
        <v>1</v>
      </c>
      <c r="R1200" t="str">
        <f t="shared" si="58"/>
        <v xml:space="preserve">XX8X_PV_1857:    Front abuts stile:TRUE       Back abuts stile:TRUE          Panel Section: BOTTOM           Stile in the back Width: 12           Cutout A: B-386          Cutout B:      F.C.:6.5625 in.         C.C.:1 in.   </v>
      </c>
      <c r="S1200" t="str">
        <f t="shared" si="59"/>
        <v>TRUE</v>
      </c>
      <c r="T1200" t="str">
        <f t="shared" si="60"/>
        <v>TRUE</v>
      </c>
    </row>
    <row r="1201" spans="1:20">
      <c r="A1201" t="s">
        <v>1361</v>
      </c>
      <c r="B1201" s="14" t="s">
        <v>144</v>
      </c>
      <c r="C1201" s="14" t="s">
        <v>157</v>
      </c>
      <c r="D1201" s="14">
        <v>1</v>
      </c>
      <c r="E1201" s="14">
        <v>1</v>
      </c>
      <c r="F1201" s="14">
        <v>1</v>
      </c>
      <c r="G1201" s="14">
        <v>0</v>
      </c>
      <c r="H1201" s="14">
        <v>24</v>
      </c>
      <c r="I1201" s="8" t="s">
        <v>120</v>
      </c>
      <c r="J1201" s="8" t="s">
        <v>38</v>
      </c>
      <c r="K1201">
        <v>60</v>
      </c>
      <c r="L1201">
        <v>79.0625</v>
      </c>
      <c r="M1201" s="14">
        <v>12</v>
      </c>
      <c r="N1201" s="14">
        <v>1</v>
      </c>
      <c r="R1201" t="str">
        <f t="shared" si="58"/>
        <v xml:space="preserve">XX8X_PV_1858:    Front abuts stile:TRUE       Back abuts stile:TRUE          Panel Section: BOTTOM           Stile in the back Width: 24           Cutout A: B-386          Cutout B:      F.C.:12 in.         C.C.:1 in.   </v>
      </c>
      <c r="S1201" t="str">
        <f t="shared" si="59"/>
        <v>TRUE</v>
      </c>
      <c r="T1201" t="str">
        <f t="shared" si="60"/>
        <v>TRUE</v>
      </c>
    </row>
    <row r="1202" spans="1:20">
      <c r="A1202" t="s">
        <v>1362</v>
      </c>
      <c r="B1202" s="14" t="s">
        <v>144</v>
      </c>
      <c r="C1202" s="14" t="s">
        <v>157</v>
      </c>
      <c r="D1202" s="14">
        <v>1</v>
      </c>
      <c r="E1202" s="14">
        <v>1</v>
      </c>
      <c r="F1202" s="14">
        <v>1</v>
      </c>
      <c r="G1202" s="14">
        <v>0</v>
      </c>
      <c r="H1202" s="14"/>
      <c r="I1202" s="8" t="s">
        <v>38</v>
      </c>
      <c r="J1202" s="8" t="s">
        <v>38</v>
      </c>
      <c r="K1202">
        <v>60</v>
      </c>
      <c r="L1202">
        <v>72.6875</v>
      </c>
      <c r="M1202" s="14">
        <v>1</v>
      </c>
      <c r="N1202" s="14">
        <v>4.5625</v>
      </c>
      <c r="R1202" t="str">
        <f t="shared" si="58"/>
        <v xml:space="preserve">XX8X_PV_1859:    Front abuts stile:TRUE       Back abuts stile:TRUE          Panel Section: BOTTOM           Stile in the back Width:            Cutout A:           Cutout B:      F.C.:1 in.         C.C.:4.5625 in.   </v>
      </c>
      <c r="S1202" t="str">
        <f t="shared" si="59"/>
        <v>TRUE</v>
      </c>
      <c r="T1202" t="str">
        <f t="shared" si="60"/>
        <v>TRUE</v>
      </c>
    </row>
    <row r="1203" spans="1:20">
      <c r="A1203" t="s">
        <v>1363</v>
      </c>
      <c r="B1203" s="14" t="s">
        <v>144</v>
      </c>
      <c r="C1203" s="14" t="s">
        <v>157</v>
      </c>
      <c r="D1203" s="14">
        <v>1</v>
      </c>
      <c r="E1203" s="14">
        <v>1</v>
      </c>
      <c r="F1203" s="14">
        <v>1</v>
      </c>
      <c r="G1203" s="14">
        <v>1</v>
      </c>
      <c r="H1203" s="14"/>
      <c r="I1203" s="8" t="s">
        <v>38</v>
      </c>
      <c r="J1203" s="8" t="s">
        <v>38</v>
      </c>
      <c r="K1203">
        <v>60</v>
      </c>
      <c r="L1203">
        <v>78.125</v>
      </c>
      <c r="M1203" s="14">
        <v>4.5</v>
      </c>
      <c r="N1203" s="14">
        <v>2.5625</v>
      </c>
      <c r="R1203" t="str">
        <f t="shared" si="58"/>
        <v xml:space="preserve">XX8X_PV_1860:    Front abuts stile:TRUE       Back abuts stile:TRUE          Panel Section: BOTTOM           Stile in the back Width:            Cutout A:           Cutout B:      F.C.:4.5 in.         C.C.:2.5625 in.   </v>
      </c>
      <c r="S1203" t="str">
        <f t="shared" si="59"/>
        <v>TRUE</v>
      </c>
      <c r="T1203" t="str">
        <f t="shared" si="60"/>
        <v>TRUE</v>
      </c>
    </row>
    <row r="1204" spans="1:20">
      <c r="A1204" t="s">
        <v>1364</v>
      </c>
      <c r="B1204" s="14" t="s">
        <v>144</v>
      </c>
      <c r="C1204" s="14" t="s">
        <v>21</v>
      </c>
      <c r="D1204" s="14">
        <v>0</v>
      </c>
      <c r="E1204" s="14"/>
      <c r="F1204" s="14">
        <v>0</v>
      </c>
      <c r="G1204" s="14"/>
      <c r="H1204" s="14"/>
      <c r="I1204" s="8" t="s">
        <v>150</v>
      </c>
      <c r="J1204" s="8" t="s">
        <v>38</v>
      </c>
      <c r="K1204">
        <v>96</v>
      </c>
      <c r="L1204">
        <v>60.875</v>
      </c>
      <c r="M1204" s="14">
        <v>1</v>
      </c>
      <c r="N1204" s="14">
        <v>4.5625</v>
      </c>
      <c r="R1204" t="str">
        <f t="shared" si="58"/>
        <v xml:space="preserve">XX8X_PV_1861:    Front abuts stile:FALSE       Back abuts stile:FALSE          Panel Section: WHOLE           Stile in the back Width:            Cutout A: B-3571          Cutout B:      F.C.:1 in.         C.C.:4.5625 in.   </v>
      </c>
      <c r="S1204" t="str">
        <f t="shared" si="59"/>
        <v>FALSE</v>
      </c>
      <c r="T1204" t="str">
        <f t="shared" si="60"/>
        <v>FALSE</v>
      </c>
    </row>
    <row r="1205" spans="1:20">
      <c r="A1205" t="s">
        <v>1365</v>
      </c>
      <c r="B1205" s="14" t="s">
        <v>144</v>
      </c>
      <c r="C1205" s="14" t="s">
        <v>21</v>
      </c>
      <c r="D1205" s="14">
        <v>0</v>
      </c>
      <c r="E1205" s="14"/>
      <c r="F1205" s="14">
        <v>1</v>
      </c>
      <c r="G1205" s="14">
        <v>0</v>
      </c>
      <c r="H1205" s="14">
        <v>12</v>
      </c>
      <c r="I1205" s="8" t="s">
        <v>120</v>
      </c>
      <c r="J1205" s="8" t="s">
        <v>38</v>
      </c>
      <c r="K1205">
        <v>88.875</v>
      </c>
      <c r="L1205">
        <v>67.1875</v>
      </c>
      <c r="M1205" s="14">
        <v>6.25</v>
      </c>
      <c r="N1205" s="14">
        <v>5.9375</v>
      </c>
      <c r="R1205" t="str">
        <f t="shared" si="58"/>
        <v xml:space="preserve">XX8X_PV_1862:    Front abuts stile:FALSE       Back abuts stile:TRUE          Panel Section: WHOLE           Stile in the back Width: 12           Cutout A: B-386          Cutout B:      F.C.:6.25 in.         C.C.:5.9375 in.   </v>
      </c>
      <c r="S1205" t="str">
        <f t="shared" si="59"/>
        <v>FALSE</v>
      </c>
      <c r="T1205" t="str">
        <f t="shared" si="60"/>
        <v>TRUE</v>
      </c>
    </row>
    <row r="1206" spans="1:20">
      <c r="A1206" t="s">
        <v>1366</v>
      </c>
      <c r="B1206" s="14" t="s">
        <v>144</v>
      </c>
      <c r="C1206" s="14" t="s">
        <v>21</v>
      </c>
      <c r="D1206" s="14">
        <v>0</v>
      </c>
      <c r="E1206" s="14"/>
      <c r="F1206" s="14">
        <v>1</v>
      </c>
      <c r="G1206" s="14">
        <v>0</v>
      </c>
      <c r="H1206" s="14">
        <v>24</v>
      </c>
      <c r="I1206" s="8" t="s">
        <v>35</v>
      </c>
      <c r="J1206" s="8" t="s">
        <v>38</v>
      </c>
      <c r="K1206">
        <v>89.25</v>
      </c>
      <c r="L1206">
        <v>42.5625</v>
      </c>
      <c r="M1206" s="14">
        <v>12</v>
      </c>
      <c r="N1206" s="14">
        <v>1</v>
      </c>
      <c r="R1206" t="str">
        <f t="shared" si="58"/>
        <v xml:space="preserve">XX8X_PV_1863:    Front abuts stile:FALSE       Back abuts stile:TRUE          Panel Section: WHOLE           Stile in the back Width: 24           Cutout A: B-357          Cutout B:      F.C.:12 in.         C.C.:1 in.   </v>
      </c>
      <c r="S1206" t="str">
        <f t="shared" si="59"/>
        <v>FALSE</v>
      </c>
      <c r="T1206" t="str">
        <f t="shared" si="60"/>
        <v>TRUE</v>
      </c>
    </row>
    <row r="1207" spans="1:20">
      <c r="A1207" t="s">
        <v>1367</v>
      </c>
      <c r="B1207" s="14" t="s">
        <v>144</v>
      </c>
      <c r="C1207" s="14" t="s">
        <v>21</v>
      </c>
      <c r="D1207" s="14">
        <v>0</v>
      </c>
      <c r="E1207" s="14"/>
      <c r="F1207" s="14">
        <v>1</v>
      </c>
      <c r="G1207" s="14">
        <v>0</v>
      </c>
      <c r="H1207" s="14"/>
      <c r="I1207" s="8" t="s">
        <v>38</v>
      </c>
      <c r="J1207" s="8" t="s">
        <v>38</v>
      </c>
      <c r="K1207">
        <v>100.25</v>
      </c>
      <c r="L1207">
        <v>55.1875</v>
      </c>
      <c r="M1207" s="14">
        <v>12</v>
      </c>
      <c r="N1207" s="14">
        <v>6.125</v>
      </c>
      <c r="R1207" t="str">
        <f t="shared" si="58"/>
        <v xml:space="preserve">XX8X_PV_1864:    Front abuts stile:FALSE       Back abuts stile:TRUE          Panel Section: WHOLE           Stile in the back Width:            Cutout A:           Cutout B:      F.C.:12 in.         C.C.:6.125 in.   </v>
      </c>
      <c r="S1207" t="str">
        <f t="shared" si="59"/>
        <v>FALSE</v>
      </c>
      <c r="T1207" t="str">
        <f t="shared" si="60"/>
        <v>TRUE</v>
      </c>
    </row>
    <row r="1208" spans="1:20">
      <c r="A1208" t="s">
        <v>1368</v>
      </c>
      <c r="B1208" s="14" t="s">
        <v>144</v>
      </c>
      <c r="C1208" s="14" t="s">
        <v>21</v>
      </c>
      <c r="D1208" s="14">
        <v>0</v>
      </c>
      <c r="E1208" s="14"/>
      <c r="F1208" s="14">
        <v>1</v>
      </c>
      <c r="G1208" s="14">
        <v>1</v>
      </c>
      <c r="H1208" s="14"/>
      <c r="I1208" s="8" t="s">
        <v>38</v>
      </c>
      <c r="J1208" s="8" t="s">
        <v>38</v>
      </c>
      <c r="K1208">
        <v>96</v>
      </c>
      <c r="L1208">
        <v>55.6875</v>
      </c>
      <c r="M1208" s="14">
        <v>12</v>
      </c>
      <c r="N1208" s="14">
        <v>8.375</v>
      </c>
      <c r="R1208" t="str">
        <f t="shared" si="58"/>
        <v xml:space="preserve">XX8X_PV_1865:    Front abuts stile:FALSE       Back abuts stile:TRUE          Panel Section: WHOLE           Stile in the back Width:            Cutout A:           Cutout B:      F.C.:12 in.         C.C.:8.375 in.   </v>
      </c>
      <c r="S1208" t="str">
        <f t="shared" si="59"/>
        <v>FALSE</v>
      </c>
      <c r="T1208" t="str">
        <f t="shared" si="60"/>
        <v>TRUE</v>
      </c>
    </row>
    <row r="1209" spans="1:20">
      <c r="A1209" t="s">
        <v>1369</v>
      </c>
      <c r="B1209" s="14" t="s">
        <v>144</v>
      </c>
      <c r="C1209" s="14" t="s">
        <v>21</v>
      </c>
      <c r="D1209" s="14">
        <v>1</v>
      </c>
      <c r="E1209" s="14">
        <v>0</v>
      </c>
      <c r="F1209" s="14">
        <v>0</v>
      </c>
      <c r="G1209" s="14"/>
      <c r="H1209" s="14"/>
      <c r="I1209" s="8" t="s">
        <v>38</v>
      </c>
      <c r="J1209" s="8" t="s">
        <v>38</v>
      </c>
      <c r="K1209">
        <v>83.75</v>
      </c>
      <c r="L1209">
        <v>71.75</v>
      </c>
      <c r="M1209" s="14">
        <v>1</v>
      </c>
      <c r="N1209" s="14" t="s">
        <v>38</v>
      </c>
      <c r="R1209" t="str">
        <f t="shared" si="58"/>
        <v xml:space="preserve">XX8X_PV_1866:    Front abuts stile:TRUE       Back abuts stile:FALSE          Panel Section: WHOLE           Stile in the back Width:            Cutout A:           Cutout B:      F.C.:1 in.         C.C.: in.   </v>
      </c>
      <c r="S1209" t="str">
        <f t="shared" si="59"/>
        <v>TRUE</v>
      </c>
      <c r="T1209" t="str">
        <f t="shared" si="60"/>
        <v>FALSE</v>
      </c>
    </row>
    <row r="1210" spans="1:20">
      <c r="A1210" t="s">
        <v>1370</v>
      </c>
      <c r="B1210" s="14" t="s">
        <v>144</v>
      </c>
      <c r="C1210" s="14" t="s">
        <v>21</v>
      </c>
      <c r="D1210" s="14">
        <v>1</v>
      </c>
      <c r="E1210" s="14">
        <v>0</v>
      </c>
      <c r="F1210" s="14">
        <v>1</v>
      </c>
      <c r="G1210" s="14">
        <v>0</v>
      </c>
      <c r="H1210" s="14">
        <v>12</v>
      </c>
      <c r="I1210" s="8" t="s">
        <v>120</v>
      </c>
      <c r="J1210" s="8" t="s">
        <v>38</v>
      </c>
      <c r="K1210">
        <v>96</v>
      </c>
      <c r="L1210">
        <v>52.0625</v>
      </c>
      <c r="M1210" s="14">
        <v>7.4375</v>
      </c>
      <c r="N1210" s="14">
        <v>1.3125</v>
      </c>
      <c r="R1210" t="str">
        <f t="shared" si="58"/>
        <v xml:space="preserve">XX8X_PV_1867:    Front abuts stile:TRUE       Back abuts stile:TRUE          Panel Section: WHOLE           Stile in the back Width: 12           Cutout A: B-386          Cutout B:      F.C.:7.4375 in.         C.C.:1.3125 in.   </v>
      </c>
      <c r="S1210" t="str">
        <f t="shared" si="59"/>
        <v>TRUE</v>
      </c>
      <c r="T1210" t="str">
        <f t="shared" si="60"/>
        <v>TRUE</v>
      </c>
    </row>
    <row r="1211" spans="1:20">
      <c r="A1211" t="s">
        <v>1371</v>
      </c>
      <c r="B1211" s="14" t="s">
        <v>144</v>
      </c>
      <c r="C1211" s="14" t="s">
        <v>21</v>
      </c>
      <c r="D1211" s="14">
        <v>1</v>
      </c>
      <c r="E1211" s="14">
        <v>0</v>
      </c>
      <c r="F1211" s="14">
        <v>1</v>
      </c>
      <c r="G1211" s="14">
        <v>0</v>
      </c>
      <c r="H1211" s="14">
        <v>24</v>
      </c>
      <c r="I1211" s="8" t="s">
        <v>120</v>
      </c>
      <c r="J1211" s="8" t="s">
        <v>38</v>
      </c>
      <c r="K1211">
        <v>89.3125</v>
      </c>
      <c r="L1211">
        <v>54.5</v>
      </c>
      <c r="M1211" s="14">
        <v>5.25</v>
      </c>
      <c r="N1211" s="14">
        <v>1</v>
      </c>
      <c r="R1211" t="str">
        <f t="shared" si="58"/>
        <v xml:space="preserve">XX8X_PV_1868:    Front abuts stile:TRUE       Back abuts stile:TRUE          Panel Section: WHOLE           Stile in the back Width: 24           Cutout A: B-386          Cutout B:      F.C.:5.25 in.         C.C.:1 in.   </v>
      </c>
      <c r="S1211" t="str">
        <f t="shared" si="59"/>
        <v>TRUE</v>
      </c>
      <c r="T1211" t="str">
        <f t="shared" si="60"/>
        <v>TRUE</v>
      </c>
    </row>
    <row r="1212" spans="1:20">
      <c r="A1212" t="s">
        <v>1372</v>
      </c>
      <c r="B1212" s="14" t="s">
        <v>144</v>
      </c>
      <c r="C1212" s="14" t="s">
        <v>21</v>
      </c>
      <c r="D1212" s="14">
        <v>1</v>
      </c>
      <c r="E1212" s="14">
        <v>0</v>
      </c>
      <c r="F1212" s="14">
        <v>1</v>
      </c>
      <c r="G1212" s="14">
        <v>0</v>
      </c>
      <c r="H1212" s="14"/>
      <c r="I1212" s="8" t="s">
        <v>38</v>
      </c>
      <c r="J1212" s="8" t="s">
        <v>38</v>
      </c>
      <c r="K1212">
        <v>96</v>
      </c>
      <c r="L1212">
        <v>40.75</v>
      </c>
      <c r="M1212" s="14">
        <v>9</v>
      </c>
      <c r="N1212" s="14">
        <v>1</v>
      </c>
      <c r="R1212" t="str">
        <f t="shared" si="58"/>
        <v xml:space="preserve">XX8X_PV_1869:    Front abuts stile:TRUE       Back abuts stile:TRUE          Panel Section: WHOLE           Stile in the back Width:            Cutout A:           Cutout B:      F.C.:9 in.         C.C.:1 in.   </v>
      </c>
      <c r="S1212" t="str">
        <f t="shared" si="59"/>
        <v>TRUE</v>
      </c>
      <c r="T1212" t="str">
        <f t="shared" si="60"/>
        <v>TRUE</v>
      </c>
    </row>
    <row r="1213" spans="1:20">
      <c r="A1213" t="s">
        <v>1373</v>
      </c>
      <c r="B1213" s="14" t="s">
        <v>144</v>
      </c>
      <c r="C1213" s="14" t="s">
        <v>21</v>
      </c>
      <c r="D1213" s="14">
        <v>1</v>
      </c>
      <c r="E1213" s="14">
        <v>0</v>
      </c>
      <c r="F1213" s="14">
        <v>1</v>
      </c>
      <c r="G1213" s="14">
        <v>1</v>
      </c>
      <c r="H1213" s="14"/>
      <c r="I1213" s="8" t="s">
        <v>38</v>
      </c>
      <c r="J1213" s="8" t="s">
        <v>38</v>
      </c>
      <c r="K1213">
        <v>96</v>
      </c>
      <c r="L1213">
        <v>52.6875</v>
      </c>
      <c r="M1213" s="14">
        <v>4.5</v>
      </c>
      <c r="N1213" s="14">
        <v>3.125</v>
      </c>
      <c r="R1213" t="str">
        <f t="shared" si="58"/>
        <v xml:space="preserve">XX8X_PV_1870:    Front abuts stile:TRUE       Back abuts stile:TRUE          Panel Section: WHOLE           Stile in the back Width:            Cutout A:           Cutout B:      F.C.:4.5 in.         C.C.:3.125 in.   </v>
      </c>
      <c r="S1213" t="str">
        <f t="shared" si="59"/>
        <v>TRUE</v>
      </c>
      <c r="T1213" t="str">
        <f t="shared" si="60"/>
        <v>TRUE</v>
      </c>
    </row>
    <row r="1214" spans="1:20">
      <c r="A1214" t="s">
        <v>1374</v>
      </c>
      <c r="B1214" s="14" t="s">
        <v>144</v>
      </c>
      <c r="C1214" s="14" t="s">
        <v>21</v>
      </c>
      <c r="D1214" s="14">
        <v>1</v>
      </c>
      <c r="E1214" s="14">
        <v>1</v>
      </c>
      <c r="F1214" s="14">
        <v>0</v>
      </c>
      <c r="G1214" s="14"/>
      <c r="H1214" s="14"/>
      <c r="I1214" s="8" t="s">
        <v>145</v>
      </c>
      <c r="J1214" s="8" t="s">
        <v>38</v>
      </c>
      <c r="K1214">
        <v>82.125</v>
      </c>
      <c r="L1214">
        <v>52.9375</v>
      </c>
      <c r="M1214" s="14">
        <v>9</v>
      </c>
      <c r="N1214" s="14">
        <v>7.75</v>
      </c>
      <c r="R1214" t="str">
        <f t="shared" si="58"/>
        <v xml:space="preserve">XX8X_PV_1871:    Front abuts stile:TRUE       Back abuts stile:FALSE          Panel Section: WHOLE           Stile in the back Width:            Cutout A: B-347          Cutout B:      F.C.:9 in.         C.C.:7.75 in.   </v>
      </c>
      <c r="S1214" t="str">
        <f t="shared" si="59"/>
        <v>TRUE</v>
      </c>
      <c r="T1214" t="str">
        <f t="shared" si="60"/>
        <v>FALSE</v>
      </c>
    </row>
    <row r="1215" spans="1:20">
      <c r="A1215" t="s">
        <v>1375</v>
      </c>
      <c r="B1215" s="14" t="s">
        <v>144</v>
      </c>
      <c r="C1215" s="14" t="s">
        <v>21</v>
      </c>
      <c r="D1215" s="14">
        <v>1</v>
      </c>
      <c r="E1215" s="14">
        <v>1</v>
      </c>
      <c r="F1215" s="14">
        <v>1</v>
      </c>
      <c r="G1215" s="14">
        <v>0</v>
      </c>
      <c r="H1215" s="14">
        <v>12</v>
      </c>
      <c r="I1215" s="8" t="s">
        <v>120</v>
      </c>
      <c r="J1215" s="8" t="s">
        <v>38</v>
      </c>
      <c r="K1215">
        <v>96</v>
      </c>
      <c r="L1215">
        <v>51.25</v>
      </c>
      <c r="M1215" s="14">
        <v>1</v>
      </c>
      <c r="N1215" s="14" t="s">
        <v>38</v>
      </c>
      <c r="R1215" t="str">
        <f t="shared" si="58"/>
        <v xml:space="preserve">XX8X_PV_1872:    Front abuts stile:TRUE       Back abuts stile:TRUE          Panel Section: WHOLE           Stile in the back Width: 12           Cutout A: B-386          Cutout B:      F.C.:1 in.         C.C.: in.   </v>
      </c>
      <c r="S1215" t="str">
        <f t="shared" si="59"/>
        <v>TRUE</v>
      </c>
      <c r="T1215" t="str">
        <f t="shared" si="60"/>
        <v>TRUE</v>
      </c>
    </row>
    <row r="1216" spans="1:20">
      <c r="A1216" t="s">
        <v>1376</v>
      </c>
      <c r="B1216" s="14" t="s">
        <v>144</v>
      </c>
      <c r="C1216" s="14" t="s">
        <v>21</v>
      </c>
      <c r="D1216" s="14">
        <v>1</v>
      </c>
      <c r="E1216" s="14">
        <v>1</v>
      </c>
      <c r="F1216" s="14">
        <v>1</v>
      </c>
      <c r="G1216" s="14">
        <v>0</v>
      </c>
      <c r="H1216" s="14">
        <v>24</v>
      </c>
      <c r="I1216" s="8" t="s">
        <v>148</v>
      </c>
      <c r="J1216" s="8" t="s">
        <v>38</v>
      </c>
      <c r="K1216">
        <v>96</v>
      </c>
      <c r="L1216">
        <v>63.125</v>
      </c>
      <c r="M1216" s="14">
        <v>12</v>
      </c>
      <c r="N1216" s="14">
        <v>1</v>
      </c>
      <c r="R1216" t="str">
        <f t="shared" si="58"/>
        <v xml:space="preserve">XX8X_PV_1873:    Front abuts stile:TRUE       Back abuts stile:TRUE          Panel Section: WHOLE           Stile in the back Width: 24           Cutout A: B-3471          Cutout B:      F.C.:12 in.         C.C.:1 in.   </v>
      </c>
      <c r="S1216" t="str">
        <f t="shared" si="59"/>
        <v>TRUE</v>
      </c>
      <c r="T1216" t="str">
        <f t="shared" si="60"/>
        <v>TRUE</v>
      </c>
    </row>
    <row r="1217" spans="1:20">
      <c r="A1217" t="s">
        <v>1377</v>
      </c>
      <c r="B1217" s="14" t="s">
        <v>144</v>
      </c>
      <c r="C1217" s="14" t="s">
        <v>21</v>
      </c>
      <c r="D1217" s="14">
        <v>1</v>
      </c>
      <c r="E1217" s="14">
        <v>1</v>
      </c>
      <c r="F1217" s="14">
        <v>1</v>
      </c>
      <c r="G1217" s="14">
        <v>0</v>
      </c>
      <c r="H1217" s="14"/>
      <c r="I1217" s="8" t="s">
        <v>38</v>
      </c>
      <c r="J1217" s="8" t="s">
        <v>38</v>
      </c>
      <c r="K1217">
        <v>75.4375</v>
      </c>
      <c r="L1217">
        <v>61.5625</v>
      </c>
      <c r="M1217" s="14">
        <v>12</v>
      </c>
      <c r="N1217" s="14">
        <v>1</v>
      </c>
      <c r="R1217" t="str">
        <f t="shared" ref="R1217:R1280" si="61">A1217&amp;":    Front abuts stile:"&amp;S1217&amp;"       Back abuts stile:"&amp;T1217&amp;"          Panel Section: "&amp;C1217&amp;"           Stile in the back Width: "&amp;H1217&amp;"           Cutout A: "&amp;I1217&amp;"          Cutout B:"&amp;J1217&amp;"      F.C.:"&amp;M1217&amp;" in. "&amp;"        C.C.:"&amp;N1217&amp;" in. "&amp;"  "</f>
        <v xml:space="preserve">XX8X_PV_1874:    Front abuts stile:TRUE       Back abuts stile:TRUE          Panel Section: WHOLE           Stile in the back Width:            Cutout A:           Cutout B:      F.C.:12 in.         C.C.:1 in.   </v>
      </c>
      <c r="S1217" t="str">
        <f t="shared" ref="S1217:S1280" si="62">IF(D1217=1, "TRUE", "FALSE")</f>
        <v>TRUE</v>
      </c>
      <c r="T1217" t="str">
        <f t="shared" ref="T1217:T1280" si="63">IF(F1217=1, "TRUE", "FALSE")</f>
        <v>TRUE</v>
      </c>
    </row>
    <row r="1218" spans="1:20" ht="15" thickBot="1">
      <c r="A1218" t="s">
        <v>1378</v>
      </c>
      <c r="B1218" s="14" t="s">
        <v>144</v>
      </c>
      <c r="C1218" s="50" t="s">
        <v>21</v>
      </c>
      <c r="D1218" s="50">
        <v>1</v>
      </c>
      <c r="E1218" s="50">
        <v>1</v>
      </c>
      <c r="F1218" s="50">
        <v>1</v>
      </c>
      <c r="G1218" s="50">
        <v>1</v>
      </c>
      <c r="H1218" s="50"/>
      <c r="I1218" s="51" t="s">
        <v>38</v>
      </c>
      <c r="J1218" s="51" t="s">
        <v>38</v>
      </c>
      <c r="K1218" s="49">
        <v>103</v>
      </c>
      <c r="L1218" s="49">
        <v>79.25</v>
      </c>
      <c r="M1218" s="50">
        <v>12</v>
      </c>
      <c r="N1218" s="14">
        <v>7.4375</v>
      </c>
      <c r="R1218" t="str">
        <f t="shared" si="61"/>
        <v xml:space="preserve">XX8X_PV_1875:    Front abuts stile:TRUE       Back abuts stile:TRUE          Panel Section: WHOLE           Stile in the back Width:            Cutout A:           Cutout B:      F.C.:12 in.         C.C.:7.4375 in.   </v>
      </c>
      <c r="S1218" t="str">
        <f t="shared" si="62"/>
        <v>TRUE</v>
      </c>
      <c r="T1218" t="str">
        <f t="shared" si="63"/>
        <v>TRUE</v>
      </c>
    </row>
    <row r="1219" spans="1:20" ht="15" thickTop="1">
      <c r="A1219" t="s">
        <v>1379</v>
      </c>
      <c r="B1219" s="14" t="s">
        <v>144</v>
      </c>
      <c r="C1219" s="14" t="s">
        <v>156</v>
      </c>
      <c r="D1219" s="19">
        <v>0</v>
      </c>
      <c r="E1219" s="19"/>
      <c r="F1219" s="19">
        <v>0</v>
      </c>
      <c r="G1219" s="19"/>
      <c r="H1219" s="14"/>
      <c r="I1219" s="8" t="s">
        <v>148</v>
      </c>
      <c r="J1219" s="8" t="s">
        <v>38</v>
      </c>
      <c r="K1219">
        <v>38.25</v>
      </c>
      <c r="L1219">
        <v>47.25</v>
      </c>
      <c r="M1219" s="14">
        <v>11.5625</v>
      </c>
      <c r="N1219" s="14" t="s">
        <v>38</v>
      </c>
      <c r="R1219" t="str">
        <f t="shared" si="61"/>
        <v xml:space="preserve">XX8X_PV_1876:    Front abuts stile:FALSE       Back abuts stile:FALSE          Panel Section: TOP           Stile in the back Width:            Cutout A: B-3471          Cutout B:      F.C.:11.5625 in.         C.C.: in.   </v>
      </c>
      <c r="S1219" t="str">
        <f t="shared" si="62"/>
        <v>FALSE</v>
      </c>
      <c r="T1219" t="str">
        <f t="shared" si="63"/>
        <v>FALSE</v>
      </c>
    </row>
    <row r="1220" spans="1:20">
      <c r="A1220" t="s">
        <v>1380</v>
      </c>
      <c r="B1220" s="14" t="s">
        <v>144</v>
      </c>
      <c r="C1220" s="14" t="s">
        <v>156</v>
      </c>
      <c r="D1220" s="14">
        <v>0</v>
      </c>
      <c r="E1220" s="14"/>
      <c r="F1220" s="14">
        <v>1</v>
      </c>
      <c r="G1220" s="14">
        <v>0</v>
      </c>
      <c r="H1220" s="14">
        <v>12</v>
      </c>
      <c r="I1220" s="8" t="s">
        <v>120</v>
      </c>
      <c r="J1220" s="8" t="s">
        <v>38</v>
      </c>
      <c r="K1220">
        <v>49.125</v>
      </c>
      <c r="L1220">
        <v>67.1875</v>
      </c>
      <c r="M1220" s="14">
        <v>3.625</v>
      </c>
      <c r="N1220" s="14">
        <v>1</v>
      </c>
      <c r="R1220" t="str">
        <f t="shared" si="61"/>
        <v xml:space="preserve">XX8X_PV_1877:    Front abuts stile:FALSE       Back abuts stile:TRUE          Panel Section: TOP           Stile in the back Width: 12           Cutout A: B-386          Cutout B:      F.C.:3.625 in.         C.C.:1 in.   </v>
      </c>
      <c r="S1220" t="str">
        <f t="shared" si="62"/>
        <v>FALSE</v>
      </c>
      <c r="T1220" t="str">
        <f t="shared" si="63"/>
        <v>TRUE</v>
      </c>
    </row>
    <row r="1221" spans="1:20">
      <c r="A1221" t="s">
        <v>1381</v>
      </c>
      <c r="B1221" s="14" t="s">
        <v>144</v>
      </c>
      <c r="C1221" s="14" t="s">
        <v>156</v>
      </c>
      <c r="D1221" s="14">
        <v>0</v>
      </c>
      <c r="E1221" s="14"/>
      <c r="F1221" s="14">
        <v>1</v>
      </c>
      <c r="G1221" s="14">
        <v>0</v>
      </c>
      <c r="H1221" s="14">
        <v>24</v>
      </c>
      <c r="I1221" s="8" t="s">
        <v>149</v>
      </c>
      <c r="J1221" s="8" t="s">
        <v>38</v>
      </c>
      <c r="K1221">
        <v>44</v>
      </c>
      <c r="L1221">
        <v>46.375</v>
      </c>
      <c r="M1221" s="14">
        <v>4.625</v>
      </c>
      <c r="N1221" s="14">
        <v>1.3125</v>
      </c>
      <c r="R1221" t="str">
        <f t="shared" si="61"/>
        <v xml:space="preserve">XX8X_PV_1878:    Front abuts stile:FALSE       Back abuts stile:TRUE          Panel Section: TOP           Stile in the back Width: 24           Cutout A: B-34715          Cutout B:      F.C.:4.625 in.         C.C.:1.3125 in.   </v>
      </c>
      <c r="S1221" t="str">
        <f t="shared" si="62"/>
        <v>FALSE</v>
      </c>
      <c r="T1221" t="str">
        <f t="shared" si="63"/>
        <v>TRUE</v>
      </c>
    </row>
    <row r="1222" spans="1:20">
      <c r="A1222" t="s">
        <v>1382</v>
      </c>
      <c r="B1222" s="14" t="s">
        <v>144</v>
      </c>
      <c r="C1222" s="14" t="s">
        <v>156</v>
      </c>
      <c r="D1222" s="14">
        <v>0</v>
      </c>
      <c r="E1222" s="14"/>
      <c r="F1222" s="14">
        <v>1</v>
      </c>
      <c r="G1222" s="14">
        <v>0</v>
      </c>
      <c r="H1222" s="14"/>
      <c r="I1222" s="8" t="s">
        <v>38</v>
      </c>
      <c r="J1222" s="8" t="s">
        <v>38</v>
      </c>
      <c r="K1222">
        <v>33.4375</v>
      </c>
      <c r="L1222">
        <v>53.75</v>
      </c>
      <c r="M1222" s="14">
        <v>1</v>
      </c>
      <c r="N1222" s="14">
        <v>6.9375</v>
      </c>
      <c r="R1222" t="str">
        <f t="shared" si="61"/>
        <v xml:space="preserve">XX8X_PV_1879:    Front abuts stile:FALSE       Back abuts stile:TRUE          Panel Section: TOP           Stile in the back Width:            Cutout A:           Cutout B:      F.C.:1 in.         C.C.:6.9375 in.   </v>
      </c>
      <c r="S1222" t="str">
        <f t="shared" si="62"/>
        <v>FALSE</v>
      </c>
      <c r="T1222" t="str">
        <f t="shared" si="63"/>
        <v>TRUE</v>
      </c>
    </row>
    <row r="1223" spans="1:20">
      <c r="A1223" t="s">
        <v>1383</v>
      </c>
      <c r="B1223" s="14" t="s">
        <v>144</v>
      </c>
      <c r="C1223" s="14" t="s">
        <v>156</v>
      </c>
      <c r="D1223" s="14">
        <v>0</v>
      </c>
      <c r="E1223" s="14"/>
      <c r="F1223" s="14">
        <v>1</v>
      </c>
      <c r="G1223" s="14">
        <v>1</v>
      </c>
      <c r="H1223" s="14"/>
      <c r="I1223" s="8" t="s">
        <v>38</v>
      </c>
      <c r="J1223" s="8" t="s">
        <v>38</v>
      </c>
      <c r="K1223">
        <v>19.6875</v>
      </c>
      <c r="L1223">
        <v>61.6875</v>
      </c>
      <c r="M1223" s="14">
        <v>9</v>
      </c>
      <c r="N1223" s="14">
        <v>1</v>
      </c>
      <c r="R1223" t="str">
        <f t="shared" si="61"/>
        <v xml:space="preserve">XX8X_PV_1880:    Front abuts stile:FALSE       Back abuts stile:TRUE          Panel Section: TOP           Stile in the back Width:            Cutout A:           Cutout B:      F.C.:9 in.         C.C.:1 in.   </v>
      </c>
      <c r="S1223" t="str">
        <f t="shared" si="62"/>
        <v>FALSE</v>
      </c>
      <c r="T1223" t="str">
        <f t="shared" si="63"/>
        <v>TRUE</v>
      </c>
    </row>
    <row r="1224" spans="1:20">
      <c r="A1224" t="s">
        <v>1384</v>
      </c>
      <c r="B1224" s="14" t="s">
        <v>144</v>
      </c>
      <c r="C1224" s="14" t="s">
        <v>156</v>
      </c>
      <c r="D1224" s="14">
        <v>1</v>
      </c>
      <c r="E1224" s="14">
        <v>0</v>
      </c>
      <c r="F1224" s="14">
        <v>0</v>
      </c>
      <c r="G1224" s="14"/>
      <c r="H1224" s="14"/>
      <c r="I1224" s="8" t="s">
        <v>145</v>
      </c>
      <c r="J1224" s="8" t="s">
        <v>38</v>
      </c>
      <c r="K1224">
        <v>34.0625</v>
      </c>
      <c r="L1224">
        <v>72.25</v>
      </c>
      <c r="M1224" s="14">
        <v>7.75</v>
      </c>
      <c r="N1224" s="14" t="s">
        <v>38</v>
      </c>
      <c r="R1224" t="str">
        <f t="shared" si="61"/>
        <v xml:space="preserve">XX8X_PV_1881:    Front abuts stile:TRUE       Back abuts stile:FALSE          Panel Section: TOP           Stile in the back Width:            Cutout A: B-347          Cutout B:      F.C.:7.75 in.         C.C.: in.   </v>
      </c>
      <c r="S1224" t="str">
        <f t="shared" si="62"/>
        <v>TRUE</v>
      </c>
      <c r="T1224" t="str">
        <f t="shared" si="63"/>
        <v>FALSE</v>
      </c>
    </row>
    <row r="1225" spans="1:20">
      <c r="A1225" t="s">
        <v>1385</v>
      </c>
      <c r="B1225" s="14" t="s">
        <v>144</v>
      </c>
      <c r="C1225" s="14" t="s">
        <v>156</v>
      </c>
      <c r="D1225" s="14">
        <v>1</v>
      </c>
      <c r="E1225" s="14">
        <v>0</v>
      </c>
      <c r="F1225" s="14">
        <v>1</v>
      </c>
      <c r="G1225" s="14">
        <v>0</v>
      </c>
      <c r="H1225" s="14">
        <v>12</v>
      </c>
      <c r="I1225" s="8" t="s">
        <v>38</v>
      </c>
      <c r="J1225" s="8" t="s">
        <v>38</v>
      </c>
      <c r="K1225">
        <v>40.875</v>
      </c>
      <c r="L1225">
        <v>33.5625</v>
      </c>
      <c r="M1225" s="14">
        <v>4.9375</v>
      </c>
      <c r="N1225" s="14">
        <v>1.8125</v>
      </c>
      <c r="R1225" t="str">
        <f t="shared" si="61"/>
        <v xml:space="preserve">XX8X_PV_1882:    Front abuts stile:TRUE       Back abuts stile:TRUE          Panel Section: TOP           Stile in the back Width: 12           Cutout A:           Cutout B:      F.C.:4.9375 in.         C.C.:1.8125 in.   </v>
      </c>
      <c r="S1225" t="str">
        <f t="shared" si="62"/>
        <v>TRUE</v>
      </c>
      <c r="T1225" t="str">
        <f t="shared" si="63"/>
        <v>TRUE</v>
      </c>
    </row>
    <row r="1226" spans="1:20">
      <c r="A1226" t="s">
        <v>1386</v>
      </c>
      <c r="B1226" s="14" t="s">
        <v>144</v>
      </c>
      <c r="C1226" s="14" t="s">
        <v>156</v>
      </c>
      <c r="D1226" s="14">
        <v>1</v>
      </c>
      <c r="E1226" s="14">
        <v>0</v>
      </c>
      <c r="F1226" s="14">
        <v>1</v>
      </c>
      <c r="G1226" s="14">
        <v>0</v>
      </c>
      <c r="H1226" s="14">
        <v>24</v>
      </c>
      <c r="I1226" s="8" t="s">
        <v>119</v>
      </c>
      <c r="J1226" s="8" t="s">
        <v>38</v>
      </c>
      <c r="K1226">
        <v>37.125</v>
      </c>
      <c r="L1226">
        <v>73.25</v>
      </c>
      <c r="M1226" s="14">
        <v>1</v>
      </c>
      <c r="N1226" s="14">
        <v>4.9375</v>
      </c>
      <c r="R1226" t="str">
        <f t="shared" si="61"/>
        <v xml:space="preserve">XX8X_PV_1883:    Front abuts stile:TRUE       Back abuts stile:TRUE          Panel Section: TOP           Stile in the back Width: 24           Cutout A: B-354          Cutout B:      F.C.:1 in.         C.C.:4.9375 in.   </v>
      </c>
      <c r="S1226" t="str">
        <f t="shared" si="62"/>
        <v>TRUE</v>
      </c>
      <c r="T1226" t="str">
        <f t="shared" si="63"/>
        <v>TRUE</v>
      </c>
    </row>
    <row r="1227" spans="1:20">
      <c r="A1227" t="s">
        <v>1387</v>
      </c>
      <c r="B1227" s="14" t="s">
        <v>144</v>
      </c>
      <c r="C1227" s="14" t="s">
        <v>156</v>
      </c>
      <c r="D1227" s="14">
        <v>1</v>
      </c>
      <c r="E1227" s="14">
        <v>0</v>
      </c>
      <c r="F1227" s="14">
        <v>1</v>
      </c>
      <c r="G1227" s="14">
        <v>0</v>
      </c>
      <c r="H1227" s="14"/>
      <c r="I1227" s="8" t="s">
        <v>38</v>
      </c>
      <c r="J1227" s="8" t="s">
        <v>38</v>
      </c>
      <c r="K1227">
        <v>17.875</v>
      </c>
      <c r="L1227">
        <v>78.375</v>
      </c>
      <c r="M1227" s="14">
        <v>4.5</v>
      </c>
      <c r="N1227" s="14">
        <v>1.125</v>
      </c>
      <c r="R1227" t="str">
        <f t="shared" si="61"/>
        <v xml:space="preserve">XX8X_PV_1884:    Front abuts stile:TRUE       Back abuts stile:TRUE          Panel Section: TOP           Stile in the back Width:            Cutout A:           Cutout B:      F.C.:4.5 in.         C.C.:1.125 in.   </v>
      </c>
      <c r="S1227" t="str">
        <f t="shared" si="62"/>
        <v>TRUE</v>
      </c>
      <c r="T1227" t="str">
        <f t="shared" si="63"/>
        <v>TRUE</v>
      </c>
    </row>
    <row r="1228" spans="1:20">
      <c r="A1228" t="s">
        <v>1388</v>
      </c>
      <c r="B1228" s="14" t="s">
        <v>144</v>
      </c>
      <c r="C1228" s="14" t="s">
        <v>156</v>
      </c>
      <c r="D1228" s="14">
        <v>1</v>
      </c>
      <c r="E1228" s="14">
        <v>0</v>
      </c>
      <c r="F1228" s="14">
        <v>1</v>
      </c>
      <c r="G1228" s="14">
        <v>1</v>
      </c>
      <c r="H1228" s="14"/>
      <c r="I1228" s="8" t="s">
        <v>38</v>
      </c>
      <c r="J1228" s="8" t="s">
        <v>38</v>
      </c>
      <c r="K1228">
        <v>30</v>
      </c>
      <c r="L1228">
        <v>40.8125</v>
      </c>
      <c r="M1228" s="14">
        <v>4.5</v>
      </c>
      <c r="N1228" s="14">
        <v>7</v>
      </c>
      <c r="R1228" t="str">
        <f t="shared" si="61"/>
        <v xml:space="preserve">XX8X_PV_1885:    Front abuts stile:TRUE       Back abuts stile:TRUE          Panel Section: TOP           Stile in the back Width:            Cutout A:           Cutout B:      F.C.:4.5 in.         C.C.:7 in.   </v>
      </c>
      <c r="S1228" t="str">
        <f t="shared" si="62"/>
        <v>TRUE</v>
      </c>
      <c r="T1228" t="str">
        <f t="shared" si="63"/>
        <v>TRUE</v>
      </c>
    </row>
    <row r="1229" spans="1:20">
      <c r="A1229" t="s">
        <v>1389</v>
      </c>
      <c r="B1229" s="14" t="s">
        <v>144</v>
      </c>
      <c r="C1229" s="14" t="s">
        <v>156</v>
      </c>
      <c r="D1229" s="14">
        <v>1</v>
      </c>
      <c r="E1229" s="14">
        <v>1</v>
      </c>
      <c r="F1229" s="14">
        <v>0</v>
      </c>
      <c r="G1229" s="14"/>
      <c r="H1229" s="14"/>
      <c r="I1229" s="8" t="s">
        <v>38</v>
      </c>
      <c r="J1229" s="8" t="s">
        <v>38</v>
      </c>
      <c r="K1229">
        <v>41.375</v>
      </c>
      <c r="L1229">
        <v>34.3125</v>
      </c>
      <c r="M1229" s="14">
        <v>4.5</v>
      </c>
      <c r="N1229" s="14">
        <v>5.1875</v>
      </c>
      <c r="R1229" t="str">
        <f t="shared" si="61"/>
        <v xml:space="preserve">XX8X_PV_1886:    Front abuts stile:TRUE       Back abuts stile:FALSE          Panel Section: TOP           Stile in the back Width:            Cutout A:           Cutout B:      F.C.:4.5 in.         C.C.:5.1875 in.   </v>
      </c>
      <c r="S1229" t="str">
        <f t="shared" si="62"/>
        <v>TRUE</v>
      </c>
      <c r="T1229" t="str">
        <f t="shared" si="63"/>
        <v>FALSE</v>
      </c>
    </row>
    <row r="1230" spans="1:20">
      <c r="A1230" t="s">
        <v>1390</v>
      </c>
      <c r="B1230" s="14" t="s">
        <v>144</v>
      </c>
      <c r="C1230" s="14" t="s">
        <v>156</v>
      </c>
      <c r="D1230" s="14">
        <v>1</v>
      </c>
      <c r="E1230" s="14">
        <v>1</v>
      </c>
      <c r="F1230" s="14">
        <v>1</v>
      </c>
      <c r="G1230" s="14">
        <v>0</v>
      </c>
      <c r="H1230" s="14">
        <v>12</v>
      </c>
      <c r="I1230" s="8" t="s">
        <v>35</v>
      </c>
      <c r="J1230" s="8" t="s">
        <v>38</v>
      </c>
      <c r="K1230">
        <v>38.875</v>
      </c>
      <c r="L1230">
        <v>64.9375</v>
      </c>
      <c r="M1230" s="14">
        <v>12</v>
      </c>
      <c r="N1230" s="14">
        <v>1</v>
      </c>
      <c r="R1230" t="str">
        <f t="shared" si="61"/>
        <v xml:space="preserve">XX8X_PV_1887:    Front abuts stile:TRUE       Back abuts stile:TRUE          Panel Section: TOP           Stile in the back Width: 12           Cutout A: B-357          Cutout B:      F.C.:12 in.         C.C.:1 in.   </v>
      </c>
      <c r="S1230" t="str">
        <f t="shared" si="62"/>
        <v>TRUE</v>
      </c>
      <c r="T1230" t="str">
        <f t="shared" si="63"/>
        <v>TRUE</v>
      </c>
    </row>
    <row r="1231" spans="1:20">
      <c r="A1231" t="s">
        <v>1391</v>
      </c>
      <c r="B1231" s="14" t="s">
        <v>144</v>
      </c>
      <c r="C1231" s="14" t="s">
        <v>156</v>
      </c>
      <c r="D1231" s="14">
        <v>1</v>
      </c>
      <c r="E1231" s="14">
        <v>1</v>
      </c>
      <c r="F1231" s="14">
        <v>1</v>
      </c>
      <c r="G1231" s="14">
        <v>0</v>
      </c>
      <c r="H1231" s="14">
        <v>24</v>
      </c>
      <c r="I1231" s="8" t="s">
        <v>120</v>
      </c>
      <c r="J1231" s="8" t="s">
        <v>38</v>
      </c>
      <c r="K1231">
        <v>19.4375</v>
      </c>
      <c r="L1231">
        <v>45.125</v>
      </c>
      <c r="M1231" s="14">
        <v>3.5</v>
      </c>
      <c r="N1231" s="14" t="s">
        <v>38</v>
      </c>
      <c r="R1231" t="str">
        <f t="shared" si="61"/>
        <v xml:space="preserve">XX8X_PV_1888:    Front abuts stile:TRUE       Back abuts stile:TRUE          Panel Section: TOP           Stile in the back Width: 24           Cutout A: B-386          Cutout B:      F.C.:3.5 in.         C.C.: in.   </v>
      </c>
      <c r="S1231" t="str">
        <f t="shared" si="62"/>
        <v>TRUE</v>
      </c>
      <c r="T1231" t="str">
        <f t="shared" si="63"/>
        <v>TRUE</v>
      </c>
    </row>
    <row r="1232" spans="1:20">
      <c r="A1232" t="s">
        <v>1392</v>
      </c>
      <c r="B1232" s="14" t="s">
        <v>144</v>
      </c>
      <c r="C1232" s="14" t="s">
        <v>156</v>
      </c>
      <c r="D1232" s="14">
        <v>1</v>
      </c>
      <c r="E1232" s="14">
        <v>1</v>
      </c>
      <c r="F1232" s="14">
        <v>1</v>
      </c>
      <c r="G1232" s="14">
        <v>0</v>
      </c>
      <c r="H1232" s="14"/>
      <c r="I1232" s="8" t="s">
        <v>38</v>
      </c>
      <c r="J1232" s="8" t="s">
        <v>38</v>
      </c>
      <c r="K1232">
        <v>6.25</v>
      </c>
      <c r="L1232">
        <v>75.375</v>
      </c>
      <c r="M1232" s="14">
        <v>1</v>
      </c>
      <c r="N1232" s="14" t="s">
        <v>38</v>
      </c>
      <c r="R1232" t="str">
        <f t="shared" si="61"/>
        <v xml:space="preserve">XX8X_PV_1889:    Front abuts stile:TRUE       Back abuts stile:TRUE          Panel Section: TOP           Stile in the back Width:            Cutout A:           Cutout B:      F.C.:1 in.         C.C.: in.   </v>
      </c>
      <c r="S1232" t="str">
        <f t="shared" si="62"/>
        <v>TRUE</v>
      </c>
      <c r="T1232" t="str">
        <f t="shared" si="63"/>
        <v>TRUE</v>
      </c>
    </row>
    <row r="1233" spans="1:20">
      <c r="A1233" t="s">
        <v>1393</v>
      </c>
      <c r="B1233" s="14" t="s">
        <v>144</v>
      </c>
      <c r="C1233" s="14" t="s">
        <v>156</v>
      </c>
      <c r="D1233" s="14">
        <v>1</v>
      </c>
      <c r="E1233" s="14">
        <v>1</v>
      </c>
      <c r="F1233" s="14">
        <v>1</v>
      </c>
      <c r="G1233" s="14">
        <v>1</v>
      </c>
      <c r="H1233" s="14"/>
      <c r="I1233" s="8" t="s">
        <v>38</v>
      </c>
      <c r="J1233" s="8" t="s">
        <v>38</v>
      </c>
      <c r="K1233">
        <v>22.9375</v>
      </c>
      <c r="L1233">
        <v>54.3125</v>
      </c>
      <c r="M1233" s="14">
        <v>9</v>
      </c>
      <c r="N1233" s="14">
        <v>1</v>
      </c>
      <c r="R1233" t="str">
        <f t="shared" si="61"/>
        <v xml:space="preserve">XX8X_PV_1890:    Front abuts stile:TRUE       Back abuts stile:TRUE          Panel Section: TOP           Stile in the back Width:            Cutout A:           Cutout B:      F.C.:9 in.         C.C.:1 in.   </v>
      </c>
      <c r="S1233" t="str">
        <f t="shared" si="62"/>
        <v>TRUE</v>
      </c>
      <c r="T1233" t="str">
        <f t="shared" si="63"/>
        <v>TRUE</v>
      </c>
    </row>
    <row r="1234" spans="1:20">
      <c r="A1234" t="s">
        <v>1394</v>
      </c>
      <c r="B1234" s="14" t="s">
        <v>144</v>
      </c>
      <c r="C1234" s="14" t="s">
        <v>157</v>
      </c>
      <c r="D1234" s="14">
        <v>0</v>
      </c>
      <c r="E1234" s="14"/>
      <c r="F1234" s="14">
        <v>0</v>
      </c>
      <c r="G1234" s="14"/>
      <c r="H1234" s="14"/>
      <c r="I1234" s="8" t="s">
        <v>119</v>
      </c>
      <c r="J1234" s="8" t="s">
        <v>38</v>
      </c>
      <c r="K1234">
        <v>60</v>
      </c>
      <c r="L1234">
        <v>64.75</v>
      </c>
      <c r="M1234" s="14">
        <v>3.625</v>
      </c>
      <c r="N1234" s="14">
        <v>4.25</v>
      </c>
      <c r="R1234" t="str">
        <f t="shared" si="61"/>
        <v xml:space="preserve">XX8X_PV_1891:    Front abuts stile:FALSE       Back abuts stile:FALSE          Panel Section: BOTTOM           Stile in the back Width:            Cutout A: B-354          Cutout B:      F.C.:3.625 in.         C.C.:4.25 in.   </v>
      </c>
      <c r="S1234" t="str">
        <f t="shared" si="62"/>
        <v>FALSE</v>
      </c>
      <c r="T1234" t="str">
        <f t="shared" si="63"/>
        <v>FALSE</v>
      </c>
    </row>
    <row r="1235" spans="1:20">
      <c r="A1235" t="s">
        <v>1395</v>
      </c>
      <c r="B1235" s="14" t="s">
        <v>144</v>
      </c>
      <c r="C1235" s="14" t="s">
        <v>157</v>
      </c>
      <c r="D1235" s="14">
        <v>0</v>
      </c>
      <c r="E1235" s="14"/>
      <c r="F1235" s="14">
        <v>1</v>
      </c>
      <c r="G1235" s="14">
        <v>0</v>
      </c>
      <c r="H1235" s="14">
        <v>12</v>
      </c>
      <c r="I1235" s="8" t="s">
        <v>38</v>
      </c>
      <c r="J1235" s="8" t="s">
        <v>38</v>
      </c>
      <c r="K1235">
        <v>60</v>
      </c>
      <c r="L1235">
        <v>14.625</v>
      </c>
      <c r="M1235" s="14">
        <v>9</v>
      </c>
      <c r="N1235" s="14">
        <v>1</v>
      </c>
      <c r="R1235" t="str">
        <f t="shared" si="61"/>
        <v xml:space="preserve">XX8X_PV_1892:    Front abuts stile:FALSE       Back abuts stile:TRUE          Panel Section: BOTTOM           Stile in the back Width: 12           Cutout A:           Cutout B:      F.C.:9 in.         C.C.:1 in.   </v>
      </c>
      <c r="S1235" t="str">
        <f t="shared" si="62"/>
        <v>FALSE</v>
      </c>
      <c r="T1235" t="str">
        <f t="shared" si="63"/>
        <v>TRUE</v>
      </c>
    </row>
    <row r="1236" spans="1:20">
      <c r="A1236" t="s">
        <v>1396</v>
      </c>
      <c r="B1236" s="14" t="s">
        <v>144</v>
      </c>
      <c r="C1236" s="14" t="s">
        <v>157</v>
      </c>
      <c r="D1236" s="14">
        <v>0</v>
      </c>
      <c r="E1236" s="14"/>
      <c r="F1236" s="14">
        <v>1</v>
      </c>
      <c r="G1236" s="14">
        <v>0</v>
      </c>
      <c r="H1236" s="14">
        <v>24</v>
      </c>
      <c r="I1236" s="8" t="s">
        <v>148</v>
      </c>
      <c r="J1236" s="8" t="s">
        <v>38</v>
      </c>
      <c r="K1236">
        <v>60</v>
      </c>
      <c r="L1236">
        <v>62.8125</v>
      </c>
      <c r="M1236" s="14">
        <v>4.5</v>
      </c>
      <c r="N1236" s="14">
        <v>1</v>
      </c>
      <c r="R1236" t="str">
        <f t="shared" si="61"/>
        <v xml:space="preserve">XX8X_PV_1893:    Front abuts stile:FALSE       Back abuts stile:TRUE          Panel Section: BOTTOM           Stile in the back Width: 24           Cutout A: B-3471          Cutout B:      F.C.:4.5 in.         C.C.:1 in.   </v>
      </c>
      <c r="S1236" t="str">
        <f t="shared" si="62"/>
        <v>FALSE</v>
      </c>
      <c r="T1236" t="str">
        <f t="shared" si="63"/>
        <v>TRUE</v>
      </c>
    </row>
    <row r="1237" spans="1:20">
      <c r="A1237" t="s">
        <v>1397</v>
      </c>
      <c r="B1237" s="14" t="s">
        <v>144</v>
      </c>
      <c r="C1237" s="14" t="s">
        <v>157</v>
      </c>
      <c r="D1237" s="14">
        <v>0</v>
      </c>
      <c r="E1237" s="14"/>
      <c r="F1237" s="14">
        <v>1</v>
      </c>
      <c r="G1237" s="14">
        <v>0</v>
      </c>
      <c r="H1237" s="14"/>
      <c r="I1237" s="8" t="s">
        <v>38</v>
      </c>
      <c r="J1237" s="8" t="s">
        <v>38</v>
      </c>
      <c r="K1237">
        <v>60</v>
      </c>
      <c r="L1237">
        <v>66.6875</v>
      </c>
      <c r="M1237" s="14">
        <v>3</v>
      </c>
      <c r="N1237" s="14">
        <v>5.9375</v>
      </c>
      <c r="R1237" t="str">
        <f t="shared" si="61"/>
        <v xml:space="preserve">XX8X_PV_1894:    Front abuts stile:FALSE       Back abuts stile:TRUE          Panel Section: BOTTOM           Stile in the back Width:            Cutout A:           Cutout B:      F.C.:3 in.         C.C.:5.9375 in.   </v>
      </c>
      <c r="S1237" t="str">
        <f t="shared" si="62"/>
        <v>FALSE</v>
      </c>
      <c r="T1237" t="str">
        <f t="shared" si="63"/>
        <v>TRUE</v>
      </c>
    </row>
    <row r="1238" spans="1:20">
      <c r="A1238" t="s">
        <v>1398</v>
      </c>
      <c r="B1238" s="14" t="s">
        <v>144</v>
      </c>
      <c r="C1238" s="14" t="s">
        <v>157</v>
      </c>
      <c r="D1238" s="14">
        <v>0</v>
      </c>
      <c r="E1238" s="14"/>
      <c r="F1238" s="14">
        <v>1</v>
      </c>
      <c r="G1238" s="14">
        <v>1</v>
      </c>
      <c r="H1238" s="14"/>
      <c r="I1238" s="8" t="s">
        <v>38</v>
      </c>
      <c r="J1238" s="8" t="s">
        <v>38</v>
      </c>
      <c r="K1238">
        <v>60</v>
      </c>
      <c r="L1238">
        <v>59.5</v>
      </c>
      <c r="M1238" s="14">
        <v>10.9375</v>
      </c>
      <c r="N1238" s="14">
        <v>2.4375</v>
      </c>
      <c r="R1238" t="str">
        <f t="shared" si="61"/>
        <v xml:space="preserve">XX8X_PV_1895:    Front abuts stile:FALSE       Back abuts stile:TRUE          Panel Section: BOTTOM           Stile in the back Width:            Cutout A:           Cutout B:      F.C.:10.9375 in.         C.C.:2.4375 in.   </v>
      </c>
      <c r="S1238" t="str">
        <f t="shared" si="62"/>
        <v>FALSE</v>
      </c>
      <c r="T1238" t="str">
        <f t="shared" si="63"/>
        <v>TRUE</v>
      </c>
    </row>
    <row r="1239" spans="1:20">
      <c r="A1239" t="s">
        <v>1399</v>
      </c>
      <c r="B1239" s="14" t="s">
        <v>144</v>
      </c>
      <c r="C1239" s="14" t="s">
        <v>157</v>
      </c>
      <c r="D1239" s="14">
        <v>1</v>
      </c>
      <c r="E1239" s="14">
        <v>0</v>
      </c>
      <c r="F1239" s="14">
        <v>0</v>
      </c>
      <c r="G1239" s="14"/>
      <c r="H1239" s="14"/>
      <c r="I1239" s="8" t="s">
        <v>38</v>
      </c>
      <c r="J1239" s="8" t="s">
        <v>38</v>
      </c>
      <c r="K1239">
        <v>60</v>
      </c>
      <c r="L1239">
        <v>57.375</v>
      </c>
      <c r="M1239" s="14">
        <v>9</v>
      </c>
      <c r="N1239" s="14">
        <v>2.625</v>
      </c>
      <c r="R1239" t="str">
        <f t="shared" si="61"/>
        <v xml:space="preserve">XX8X_PV_1896:    Front abuts stile:TRUE       Back abuts stile:FALSE          Panel Section: BOTTOM           Stile in the back Width:            Cutout A:           Cutout B:      F.C.:9 in.         C.C.:2.625 in.   </v>
      </c>
      <c r="S1239" t="str">
        <f t="shared" si="62"/>
        <v>TRUE</v>
      </c>
      <c r="T1239" t="str">
        <f t="shared" si="63"/>
        <v>FALSE</v>
      </c>
    </row>
    <row r="1240" spans="1:20">
      <c r="A1240" t="s">
        <v>1400</v>
      </c>
      <c r="B1240" s="14" t="s">
        <v>144</v>
      </c>
      <c r="C1240" s="14" t="s">
        <v>157</v>
      </c>
      <c r="D1240" s="14">
        <v>1</v>
      </c>
      <c r="E1240" s="14">
        <v>0</v>
      </c>
      <c r="F1240" s="14">
        <v>1</v>
      </c>
      <c r="G1240" s="14">
        <v>0</v>
      </c>
      <c r="H1240" s="14">
        <v>12</v>
      </c>
      <c r="I1240" s="8" t="s">
        <v>121</v>
      </c>
      <c r="J1240" s="8" t="s">
        <v>38</v>
      </c>
      <c r="K1240">
        <v>60</v>
      </c>
      <c r="L1240">
        <v>47.875</v>
      </c>
      <c r="M1240" s="14">
        <v>9</v>
      </c>
      <c r="N1240" s="14" t="s">
        <v>38</v>
      </c>
      <c r="R1240" t="str">
        <f t="shared" si="61"/>
        <v xml:space="preserve">XX8X_PV_1897:    Front abuts stile:TRUE       Back abuts stile:TRUE          Panel Section: BOTTOM           Stile in the back Width: 12           Cutout A: B-4354          Cutout B:      F.C.:9 in.         C.C.: in.   </v>
      </c>
      <c r="S1240" t="str">
        <f t="shared" si="62"/>
        <v>TRUE</v>
      </c>
      <c r="T1240" t="str">
        <f t="shared" si="63"/>
        <v>TRUE</v>
      </c>
    </row>
    <row r="1241" spans="1:20">
      <c r="A1241" t="s">
        <v>1401</v>
      </c>
      <c r="B1241" s="14" t="s">
        <v>144</v>
      </c>
      <c r="C1241" s="14" t="s">
        <v>157</v>
      </c>
      <c r="D1241" s="14">
        <v>1</v>
      </c>
      <c r="E1241" s="14">
        <v>0</v>
      </c>
      <c r="F1241" s="14">
        <v>1</v>
      </c>
      <c r="G1241" s="14">
        <v>0</v>
      </c>
      <c r="H1241" s="14">
        <v>24</v>
      </c>
      <c r="I1241" s="8" t="s">
        <v>38</v>
      </c>
      <c r="J1241" s="8" t="s">
        <v>38</v>
      </c>
      <c r="K1241">
        <v>60</v>
      </c>
      <c r="L1241">
        <v>70.25</v>
      </c>
      <c r="M1241" s="14">
        <v>12</v>
      </c>
      <c r="N1241" s="14" t="s">
        <v>38</v>
      </c>
      <c r="R1241" t="str">
        <f t="shared" si="61"/>
        <v xml:space="preserve">XX8X_PV_1898:    Front abuts stile:TRUE       Back abuts stile:TRUE          Panel Section: BOTTOM           Stile in the back Width: 24           Cutout A:           Cutout B:      F.C.:12 in.         C.C.: in.   </v>
      </c>
      <c r="S1241" t="str">
        <f t="shared" si="62"/>
        <v>TRUE</v>
      </c>
      <c r="T1241" t="str">
        <f t="shared" si="63"/>
        <v>TRUE</v>
      </c>
    </row>
    <row r="1242" spans="1:20">
      <c r="A1242" t="s">
        <v>1402</v>
      </c>
      <c r="B1242" s="14" t="s">
        <v>144</v>
      </c>
      <c r="C1242" s="14" t="s">
        <v>157</v>
      </c>
      <c r="D1242" s="14">
        <v>1</v>
      </c>
      <c r="E1242" s="14">
        <v>0</v>
      </c>
      <c r="F1242" s="14">
        <v>1</v>
      </c>
      <c r="G1242" s="14">
        <v>0</v>
      </c>
      <c r="H1242" s="14"/>
      <c r="I1242" s="8" t="s">
        <v>38</v>
      </c>
      <c r="J1242" s="8" t="s">
        <v>38</v>
      </c>
      <c r="K1242">
        <v>60</v>
      </c>
      <c r="L1242">
        <v>31.8125</v>
      </c>
      <c r="M1242" s="14">
        <v>9</v>
      </c>
      <c r="N1242" s="14">
        <v>1</v>
      </c>
      <c r="R1242" t="str">
        <f t="shared" si="61"/>
        <v xml:space="preserve">XX8X_PV_1899:    Front abuts stile:TRUE       Back abuts stile:TRUE          Panel Section: BOTTOM           Stile in the back Width:            Cutout A:           Cutout B:      F.C.:9 in.         C.C.:1 in.   </v>
      </c>
      <c r="S1242" t="str">
        <f t="shared" si="62"/>
        <v>TRUE</v>
      </c>
      <c r="T1242" t="str">
        <f t="shared" si="63"/>
        <v>TRUE</v>
      </c>
    </row>
    <row r="1243" spans="1:20">
      <c r="A1243" t="s">
        <v>1403</v>
      </c>
      <c r="B1243" s="14" t="s">
        <v>144</v>
      </c>
      <c r="C1243" s="14" t="s">
        <v>157</v>
      </c>
      <c r="D1243" s="14">
        <v>1</v>
      </c>
      <c r="E1243" s="14">
        <v>0</v>
      </c>
      <c r="F1243" s="14">
        <v>1</v>
      </c>
      <c r="G1243" s="14">
        <v>1</v>
      </c>
      <c r="H1243" s="14"/>
      <c r="I1243" s="8" t="s">
        <v>38</v>
      </c>
      <c r="J1243" s="8" t="s">
        <v>38</v>
      </c>
      <c r="K1243">
        <v>60</v>
      </c>
      <c r="L1243">
        <v>76.6875</v>
      </c>
      <c r="M1243" s="14">
        <v>4</v>
      </c>
      <c r="N1243" s="14">
        <v>5.875</v>
      </c>
      <c r="R1243" t="str">
        <f t="shared" si="61"/>
        <v xml:space="preserve">XX8X_PV_1900:    Front abuts stile:TRUE       Back abuts stile:TRUE          Panel Section: BOTTOM           Stile in the back Width:            Cutout A:           Cutout B:      F.C.:4 in.         C.C.:5.875 in.   </v>
      </c>
      <c r="S1243" t="str">
        <f t="shared" si="62"/>
        <v>TRUE</v>
      </c>
      <c r="T1243" t="str">
        <f t="shared" si="63"/>
        <v>TRUE</v>
      </c>
    </row>
    <row r="1244" spans="1:20">
      <c r="A1244" t="s">
        <v>1404</v>
      </c>
      <c r="B1244" s="14" t="s">
        <v>144</v>
      </c>
      <c r="C1244" s="14" t="s">
        <v>157</v>
      </c>
      <c r="D1244" s="14">
        <v>1</v>
      </c>
      <c r="E1244" s="14">
        <v>1</v>
      </c>
      <c r="F1244" s="14">
        <v>0</v>
      </c>
      <c r="G1244" s="14"/>
      <c r="H1244" s="14"/>
      <c r="I1244" s="8" t="s">
        <v>38</v>
      </c>
      <c r="J1244" s="8" t="s">
        <v>38</v>
      </c>
      <c r="K1244">
        <v>60</v>
      </c>
      <c r="L1244">
        <v>50.375</v>
      </c>
      <c r="M1244" s="14">
        <v>4.5</v>
      </c>
      <c r="N1244" s="14">
        <v>1.8125</v>
      </c>
      <c r="R1244" t="str">
        <f t="shared" si="61"/>
        <v xml:space="preserve">XX8X_PV_1901:    Front abuts stile:TRUE       Back abuts stile:FALSE          Panel Section: BOTTOM           Stile in the back Width:            Cutout A:           Cutout B:      F.C.:4.5 in.         C.C.:1.8125 in.   </v>
      </c>
      <c r="S1244" t="str">
        <f t="shared" si="62"/>
        <v>TRUE</v>
      </c>
      <c r="T1244" t="str">
        <f t="shared" si="63"/>
        <v>FALSE</v>
      </c>
    </row>
    <row r="1245" spans="1:20">
      <c r="A1245" t="s">
        <v>1405</v>
      </c>
      <c r="B1245" s="14" t="s">
        <v>144</v>
      </c>
      <c r="C1245" s="14" t="s">
        <v>157</v>
      </c>
      <c r="D1245" s="14">
        <v>1</v>
      </c>
      <c r="E1245" s="14">
        <v>1</v>
      </c>
      <c r="F1245" s="14">
        <v>1</v>
      </c>
      <c r="G1245" s="14">
        <v>0</v>
      </c>
      <c r="H1245" s="14">
        <v>12</v>
      </c>
      <c r="I1245" s="8" t="s">
        <v>148</v>
      </c>
      <c r="J1245" s="8" t="s">
        <v>38</v>
      </c>
      <c r="K1245">
        <v>60</v>
      </c>
      <c r="L1245">
        <v>65.75</v>
      </c>
      <c r="M1245" s="14">
        <v>12</v>
      </c>
      <c r="N1245" s="14">
        <v>8.4375</v>
      </c>
      <c r="R1245" t="str">
        <f t="shared" si="61"/>
        <v xml:space="preserve">XX8X_PV_1902:    Front abuts stile:TRUE       Back abuts stile:TRUE          Panel Section: BOTTOM           Stile in the back Width: 12           Cutout A: B-3471          Cutout B:      F.C.:12 in.         C.C.:8.4375 in.   </v>
      </c>
      <c r="S1245" t="str">
        <f t="shared" si="62"/>
        <v>TRUE</v>
      </c>
      <c r="T1245" t="str">
        <f t="shared" si="63"/>
        <v>TRUE</v>
      </c>
    </row>
    <row r="1246" spans="1:20">
      <c r="A1246" t="s">
        <v>1406</v>
      </c>
      <c r="B1246" s="14" t="s">
        <v>144</v>
      </c>
      <c r="C1246" s="14" t="s">
        <v>157</v>
      </c>
      <c r="D1246" s="14">
        <v>1</v>
      </c>
      <c r="E1246" s="14">
        <v>1</v>
      </c>
      <c r="F1246" s="14">
        <v>1</v>
      </c>
      <c r="G1246" s="14">
        <v>0</v>
      </c>
      <c r="H1246" s="14">
        <v>24</v>
      </c>
      <c r="I1246" s="8" t="s">
        <v>151</v>
      </c>
      <c r="J1246" s="8" t="s">
        <v>38</v>
      </c>
      <c r="K1246">
        <v>60</v>
      </c>
      <c r="L1246">
        <v>70.0625</v>
      </c>
      <c r="M1246" s="14">
        <v>1</v>
      </c>
      <c r="N1246" s="14">
        <v>7.8125</v>
      </c>
      <c r="R1246" t="str">
        <f t="shared" si="61"/>
        <v xml:space="preserve">XX8X_PV_1903:    Front abuts stile:TRUE       Back abuts stile:TRUE          Panel Section: BOTTOM           Stile in the back Width: 24           Cutout A: B-35715          Cutout B:      F.C.:1 in.         C.C.:7.8125 in.   </v>
      </c>
      <c r="S1246" t="str">
        <f t="shared" si="62"/>
        <v>TRUE</v>
      </c>
      <c r="T1246" t="str">
        <f t="shared" si="63"/>
        <v>TRUE</v>
      </c>
    </row>
    <row r="1247" spans="1:20">
      <c r="A1247" t="s">
        <v>1407</v>
      </c>
      <c r="B1247" s="14" t="s">
        <v>144</v>
      </c>
      <c r="C1247" s="14" t="s">
        <v>157</v>
      </c>
      <c r="D1247" s="14">
        <v>1</v>
      </c>
      <c r="E1247" s="14">
        <v>1</v>
      </c>
      <c r="F1247" s="14">
        <v>1</v>
      </c>
      <c r="G1247" s="14">
        <v>0</v>
      </c>
      <c r="H1247" s="14"/>
      <c r="I1247" s="8" t="s">
        <v>38</v>
      </c>
      <c r="J1247" s="8" t="s">
        <v>38</v>
      </c>
      <c r="K1247">
        <v>60</v>
      </c>
      <c r="L1247">
        <v>39.25</v>
      </c>
      <c r="M1247" s="14">
        <v>12</v>
      </c>
      <c r="N1247" s="14" t="s">
        <v>38</v>
      </c>
      <c r="R1247" t="str">
        <f t="shared" si="61"/>
        <v xml:space="preserve">XX8X_PV_1904:    Front abuts stile:TRUE       Back abuts stile:TRUE          Panel Section: BOTTOM           Stile in the back Width:            Cutout A:           Cutout B:      F.C.:12 in.         C.C.: in.   </v>
      </c>
      <c r="S1247" t="str">
        <f t="shared" si="62"/>
        <v>TRUE</v>
      </c>
      <c r="T1247" t="str">
        <f t="shared" si="63"/>
        <v>TRUE</v>
      </c>
    </row>
    <row r="1248" spans="1:20">
      <c r="A1248" t="s">
        <v>1408</v>
      </c>
      <c r="B1248" s="14" t="s">
        <v>144</v>
      </c>
      <c r="C1248" s="14" t="s">
        <v>157</v>
      </c>
      <c r="D1248" s="14">
        <v>1</v>
      </c>
      <c r="E1248" s="14">
        <v>1</v>
      </c>
      <c r="F1248" s="14">
        <v>1</v>
      </c>
      <c r="G1248" s="14">
        <v>1</v>
      </c>
      <c r="H1248" s="14"/>
      <c r="I1248" s="8" t="s">
        <v>38</v>
      </c>
      <c r="J1248" s="8" t="s">
        <v>38</v>
      </c>
      <c r="K1248">
        <v>60</v>
      </c>
      <c r="L1248">
        <v>5.25</v>
      </c>
      <c r="M1248" s="14">
        <v>7.3125</v>
      </c>
      <c r="N1248" s="14">
        <v>6.4375</v>
      </c>
      <c r="R1248" t="str">
        <f t="shared" si="61"/>
        <v xml:space="preserve">XX8X_PV_1905:    Front abuts stile:TRUE       Back abuts stile:TRUE          Panel Section: BOTTOM           Stile in the back Width:            Cutout A:           Cutout B:      F.C.:7.3125 in.         C.C.:6.4375 in.   </v>
      </c>
      <c r="S1248" t="str">
        <f t="shared" si="62"/>
        <v>TRUE</v>
      </c>
      <c r="T1248" t="str">
        <f t="shared" si="63"/>
        <v>TRUE</v>
      </c>
    </row>
    <row r="1249" spans="1:20">
      <c r="A1249" t="s">
        <v>1409</v>
      </c>
      <c r="B1249" s="14" t="s">
        <v>144</v>
      </c>
      <c r="C1249" s="14" t="s">
        <v>21</v>
      </c>
      <c r="D1249" s="14">
        <v>0</v>
      </c>
      <c r="E1249" s="14"/>
      <c r="F1249" s="14">
        <v>0</v>
      </c>
      <c r="G1249" s="14"/>
      <c r="H1249" s="14"/>
      <c r="I1249" s="8" t="s">
        <v>120</v>
      </c>
      <c r="J1249" s="8" t="s">
        <v>38</v>
      </c>
      <c r="K1249">
        <v>108.875</v>
      </c>
      <c r="L1249">
        <v>41.9375</v>
      </c>
      <c r="M1249" s="14">
        <v>4.25</v>
      </c>
      <c r="N1249" s="14">
        <v>3.4375</v>
      </c>
      <c r="R1249" t="str">
        <f t="shared" si="61"/>
        <v xml:space="preserve">XX8X_PV_1906:    Front abuts stile:FALSE       Back abuts stile:FALSE          Panel Section: WHOLE           Stile in the back Width:            Cutout A: B-386          Cutout B:      F.C.:4.25 in.         C.C.:3.4375 in.   </v>
      </c>
      <c r="S1249" t="str">
        <f t="shared" si="62"/>
        <v>FALSE</v>
      </c>
      <c r="T1249" t="str">
        <f t="shared" si="63"/>
        <v>FALSE</v>
      </c>
    </row>
    <row r="1250" spans="1:20">
      <c r="A1250" t="s">
        <v>1410</v>
      </c>
      <c r="B1250" s="14" t="s">
        <v>144</v>
      </c>
      <c r="C1250" s="14" t="s">
        <v>21</v>
      </c>
      <c r="D1250" s="14">
        <v>0</v>
      </c>
      <c r="E1250" s="14"/>
      <c r="F1250" s="14">
        <v>1</v>
      </c>
      <c r="G1250" s="14">
        <v>0</v>
      </c>
      <c r="H1250" s="14">
        <v>12</v>
      </c>
      <c r="I1250" s="8" t="s">
        <v>150</v>
      </c>
      <c r="J1250" s="8" t="s">
        <v>38</v>
      </c>
      <c r="K1250">
        <v>96</v>
      </c>
      <c r="L1250">
        <v>62.0625</v>
      </c>
      <c r="M1250" s="14">
        <v>4</v>
      </c>
      <c r="N1250" s="14">
        <v>5.1875</v>
      </c>
      <c r="R1250" t="str">
        <f t="shared" si="61"/>
        <v xml:space="preserve">XX8X_PV_1907:    Front abuts stile:FALSE       Back abuts stile:TRUE          Panel Section: WHOLE           Stile in the back Width: 12           Cutout A: B-3571          Cutout B:      F.C.:4 in.         C.C.:5.1875 in.   </v>
      </c>
      <c r="S1250" t="str">
        <f t="shared" si="62"/>
        <v>FALSE</v>
      </c>
      <c r="T1250" t="str">
        <f t="shared" si="63"/>
        <v>TRUE</v>
      </c>
    </row>
    <row r="1251" spans="1:20">
      <c r="A1251" t="s">
        <v>1411</v>
      </c>
      <c r="B1251" s="14" t="s">
        <v>144</v>
      </c>
      <c r="C1251" s="14" t="s">
        <v>21</v>
      </c>
      <c r="D1251" s="14">
        <v>0</v>
      </c>
      <c r="E1251" s="14"/>
      <c r="F1251" s="14">
        <v>1</v>
      </c>
      <c r="G1251" s="14">
        <v>0</v>
      </c>
      <c r="H1251" s="14">
        <v>24</v>
      </c>
      <c r="I1251" s="8" t="s">
        <v>38</v>
      </c>
      <c r="J1251" s="8" t="s">
        <v>38</v>
      </c>
      <c r="K1251">
        <v>37.5</v>
      </c>
      <c r="L1251">
        <v>5.125</v>
      </c>
      <c r="M1251" s="14">
        <v>9</v>
      </c>
      <c r="N1251" s="14">
        <v>1</v>
      </c>
      <c r="R1251" t="str">
        <f t="shared" si="61"/>
        <v xml:space="preserve">XX8X_PV_1908:    Front abuts stile:FALSE       Back abuts stile:TRUE          Panel Section: WHOLE           Stile in the back Width: 24           Cutout A:           Cutout B:      F.C.:9 in.         C.C.:1 in.   </v>
      </c>
      <c r="S1251" t="str">
        <f t="shared" si="62"/>
        <v>FALSE</v>
      </c>
      <c r="T1251" t="str">
        <f t="shared" si="63"/>
        <v>TRUE</v>
      </c>
    </row>
    <row r="1252" spans="1:20">
      <c r="A1252" t="s">
        <v>1412</v>
      </c>
      <c r="B1252" s="14" t="s">
        <v>144</v>
      </c>
      <c r="C1252" s="14" t="s">
        <v>21</v>
      </c>
      <c r="D1252" s="14">
        <v>0</v>
      </c>
      <c r="E1252" s="14"/>
      <c r="F1252" s="14">
        <v>1</v>
      </c>
      <c r="G1252" s="14">
        <v>0</v>
      </c>
      <c r="H1252" s="14"/>
      <c r="I1252" s="8" t="s">
        <v>38</v>
      </c>
      <c r="J1252" s="8" t="s">
        <v>38</v>
      </c>
      <c r="K1252">
        <v>96</v>
      </c>
      <c r="L1252">
        <v>66.9375</v>
      </c>
      <c r="M1252" s="14">
        <v>4.125</v>
      </c>
      <c r="N1252" s="14">
        <v>5.625</v>
      </c>
      <c r="R1252" t="str">
        <f t="shared" si="61"/>
        <v xml:space="preserve">XX8X_PV_1909:    Front abuts stile:FALSE       Back abuts stile:TRUE          Panel Section: WHOLE           Stile in the back Width:            Cutout A:           Cutout B:      F.C.:4.125 in.         C.C.:5.625 in.   </v>
      </c>
      <c r="S1252" t="str">
        <f t="shared" si="62"/>
        <v>FALSE</v>
      </c>
      <c r="T1252" t="str">
        <f t="shared" si="63"/>
        <v>TRUE</v>
      </c>
    </row>
    <row r="1253" spans="1:20">
      <c r="A1253" t="s">
        <v>1413</v>
      </c>
      <c r="B1253" s="14" t="s">
        <v>144</v>
      </c>
      <c r="C1253" s="14" t="s">
        <v>21</v>
      </c>
      <c r="D1253" s="14">
        <v>0</v>
      </c>
      <c r="E1253" s="14"/>
      <c r="F1253" s="14">
        <v>1</v>
      </c>
      <c r="G1253" s="14">
        <v>1</v>
      </c>
      <c r="H1253" s="14"/>
      <c r="I1253" s="8" t="s">
        <v>38</v>
      </c>
      <c r="J1253" s="8" t="s">
        <v>38</v>
      </c>
      <c r="K1253">
        <v>96</v>
      </c>
      <c r="L1253">
        <v>45.5</v>
      </c>
      <c r="M1253" s="14">
        <v>12</v>
      </c>
      <c r="N1253" s="14" t="s">
        <v>38</v>
      </c>
      <c r="R1253" t="str">
        <f t="shared" si="61"/>
        <v xml:space="preserve">XX8X_PV_1910:    Front abuts stile:FALSE       Back abuts stile:TRUE          Panel Section: WHOLE           Stile in the back Width:            Cutout A:           Cutout B:      F.C.:12 in.         C.C.: in.   </v>
      </c>
      <c r="S1253" t="str">
        <f t="shared" si="62"/>
        <v>FALSE</v>
      </c>
      <c r="T1253" t="str">
        <f t="shared" si="63"/>
        <v>TRUE</v>
      </c>
    </row>
    <row r="1254" spans="1:20">
      <c r="A1254" t="s">
        <v>1414</v>
      </c>
      <c r="B1254" s="14" t="s">
        <v>144</v>
      </c>
      <c r="C1254" s="14" t="s">
        <v>21</v>
      </c>
      <c r="D1254" s="14">
        <v>1</v>
      </c>
      <c r="E1254" s="14">
        <v>0</v>
      </c>
      <c r="F1254" s="14">
        <v>0</v>
      </c>
      <c r="G1254" s="14"/>
      <c r="H1254" s="14"/>
      <c r="I1254" s="8" t="s">
        <v>119</v>
      </c>
      <c r="J1254" s="8" t="s">
        <v>38</v>
      </c>
      <c r="K1254">
        <v>74.375</v>
      </c>
      <c r="L1254">
        <v>48.1875</v>
      </c>
      <c r="M1254" s="14">
        <v>1.1875</v>
      </c>
      <c r="N1254" s="14">
        <v>5.1875</v>
      </c>
      <c r="R1254" t="str">
        <f t="shared" si="61"/>
        <v xml:space="preserve">XX8X_PV_1911:    Front abuts stile:TRUE       Back abuts stile:FALSE          Panel Section: WHOLE           Stile in the back Width:            Cutout A: B-354          Cutout B:      F.C.:1.1875 in.         C.C.:5.1875 in.   </v>
      </c>
      <c r="S1254" t="str">
        <f t="shared" si="62"/>
        <v>TRUE</v>
      </c>
      <c r="T1254" t="str">
        <f t="shared" si="63"/>
        <v>FALSE</v>
      </c>
    </row>
    <row r="1255" spans="1:20">
      <c r="A1255" t="s">
        <v>1415</v>
      </c>
      <c r="B1255" s="14" t="s">
        <v>144</v>
      </c>
      <c r="C1255" s="14" t="s">
        <v>21</v>
      </c>
      <c r="D1255" s="14">
        <v>1</v>
      </c>
      <c r="E1255" s="14">
        <v>0</v>
      </c>
      <c r="F1255" s="14">
        <v>1</v>
      </c>
      <c r="G1255" s="14">
        <v>0</v>
      </c>
      <c r="H1255" s="14">
        <v>12</v>
      </c>
      <c r="I1255" s="8" t="s">
        <v>148</v>
      </c>
      <c r="J1255" s="8" t="s">
        <v>38</v>
      </c>
      <c r="K1255">
        <v>84.75</v>
      </c>
      <c r="L1255">
        <v>61</v>
      </c>
      <c r="M1255" s="14">
        <v>7.25</v>
      </c>
      <c r="N1255" s="14">
        <v>6</v>
      </c>
      <c r="R1255" t="str">
        <f t="shared" si="61"/>
        <v xml:space="preserve">XX8X_PV_1912:    Front abuts stile:TRUE       Back abuts stile:TRUE          Panel Section: WHOLE           Stile in the back Width: 12           Cutout A: B-3471          Cutout B:      F.C.:7.25 in.         C.C.:6 in.   </v>
      </c>
      <c r="S1255" t="str">
        <f t="shared" si="62"/>
        <v>TRUE</v>
      </c>
      <c r="T1255" t="str">
        <f t="shared" si="63"/>
        <v>TRUE</v>
      </c>
    </row>
    <row r="1256" spans="1:20">
      <c r="A1256" t="s">
        <v>1416</v>
      </c>
      <c r="B1256" s="14" t="s">
        <v>144</v>
      </c>
      <c r="C1256" s="14" t="s">
        <v>21</v>
      </c>
      <c r="D1256" s="14">
        <v>1</v>
      </c>
      <c r="E1256" s="14">
        <v>0</v>
      </c>
      <c r="F1256" s="14">
        <v>1</v>
      </c>
      <c r="G1256" s="14">
        <v>0</v>
      </c>
      <c r="H1256" s="14">
        <v>24</v>
      </c>
      <c r="I1256" s="8" t="s">
        <v>119</v>
      </c>
      <c r="J1256" s="8" t="s">
        <v>38</v>
      </c>
      <c r="K1256">
        <v>106.875</v>
      </c>
      <c r="L1256">
        <v>46.4375</v>
      </c>
      <c r="M1256" s="14">
        <v>9</v>
      </c>
      <c r="N1256" s="14" t="s">
        <v>38</v>
      </c>
      <c r="R1256" t="str">
        <f t="shared" si="61"/>
        <v xml:space="preserve">XX8X_PV_1913:    Front abuts stile:TRUE       Back abuts stile:TRUE          Panel Section: WHOLE           Stile in the back Width: 24           Cutout A: B-354          Cutout B:      F.C.:9 in.         C.C.: in.   </v>
      </c>
      <c r="S1256" t="str">
        <f t="shared" si="62"/>
        <v>TRUE</v>
      </c>
      <c r="T1256" t="str">
        <f t="shared" si="63"/>
        <v>TRUE</v>
      </c>
    </row>
    <row r="1257" spans="1:20">
      <c r="A1257" t="s">
        <v>1417</v>
      </c>
      <c r="B1257" s="14" t="s">
        <v>144</v>
      </c>
      <c r="C1257" s="14" t="s">
        <v>21</v>
      </c>
      <c r="D1257" s="14">
        <v>1</v>
      </c>
      <c r="E1257" s="14">
        <v>0</v>
      </c>
      <c r="F1257" s="14">
        <v>1</v>
      </c>
      <c r="G1257" s="14">
        <v>0</v>
      </c>
      <c r="H1257" s="14"/>
      <c r="I1257" s="8" t="s">
        <v>38</v>
      </c>
      <c r="J1257" s="8" t="s">
        <v>38</v>
      </c>
      <c r="K1257">
        <v>96</v>
      </c>
      <c r="L1257">
        <v>48.8125</v>
      </c>
      <c r="M1257" s="14">
        <v>2.8125</v>
      </c>
      <c r="N1257" s="14" t="s">
        <v>38</v>
      </c>
      <c r="R1257" t="str">
        <f t="shared" si="61"/>
        <v xml:space="preserve">XX8X_PV_1914:    Front abuts stile:TRUE       Back abuts stile:TRUE          Panel Section: WHOLE           Stile in the back Width:            Cutout A:           Cutout B:      F.C.:2.8125 in.         C.C.: in.   </v>
      </c>
      <c r="S1257" t="str">
        <f t="shared" si="62"/>
        <v>TRUE</v>
      </c>
      <c r="T1257" t="str">
        <f t="shared" si="63"/>
        <v>TRUE</v>
      </c>
    </row>
    <row r="1258" spans="1:20">
      <c r="A1258" t="s">
        <v>1418</v>
      </c>
      <c r="B1258" s="14" t="s">
        <v>144</v>
      </c>
      <c r="C1258" s="14" t="s">
        <v>21</v>
      </c>
      <c r="D1258" s="14">
        <v>1</v>
      </c>
      <c r="E1258" s="14">
        <v>0</v>
      </c>
      <c r="F1258" s="14">
        <v>1</v>
      </c>
      <c r="G1258" s="14">
        <v>1</v>
      </c>
      <c r="H1258" s="14"/>
      <c r="I1258" s="8" t="s">
        <v>38</v>
      </c>
      <c r="J1258" s="8" t="s">
        <v>38</v>
      </c>
      <c r="K1258">
        <v>78.3125</v>
      </c>
      <c r="L1258">
        <v>64.3125</v>
      </c>
      <c r="M1258" s="14">
        <v>1</v>
      </c>
      <c r="N1258" s="14" t="s">
        <v>38</v>
      </c>
      <c r="R1258" t="str">
        <f t="shared" si="61"/>
        <v xml:space="preserve">XX8X_PV_1915:    Front abuts stile:TRUE       Back abuts stile:TRUE          Panel Section: WHOLE           Stile in the back Width:            Cutout A:           Cutout B:      F.C.:1 in.         C.C.: in.   </v>
      </c>
      <c r="S1258" t="str">
        <f t="shared" si="62"/>
        <v>TRUE</v>
      </c>
      <c r="T1258" t="str">
        <f t="shared" si="63"/>
        <v>TRUE</v>
      </c>
    </row>
    <row r="1259" spans="1:20">
      <c r="A1259" t="s">
        <v>1419</v>
      </c>
      <c r="B1259" s="14" t="s">
        <v>144</v>
      </c>
      <c r="C1259" s="14" t="s">
        <v>21</v>
      </c>
      <c r="D1259" s="14">
        <v>1</v>
      </c>
      <c r="E1259" s="14">
        <v>1</v>
      </c>
      <c r="F1259" s="14">
        <v>0</v>
      </c>
      <c r="G1259" s="14"/>
      <c r="H1259" s="14"/>
      <c r="I1259" s="8" t="s">
        <v>38</v>
      </c>
      <c r="J1259" s="8" t="s">
        <v>38</v>
      </c>
      <c r="K1259">
        <v>50.3125</v>
      </c>
      <c r="L1259">
        <v>35.125</v>
      </c>
      <c r="M1259" s="14">
        <v>4.5</v>
      </c>
      <c r="N1259" s="14" t="s">
        <v>38</v>
      </c>
      <c r="R1259" t="str">
        <f t="shared" si="61"/>
        <v xml:space="preserve">XX8X_PV_1916:    Front abuts stile:TRUE       Back abuts stile:FALSE          Panel Section: WHOLE           Stile in the back Width:            Cutout A:           Cutout B:      F.C.:4.5 in.         C.C.: in.   </v>
      </c>
      <c r="S1259" t="str">
        <f t="shared" si="62"/>
        <v>TRUE</v>
      </c>
      <c r="T1259" t="str">
        <f t="shared" si="63"/>
        <v>FALSE</v>
      </c>
    </row>
    <row r="1260" spans="1:20">
      <c r="A1260" t="s">
        <v>1420</v>
      </c>
      <c r="B1260" s="14" t="s">
        <v>144</v>
      </c>
      <c r="C1260" s="14" t="s">
        <v>21</v>
      </c>
      <c r="D1260" s="14">
        <v>1</v>
      </c>
      <c r="E1260" s="14">
        <v>1</v>
      </c>
      <c r="F1260" s="14">
        <v>1</v>
      </c>
      <c r="G1260" s="14">
        <v>0</v>
      </c>
      <c r="H1260" s="14">
        <v>12</v>
      </c>
      <c r="I1260" s="8" t="s">
        <v>35</v>
      </c>
      <c r="J1260" s="8" t="s">
        <v>38</v>
      </c>
      <c r="K1260">
        <v>96</v>
      </c>
      <c r="L1260">
        <v>75.625</v>
      </c>
      <c r="M1260" s="14">
        <v>3.375</v>
      </c>
      <c r="N1260" s="14">
        <v>7.25</v>
      </c>
      <c r="R1260" t="str">
        <f t="shared" si="61"/>
        <v xml:space="preserve">XX8X_PV_1917:    Front abuts stile:TRUE       Back abuts stile:TRUE          Panel Section: WHOLE           Stile in the back Width: 12           Cutout A: B-357          Cutout B:      F.C.:3.375 in.         C.C.:7.25 in.   </v>
      </c>
      <c r="S1260" t="str">
        <f t="shared" si="62"/>
        <v>TRUE</v>
      </c>
      <c r="T1260" t="str">
        <f t="shared" si="63"/>
        <v>TRUE</v>
      </c>
    </row>
    <row r="1261" spans="1:20">
      <c r="A1261" t="s">
        <v>1421</v>
      </c>
      <c r="B1261" s="14" t="s">
        <v>144</v>
      </c>
      <c r="C1261" s="14" t="s">
        <v>21</v>
      </c>
      <c r="D1261" s="14">
        <v>1</v>
      </c>
      <c r="E1261" s="14">
        <v>1</v>
      </c>
      <c r="F1261" s="14">
        <v>1</v>
      </c>
      <c r="G1261" s="14">
        <v>0</v>
      </c>
      <c r="H1261" s="14">
        <v>24</v>
      </c>
      <c r="I1261" s="8" t="s">
        <v>38</v>
      </c>
      <c r="J1261" s="8" t="s">
        <v>38</v>
      </c>
      <c r="K1261">
        <v>87.875</v>
      </c>
      <c r="L1261">
        <v>69.1875</v>
      </c>
      <c r="M1261" s="14">
        <v>2.875</v>
      </c>
      <c r="N1261" s="14" t="s">
        <v>38</v>
      </c>
      <c r="R1261" t="str">
        <f t="shared" si="61"/>
        <v xml:space="preserve">XX8X_PV_1918:    Front abuts stile:TRUE       Back abuts stile:TRUE          Panel Section: WHOLE           Stile in the back Width: 24           Cutout A:           Cutout B:      F.C.:2.875 in.         C.C.: in.   </v>
      </c>
      <c r="S1261" t="str">
        <f t="shared" si="62"/>
        <v>TRUE</v>
      </c>
      <c r="T1261" t="str">
        <f t="shared" si="63"/>
        <v>TRUE</v>
      </c>
    </row>
    <row r="1262" spans="1:20">
      <c r="A1262" t="s">
        <v>1422</v>
      </c>
      <c r="B1262" s="14" t="s">
        <v>144</v>
      </c>
      <c r="C1262" s="14" t="s">
        <v>21</v>
      </c>
      <c r="D1262" s="14">
        <v>1</v>
      </c>
      <c r="E1262" s="14">
        <v>1</v>
      </c>
      <c r="F1262" s="14">
        <v>1</v>
      </c>
      <c r="G1262" s="14">
        <v>0</v>
      </c>
      <c r="H1262" s="14"/>
      <c r="I1262" s="8" t="s">
        <v>38</v>
      </c>
      <c r="J1262" s="8" t="s">
        <v>38</v>
      </c>
      <c r="K1262">
        <v>48.625</v>
      </c>
      <c r="L1262">
        <v>56.5625</v>
      </c>
      <c r="M1262" s="14">
        <v>9</v>
      </c>
      <c r="N1262" s="14" t="s">
        <v>38</v>
      </c>
      <c r="R1262" t="str">
        <f t="shared" si="61"/>
        <v xml:space="preserve">XX8X_PV_1919:    Front abuts stile:TRUE       Back abuts stile:TRUE          Panel Section: WHOLE           Stile in the back Width:            Cutout A:           Cutout B:      F.C.:9 in.         C.C.: in.   </v>
      </c>
      <c r="S1262" t="str">
        <f t="shared" si="62"/>
        <v>TRUE</v>
      </c>
      <c r="T1262" t="str">
        <f t="shared" si="63"/>
        <v>TRUE</v>
      </c>
    </row>
    <row r="1263" spans="1:20" ht="15" thickBot="1">
      <c r="A1263" t="s">
        <v>1423</v>
      </c>
      <c r="B1263" s="14" t="s">
        <v>144</v>
      </c>
      <c r="C1263" s="50" t="s">
        <v>21</v>
      </c>
      <c r="D1263" s="50">
        <v>1</v>
      </c>
      <c r="E1263" s="50">
        <v>1</v>
      </c>
      <c r="F1263" s="50">
        <v>1</v>
      </c>
      <c r="G1263" s="50">
        <v>1</v>
      </c>
      <c r="H1263" s="50"/>
      <c r="I1263" s="51" t="s">
        <v>38</v>
      </c>
      <c r="J1263" s="51" t="s">
        <v>38</v>
      </c>
      <c r="K1263" s="49">
        <v>94.1875</v>
      </c>
      <c r="L1263" s="49">
        <v>70.125</v>
      </c>
      <c r="M1263" s="50">
        <v>9</v>
      </c>
      <c r="N1263" s="14">
        <v>3.4375</v>
      </c>
      <c r="R1263" t="str">
        <f t="shared" si="61"/>
        <v xml:space="preserve">XX8X_PV_1920:    Front abuts stile:TRUE       Back abuts stile:TRUE          Panel Section: WHOLE           Stile in the back Width:            Cutout A:           Cutout B:      F.C.:9 in.         C.C.:3.4375 in.   </v>
      </c>
      <c r="S1263" t="str">
        <f t="shared" si="62"/>
        <v>TRUE</v>
      </c>
      <c r="T1263" t="str">
        <f t="shared" si="63"/>
        <v>TRUE</v>
      </c>
    </row>
    <row r="1264" spans="1:20" ht="15" thickTop="1">
      <c r="A1264" t="s">
        <v>1424</v>
      </c>
      <c r="B1264" s="14" t="s">
        <v>144</v>
      </c>
      <c r="C1264" s="14" t="s">
        <v>156</v>
      </c>
      <c r="D1264" s="19">
        <v>0</v>
      </c>
      <c r="E1264" s="19"/>
      <c r="F1264" s="19">
        <v>0</v>
      </c>
      <c r="G1264" s="19"/>
      <c r="H1264" s="14"/>
      <c r="I1264" s="8" t="s">
        <v>121</v>
      </c>
      <c r="J1264" s="8" t="s">
        <v>38</v>
      </c>
      <c r="K1264">
        <v>24.125</v>
      </c>
      <c r="L1264">
        <v>40.8125</v>
      </c>
      <c r="M1264" s="14">
        <v>1</v>
      </c>
      <c r="N1264" s="14">
        <v>3.375</v>
      </c>
      <c r="R1264" t="str">
        <f t="shared" si="61"/>
        <v xml:space="preserve">XX8X_PV_1921:    Front abuts stile:FALSE       Back abuts stile:FALSE          Panel Section: TOP           Stile in the back Width:            Cutout A: B-4354          Cutout B:      F.C.:1 in.         C.C.:3.375 in.   </v>
      </c>
      <c r="S1264" t="str">
        <f t="shared" si="62"/>
        <v>FALSE</v>
      </c>
      <c r="T1264" t="str">
        <f t="shared" si="63"/>
        <v>FALSE</v>
      </c>
    </row>
    <row r="1265" spans="1:20">
      <c r="A1265" t="s">
        <v>1425</v>
      </c>
      <c r="B1265" s="14" t="s">
        <v>144</v>
      </c>
      <c r="C1265" s="14" t="s">
        <v>156</v>
      </c>
      <c r="D1265" s="14">
        <v>0</v>
      </c>
      <c r="E1265" s="14"/>
      <c r="F1265" s="14">
        <v>1</v>
      </c>
      <c r="G1265" s="14">
        <v>0</v>
      </c>
      <c r="H1265" s="14">
        <v>12</v>
      </c>
      <c r="I1265" s="8" t="s">
        <v>120</v>
      </c>
      <c r="J1265" s="8" t="s">
        <v>38</v>
      </c>
      <c r="K1265">
        <v>44.625</v>
      </c>
      <c r="L1265">
        <v>43</v>
      </c>
      <c r="M1265" s="14">
        <v>1</v>
      </c>
      <c r="N1265" s="14">
        <v>1</v>
      </c>
      <c r="R1265" t="str">
        <f t="shared" si="61"/>
        <v xml:space="preserve">XX8X_PV_1922:    Front abuts stile:FALSE       Back abuts stile:TRUE          Panel Section: TOP           Stile in the back Width: 12           Cutout A: B-386          Cutout B:      F.C.:1 in.         C.C.:1 in.   </v>
      </c>
      <c r="S1265" t="str">
        <f t="shared" si="62"/>
        <v>FALSE</v>
      </c>
      <c r="T1265" t="str">
        <f t="shared" si="63"/>
        <v>TRUE</v>
      </c>
    </row>
    <row r="1266" spans="1:20">
      <c r="A1266" t="s">
        <v>1426</v>
      </c>
      <c r="B1266" s="14" t="s">
        <v>144</v>
      </c>
      <c r="C1266" s="14" t="s">
        <v>156</v>
      </c>
      <c r="D1266" s="14">
        <v>0</v>
      </c>
      <c r="E1266" s="14"/>
      <c r="F1266" s="14">
        <v>1</v>
      </c>
      <c r="G1266" s="14">
        <v>0</v>
      </c>
      <c r="H1266" s="14">
        <v>24</v>
      </c>
      <c r="I1266" s="8" t="s">
        <v>119</v>
      </c>
      <c r="J1266" s="8" t="s">
        <v>38</v>
      </c>
      <c r="K1266">
        <v>31.625</v>
      </c>
      <c r="L1266">
        <v>44.875</v>
      </c>
      <c r="M1266" s="14">
        <v>9</v>
      </c>
      <c r="N1266" s="14">
        <v>1</v>
      </c>
      <c r="R1266" t="str">
        <f t="shared" si="61"/>
        <v xml:space="preserve">XX8X_PV_1923:    Front abuts stile:FALSE       Back abuts stile:TRUE          Panel Section: TOP           Stile in the back Width: 24           Cutout A: B-354          Cutout B:      F.C.:9 in.         C.C.:1 in.   </v>
      </c>
      <c r="S1266" t="str">
        <f t="shared" si="62"/>
        <v>FALSE</v>
      </c>
      <c r="T1266" t="str">
        <f t="shared" si="63"/>
        <v>TRUE</v>
      </c>
    </row>
    <row r="1267" spans="1:20">
      <c r="A1267" t="s">
        <v>1427</v>
      </c>
      <c r="B1267" s="14" t="s">
        <v>144</v>
      </c>
      <c r="C1267" s="14" t="s">
        <v>156</v>
      </c>
      <c r="D1267" s="14">
        <v>0</v>
      </c>
      <c r="E1267" s="14"/>
      <c r="F1267" s="14">
        <v>1</v>
      </c>
      <c r="G1267" s="14">
        <v>0</v>
      </c>
      <c r="H1267" s="14"/>
      <c r="I1267" s="8" t="s">
        <v>38</v>
      </c>
      <c r="J1267" s="8" t="s">
        <v>38</v>
      </c>
      <c r="K1267">
        <v>37.4375</v>
      </c>
      <c r="L1267">
        <v>44.3125</v>
      </c>
      <c r="M1267" s="14">
        <v>9</v>
      </c>
      <c r="N1267" s="14">
        <v>3.5</v>
      </c>
      <c r="R1267" t="str">
        <f t="shared" si="61"/>
        <v xml:space="preserve">XX8X_PV_1924:    Front abuts stile:FALSE       Back abuts stile:TRUE          Panel Section: TOP           Stile in the back Width:            Cutout A:           Cutout B:      F.C.:9 in.         C.C.:3.5 in.   </v>
      </c>
      <c r="S1267" t="str">
        <f t="shared" si="62"/>
        <v>FALSE</v>
      </c>
      <c r="T1267" t="str">
        <f t="shared" si="63"/>
        <v>TRUE</v>
      </c>
    </row>
    <row r="1268" spans="1:20">
      <c r="A1268" t="s">
        <v>1428</v>
      </c>
      <c r="B1268" s="14" t="s">
        <v>144</v>
      </c>
      <c r="C1268" s="14" t="s">
        <v>156</v>
      </c>
      <c r="D1268" s="14">
        <v>0</v>
      </c>
      <c r="E1268" s="14"/>
      <c r="F1268" s="14">
        <v>1</v>
      </c>
      <c r="G1268" s="14">
        <v>1</v>
      </c>
      <c r="H1268" s="14"/>
      <c r="I1268" s="8" t="s">
        <v>38</v>
      </c>
      <c r="J1268" s="8" t="s">
        <v>38</v>
      </c>
      <c r="K1268">
        <v>20.9375</v>
      </c>
      <c r="L1268">
        <v>57.75</v>
      </c>
      <c r="M1268" s="14">
        <v>3.125</v>
      </c>
      <c r="N1268" s="14">
        <v>1</v>
      </c>
      <c r="R1268" t="str">
        <f t="shared" si="61"/>
        <v xml:space="preserve">XX8X_PV_1925:    Front abuts stile:FALSE       Back abuts stile:TRUE          Panel Section: TOP           Stile in the back Width:            Cutout A:           Cutout B:      F.C.:3.125 in.         C.C.:1 in.   </v>
      </c>
      <c r="S1268" t="str">
        <f t="shared" si="62"/>
        <v>FALSE</v>
      </c>
      <c r="T1268" t="str">
        <f t="shared" si="63"/>
        <v>TRUE</v>
      </c>
    </row>
    <row r="1269" spans="1:20">
      <c r="A1269" t="s">
        <v>1429</v>
      </c>
      <c r="B1269" s="14" t="s">
        <v>144</v>
      </c>
      <c r="C1269" s="14" t="s">
        <v>156</v>
      </c>
      <c r="D1269" s="14">
        <v>1</v>
      </c>
      <c r="E1269" s="14">
        <v>0</v>
      </c>
      <c r="F1269" s="14">
        <v>0</v>
      </c>
      <c r="G1269" s="14"/>
      <c r="H1269" s="14"/>
      <c r="I1269" s="8" t="s">
        <v>145</v>
      </c>
      <c r="J1269" s="8" t="s">
        <v>38</v>
      </c>
      <c r="K1269">
        <v>6.25</v>
      </c>
      <c r="L1269">
        <v>53</v>
      </c>
      <c r="M1269" s="14">
        <v>9</v>
      </c>
      <c r="N1269" s="14">
        <v>1</v>
      </c>
      <c r="R1269" t="str">
        <f t="shared" si="61"/>
        <v xml:space="preserve">XX8X_PV_1926:    Front abuts stile:TRUE       Back abuts stile:FALSE          Panel Section: TOP           Stile in the back Width:            Cutout A: B-347          Cutout B:      F.C.:9 in.         C.C.:1 in.   </v>
      </c>
      <c r="S1269" t="str">
        <f t="shared" si="62"/>
        <v>TRUE</v>
      </c>
      <c r="T1269" t="str">
        <f t="shared" si="63"/>
        <v>FALSE</v>
      </c>
    </row>
    <row r="1270" spans="1:20">
      <c r="A1270" t="s">
        <v>1430</v>
      </c>
      <c r="B1270" s="14" t="s">
        <v>144</v>
      </c>
      <c r="C1270" s="14" t="s">
        <v>156</v>
      </c>
      <c r="D1270" s="14">
        <v>1</v>
      </c>
      <c r="E1270" s="14">
        <v>0</v>
      </c>
      <c r="F1270" s="14">
        <v>1</v>
      </c>
      <c r="G1270" s="14">
        <v>0</v>
      </c>
      <c r="H1270" s="14">
        <v>12</v>
      </c>
      <c r="I1270" s="8" t="s">
        <v>38</v>
      </c>
      <c r="J1270" s="8" t="s">
        <v>38</v>
      </c>
      <c r="K1270">
        <v>33.4375</v>
      </c>
      <c r="L1270">
        <v>66.625</v>
      </c>
      <c r="M1270" s="14">
        <v>4.5</v>
      </c>
      <c r="N1270" s="14">
        <v>3.4375</v>
      </c>
      <c r="R1270" t="str">
        <f t="shared" si="61"/>
        <v xml:space="preserve">XX8X_PV_1927:    Front abuts stile:TRUE       Back abuts stile:TRUE          Panel Section: TOP           Stile in the back Width: 12           Cutout A:           Cutout B:      F.C.:4.5 in.         C.C.:3.4375 in.   </v>
      </c>
      <c r="S1270" t="str">
        <f t="shared" si="62"/>
        <v>TRUE</v>
      </c>
      <c r="T1270" t="str">
        <f t="shared" si="63"/>
        <v>TRUE</v>
      </c>
    </row>
    <row r="1271" spans="1:20">
      <c r="A1271" t="s">
        <v>1431</v>
      </c>
      <c r="B1271" s="14" t="s">
        <v>144</v>
      </c>
      <c r="C1271" s="14" t="s">
        <v>156</v>
      </c>
      <c r="D1271" s="14">
        <v>1</v>
      </c>
      <c r="E1271" s="14">
        <v>0</v>
      </c>
      <c r="F1271" s="14">
        <v>1</v>
      </c>
      <c r="G1271" s="14">
        <v>0</v>
      </c>
      <c r="H1271" s="14">
        <v>24</v>
      </c>
      <c r="I1271" s="8" t="s">
        <v>121</v>
      </c>
      <c r="J1271" s="8" t="s">
        <v>38</v>
      </c>
      <c r="K1271">
        <v>47.5625</v>
      </c>
      <c r="L1271">
        <v>65.4375</v>
      </c>
      <c r="M1271" s="14">
        <v>1</v>
      </c>
      <c r="N1271" s="14">
        <v>1</v>
      </c>
      <c r="R1271" t="str">
        <f t="shared" si="61"/>
        <v xml:space="preserve">XX8X_PV_1928:    Front abuts stile:TRUE       Back abuts stile:TRUE          Panel Section: TOP           Stile in the back Width: 24           Cutout A: B-4354          Cutout B:      F.C.:1 in.         C.C.:1 in.   </v>
      </c>
      <c r="S1271" t="str">
        <f t="shared" si="62"/>
        <v>TRUE</v>
      </c>
      <c r="T1271" t="str">
        <f t="shared" si="63"/>
        <v>TRUE</v>
      </c>
    </row>
    <row r="1272" spans="1:20">
      <c r="A1272" t="s">
        <v>1432</v>
      </c>
      <c r="B1272" s="14" t="s">
        <v>144</v>
      </c>
      <c r="C1272" s="14" t="s">
        <v>156</v>
      </c>
      <c r="D1272" s="14">
        <v>1</v>
      </c>
      <c r="E1272" s="14">
        <v>0</v>
      </c>
      <c r="F1272" s="14">
        <v>1</v>
      </c>
      <c r="G1272" s="14">
        <v>0</v>
      </c>
      <c r="H1272" s="14"/>
      <c r="I1272" s="8" t="s">
        <v>38</v>
      </c>
      <c r="J1272" s="8" t="s">
        <v>38</v>
      </c>
      <c r="K1272">
        <v>33.9375</v>
      </c>
      <c r="L1272">
        <v>61.8125</v>
      </c>
      <c r="M1272" s="14">
        <v>9.75</v>
      </c>
      <c r="N1272" s="14">
        <v>2.75</v>
      </c>
      <c r="R1272" t="str">
        <f t="shared" si="61"/>
        <v xml:space="preserve">XX8X_PV_1929:    Front abuts stile:TRUE       Back abuts stile:TRUE          Panel Section: TOP           Stile in the back Width:            Cutout A:           Cutout B:      F.C.:9.75 in.         C.C.:2.75 in.   </v>
      </c>
      <c r="S1272" t="str">
        <f t="shared" si="62"/>
        <v>TRUE</v>
      </c>
      <c r="T1272" t="str">
        <f t="shared" si="63"/>
        <v>TRUE</v>
      </c>
    </row>
    <row r="1273" spans="1:20">
      <c r="A1273" t="s">
        <v>1433</v>
      </c>
      <c r="B1273" s="14" t="s">
        <v>144</v>
      </c>
      <c r="C1273" s="14" t="s">
        <v>156</v>
      </c>
      <c r="D1273" s="14">
        <v>1</v>
      </c>
      <c r="E1273" s="14">
        <v>0</v>
      </c>
      <c r="F1273" s="14">
        <v>1</v>
      </c>
      <c r="G1273" s="14">
        <v>1</v>
      </c>
      <c r="H1273" s="14"/>
      <c r="I1273" s="8" t="s">
        <v>38</v>
      </c>
      <c r="J1273" s="8" t="s">
        <v>38</v>
      </c>
      <c r="K1273">
        <v>46.25</v>
      </c>
      <c r="L1273">
        <v>71.25</v>
      </c>
      <c r="M1273" s="14">
        <v>4.5</v>
      </c>
      <c r="N1273" s="14">
        <v>1</v>
      </c>
      <c r="R1273" t="str">
        <f t="shared" si="61"/>
        <v xml:space="preserve">XX8X_PV_1930:    Front abuts stile:TRUE       Back abuts stile:TRUE          Panel Section: TOP           Stile in the back Width:            Cutout A:           Cutout B:      F.C.:4.5 in.         C.C.:1 in.   </v>
      </c>
      <c r="S1273" t="str">
        <f t="shared" si="62"/>
        <v>TRUE</v>
      </c>
      <c r="T1273" t="str">
        <f t="shared" si="63"/>
        <v>TRUE</v>
      </c>
    </row>
    <row r="1274" spans="1:20">
      <c r="A1274" t="s">
        <v>1434</v>
      </c>
      <c r="B1274" s="14" t="s">
        <v>144</v>
      </c>
      <c r="C1274" s="14" t="s">
        <v>156</v>
      </c>
      <c r="D1274" s="14">
        <v>1</v>
      </c>
      <c r="E1274" s="14">
        <v>1</v>
      </c>
      <c r="F1274" s="14">
        <v>0</v>
      </c>
      <c r="G1274" s="14"/>
      <c r="H1274" s="14"/>
      <c r="I1274" s="8" t="s">
        <v>120</v>
      </c>
      <c r="J1274" s="8" t="s">
        <v>38</v>
      </c>
      <c r="K1274">
        <v>16.8125</v>
      </c>
      <c r="L1274">
        <v>70.125</v>
      </c>
      <c r="M1274" s="14">
        <v>4.5</v>
      </c>
      <c r="N1274" s="14">
        <v>7.25</v>
      </c>
      <c r="R1274" t="str">
        <f t="shared" si="61"/>
        <v xml:space="preserve">XX8X_PV_1931:    Front abuts stile:TRUE       Back abuts stile:FALSE          Panel Section: TOP           Stile in the back Width:            Cutout A: B-386          Cutout B:      F.C.:4.5 in.         C.C.:7.25 in.   </v>
      </c>
      <c r="S1274" t="str">
        <f t="shared" si="62"/>
        <v>TRUE</v>
      </c>
      <c r="T1274" t="str">
        <f t="shared" si="63"/>
        <v>FALSE</v>
      </c>
    </row>
    <row r="1275" spans="1:20">
      <c r="A1275" t="s">
        <v>1435</v>
      </c>
      <c r="B1275" s="14" t="s">
        <v>144</v>
      </c>
      <c r="C1275" s="14" t="s">
        <v>156</v>
      </c>
      <c r="D1275" s="14">
        <v>1</v>
      </c>
      <c r="E1275" s="14">
        <v>1</v>
      </c>
      <c r="F1275" s="14">
        <v>1</v>
      </c>
      <c r="G1275" s="14">
        <v>0</v>
      </c>
      <c r="H1275" s="14">
        <v>12</v>
      </c>
      <c r="I1275" s="8" t="s">
        <v>151</v>
      </c>
      <c r="J1275" s="8" t="s">
        <v>38</v>
      </c>
      <c r="K1275">
        <v>39.75</v>
      </c>
      <c r="L1275">
        <v>55.875</v>
      </c>
      <c r="M1275" s="14">
        <v>2.75</v>
      </c>
      <c r="N1275" s="14">
        <v>5.6875</v>
      </c>
      <c r="R1275" t="str">
        <f t="shared" si="61"/>
        <v xml:space="preserve">XX8X_PV_1932:    Front abuts stile:TRUE       Back abuts stile:TRUE          Panel Section: TOP           Stile in the back Width: 12           Cutout A: B-35715          Cutout B:      F.C.:2.75 in.         C.C.:5.6875 in.   </v>
      </c>
      <c r="S1275" t="str">
        <f t="shared" si="62"/>
        <v>TRUE</v>
      </c>
      <c r="T1275" t="str">
        <f t="shared" si="63"/>
        <v>TRUE</v>
      </c>
    </row>
    <row r="1276" spans="1:20">
      <c r="A1276" t="s">
        <v>1436</v>
      </c>
      <c r="B1276" s="14" t="s">
        <v>144</v>
      </c>
      <c r="C1276" s="14" t="s">
        <v>156</v>
      </c>
      <c r="D1276" s="14">
        <v>1</v>
      </c>
      <c r="E1276" s="14">
        <v>1</v>
      </c>
      <c r="F1276" s="14">
        <v>1</v>
      </c>
      <c r="G1276" s="14">
        <v>0</v>
      </c>
      <c r="H1276" s="14">
        <v>24</v>
      </c>
      <c r="I1276" s="8" t="s">
        <v>151</v>
      </c>
      <c r="J1276" s="8" t="s">
        <v>38</v>
      </c>
      <c r="K1276">
        <v>34.125</v>
      </c>
      <c r="L1276">
        <v>46.3125</v>
      </c>
      <c r="M1276" s="14">
        <v>4.5</v>
      </c>
      <c r="N1276" s="14">
        <v>3.6875</v>
      </c>
      <c r="R1276" t="str">
        <f t="shared" si="61"/>
        <v xml:space="preserve">XX8X_PV_1933:    Front abuts stile:TRUE       Back abuts stile:TRUE          Panel Section: TOP           Stile in the back Width: 24           Cutout A: B-35715          Cutout B:      F.C.:4.5 in.         C.C.:3.6875 in.   </v>
      </c>
      <c r="S1276" t="str">
        <f t="shared" si="62"/>
        <v>TRUE</v>
      </c>
      <c r="T1276" t="str">
        <f t="shared" si="63"/>
        <v>TRUE</v>
      </c>
    </row>
    <row r="1277" spans="1:20">
      <c r="A1277" t="s">
        <v>1437</v>
      </c>
      <c r="B1277" s="14" t="s">
        <v>144</v>
      </c>
      <c r="C1277" s="14" t="s">
        <v>156</v>
      </c>
      <c r="D1277" s="14">
        <v>1</v>
      </c>
      <c r="E1277" s="14">
        <v>1</v>
      </c>
      <c r="F1277" s="14">
        <v>1</v>
      </c>
      <c r="G1277" s="14">
        <v>0</v>
      </c>
      <c r="H1277" s="14"/>
      <c r="I1277" s="8" t="s">
        <v>38</v>
      </c>
      <c r="J1277" s="8" t="s">
        <v>38</v>
      </c>
      <c r="K1277">
        <v>27</v>
      </c>
      <c r="L1277">
        <v>53.25</v>
      </c>
      <c r="M1277" s="14">
        <v>9.75</v>
      </c>
      <c r="N1277" s="14" t="s">
        <v>38</v>
      </c>
      <c r="R1277" t="str">
        <f t="shared" si="61"/>
        <v xml:space="preserve">XX8X_PV_1934:    Front abuts stile:TRUE       Back abuts stile:TRUE          Panel Section: TOP           Stile in the back Width:            Cutout A:           Cutout B:      F.C.:9.75 in.         C.C.: in.   </v>
      </c>
      <c r="S1277" t="str">
        <f t="shared" si="62"/>
        <v>TRUE</v>
      </c>
      <c r="T1277" t="str">
        <f t="shared" si="63"/>
        <v>TRUE</v>
      </c>
    </row>
    <row r="1278" spans="1:20">
      <c r="A1278" t="s">
        <v>1438</v>
      </c>
      <c r="B1278" s="14" t="s">
        <v>144</v>
      </c>
      <c r="C1278" s="14" t="s">
        <v>156</v>
      </c>
      <c r="D1278" s="14">
        <v>1</v>
      </c>
      <c r="E1278" s="14">
        <v>1</v>
      </c>
      <c r="F1278" s="14">
        <v>1</v>
      </c>
      <c r="G1278" s="14">
        <v>1</v>
      </c>
      <c r="H1278" s="14"/>
      <c r="I1278" s="8" t="s">
        <v>38</v>
      </c>
      <c r="J1278" s="8" t="s">
        <v>38</v>
      </c>
      <c r="K1278">
        <v>39.3125</v>
      </c>
      <c r="L1278">
        <v>69.625</v>
      </c>
      <c r="M1278" s="14">
        <v>4.5</v>
      </c>
      <c r="N1278" s="14" t="s">
        <v>38</v>
      </c>
      <c r="R1278" t="str">
        <f t="shared" si="61"/>
        <v xml:space="preserve">XX8X_PV_1935:    Front abuts stile:TRUE       Back abuts stile:TRUE          Panel Section: TOP           Stile in the back Width:            Cutout A:           Cutout B:      F.C.:4.5 in.         C.C.: in.   </v>
      </c>
      <c r="S1278" t="str">
        <f t="shared" si="62"/>
        <v>TRUE</v>
      </c>
      <c r="T1278" t="str">
        <f t="shared" si="63"/>
        <v>TRUE</v>
      </c>
    </row>
    <row r="1279" spans="1:20">
      <c r="A1279" t="s">
        <v>1439</v>
      </c>
      <c r="B1279" s="14" t="s">
        <v>144</v>
      </c>
      <c r="C1279" s="14" t="s">
        <v>157</v>
      </c>
      <c r="D1279" s="14">
        <v>0</v>
      </c>
      <c r="E1279" s="14"/>
      <c r="F1279" s="14">
        <v>0</v>
      </c>
      <c r="G1279" s="14"/>
      <c r="H1279" s="14"/>
      <c r="I1279" s="8" t="s">
        <v>148</v>
      </c>
      <c r="J1279" s="8" t="s">
        <v>38</v>
      </c>
      <c r="K1279">
        <v>60</v>
      </c>
      <c r="L1279">
        <v>60.5625</v>
      </c>
      <c r="M1279" s="14">
        <v>9</v>
      </c>
      <c r="N1279" s="14">
        <v>4.25</v>
      </c>
      <c r="R1279" t="str">
        <f t="shared" si="61"/>
        <v xml:space="preserve">XX8X_PV_1936:    Front abuts stile:FALSE       Back abuts stile:FALSE          Panel Section: BOTTOM           Stile in the back Width:            Cutout A: B-3471          Cutout B:      F.C.:9 in.         C.C.:4.25 in.   </v>
      </c>
      <c r="S1279" t="str">
        <f t="shared" si="62"/>
        <v>FALSE</v>
      </c>
      <c r="T1279" t="str">
        <f t="shared" si="63"/>
        <v>FALSE</v>
      </c>
    </row>
    <row r="1280" spans="1:20">
      <c r="A1280" t="s">
        <v>1440</v>
      </c>
      <c r="B1280" s="14" t="s">
        <v>144</v>
      </c>
      <c r="C1280" s="14" t="s">
        <v>157</v>
      </c>
      <c r="D1280" s="14">
        <v>0</v>
      </c>
      <c r="E1280" s="14"/>
      <c r="F1280" s="14">
        <v>1</v>
      </c>
      <c r="G1280" s="14">
        <v>0</v>
      </c>
      <c r="H1280" s="14">
        <v>12</v>
      </c>
      <c r="I1280" s="8" t="s">
        <v>121</v>
      </c>
      <c r="J1280" s="8" t="s">
        <v>38</v>
      </c>
      <c r="K1280">
        <v>60</v>
      </c>
      <c r="L1280">
        <v>44.6875</v>
      </c>
      <c r="M1280" s="14">
        <v>2.0625</v>
      </c>
      <c r="N1280" s="14" t="s">
        <v>38</v>
      </c>
      <c r="R1280" t="str">
        <f t="shared" si="61"/>
        <v xml:space="preserve">XX8X_PV_1937:    Front abuts stile:FALSE       Back abuts stile:TRUE          Panel Section: BOTTOM           Stile in the back Width: 12           Cutout A: B-4354          Cutout B:      F.C.:2.0625 in.         C.C.: in.   </v>
      </c>
      <c r="S1280" t="str">
        <f t="shared" si="62"/>
        <v>FALSE</v>
      </c>
      <c r="T1280" t="str">
        <f t="shared" si="63"/>
        <v>TRUE</v>
      </c>
    </row>
    <row r="1281" spans="1:20">
      <c r="A1281" t="s">
        <v>1441</v>
      </c>
      <c r="B1281" s="14" t="s">
        <v>144</v>
      </c>
      <c r="C1281" s="14" t="s">
        <v>157</v>
      </c>
      <c r="D1281" s="14">
        <v>0</v>
      </c>
      <c r="E1281" s="14"/>
      <c r="F1281" s="14">
        <v>1</v>
      </c>
      <c r="G1281" s="14">
        <v>0</v>
      </c>
      <c r="H1281" s="14">
        <v>24</v>
      </c>
      <c r="I1281" s="8" t="s">
        <v>119</v>
      </c>
      <c r="J1281" s="8" t="s">
        <v>38</v>
      </c>
      <c r="K1281">
        <v>60</v>
      </c>
      <c r="L1281">
        <v>44.4375</v>
      </c>
      <c r="M1281" s="14">
        <v>4.0625</v>
      </c>
      <c r="N1281" s="14">
        <v>1.8125</v>
      </c>
      <c r="R1281" t="str">
        <f t="shared" ref="R1281:R1344" si="64">A1281&amp;":    Front abuts stile:"&amp;S1281&amp;"       Back abuts stile:"&amp;T1281&amp;"          Panel Section: "&amp;C1281&amp;"           Stile in the back Width: "&amp;H1281&amp;"           Cutout A: "&amp;I1281&amp;"          Cutout B:"&amp;J1281&amp;"      F.C.:"&amp;M1281&amp;" in. "&amp;"        C.C.:"&amp;N1281&amp;" in. "&amp;"  "</f>
        <v xml:space="preserve">XX8X_PV_1938:    Front abuts stile:FALSE       Back abuts stile:TRUE          Panel Section: BOTTOM           Stile in the back Width: 24           Cutout A: B-354          Cutout B:      F.C.:4.0625 in.         C.C.:1.8125 in.   </v>
      </c>
      <c r="S1281" t="str">
        <f t="shared" ref="S1281:S1344" si="65">IF(D1281=1, "TRUE", "FALSE")</f>
        <v>FALSE</v>
      </c>
      <c r="T1281" t="str">
        <f t="shared" ref="T1281:T1344" si="66">IF(F1281=1, "TRUE", "FALSE")</f>
        <v>TRUE</v>
      </c>
    </row>
    <row r="1282" spans="1:20">
      <c r="A1282" t="s">
        <v>1442</v>
      </c>
      <c r="B1282" s="14" t="s">
        <v>144</v>
      </c>
      <c r="C1282" s="14" t="s">
        <v>157</v>
      </c>
      <c r="D1282" s="14">
        <v>0</v>
      </c>
      <c r="E1282" s="14"/>
      <c r="F1282" s="14">
        <v>1</v>
      </c>
      <c r="G1282" s="14">
        <v>0</v>
      </c>
      <c r="H1282" s="14"/>
      <c r="I1282" s="8" t="s">
        <v>38</v>
      </c>
      <c r="J1282" s="8" t="s">
        <v>38</v>
      </c>
      <c r="K1282">
        <v>60</v>
      </c>
      <c r="L1282">
        <v>61.5625</v>
      </c>
      <c r="M1282" s="14">
        <v>4.5</v>
      </c>
      <c r="N1282" s="14">
        <v>1</v>
      </c>
      <c r="R1282" t="str">
        <f t="shared" si="64"/>
        <v xml:space="preserve">XX8X_PV_1939:    Front abuts stile:FALSE       Back abuts stile:TRUE          Panel Section: BOTTOM           Stile in the back Width:            Cutout A:           Cutout B:      F.C.:4.5 in.         C.C.:1 in.   </v>
      </c>
      <c r="S1282" t="str">
        <f t="shared" si="65"/>
        <v>FALSE</v>
      </c>
      <c r="T1282" t="str">
        <f t="shared" si="66"/>
        <v>TRUE</v>
      </c>
    </row>
    <row r="1283" spans="1:20">
      <c r="A1283" t="s">
        <v>1443</v>
      </c>
      <c r="B1283" s="14" t="s">
        <v>144</v>
      </c>
      <c r="C1283" s="14" t="s">
        <v>157</v>
      </c>
      <c r="D1283" s="14">
        <v>0</v>
      </c>
      <c r="E1283" s="14"/>
      <c r="F1283" s="14">
        <v>1</v>
      </c>
      <c r="G1283" s="14">
        <v>1</v>
      </c>
      <c r="H1283" s="14"/>
      <c r="I1283" s="8" t="s">
        <v>38</v>
      </c>
      <c r="J1283" s="8" t="s">
        <v>38</v>
      </c>
      <c r="K1283">
        <v>60</v>
      </c>
      <c r="L1283">
        <v>72.4375</v>
      </c>
      <c r="M1283" s="14">
        <v>9</v>
      </c>
      <c r="N1283" s="14">
        <v>7.6875</v>
      </c>
      <c r="R1283" t="str">
        <f t="shared" si="64"/>
        <v xml:space="preserve">XX8X_PV_1940:    Front abuts stile:FALSE       Back abuts stile:TRUE          Panel Section: BOTTOM           Stile in the back Width:            Cutout A:           Cutout B:      F.C.:9 in.         C.C.:7.6875 in.   </v>
      </c>
      <c r="S1283" t="str">
        <f t="shared" si="65"/>
        <v>FALSE</v>
      </c>
      <c r="T1283" t="str">
        <f t="shared" si="66"/>
        <v>TRUE</v>
      </c>
    </row>
    <row r="1284" spans="1:20">
      <c r="A1284" t="s">
        <v>1444</v>
      </c>
      <c r="B1284" s="14" t="s">
        <v>144</v>
      </c>
      <c r="C1284" s="14" t="s">
        <v>157</v>
      </c>
      <c r="D1284" s="14">
        <v>1</v>
      </c>
      <c r="E1284" s="14">
        <v>0</v>
      </c>
      <c r="F1284" s="14">
        <v>0</v>
      </c>
      <c r="G1284" s="14"/>
      <c r="H1284" s="14"/>
      <c r="I1284" s="8" t="s">
        <v>121</v>
      </c>
      <c r="J1284" s="8" t="s">
        <v>38</v>
      </c>
      <c r="K1284">
        <v>60</v>
      </c>
      <c r="L1284">
        <v>52.375</v>
      </c>
      <c r="M1284" s="14">
        <v>2.625</v>
      </c>
      <c r="N1284" s="14">
        <v>1</v>
      </c>
      <c r="R1284" t="str">
        <f t="shared" si="64"/>
        <v xml:space="preserve">XX8X_PV_1941:    Front abuts stile:TRUE       Back abuts stile:FALSE          Panel Section: BOTTOM           Stile in the back Width:            Cutout A: B-4354          Cutout B:      F.C.:2.625 in.         C.C.:1 in.   </v>
      </c>
      <c r="S1284" t="str">
        <f t="shared" si="65"/>
        <v>TRUE</v>
      </c>
      <c r="T1284" t="str">
        <f t="shared" si="66"/>
        <v>FALSE</v>
      </c>
    </row>
    <row r="1285" spans="1:20">
      <c r="A1285" t="s">
        <v>1445</v>
      </c>
      <c r="B1285" s="14" t="s">
        <v>144</v>
      </c>
      <c r="C1285" s="14" t="s">
        <v>157</v>
      </c>
      <c r="D1285" s="14">
        <v>1</v>
      </c>
      <c r="E1285" s="14">
        <v>0</v>
      </c>
      <c r="F1285" s="14">
        <v>1</v>
      </c>
      <c r="G1285" s="14">
        <v>0</v>
      </c>
      <c r="H1285" s="14">
        <v>12</v>
      </c>
      <c r="I1285" s="8" t="s">
        <v>38</v>
      </c>
      <c r="J1285" s="8" t="s">
        <v>38</v>
      </c>
      <c r="K1285">
        <v>60</v>
      </c>
      <c r="L1285">
        <v>61.375</v>
      </c>
      <c r="M1285" s="14">
        <v>4.5</v>
      </c>
      <c r="N1285" s="14" t="s">
        <v>38</v>
      </c>
      <c r="R1285" t="str">
        <f t="shared" si="64"/>
        <v xml:space="preserve">XX8X_PV_1942:    Front abuts stile:TRUE       Back abuts stile:TRUE          Panel Section: BOTTOM           Stile in the back Width: 12           Cutout A:           Cutout B:      F.C.:4.5 in.         C.C.: in.   </v>
      </c>
      <c r="S1285" t="str">
        <f t="shared" si="65"/>
        <v>TRUE</v>
      </c>
      <c r="T1285" t="str">
        <f t="shared" si="66"/>
        <v>TRUE</v>
      </c>
    </row>
    <row r="1286" spans="1:20">
      <c r="A1286" t="s">
        <v>1446</v>
      </c>
      <c r="B1286" s="14" t="s">
        <v>144</v>
      </c>
      <c r="C1286" s="14" t="s">
        <v>157</v>
      </c>
      <c r="D1286" s="14">
        <v>1</v>
      </c>
      <c r="E1286" s="14">
        <v>0</v>
      </c>
      <c r="F1286" s="14">
        <v>1</v>
      </c>
      <c r="G1286" s="14">
        <v>0</v>
      </c>
      <c r="H1286" s="14">
        <v>24</v>
      </c>
      <c r="I1286" s="8" t="s">
        <v>38</v>
      </c>
      <c r="J1286" s="8" t="s">
        <v>38</v>
      </c>
      <c r="K1286">
        <v>60</v>
      </c>
      <c r="L1286">
        <v>36.125</v>
      </c>
      <c r="M1286" s="14">
        <v>4.875</v>
      </c>
      <c r="N1286" s="14">
        <v>6.75</v>
      </c>
      <c r="R1286" t="str">
        <f t="shared" si="64"/>
        <v xml:space="preserve">XX8X_PV_1943:    Front abuts stile:TRUE       Back abuts stile:TRUE          Panel Section: BOTTOM           Stile in the back Width: 24           Cutout A:           Cutout B:      F.C.:4.875 in.         C.C.:6.75 in.   </v>
      </c>
      <c r="S1286" t="str">
        <f t="shared" si="65"/>
        <v>TRUE</v>
      </c>
      <c r="T1286" t="str">
        <f t="shared" si="66"/>
        <v>TRUE</v>
      </c>
    </row>
    <row r="1287" spans="1:20">
      <c r="A1287" t="s">
        <v>1447</v>
      </c>
      <c r="B1287" s="14" t="s">
        <v>144</v>
      </c>
      <c r="C1287" s="14" t="s">
        <v>157</v>
      </c>
      <c r="D1287" s="14">
        <v>1</v>
      </c>
      <c r="E1287" s="14">
        <v>0</v>
      </c>
      <c r="F1287" s="14">
        <v>1</v>
      </c>
      <c r="G1287" s="14">
        <v>0</v>
      </c>
      <c r="H1287" s="14"/>
      <c r="I1287" s="8" t="s">
        <v>38</v>
      </c>
      <c r="J1287" s="8" t="s">
        <v>38</v>
      </c>
      <c r="K1287">
        <v>60</v>
      </c>
      <c r="L1287">
        <v>62.25</v>
      </c>
      <c r="M1287" s="14">
        <v>9</v>
      </c>
      <c r="N1287" s="14" t="s">
        <v>38</v>
      </c>
      <c r="R1287" t="str">
        <f t="shared" si="64"/>
        <v xml:space="preserve">XX8X_PV_1944:    Front abuts stile:TRUE       Back abuts stile:TRUE          Panel Section: BOTTOM           Stile in the back Width:            Cutout A:           Cutout B:      F.C.:9 in.         C.C.: in.   </v>
      </c>
      <c r="S1287" t="str">
        <f t="shared" si="65"/>
        <v>TRUE</v>
      </c>
      <c r="T1287" t="str">
        <f t="shared" si="66"/>
        <v>TRUE</v>
      </c>
    </row>
    <row r="1288" spans="1:20">
      <c r="A1288" t="s">
        <v>1448</v>
      </c>
      <c r="B1288" s="14" t="s">
        <v>144</v>
      </c>
      <c r="C1288" s="14" t="s">
        <v>157</v>
      </c>
      <c r="D1288" s="14">
        <v>1</v>
      </c>
      <c r="E1288" s="14">
        <v>0</v>
      </c>
      <c r="F1288" s="14">
        <v>1</v>
      </c>
      <c r="G1288" s="14">
        <v>1</v>
      </c>
      <c r="H1288" s="14"/>
      <c r="I1288" s="8" t="s">
        <v>38</v>
      </c>
      <c r="J1288" s="8" t="s">
        <v>38</v>
      </c>
      <c r="K1288">
        <v>60</v>
      </c>
      <c r="L1288">
        <v>30.875</v>
      </c>
      <c r="M1288" s="14">
        <v>1</v>
      </c>
      <c r="N1288" s="14">
        <v>4.5</v>
      </c>
      <c r="R1288" t="str">
        <f t="shared" si="64"/>
        <v xml:space="preserve">XX8X_PV_1945:    Front abuts stile:TRUE       Back abuts stile:TRUE          Panel Section: BOTTOM           Stile in the back Width:            Cutout A:           Cutout B:      F.C.:1 in.         C.C.:4.5 in.   </v>
      </c>
      <c r="S1288" t="str">
        <f t="shared" si="65"/>
        <v>TRUE</v>
      </c>
      <c r="T1288" t="str">
        <f t="shared" si="66"/>
        <v>TRUE</v>
      </c>
    </row>
    <row r="1289" spans="1:20">
      <c r="A1289" t="s">
        <v>1449</v>
      </c>
      <c r="B1289" s="14" t="s">
        <v>144</v>
      </c>
      <c r="C1289" s="14" t="s">
        <v>157</v>
      </c>
      <c r="D1289" s="14">
        <v>1</v>
      </c>
      <c r="E1289" s="14">
        <v>1</v>
      </c>
      <c r="F1289" s="14">
        <v>0</v>
      </c>
      <c r="G1289" s="14"/>
      <c r="H1289" s="14"/>
      <c r="I1289" s="8" t="s">
        <v>38</v>
      </c>
      <c r="J1289" s="8" t="s">
        <v>38</v>
      </c>
      <c r="K1289">
        <v>60</v>
      </c>
      <c r="L1289">
        <v>20.125</v>
      </c>
      <c r="M1289" s="14">
        <v>11.125</v>
      </c>
      <c r="N1289" s="14" t="s">
        <v>38</v>
      </c>
      <c r="R1289" t="str">
        <f t="shared" si="64"/>
        <v xml:space="preserve">XX8X_PV_1946:    Front abuts stile:TRUE       Back abuts stile:FALSE          Panel Section: BOTTOM           Stile in the back Width:            Cutout A:           Cutout B:      F.C.:11.125 in.         C.C.: in.   </v>
      </c>
      <c r="S1289" t="str">
        <f t="shared" si="65"/>
        <v>TRUE</v>
      </c>
      <c r="T1289" t="str">
        <f t="shared" si="66"/>
        <v>FALSE</v>
      </c>
    </row>
    <row r="1290" spans="1:20">
      <c r="A1290" t="s">
        <v>1450</v>
      </c>
      <c r="B1290" s="14" t="s">
        <v>144</v>
      </c>
      <c r="C1290" s="14" t="s">
        <v>157</v>
      </c>
      <c r="D1290" s="14">
        <v>1</v>
      </c>
      <c r="E1290" s="14">
        <v>1</v>
      </c>
      <c r="F1290" s="14">
        <v>1</v>
      </c>
      <c r="G1290" s="14">
        <v>0</v>
      </c>
      <c r="H1290" s="14">
        <v>12</v>
      </c>
      <c r="I1290" s="8" t="s">
        <v>35</v>
      </c>
      <c r="J1290" s="8" t="s">
        <v>38</v>
      </c>
      <c r="K1290">
        <v>60</v>
      </c>
      <c r="L1290">
        <v>47.9375</v>
      </c>
      <c r="M1290" s="14">
        <v>1</v>
      </c>
      <c r="N1290" s="14">
        <v>5.125</v>
      </c>
      <c r="R1290" t="str">
        <f t="shared" si="64"/>
        <v xml:space="preserve">XX8X_PV_1947:    Front abuts stile:TRUE       Back abuts stile:TRUE          Panel Section: BOTTOM           Stile in the back Width: 12           Cutout A: B-357          Cutout B:      F.C.:1 in.         C.C.:5.125 in.   </v>
      </c>
      <c r="S1290" t="str">
        <f t="shared" si="65"/>
        <v>TRUE</v>
      </c>
      <c r="T1290" t="str">
        <f t="shared" si="66"/>
        <v>TRUE</v>
      </c>
    </row>
    <row r="1291" spans="1:20">
      <c r="A1291" t="s">
        <v>1451</v>
      </c>
      <c r="B1291" s="14" t="s">
        <v>144</v>
      </c>
      <c r="C1291" s="14" t="s">
        <v>157</v>
      </c>
      <c r="D1291" s="14">
        <v>1</v>
      </c>
      <c r="E1291" s="14">
        <v>1</v>
      </c>
      <c r="F1291" s="14">
        <v>1</v>
      </c>
      <c r="G1291" s="14">
        <v>0</v>
      </c>
      <c r="H1291" s="14">
        <v>24</v>
      </c>
      <c r="I1291" s="8" t="s">
        <v>151</v>
      </c>
      <c r="J1291" s="8" t="s">
        <v>38</v>
      </c>
      <c r="K1291">
        <v>60</v>
      </c>
      <c r="L1291">
        <v>52.875</v>
      </c>
      <c r="M1291" s="14">
        <v>9</v>
      </c>
      <c r="N1291" s="14">
        <v>1</v>
      </c>
      <c r="R1291" t="str">
        <f t="shared" si="64"/>
        <v xml:space="preserve">XX8X_PV_1948:    Front abuts stile:TRUE       Back abuts stile:TRUE          Panel Section: BOTTOM           Stile in the back Width: 24           Cutout A: B-35715          Cutout B:      F.C.:9 in.         C.C.:1 in.   </v>
      </c>
      <c r="S1291" t="str">
        <f t="shared" si="65"/>
        <v>TRUE</v>
      </c>
      <c r="T1291" t="str">
        <f t="shared" si="66"/>
        <v>TRUE</v>
      </c>
    </row>
    <row r="1292" spans="1:20">
      <c r="A1292" t="s">
        <v>1452</v>
      </c>
      <c r="B1292" s="14" t="s">
        <v>144</v>
      </c>
      <c r="C1292" s="14" t="s">
        <v>157</v>
      </c>
      <c r="D1292" s="14">
        <v>1</v>
      </c>
      <c r="E1292" s="14">
        <v>1</v>
      </c>
      <c r="F1292" s="14">
        <v>1</v>
      </c>
      <c r="G1292" s="14">
        <v>0</v>
      </c>
      <c r="H1292" s="14"/>
      <c r="I1292" s="8" t="s">
        <v>38</v>
      </c>
      <c r="J1292" s="8" t="s">
        <v>38</v>
      </c>
      <c r="K1292">
        <v>60</v>
      </c>
      <c r="L1292">
        <v>55</v>
      </c>
      <c r="M1292" s="14">
        <v>2.5625</v>
      </c>
      <c r="N1292" s="14">
        <v>7.25</v>
      </c>
      <c r="R1292" t="str">
        <f t="shared" si="64"/>
        <v xml:space="preserve">XX8X_PV_1949:    Front abuts stile:TRUE       Back abuts stile:TRUE          Panel Section: BOTTOM           Stile in the back Width:            Cutout A:           Cutout B:      F.C.:2.5625 in.         C.C.:7.25 in.   </v>
      </c>
      <c r="S1292" t="str">
        <f t="shared" si="65"/>
        <v>TRUE</v>
      </c>
      <c r="T1292" t="str">
        <f t="shared" si="66"/>
        <v>TRUE</v>
      </c>
    </row>
    <row r="1293" spans="1:20">
      <c r="A1293" t="s">
        <v>1453</v>
      </c>
      <c r="B1293" s="14" t="s">
        <v>144</v>
      </c>
      <c r="C1293" s="14" t="s">
        <v>157</v>
      </c>
      <c r="D1293" s="14">
        <v>1</v>
      </c>
      <c r="E1293" s="14">
        <v>1</v>
      </c>
      <c r="F1293" s="14">
        <v>1</v>
      </c>
      <c r="G1293" s="14">
        <v>1</v>
      </c>
      <c r="H1293" s="14"/>
      <c r="I1293" s="8" t="s">
        <v>38</v>
      </c>
      <c r="J1293" s="8" t="s">
        <v>38</v>
      </c>
      <c r="K1293">
        <v>60</v>
      </c>
      <c r="L1293">
        <v>65.625</v>
      </c>
      <c r="M1293" s="14">
        <v>5.375</v>
      </c>
      <c r="N1293" s="14">
        <v>1</v>
      </c>
      <c r="R1293" t="str">
        <f t="shared" si="64"/>
        <v xml:space="preserve">XX8X_PV_1950:    Front abuts stile:TRUE       Back abuts stile:TRUE          Panel Section: BOTTOM           Stile in the back Width:            Cutout A:           Cutout B:      F.C.:5.375 in.         C.C.:1 in.   </v>
      </c>
      <c r="S1293" t="str">
        <f t="shared" si="65"/>
        <v>TRUE</v>
      </c>
      <c r="T1293" t="str">
        <f t="shared" si="66"/>
        <v>TRUE</v>
      </c>
    </row>
    <row r="1294" spans="1:20">
      <c r="A1294" t="s">
        <v>1454</v>
      </c>
      <c r="B1294" s="14" t="s">
        <v>144</v>
      </c>
      <c r="C1294" s="14" t="s">
        <v>21</v>
      </c>
      <c r="D1294" s="14">
        <v>0</v>
      </c>
      <c r="E1294" s="14"/>
      <c r="F1294" s="14">
        <v>0</v>
      </c>
      <c r="G1294" s="14"/>
      <c r="H1294" s="14"/>
      <c r="I1294" s="8" t="s">
        <v>151</v>
      </c>
      <c r="J1294" s="8" t="s">
        <v>38</v>
      </c>
      <c r="K1294">
        <v>93.0625</v>
      </c>
      <c r="L1294">
        <v>47.375</v>
      </c>
      <c r="M1294" s="14">
        <v>4.5</v>
      </c>
      <c r="N1294" s="14">
        <v>5.0625</v>
      </c>
      <c r="R1294" t="str">
        <f t="shared" si="64"/>
        <v xml:space="preserve">XX8X_PV_1951:    Front abuts stile:FALSE       Back abuts stile:FALSE          Panel Section: WHOLE           Stile in the back Width:            Cutout A: B-35715          Cutout B:      F.C.:4.5 in.         C.C.:5.0625 in.   </v>
      </c>
      <c r="S1294" t="str">
        <f t="shared" si="65"/>
        <v>FALSE</v>
      </c>
      <c r="T1294" t="str">
        <f t="shared" si="66"/>
        <v>FALSE</v>
      </c>
    </row>
    <row r="1295" spans="1:20">
      <c r="A1295" t="s">
        <v>1455</v>
      </c>
      <c r="B1295" s="14" t="s">
        <v>144</v>
      </c>
      <c r="C1295" s="14" t="s">
        <v>21</v>
      </c>
      <c r="D1295" s="14">
        <v>0</v>
      </c>
      <c r="E1295" s="14"/>
      <c r="F1295" s="14">
        <v>1</v>
      </c>
      <c r="G1295" s="14">
        <v>0</v>
      </c>
      <c r="H1295" s="14">
        <v>12</v>
      </c>
      <c r="I1295" s="8" t="s">
        <v>121</v>
      </c>
      <c r="J1295" s="8" t="s">
        <v>38</v>
      </c>
      <c r="K1295">
        <v>99.6875</v>
      </c>
      <c r="L1295">
        <v>48.375</v>
      </c>
      <c r="M1295" s="14">
        <v>4.5</v>
      </c>
      <c r="N1295" s="14">
        <v>7</v>
      </c>
      <c r="R1295" t="str">
        <f t="shared" si="64"/>
        <v xml:space="preserve">XX8X_PV_1952:    Front abuts stile:FALSE       Back abuts stile:TRUE          Panel Section: WHOLE           Stile in the back Width: 12           Cutout A: B-4354          Cutout B:      F.C.:4.5 in.         C.C.:7 in.   </v>
      </c>
      <c r="S1295" t="str">
        <f t="shared" si="65"/>
        <v>FALSE</v>
      </c>
      <c r="T1295" t="str">
        <f t="shared" si="66"/>
        <v>TRUE</v>
      </c>
    </row>
    <row r="1296" spans="1:20">
      <c r="A1296" t="s">
        <v>1456</v>
      </c>
      <c r="B1296" s="14" t="s">
        <v>144</v>
      </c>
      <c r="C1296" s="14" t="s">
        <v>21</v>
      </c>
      <c r="D1296" s="14">
        <v>0</v>
      </c>
      <c r="E1296" s="14"/>
      <c r="F1296" s="14">
        <v>1</v>
      </c>
      <c r="G1296" s="14">
        <v>0</v>
      </c>
      <c r="H1296" s="14">
        <v>24</v>
      </c>
      <c r="I1296" s="8" t="s">
        <v>148</v>
      </c>
      <c r="J1296" s="8" t="s">
        <v>38</v>
      </c>
      <c r="K1296">
        <v>81.4375</v>
      </c>
      <c r="L1296">
        <v>79.6875</v>
      </c>
      <c r="M1296" s="14">
        <v>12</v>
      </c>
      <c r="N1296" s="14">
        <v>4.6875</v>
      </c>
      <c r="R1296" t="str">
        <f t="shared" si="64"/>
        <v xml:space="preserve">XX8X_PV_1953:    Front abuts stile:FALSE       Back abuts stile:TRUE          Panel Section: WHOLE           Stile in the back Width: 24           Cutout A: B-3471          Cutout B:      F.C.:12 in.         C.C.:4.6875 in.   </v>
      </c>
      <c r="S1296" t="str">
        <f t="shared" si="65"/>
        <v>FALSE</v>
      </c>
      <c r="T1296" t="str">
        <f t="shared" si="66"/>
        <v>TRUE</v>
      </c>
    </row>
    <row r="1297" spans="1:20">
      <c r="A1297" t="s">
        <v>1457</v>
      </c>
      <c r="B1297" s="14" t="s">
        <v>144</v>
      </c>
      <c r="C1297" s="14" t="s">
        <v>21</v>
      </c>
      <c r="D1297" s="14">
        <v>0</v>
      </c>
      <c r="E1297" s="14"/>
      <c r="F1297" s="14">
        <v>1</v>
      </c>
      <c r="G1297" s="14">
        <v>0</v>
      </c>
      <c r="H1297" s="14"/>
      <c r="I1297" s="8" t="s">
        <v>38</v>
      </c>
      <c r="J1297" s="8" t="s">
        <v>38</v>
      </c>
      <c r="K1297">
        <v>54.125</v>
      </c>
      <c r="L1297">
        <v>44.3125</v>
      </c>
      <c r="M1297" s="14">
        <v>1</v>
      </c>
      <c r="N1297" s="14">
        <v>6.625</v>
      </c>
      <c r="R1297" t="str">
        <f t="shared" si="64"/>
        <v xml:space="preserve">XX8X_PV_1954:    Front abuts stile:FALSE       Back abuts stile:TRUE          Panel Section: WHOLE           Stile in the back Width:            Cutout A:           Cutout B:      F.C.:1 in.         C.C.:6.625 in.   </v>
      </c>
      <c r="S1297" t="str">
        <f t="shared" si="65"/>
        <v>FALSE</v>
      </c>
      <c r="T1297" t="str">
        <f t="shared" si="66"/>
        <v>TRUE</v>
      </c>
    </row>
    <row r="1298" spans="1:20">
      <c r="A1298" t="s">
        <v>1458</v>
      </c>
      <c r="B1298" s="14" t="s">
        <v>144</v>
      </c>
      <c r="C1298" s="14" t="s">
        <v>21</v>
      </c>
      <c r="D1298" s="14">
        <v>0</v>
      </c>
      <c r="E1298" s="14"/>
      <c r="F1298" s="14">
        <v>1</v>
      </c>
      <c r="G1298" s="14">
        <v>1</v>
      </c>
      <c r="H1298" s="14"/>
      <c r="I1298" s="8" t="s">
        <v>38</v>
      </c>
      <c r="J1298" s="8" t="s">
        <v>38</v>
      </c>
      <c r="K1298">
        <v>86.0625</v>
      </c>
      <c r="L1298">
        <v>63.4375</v>
      </c>
      <c r="M1298" s="14">
        <v>4.5</v>
      </c>
      <c r="N1298" s="14">
        <v>4.9375</v>
      </c>
      <c r="R1298" t="str">
        <f t="shared" si="64"/>
        <v xml:space="preserve">XX8X_PV_1955:    Front abuts stile:FALSE       Back abuts stile:TRUE          Panel Section: WHOLE           Stile in the back Width:            Cutout A:           Cutout B:      F.C.:4.5 in.         C.C.:4.9375 in.   </v>
      </c>
      <c r="S1298" t="str">
        <f t="shared" si="65"/>
        <v>FALSE</v>
      </c>
      <c r="T1298" t="str">
        <f t="shared" si="66"/>
        <v>TRUE</v>
      </c>
    </row>
    <row r="1299" spans="1:20">
      <c r="A1299" t="s">
        <v>1459</v>
      </c>
      <c r="B1299" s="14" t="s">
        <v>144</v>
      </c>
      <c r="C1299" s="14" t="s">
        <v>21</v>
      </c>
      <c r="D1299" s="14">
        <v>1</v>
      </c>
      <c r="E1299" s="14">
        <v>0</v>
      </c>
      <c r="F1299" s="14">
        <v>0</v>
      </c>
      <c r="G1299" s="14"/>
      <c r="H1299" s="14"/>
      <c r="I1299" s="8" t="s">
        <v>38</v>
      </c>
      <c r="J1299" s="8" t="s">
        <v>38</v>
      </c>
      <c r="K1299">
        <v>81.6875</v>
      </c>
      <c r="L1299">
        <v>5.9375</v>
      </c>
      <c r="M1299" s="14">
        <v>1</v>
      </c>
      <c r="N1299" s="14">
        <v>8.5</v>
      </c>
      <c r="R1299" t="str">
        <f t="shared" si="64"/>
        <v xml:space="preserve">XX8X_PV_1956:    Front abuts stile:TRUE       Back abuts stile:FALSE          Panel Section: WHOLE           Stile in the back Width:            Cutout A:           Cutout B:      F.C.:1 in.         C.C.:8.5 in.   </v>
      </c>
      <c r="S1299" t="str">
        <f t="shared" si="65"/>
        <v>TRUE</v>
      </c>
      <c r="T1299" t="str">
        <f t="shared" si="66"/>
        <v>FALSE</v>
      </c>
    </row>
    <row r="1300" spans="1:20">
      <c r="A1300" t="s">
        <v>1460</v>
      </c>
      <c r="B1300" s="14" t="s">
        <v>144</v>
      </c>
      <c r="C1300" s="14" t="s">
        <v>21</v>
      </c>
      <c r="D1300" s="14">
        <v>1</v>
      </c>
      <c r="E1300" s="14">
        <v>0</v>
      </c>
      <c r="F1300" s="14">
        <v>1</v>
      </c>
      <c r="G1300" s="14">
        <v>0</v>
      </c>
      <c r="H1300" s="14">
        <v>12</v>
      </c>
      <c r="I1300" s="8" t="s">
        <v>121</v>
      </c>
      <c r="J1300" s="8" t="s">
        <v>38</v>
      </c>
      <c r="K1300">
        <v>86.0625</v>
      </c>
      <c r="L1300">
        <v>43.6875</v>
      </c>
      <c r="M1300" s="14">
        <v>1</v>
      </c>
      <c r="N1300" s="14">
        <v>4.9375</v>
      </c>
      <c r="R1300" t="str">
        <f t="shared" si="64"/>
        <v xml:space="preserve">XX8X_PV_1957:    Front abuts stile:TRUE       Back abuts stile:TRUE          Panel Section: WHOLE           Stile in the back Width: 12           Cutout A: B-4354          Cutout B:      F.C.:1 in.         C.C.:4.9375 in.   </v>
      </c>
      <c r="S1300" t="str">
        <f t="shared" si="65"/>
        <v>TRUE</v>
      </c>
      <c r="T1300" t="str">
        <f t="shared" si="66"/>
        <v>TRUE</v>
      </c>
    </row>
    <row r="1301" spans="1:20">
      <c r="A1301" t="s">
        <v>1461</v>
      </c>
      <c r="B1301" s="14" t="s">
        <v>144</v>
      </c>
      <c r="C1301" s="14" t="s">
        <v>21</v>
      </c>
      <c r="D1301" s="14">
        <v>1</v>
      </c>
      <c r="E1301" s="14">
        <v>0</v>
      </c>
      <c r="F1301" s="14">
        <v>1</v>
      </c>
      <c r="G1301" s="14">
        <v>0</v>
      </c>
      <c r="H1301" s="14">
        <v>24</v>
      </c>
      <c r="I1301" s="8" t="s">
        <v>149</v>
      </c>
      <c r="J1301" s="8" t="s">
        <v>38</v>
      </c>
      <c r="K1301">
        <v>96</v>
      </c>
      <c r="L1301">
        <v>45.6875</v>
      </c>
      <c r="M1301" s="14">
        <v>1</v>
      </c>
      <c r="N1301" s="14">
        <v>4.375</v>
      </c>
      <c r="R1301" t="str">
        <f t="shared" si="64"/>
        <v xml:space="preserve">XX8X_PV_1958:    Front abuts stile:TRUE       Back abuts stile:TRUE          Panel Section: WHOLE           Stile in the back Width: 24           Cutout A: B-34715          Cutout B:      F.C.:1 in.         C.C.:4.375 in.   </v>
      </c>
      <c r="S1301" t="str">
        <f t="shared" si="65"/>
        <v>TRUE</v>
      </c>
      <c r="T1301" t="str">
        <f t="shared" si="66"/>
        <v>TRUE</v>
      </c>
    </row>
    <row r="1302" spans="1:20">
      <c r="A1302" t="s">
        <v>1462</v>
      </c>
      <c r="B1302" s="14" t="s">
        <v>144</v>
      </c>
      <c r="C1302" s="14" t="s">
        <v>21</v>
      </c>
      <c r="D1302" s="14">
        <v>1</v>
      </c>
      <c r="E1302" s="14">
        <v>0</v>
      </c>
      <c r="F1302" s="14">
        <v>1</v>
      </c>
      <c r="G1302" s="14">
        <v>0</v>
      </c>
      <c r="H1302" s="14"/>
      <c r="I1302" s="8" t="s">
        <v>38</v>
      </c>
      <c r="J1302" s="8" t="s">
        <v>38</v>
      </c>
      <c r="K1302">
        <v>74.625</v>
      </c>
      <c r="L1302">
        <v>76.375</v>
      </c>
      <c r="M1302" s="14">
        <v>12</v>
      </c>
      <c r="N1302" s="14">
        <v>5</v>
      </c>
      <c r="R1302" t="str">
        <f t="shared" si="64"/>
        <v xml:space="preserve">XX8X_PV_1959:    Front abuts stile:TRUE       Back abuts stile:TRUE          Panel Section: WHOLE           Stile in the back Width:            Cutout A:           Cutout B:      F.C.:12 in.         C.C.:5 in.   </v>
      </c>
      <c r="S1302" t="str">
        <f t="shared" si="65"/>
        <v>TRUE</v>
      </c>
      <c r="T1302" t="str">
        <f t="shared" si="66"/>
        <v>TRUE</v>
      </c>
    </row>
    <row r="1303" spans="1:20">
      <c r="A1303" t="s">
        <v>1463</v>
      </c>
      <c r="B1303" s="14" t="s">
        <v>144</v>
      </c>
      <c r="C1303" s="14" t="s">
        <v>21</v>
      </c>
      <c r="D1303" s="14">
        <v>1</v>
      </c>
      <c r="E1303" s="14">
        <v>0</v>
      </c>
      <c r="F1303" s="14">
        <v>1</v>
      </c>
      <c r="G1303" s="14">
        <v>1</v>
      </c>
      <c r="H1303" s="14"/>
      <c r="I1303" s="8" t="s">
        <v>38</v>
      </c>
      <c r="J1303" s="8" t="s">
        <v>38</v>
      </c>
      <c r="K1303">
        <v>61.5625</v>
      </c>
      <c r="L1303">
        <v>5.0625</v>
      </c>
      <c r="M1303" s="14">
        <v>4.5</v>
      </c>
      <c r="N1303" s="14">
        <v>7.6875</v>
      </c>
      <c r="R1303" t="str">
        <f t="shared" si="64"/>
        <v xml:space="preserve">XX8X_PV_1960:    Front abuts stile:TRUE       Back abuts stile:TRUE          Panel Section: WHOLE           Stile in the back Width:            Cutout A:           Cutout B:      F.C.:4.5 in.         C.C.:7.6875 in.   </v>
      </c>
      <c r="S1303" t="str">
        <f t="shared" si="65"/>
        <v>TRUE</v>
      </c>
      <c r="T1303" t="str">
        <f t="shared" si="66"/>
        <v>TRUE</v>
      </c>
    </row>
    <row r="1304" spans="1:20">
      <c r="A1304" t="s">
        <v>1464</v>
      </c>
      <c r="B1304" s="14" t="s">
        <v>144</v>
      </c>
      <c r="C1304" s="14" t="s">
        <v>21</v>
      </c>
      <c r="D1304" s="14">
        <v>1</v>
      </c>
      <c r="E1304" s="14">
        <v>1</v>
      </c>
      <c r="F1304" s="14">
        <v>0</v>
      </c>
      <c r="G1304" s="14"/>
      <c r="H1304" s="14"/>
      <c r="I1304" s="8" t="s">
        <v>120</v>
      </c>
      <c r="J1304" s="8" t="s">
        <v>38</v>
      </c>
      <c r="K1304">
        <v>87.75</v>
      </c>
      <c r="L1304">
        <v>57.625</v>
      </c>
      <c r="M1304" s="14">
        <v>10.9375</v>
      </c>
      <c r="N1304" s="14">
        <v>5.8125</v>
      </c>
      <c r="R1304" t="str">
        <f t="shared" si="64"/>
        <v xml:space="preserve">XX8X_PV_1961:    Front abuts stile:TRUE       Back abuts stile:FALSE          Panel Section: WHOLE           Stile in the back Width:            Cutout A: B-386          Cutout B:      F.C.:10.9375 in.         C.C.:5.8125 in.   </v>
      </c>
      <c r="S1304" t="str">
        <f t="shared" si="65"/>
        <v>TRUE</v>
      </c>
      <c r="T1304" t="str">
        <f t="shared" si="66"/>
        <v>FALSE</v>
      </c>
    </row>
    <row r="1305" spans="1:20">
      <c r="A1305" t="s">
        <v>1465</v>
      </c>
      <c r="B1305" s="14" t="s">
        <v>144</v>
      </c>
      <c r="C1305" s="14" t="s">
        <v>21</v>
      </c>
      <c r="D1305" s="14">
        <v>1</v>
      </c>
      <c r="E1305" s="14">
        <v>1</v>
      </c>
      <c r="F1305" s="14">
        <v>1</v>
      </c>
      <c r="G1305" s="14">
        <v>0</v>
      </c>
      <c r="H1305" s="14">
        <v>12</v>
      </c>
      <c r="I1305" s="8" t="s">
        <v>35</v>
      </c>
      <c r="J1305" s="8" t="s">
        <v>38</v>
      </c>
      <c r="K1305">
        <v>96</v>
      </c>
      <c r="L1305">
        <v>71.6875</v>
      </c>
      <c r="M1305" s="14">
        <v>4.5</v>
      </c>
      <c r="N1305" s="14">
        <v>8.25</v>
      </c>
      <c r="R1305" t="str">
        <f t="shared" si="64"/>
        <v xml:space="preserve">XX8X_PV_1962:    Front abuts stile:TRUE       Back abuts stile:TRUE          Panel Section: WHOLE           Stile in the back Width: 12           Cutout A: B-357          Cutout B:      F.C.:4.5 in.         C.C.:8.25 in.   </v>
      </c>
      <c r="S1305" t="str">
        <f t="shared" si="65"/>
        <v>TRUE</v>
      </c>
      <c r="T1305" t="str">
        <f t="shared" si="66"/>
        <v>TRUE</v>
      </c>
    </row>
    <row r="1306" spans="1:20">
      <c r="A1306" t="s">
        <v>1466</v>
      </c>
      <c r="B1306" s="14" t="s">
        <v>144</v>
      </c>
      <c r="C1306" s="14" t="s">
        <v>21</v>
      </c>
      <c r="D1306" s="14">
        <v>1</v>
      </c>
      <c r="E1306" s="14">
        <v>1</v>
      </c>
      <c r="F1306" s="14">
        <v>1</v>
      </c>
      <c r="G1306" s="14">
        <v>0</v>
      </c>
      <c r="H1306" s="14">
        <v>24</v>
      </c>
      <c r="I1306" s="8" t="s">
        <v>35</v>
      </c>
      <c r="J1306" s="8" t="s">
        <v>38</v>
      </c>
      <c r="K1306">
        <v>55.1875</v>
      </c>
      <c r="L1306">
        <v>70.5625</v>
      </c>
      <c r="M1306" s="14">
        <v>1</v>
      </c>
      <c r="N1306" s="14" t="s">
        <v>38</v>
      </c>
      <c r="R1306" t="str">
        <f t="shared" si="64"/>
        <v xml:space="preserve">XX8X_PV_1963:    Front abuts stile:TRUE       Back abuts stile:TRUE          Panel Section: WHOLE           Stile in the back Width: 24           Cutout A: B-357          Cutout B:      F.C.:1 in.         C.C.: in.   </v>
      </c>
      <c r="S1306" t="str">
        <f t="shared" si="65"/>
        <v>TRUE</v>
      </c>
      <c r="T1306" t="str">
        <f t="shared" si="66"/>
        <v>TRUE</v>
      </c>
    </row>
    <row r="1307" spans="1:20">
      <c r="A1307" t="s">
        <v>1467</v>
      </c>
      <c r="B1307" s="14" t="s">
        <v>144</v>
      </c>
      <c r="C1307" s="14" t="s">
        <v>21</v>
      </c>
      <c r="D1307" s="14">
        <v>1</v>
      </c>
      <c r="E1307" s="14">
        <v>1</v>
      </c>
      <c r="F1307" s="14">
        <v>1</v>
      </c>
      <c r="G1307" s="14">
        <v>0</v>
      </c>
      <c r="H1307" s="14"/>
      <c r="I1307" s="8" t="s">
        <v>38</v>
      </c>
      <c r="J1307" s="8" t="s">
        <v>38</v>
      </c>
      <c r="K1307">
        <v>78.5</v>
      </c>
      <c r="L1307">
        <v>41.6875</v>
      </c>
      <c r="M1307" s="14">
        <v>1</v>
      </c>
      <c r="N1307" s="14">
        <v>1</v>
      </c>
      <c r="R1307" t="str">
        <f t="shared" si="64"/>
        <v xml:space="preserve">XX8X_PV_1964:    Front abuts stile:TRUE       Back abuts stile:TRUE          Panel Section: WHOLE           Stile in the back Width:            Cutout A:           Cutout B:      F.C.:1 in.         C.C.:1 in.   </v>
      </c>
      <c r="S1307" t="str">
        <f t="shared" si="65"/>
        <v>TRUE</v>
      </c>
      <c r="T1307" t="str">
        <f t="shared" si="66"/>
        <v>TRUE</v>
      </c>
    </row>
    <row r="1308" spans="1:20" ht="15" thickBot="1">
      <c r="A1308" t="s">
        <v>1468</v>
      </c>
      <c r="B1308" s="14" t="s">
        <v>144</v>
      </c>
      <c r="C1308" s="50" t="s">
        <v>21</v>
      </c>
      <c r="D1308" s="50">
        <v>1</v>
      </c>
      <c r="E1308" s="50">
        <v>1</v>
      </c>
      <c r="F1308" s="50">
        <v>1</v>
      </c>
      <c r="G1308" s="50">
        <v>1</v>
      </c>
      <c r="H1308" s="50"/>
      <c r="I1308" s="51" t="s">
        <v>38</v>
      </c>
      <c r="J1308" s="51" t="s">
        <v>38</v>
      </c>
      <c r="K1308" s="49">
        <v>39.5625</v>
      </c>
      <c r="L1308" s="49">
        <v>68</v>
      </c>
      <c r="M1308" s="50">
        <v>12</v>
      </c>
      <c r="N1308" s="14">
        <v>1.25</v>
      </c>
      <c r="R1308" t="str">
        <f t="shared" si="64"/>
        <v xml:space="preserve">XX8X_PV_1965:    Front abuts stile:TRUE       Back abuts stile:TRUE          Panel Section: WHOLE           Stile in the back Width:            Cutout A:           Cutout B:      F.C.:12 in.         C.C.:1.25 in.   </v>
      </c>
      <c r="S1308" t="str">
        <f t="shared" si="65"/>
        <v>TRUE</v>
      </c>
      <c r="T1308" t="str">
        <f t="shared" si="66"/>
        <v>TRUE</v>
      </c>
    </row>
    <row r="1309" spans="1:20" ht="15" thickTop="1">
      <c r="A1309" t="s">
        <v>1469</v>
      </c>
      <c r="B1309" s="14" t="s">
        <v>144</v>
      </c>
      <c r="C1309" s="14" t="s">
        <v>156</v>
      </c>
      <c r="D1309" s="19">
        <v>0</v>
      </c>
      <c r="E1309" s="19"/>
      <c r="F1309" s="19">
        <v>0</v>
      </c>
      <c r="G1309" s="19"/>
      <c r="H1309" s="14"/>
      <c r="I1309" s="8" t="s">
        <v>35</v>
      </c>
      <c r="J1309" s="8" t="s">
        <v>38</v>
      </c>
      <c r="K1309">
        <v>34.6875</v>
      </c>
      <c r="L1309">
        <v>47.125</v>
      </c>
      <c r="M1309" s="14">
        <v>4.5</v>
      </c>
      <c r="N1309" s="14" t="s">
        <v>38</v>
      </c>
      <c r="R1309" t="str">
        <f t="shared" si="64"/>
        <v xml:space="preserve">XX8X_PV_1966:    Front abuts stile:FALSE       Back abuts stile:FALSE          Panel Section: TOP           Stile in the back Width:            Cutout A: B-357          Cutout B:      F.C.:4.5 in.         C.C.: in.   </v>
      </c>
      <c r="S1309" t="str">
        <f t="shared" si="65"/>
        <v>FALSE</v>
      </c>
      <c r="T1309" t="str">
        <f t="shared" si="66"/>
        <v>FALSE</v>
      </c>
    </row>
    <row r="1310" spans="1:20">
      <c r="A1310" t="s">
        <v>1470</v>
      </c>
      <c r="B1310" s="14" t="s">
        <v>144</v>
      </c>
      <c r="C1310" s="14" t="s">
        <v>156</v>
      </c>
      <c r="D1310" s="14">
        <v>0</v>
      </c>
      <c r="E1310" s="14"/>
      <c r="F1310" s="14">
        <v>1</v>
      </c>
      <c r="G1310" s="14">
        <v>0</v>
      </c>
      <c r="H1310" s="14">
        <v>12</v>
      </c>
      <c r="I1310" s="8" t="s">
        <v>145</v>
      </c>
      <c r="J1310" s="8" t="s">
        <v>38</v>
      </c>
      <c r="K1310">
        <v>48.5</v>
      </c>
      <c r="L1310">
        <v>51.1875</v>
      </c>
      <c r="M1310" s="14">
        <v>12</v>
      </c>
      <c r="N1310" s="14">
        <v>7.6875</v>
      </c>
      <c r="R1310" t="str">
        <f t="shared" si="64"/>
        <v xml:space="preserve">XX8X_PV_1967:    Front abuts stile:FALSE       Back abuts stile:TRUE          Panel Section: TOP           Stile in the back Width: 12           Cutout A: B-347          Cutout B:      F.C.:12 in.         C.C.:7.6875 in.   </v>
      </c>
      <c r="S1310" t="str">
        <f t="shared" si="65"/>
        <v>FALSE</v>
      </c>
      <c r="T1310" t="str">
        <f t="shared" si="66"/>
        <v>TRUE</v>
      </c>
    </row>
    <row r="1311" spans="1:20">
      <c r="A1311" t="s">
        <v>1471</v>
      </c>
      <c r="B1311" s="14" t="s">
        <v>144</v>
      </c>
      <c r="C1311" s="14" t="s">
        <v>156</v>
      </c>
      <c r="D1311" s="14">
        <v>0</v>
      </c>
      <c r="E1311" s="14"/>
      <c r="F1311" s="14">
        <v>1</v>
      </c>
      <c r="G1311" s="14">
        <v>0</v>
      </c>
      <c r="H1311" s="14">
        <v>24</v>
      </c>
      <c r="I1311" s="8" t="s">
        <v>121</v>
      </c>
      <c r="J1311" s="8" t="s">
        <v>38</v>
      </c>
      <c r="K1311">
        <v>23</v>
      </c>
      <c r="L1311">
        <v>53.5</v>
      </c>
      <c r="M1311" s="14">
        <v>1</v>
      </c>
      <c r="N1311" s="14" t="s">
        <v>38</v>
      </c>
      <c r="R1311" t="str">
        <f t="shared" si="64"/>
        <v xml:space="preserve">XX8X_PV_1968:    Front abuts stile:FALSE       Back abuts stile:TRUE          Panel Section: TOP           Stile in the back Width: 24           Cutout A: B-4354          Cutout B:      F.C.:1 in.         C.C.: in.   </v>
      </c>
      <c r="S1311" t="str">
        <f t="shared" si="65"/>
        <v>FALSE</v>
      </c>
      <c r="T1311" t="str">
        <f t="shared" si="66"/>
        <v>TRUE</v>
      </c>
    </row>
    <row r="1312" spans="1:20">
      <c r="A1312" t="s">
        <v>1472</v>
      </c>
      <c r="B1312" s="14" t="s">
        <v>144</v>
      </c>
      <c r="C1312" s="14" t="s">
        <v>156</v>
      </c>
      <c r="D1312" s="14">
        <v>0</v>
      </c>
      <c r="E1312" s="14"/>
      <c r="F1312" s="14">
        <v>1</v>
      </c>
      <c r="G1312" s="14">
        <v>0</v>
      </c>
      <c r="H1312" s="14"/>
      <c r="I1312" s="8" t="s">
        <v>38</v>
      </c>
      <c r="J1312" s="8" t="s">
        <v>38</v>
      </c>
      <c r="K1312">
        <v>36.0625</v>
      </c>
      <c r="L1312">
        <v>55.8125</v>
      </c>
      <c r="M1312" s="14">
        <v>12</v>
      </c>
      <c r="N1312" s="14">
        <v>1</v>
      </c>
      <c r="R1312" t="str">
        <f t="shared" si="64"/>
        <v xml:space="preserve">XX8X_PV_1969:    Front abuts stile:FALSE       Back abuts stile:TRUE          Panel Section: TOP           Stile in the back Width:            Cutout A:           Cutout B:      F.C.:12 in.         C.C.:1 in.   </v>
      </c>
      <c r="S1312" t="str">
        <f t="shared" si="65"/>
        <v>FALSE</v>
      </c>
      <c r="T1312" t="str">
        <f t="shared" si="66"/>
        <v>TRUE</v>
      </c>
    </row>
    <row r="1313" spans="1:20">
      <c r="A1313" t="s">
        <v>1473</v>
      </c>
      <c r="B1313" s="14" t="s">
        <v>144</v>
      </c>
      <c r="C1313" s="14" t="s">
        <v>156</v>
      </c>
      <c r="D1313" s="14">
        <v>0</v>
      </c>
      <c r="E1313" s="14"/>
      <c r="F1313" s="14">
        <v>1</v>
      </c>
      <c r="G1313" s="14">
        <v>1</v>
      </c>
      <c r="H1313" s="14"/>
      <c r="I1313" s="8" t="s">
        <v>38</v>
      </c>
      <c r="J1313" s="8" t="s">
        <v>38</v>
      </c>
      <c r="K1313">
        <v>46</v>
      </c>
      <c r="L1313">
        <v>70.0625</v>
      </c>
      <c r="M1313" s="14">
        <v>7.375</v>
      </c>
      <c r="N1313" s="14" t="s">
        <v>38</v>
      </c>
      <c r="R1313" t="str">
        <f t="shared" si="64"/>
        <v xml:space="preserve">XX8X_PV_1970:    Front abuts stile:FALSE       Back abuts stile:TRUE          Panel Section: TOP           Stile in the back Width:            Cutout A:           Cutout B:      F.C.:7.375 in.         C.C.: in.   </v>
      </c>
      <c r="S1313" t="str">
        <f t="shared" si="65"/>
        <v>FALSE</v>
      </c>
      <c r="T1313" t="str">
        <f t="shared" si="66"/>
        <v>TRUE</v>
      </c>
    </row>
    <row r="1314" spans="1:20">
      <c r="A1314" t="s">
        <v>1474</v>
      </c>
      <c r="B1314" s="14" t="s">
        <v>144</v>
      </c>
      <c r="C1314" s="14" t="s">
        <v>156</v>
      </c>
      <c r="D1314" s="14">
        <v>1</v>
      </c>
      <c r="E1314" s="14">
        <v>0</v>
      </c>
      <c r="F1314" s="14">
        <v>0</v>
      </c>
      <c r="G1314" s="14"/>
      <c r="H1314" s="14"/>
      <c r="I1314" s="8" t="s">
        <v>121</v>
      </c>
      <c r="J1314" s="8" t="s">
        <v>38</v>
      </c>
      <c r="K1314">
        <v>7.5625</v>
      </c>
      <c r="L1314">
        <v>69.125</v>
      </c>
      <c r="M1314" s="14">
        <v>9</v>
      </c>
      <c r="N1314" s="14">
        <v>1.875</v>
      </c>
      <c r="R1314" t="str">
        <f t="shared" si="64"/>
        <v xml:space="preserve">XX8X_PV_1971:    Front abuts stile:TRUE       Back abuts stile:FALSE          Panel Section: TOP           Stile in the back Width:            Cutout A: B-4354          Cutout B:      F.C.:9 in.         C.C.:1.875 in.   </v>
      </c>
      <c r="S1314" t="str">
        <f t="shared" si="65"/>
        <v>TRUE</v>
      </c>
      <c r="T1314" t="str">
        <f t="shared" si="66"/>
        <v>FALSE</v>
      </c>
    </row>
    <row r="1315" spans="1:20">
      <c r="A1315" t="s">
        <v>1475</v>
      </c>
      <c r="B1315" s="14" t="s">
        <v>144</v>
      </c>
      <c r="C1315" s="14" t="s">
        <v>156</v>
      </c>
      <c r="D1315" s="14">
        <v>1</v>
      </c>
      <c r="E1315" s="14">
        <v>0</v>
      </c>
      <c r="F1315" s="14">
        <v>1</v>
      </c>
      <c r="G1315" s="14">
        <v>0</v>
      </c>
      <c r="H1315" s="14">
        <v>12</v>
      </c>
      <c r="I1315" s="8" t="s">
        <v>121</v>
      </c>
      <c r="J1315" s="8" t="s">
        <v>38</v>
      </c>
      <c r="K1315">
        <v>25.6875</v>
      </c>
      <c r="L1315">
        <v>41.5</v>
      </c>
      <c r="M1315" s="14">
        <v>9</v>
      </c>
      <c r="N1315" s="14">
        <v>5</v>
      </c>
      <c r="R1315" t="str">
        <f t="shared" si="64"/>
        <v xml:space="preserve">XX8X_PV_1972:    Front abuts stile:TRUE       Back abuts stile:TRUE          Panel Section: TOP           Stile in the back Width: 12           Cutout A: B-4354          Cutout B:      F.C.:9 in.         C.C.:5 in.   </v>
      </c>
      <c r="S1315" t="str">
        <f t="shared" si="65"/>
        <v>TRUE</v>
      </c>
      <c r="T1315" t="str">
        <f t="shared" si="66"/>
        <v>TRUE</v>
      </c>
    </row>
    <row r="1316" spans="1:20">
      <c r="A1316" t="s">
        <v>1476</v>
      </c>
      <c r="B1316" s="14" t="s">
        <v>144</v>
      </c>
      <c r="C1316" s="14" t="s">
        <v>156</v>
      </c>
      <c r="D1316" s="14">
        <v>1</v>
      </c>
      <c r="E1316" s="14">
        <v>0</v>
      </c>
      <c r="F1316" s="14">
        <v>1</v>
      </c>
      <c r="G1316" s="14">
        <v>0</v>
      </c>
      <c r="H1316" s="14">
        <v>24</v>
      </c>
      <c r="I1316" s="8" t="s">
        <v>120</v>
      </c>
      <c r="J1316" s="8" t="s">
        <v>38</v>
      </c>
      <c r="K1316">
        <v>8.5</v>
      </c>
      <c r="L1316">
        <v>58.5</v>
      </c>
      <c r="M1316" s="14">
        <v>4.5</v>
      </c>
      <c r="N1316" s="14">
        <v>6.4375</v>
      </c>
      <c r="R1316" t="str">
        <f t="shared" si="64"/>
        <v xml:space="preserve">XX8X_PV_1973:    Front abuts stile:TRUE       Back abuts stile:TRUE          Panel Section: TOP           Stile in the back Width: 24           Cutout A: B-386          Cutout B:      F.C.:4.5 in.         C.C.:6.4375 in.   </v>
      </c>
      <c r="S1316" t="str">
        <f t="shared" si="65"/>
        <v>TRUE</v>
      </c>
      <c r="T1316" t="str">
        <f t="shared" si="66"/>
        <v>TRUE</v>
      </c>
    </row>
    <row r="1317" spans="1:20">
      <c r="A1317" t="s">
        <v>1477</v>
      </c>
      <c r="B1317" s="14" t="s">
        <v>144</v>
      </c>
      <c r="C1317" s="14" t="s">
        <v>156</v>
      </c>
      <c r="D1317" s="14">
        <v>1</v>
      </c>
      <c r="E1317" s="14">
        <v>0</v>
      </c>
      <c r="F1317" s="14">
        <v>1</v>
      </c>
      <c r="G1317" s="14">
        <v>0</v>
      </c>
      <c r="H1317" s="14"/>
      <c r="I1317" s="8" t="s">
        <v>38</v>
      </c>
      <c r="J1317" s="8" t="s">
        <v>38</v>
      </c>
      <c r="K1317">
        <v>10.0625</v>
      </c>
      <c r="L1317">
        <v>54</v>
      </c>
      <c r="M1317" s="14">
        <v>6.3125</v>
      </c>
      <c r="N1317" s="14">
        <v>6.1875</v>
      </c>
      <c r="R1317" t="str">
        <f t="shared" si="64"/>
        <v xml:space="preserve">XX8X_PV_1974:    Front abuts stile:TRUE       Back abuts stile:TRUE          Panel Section: TOP           Stile in the back Width:            Cutout A:           Cutout B:      F.C.:6.3125 in.         C.C.:6.1875 in.   </v>
      </c>
      <c r="S1317" t="str">
        <f t="shared" si="65"/>
        <v>TRUE</v>
      </c>
      <c r="T1317" t="str">
        <f t="shared" si="66"/>
        <v>TRUE</v>
      </c>
    </row>
    <row r="1318" spans="1:20">
      <c r="A1318" t="s">
        <v>1478</v>
      </c>
      <c r="B1318" s="14" t="s">
        <v>144</v>
      </c>
      <c r="C1318" s="14" t="s">
        <v>156</v>
      </c>
      <c r="D1318" s="14">
        <v>1</v>
      </c>
      <c r="E1318" s="14">
        <v>0</v>
      </c>
      <c r="F1318" s="14">
        <v>1</v>
      </c>
      <c r="G1318" s="14">
        <v>1</v>
      </c>
      <c r="H1318" s="14"/>
      <c r="I1318" s="8" t="s">
        <v>38</v>
      </c>
      <c r="J1318" s="8" t="s">
        <v>38</v>
      </c>
      <c r="K1318">
        <v>12.0625</v>
      </c>
      <c r="L1318">
        <v>50.4375</v>
      </c>
      <c r="M1318" s="14">
        <v>4.125</v>
      </c>
      <c r="N1318" s="14" t="s">
        <v>38</v>
      </c>
      <c r="R1318" t="str">
        <f t="shared" si="64"/>
        <v xml:space="preserve">XX8X_PV_1975:    Front abuts stile:TRUE       Back abuts stile:TRUE          Panel Section: TOP           Stile in the back Width:            Cutout A:           Cutout B:      F.C.:4.125 in.         C.C.: in.   </v>
      </c>
      <c r="S1318" t="str">
        <f t="shared" si="65"/>
        <v>TRUE</v>
      </c>
      <c r="T1318" t="str">
        <f t="shared" si="66"/>
        <v>TRUE</v>
      </c>
    </row>
    <row r="1319" spans="1:20">
      <c r="A1319" t="s">
        <v>1479</v>
      </c>
      <c r="B1319" s="14" t="s">
        <v>144</v>
      </c>
      <c r="C1319" s="14" t="s">
        <v>156</v>
      </c>
      <c r="D1319" s="14">
        <v>1</v>
      </c>
      <c r="E1319" s="14">
        <v>1</v>
      </c>
      <c r="F1319" s="14">
        <v>0</v>
      </c>
      <c r="G1319" s="14"/>
      <c r="H1319" s="14"/>
      <c r="I1319" s="8" t="s">
        <v>120</v>
      </c>
      <c r="J1319" s="8" t="s">
        <v>38</v>
      </c>
      <c r="K1319">
        <v>22.5</v>
      </c>
      <c r="L1319">
        <v>56.9375</v>
      </c>
      <c r="M1319" s="14">
        <v>4.5</v>
      </c>
      <c r="N1319" s="14" t="s">
        <v>38</v>
      </c>
      <c r="R1319" t="str">
        <f t="shared" si="64"/>
        <v xml:space="preserve">XX8X_PV_1976:    Front abuts stile:TRUE       Back abuts stile:FALSE          Panel Section: TOP           Stile in the back Width:            Cutout A: B-386          Cutout B:      F.C.:4.5 in.         C.C.: in.   </v>
      </c>
      <c r="S1319" t="str">
        <f t="shared" si="65"/>
        <v>TRUE</v>
      </c>
      <c r="T1319" t="str">
        <f t="shared" si="66"/>
        <v>FALSE</v>
      </c>
    </row>
    <row r="1320" spans="1:20">
      <c r="A1320" t="s">
        <v>1480</v>
      </c>
      <c r="B1320" s="14" t="s">
        <v>144</v>
      </c>
      <c r="C1320" s="14" t="s">
        <v>156</v>
      </c>
      <c r="D1320" s="14">
        <v>1</v>
      </c>
      <c r="E1320" s="14">
        <v>1</v>
      </c>
      <c r="F1320" s="14">
        <v>1</v>
      </c>
      <c r="G1320" s="14">
        <v>0</v>
      </c>
      <c r="H1320" s="14">
        <v>12</v>
      </c>
      <c r="I1320" s="8" t="s">
        <v>145</v>
      </c>
      <c r="J1320" s="8" t="s">
        <v>38</v>
      </c>
      <c r="K1320">
        <v>11.4375</v>
      </c>
      <c r="L1320">
        <v>79.8125</v>
      </c>
      <c r="M1320" s="14">
        <v>1</v>
      </c>
      <c r="N1320" s="14">
        <v>1</v>
      </c>
      <c r="R1320" t="str">
        <f t="shared" si="64"/>
        <v xml:space="preserve">XX8X_PV_1977:    Front abuts stile:TRUE       Back abuts stile:TRUE          Panel Section: TOP           Stile in the back Width: 12           Cutout A: B-347          Cutout B:      F.C.:1 in.         C.C.:1 in.   </v>
      </c>
      <c r="S1320" t="str">
        <f t="shared" si="65"/>
        <v>TRUE</v>
      </c>
      <c r="T1320" t="str">
        <f t="shared" si="66"/>
        <v>TRUE</v>
      </c>
    </row>
    <row r="1321" spans="1:20">
      <c r="A1321" t="s">
        <v>1481</v>
      </c>
      <c r="B1321" s="14" t="s">
        <v>144</v>
      </c>
      <c r="C1321" s="14" t="s">
        <v>156</v>
      </c>
      <c r="D1321" s="14">
        <v>1</v>
      </c>
      <c r="E1321" s="14">
        <v>1</v>
      </c>
      <c r="F1321" s="14">
        <v>1</v>
      </c>
      <c r="G1321" s="14">
        <v>0</v>
      </c>
      <c r="H1321" s="14">
        <v>24</v>
      </c>
      <c r="I1321" s="8" t="s">
        <v>148</v>
      </c>
      <c r="J1321" s="8" t="s">
        <v>38</v>
      </c>
      <c r="K1321">
        <v>9.75</v>
      </c>
      <c r="L1321">
        <v>50.9375</v>
      </c>
      <c r="M1321" s="14">
        <v>12</v>
      </c>
      <c r="N1321" s="14">
        <v>1</v>
      </c>
      <c r="R1321" t="str">
        <f t="shared" si="64"/>
        <v xml:space="preserve">XX8X_PV_1978:    Front abuts stile:TRUE       Back abuts stile:TRUE          Panel Section: TOP           Stile in the back Width: 24           Cutout A: B-3471          Cutout B:      F.C.:12 in.         C.C.:1 in.   </v>
      </c>
      <c r="S1321" t="str">
        <f t="shared" si="65"/>
        <v>TRUE</v>
      </c>
      <c r="T1321" t="str">
        <f t="shared" si="66"/>
        <v>TRUE</v>
      </c>
    </row>
    <row r="1322" spans="1:20">
      <c r="A1322" t="s">
        <v>1482</v>
      </c>
      <c r="B1322" s="14" t="s">
        <v>144</v>
      </c>
      <c r="C1322" s="14" t="s">
        <v>156</v>
      </c>
      <c r="D1322" s="14">
        <v>1</v>
      </c>
      <c r="E1322" s="14">
        <v>1</v>
      </c>
      <c r="F1322" s="14">
        <v>1</v>
      </c>
      <c r="G1322" s="14">
        <v>0</v>
      </c>
      <c r="H1322" s="14"/>
      <c r="I1322" s="8" t="s">
        <v>38</v>
      </c>
      <c r="J1322" s="8" t="s">
        <v>38</v>
      </c>
      <c r="K1322">
        <v>20.875</v>
      </c>
      <c r="L1322">
        <v>66.25</v>
      </c>
      <c r="M1322" s="14">
        <v>12</v>
      </c>
      <c r="N1322" s="14">
        <v>1</v>
      </c>
      <c r="R1322" t="str">
        <f t="shared" si="64"/>
        <v xml:space="preserve">XX8X_PV_1979:    Front abuts stile:TRUE       Back abuts stile:TRUE          Panel Section: TOP           Stile in the back Width:            Cutout A:           Cutout B:      F.C.:12 in.         C.C.:1 in.   </v>
      </c>
      <c r="S1322" t="str">
        <f t="shared" si="65"/>
        <v>TRUE</v>
      </c>
      <c r="T1322" t="str">
        <f t="shared" si="66"/>
        <v>TRUE</v>
      </c>
    </row>
    <row r="1323" spans="1:20">
      <c r="A1323" t="s">
        <v>1483</v>
      </c>
      <c r="B1323" s="14" t="s">
        <v>144</v>
      </c>
      <c r="C1323" s="14" t="s">
        <v>156</v>
      </c>
      <c r="D1323" s="14">
        <v>1</v>
      </c>
      <c r="E1323" s="14">
        <v>1</v>
      </c>
      <c r="F1323" s="14">
        <v>1</v>
      </c>
      <c r="G1323" s="14">
        <v>1</v>
      </c>
      <c r="H1323" s="14"/>
      <c r="I1323" s="8" t="s">
        <v>38</v>
      </c>
      <c r="J1323" s="8" t="s">
        <v>38</v>
      </c>
      <c r="K1323">
        <v>20.0625</v>
      </c>
      <c r="L1323">
        <v>53.6875</v>
      </c>
      <c r="M1323" s="14">
        <v>9</v>
      </c>
      <c r="N1323" s="14">
        <v>4.9375</v>
      </c>
      <c r="R1323" t="str">
        <f t="shared" si="64"/>
        <v xml:space="preserve">XX8X_PV_1980:    Front abuts stile:TRUE       Back abuts stile:TRUE          Panel Section: TOP           Stile in the back Width:            Cutout A:           Cutout B:      F.C.:9 in.         C.C.:4.9375 in.   </v>
      </c>
      <c r="S1323" t="str">
        <f t="shared" si="65"/>
        <v>TRUE</v>
      </c>
      <c r="T1323" t="str">
        <f t="shared" si="66"/>
        <v>TRUE</v>
      </c>
    </row>
    <row r="1324" spans="1:20">
      <c r="A1324" t="s">
        <v>1484</v>
      </c>
      <c r="B1324" s="14" t="s">
        <v>144</v>
      </c>
      <c r="C1324" s="14" t="s">
        <v>157</v>
      </c>
      <c r="D1324" s="14">
        <v>0</v>
      </c>
      <c r="E1324" s="14"/>
      <c r="F1324" s="14">
        <v>0</v>
      </c>
      <c r="G1324" s="14"/>
      <c r="H1324" s="14"/>
      <c r="I1324" s="8" t="s">
        <v>120</v>
      </c>
      <c r="J1324" s="8" t="s">
        <v>38</v>
      </c>
      <c r="K1324">
        <v>60</v>
      </c>
      <c r="L1324">
        <v>71.6875</v>
      </c>
      <c r="M1324" s="14">
        <v>1</v>
      </c>
      <c r="N1324" s="14">
        <v>1</v>
      </c>
      <c r="R1324" t="str">
        <f t="shared" si="64"/>
        <v xml:space="preserve">XX8X_PV_1981:    Front abuts stile:FALSE       Back abuts stile:FALSE          Panel Section: BOTTOM           Stile in the back Width:            Cutout A: B-386          Cutout B:      F.C.:1 in.         C.C.:1 in.   </v>
      </c>
      <c r="S1324" t="str">
        <f t="shared" si="65"/>
        <v>FALSE</v>
      </c>
      <c r="T1324" t="str">
        <f t="shared" si="66"/>
        <v>FALSE</v>
      </c>
    </row>
    <row r="1325" spans="1:20">
      <c r="A1325" t="s">
        <v>1485</v>
      </c>
      <c r="B1325" s="14" t="s">
        <v>144</v>
      </c>
      <c r="C1325" s="14" t="s">
        <v>157</v>
      </c>
      <c r="D1325" s="14">
        <v>0</v>
      </c>
      <c r="E1325" s="14"/>
      <c r="F1325" s="14">
        <v>1</v>
      </c>
      <c r="G1325" s="14">
        <v>0</v>
      </c>
      <c r="H1325" s="14">
        <v>12</v>
      </c>
      <c r="I1325" s="8" t="s">
        <v>35</v>
      </c>
      <c r="J1325" s="8" t="s">
        <v>38</v>
      </c>
      <c r="K1325">
        <v>60</v>
      </c>
      <c r="L1325">
        <v>60.5</v>
      </c>
      <c r="M1325" s="14">
        <v>4.5</v>
      </c>
      <c r="N1325" s="14" t="s">
        <v>38</v>
      </c>
      <c r="R1325" t="str">
        <f t="shared" si="64"/>
        <v xml:space="preserve">XX8X_PV_1982:    Front abuts stile:FALSE       Back abuts stile:TRUE          Panel Section: BOTTOM           Stile in the back Width: 12           Cutout A: B-357          Cutout B:      F.C.:4.5 in.         C.C.: in.   </v>
      </c>
      <c r="S1325" t="str">
        <f t="shared" si="65"/>
        <v>FALSE</v>
      </c>
      <c r="T1325" t="str">
        <f t="shared" si="66"/>
        <v>TRUE</v>
      </c>
    </row>
    <row r="1326" spans="1:20">
      <c r="A1326" t="s">
        <v>1486</v>
      </c>
      <c r="B1326" s="14" t="s">
        <v>144</v>
      </c>
      <c r="C1326" s="14" t="s">
        <v>157</v>
      </c>
      <c r="D1326" s="14">
        <v>0</v>
      </c>
      <c r="E1326" s="14"/>
      <c r="F1326" s="14">
        <v>1</v>
      </c>
      <c r="G1326" s="14">
        <v>0</v>
      </c>
      <c r="H1326" s="14">
        <v>24</v>
      </c>
      <c r="I1326" s="8" t="s">
        <v>121</v>
      </c>
      <c r="J1326" s="8" t="s">
        <v>38</v>
      </c>
      <c r="K1326">
        <v>60</v>
      </c>
      <c r="L1326">
        <v>52.125</v>
      </c>
      <c r="M1326" s="14">
        <v>4.5</v>
      </c>
      <c r="N1326" s="14">
        <v>1</v>
      </c>
      <c r="R1326" t="str">
        <f t="shared" si="64"/>
        <v xml:space="preserve">XX8X_PV_1983:    Front abuts stile:FALSE       Back abuts stile:TRUE          Panel Section: BOTTOM           Stile in the back Width: 24           Cutout A: B-4354          Cutout B:      F.C.:4.5 in.         C.C.:1 in.   </v>
      </c>
      <c r="S1326" t="str">
        <f t="shared" si="65"/>
        <v>FALSE</v>
      </c>
      <c r="T1326" t="str">
        <f t="shared" si="66"/>
        <v>TRUE</v>
      </c>
    </row>
    <row r="1327" spans="1:20">
      <c r="A1327" t="s">
        <v>1487</v>
      </c>
      <c r="B1327" s="14" t="s">
        <v>144</v>
      </c>
      <c r="C1327" s="14" t="s">
        <v>157</v>
      </c>
      <c r="D1327" s="14">
        <v>0</v>
      </c>
      <c r="E1327" s="14"/>
      <c r="F1327" s="14">
        <v>1</v>
      </c>
      <c r="G1327" s="14">
        <v>0</v>
      </c>
      <c r="H1327" s="14"/>
      <c r="I1327" s="8" t="s">
        <v>38</v>
      </c>
      <c r="J1327" s="8" t="s">
        <v>38</v>
      </c>
      <c r="K1327">
        <v>60</v>
      </c>
      <c r="L1327">
        <v>41.25</v>
      </c>
      <c r="M1327" s="14">
        <v>4.3125</v>
      </c>
      <c r="N1327" s="14" t="s">
        <v>38</v>
      </c>
      <c r="R1327" t="str">
        <f t="shared" si="64"/>
        <v xml:space="preserve">XX8X_PV_1984:    Front abuts stile:FALSE       Back abuts stile:TRUE          Panel Section: BOTTOM           Stile in the back Width:            Cutout A:           Cutout B:      F.C.:4.3125 in.         C.C.: in.   </v>
      </c>
      <c r="S1327" t="str">
        <f t="shared" si="65"/>
        <v>FALSE</v>
      </c>
      <c r="T1327" t="str">
        <f t="shared" si="66"/>
        <v>TRUE</v>
      </c>
    </row>
    <row r="1328" spans="1:20">
      <c r="A1328" t="s">
        <v>1488</v>
      </c>
      <c r="B1328" s="14" t="s">
        <v>144</v>
      </c>
      <c r="C1328" s="14" t="s">
        <v>157</v>
      </c>
      <c r="D1328" s="14">
        <v>0</v>
      </c>
      <c r="E1328" s="14"/>
      <c r="F1328" s="14">
        <v>1</v>
      </c>
      <c r="G1328" s="14">
        <v>1</v>
      </c>
      <c r="H1328" s="14"/>
      <c r="I1328" s="8" t="s">
        <v>38</v>
      </c>
      <c r="J1328" s="8" t="s">
        <v>38</v>
      </c>
      <c r="K1328">
        <v>60</v>
      </c>
      <c r="L1328">
        <v>39.8125</v>
      </c>
      <c r="M1328" s="14">
        <v>9</v>
      </c>
      <c r="N1328" s="14">
        <v>1</v>
      </c>
      <c r="R1328" t="str">
        <f t="shared" si="64"/>
        <v xml:space="preserve">XX8X_PV_1985:    Front abuts stile:FALSE       Back abuts stile:TRUE          Panel Section: BOTTOM           Stile in the back Width:            Cutout A:           Cutout B:      F.C.:9 in.         C.C.:1 in.   </v>
      </c>
      <c r="S1328" t="str">
        <f t="shared" si="65"/>
        <v>FALSE</v>
      </c>
      <c r="T1328" t="str">
        <f t="shared" si="66"/>
        <v>TRUE</v>
      </c>
    </row>
    <row r="1329" spans="1:20">
      <c r="A1329" t="s">
        <v>1489</v>
      </c>
      <c r="B1329" s="14" t="s">
        <v>144</v>
      </c>
      <c r="C1329" s="14" t="s">
        <v>157</v>
      </c>
      <c r="D1329" s="14">
        <v>1</v>
      </c>
      <c r="E1329" s="14">
        <v>0</v>
      </c>
      <c r="F1329" s="14">
        <v>0</v>
      </c>
      <c r="G1329" s="14"/>
      <c r="H1329" s="14"/>
      <c r="I1329" s="8" t="s">
        <v>121</v>
      </c>
      <c r="J1329" s="8" t="s">
        <v>38</v>
      </c>
      <c r="K1329">
        <v>60</v>
      </c>
      <c r="L1329">
        <v>45.6875</v>
      </c>
      <c r="M1329" s="14">
        <v>1</v>
      </c>
      <c r="N1329" s="14" t="s">
        <v>38</v>
      </c>
      <c r="R1329" t="str">
        <f t="shared" si="64"/>
        <v xml:space="preserve">XX8X_PV_1986:    Front abuts stile:TRUE       Back abuts stile:FALSE          Panel Section: BOTTOM           Stile in the back Width:            Cutout A: B-4354          Cutout B:      F.C.:1 in.         C.C.: in.   </v>
      </c>
      <c r="S1329" t="str">
        <f t="shared" si="65"/>
        <v>TRUE</v>
      </c>
      <c r="T1329" t="str">
        <f t="shared" si="66"/>
        <v>FALSE</v>
      </c>
    </row>
    <row r="1330" spans="1:20">
      <c r="A1330" t="s">
        <v>1490</v>
      </c>
      <c r="B1330" s="14" t="s">
        <v>144</v>
      </c>
      <c r="C1330" s="14" t="s">
        <v>157</v>
      </c>
      <c r="D1330" s="14">
        <v>1</v>
      </c>
      <c r="E1330" s="14">
        <v>0</v>
      </c>
      <c r="F1330" s="14">
        <v>1</v>
      </c>
      <c r="G1330" s="14">
        <v>0</v>
      </c>
      <c r="H1330" s="14">
        <v>12</v>
      </c>
      <c r="I1330" s="8" t="s">
        <v>145</v>
      </c>
      <c r="J1330" s="8" t="s">
        <v>38</v>
      </c>
      <c r="K1330">
        <v>60</v>
      </c>
      <c r="L1330">
        <v>64</v>
      </c>
      <c r="M1330" s="14">
        <v>4.5</v>
      </c>
      <c r="N1330" s="14">
        <v>2.4375</v>
      </c>
      <c r="R1330" t="str">
        <f t="shared" si="64"/>
        <v xml:space="preserve">XX8X_PV_1987:    Front abuts stile:TRUE       Back abuts stile:TRUE          Panel Section: BOTTOM           Stile in the back Width: 12           Cutout A: B-347          Cutout B:      F.C.:4.5 in.         C.C.:2.4375 in.   </v>
      </c>
      <c r="S1330" t="str">
        <f t="shared" si="65"/>
        <v>TRUE</v>
      </c>
      <c r="T1330" t="str">
        <f t="shared" si="66"/>
        <v>TRUE</v>
      </c>
    </row>
    <row r="1331" spans="1:20">
      <c r="A1331" t="s">
        <v>1491</v>
      </c>
      <c r="B1331" s="14" t="s">
        <v>144</v>
      </c>
      <c r="C1331" s="14" t="s">
        <v>157</v>
      </c>
      <c r="D1331" s="14">
        <v>1</v>
      </c>
      <c r="E1331" s="14">
        <v>0</v>
      </c>
      <c r="F1331" s="14">
        <v>1</v>
      </c>
      <c r="G1331" s="14">
        <v>0</v>
      </c>
      <c r="H1331" s="14">
        <v>24</v>
      </c>
      <c r="I1331" s="8" t="s">
        <v>145</v>
      </c>
      <c r="J1331" s="8" t="s">
        <v>38</v>
      </c>
      <c r="K1331">
        <v>60</v>
      </c>
      <c r="L1331">
        <v>43.25</v>
      </c>
      <c r="M1331" s="14">
        <v>4.5</v>
      </c>
      <c r="N1331" s="14" t="s">
        <v>38</v>
      </c>
      <c r="R1331" t="str">
        <f t="shared" si="64"/>
        <v xml:space="preserve">XX8X_PV_1988:    Front abuts stile:TRUE       Back abuts stile:TRUE          Panel Section: BOTTOM           Stile in the back Width: 24           Cutout A: B-347          Cutout B:      F.C.:4.5 in.         C.C.: in.   </v>
      </c>
      <c r="S1331" t="str">
        <f t="shared" si="65"/>
        <v>TRUE</v>
      </c>
      <c r="T1331" t="str">
        <f t="shared" si="66"/>
        <v>TRUE</v>
      </c>
    </row>
    <row r="1332" spans="1:20">
      <c r="A1332" t="s">
        <v>1492</v>
      </c>
      <c r="B1332" s="14" t="s">
        <v>144</v>
      </c>
      <c r="C1332" s="14" t="s">
        <v>157</v>
      </c>
      <c r="D1332" s="14">
        <v>1</v>
      </c>
      <c r="E1332" s="14">
        <v>0</v>
      </c>
      <c r="F1332" s="14">
        <v>1</v>
      </c>
      <c r="G1332" s="14">
        <v>0</v>
      </c>
      <c r="H1332" s="14"/>
      <c r="I1332" s="8" t="s">
        <v>38</v>
      </c>
      <c r="J1332" s="8" t="s">
        <v>38</v>
      </c>
      <c r="K1332">
        <v>60</v>
      </c>
      <c r="L1332">
        <v>49.9375</v>
      </c>
      <c r="M1332" s="14">
        <v>4.5</v>
      </c>
      <c r="N1332" s="14">
        <v>5.1875</v>
      </c>
      <c r="R1332" t="str">
        <f t="shared" si="64"/>
        <v xml:space="preserve">XX8X_PV_1989:    Front abuts stile:TRUE       Back abuts stile:TRUE          Panel Section: BOTTOM           Stile in the back Width:            Cutout A:           Cutout B:      F.C.:4.5 in.         C.C.:5.1875 in.   </v>
      </c>
      <c r="S1332" t="str">
        <f t="shared" si="65"/>
        <v>TRUE</v>
      </c>
      <c r="T1332" t="str">
        <f t="shared" si="66"/>
        <v>TRUE</v>
      </c>
    </row>
    <row r="1333" spans="1:20">
      <c r="A1333" t="s">
        <v>1493</v>
      </c>
      <c r="B1333" s="14" t="s">
        <v>144</v>
      </c>
      <c r="C1333" s="14" t="s">
        <v>157</v>
      </c>
      <c r="D1333" s="14">
        <v>1</v>
      </c>
      <c r="E1333" s="14">
        <v>0</v>
      </c>
      <c r="F1333" s="14">
        <v>1</v>
      </c>
      <c r="G1333" s="14">
        <v>1</v>
      </c>
      <c r="H1333" s="14"/>
      <c r="I1333" s="8" t="s">
        <v>38</v>
      </c>
      <c r="J1333" s="8" t="s">
        <v>38</v>
      </c>
      <c r="K1333">
        <v>60</v>
      </c>
      <c r="L1333">
        <v>27.5625</v>
      </c>
      <c r="M1333" s="14">
        <v>12</v>
      </c>
      <c r="N1333" s="14">
        <v>1</v>
      </c>
      <c r="R1333" t="str">
        <f t="shared" si="64"/>
        <v xml:space="preserve">XX8X_PV_1990:    Front abuts stile:TRUE       Back abuts stile:TRUE          Panel Section: BOTTOM           Stile in the back Width:            Cutout A:           Cutout B:      F.C.:12 in.         C.C.:1 in.   </v>
      </c>
      <c r="S1333" t="str">
        <f t="shared" si="65"/>
        <v>TRUE</v>
      </c>
      <c r="T1333" t="str">
        <f t="shared" si="66"/>
        <v>TRUE</v>
      </c>
    </row>
    <row r="1334" spans="1:20">
      <c r="A1334" t="s">
        <v>1494</v>
      </c>
      <c r="B1334" s="14" t="s">
        <v>144</v>
      </c>
      <c r="C1334" s="14" t="s">
        <v>157</v>
      </c>
      <c r="D1334" s="14">
        <v>1</v>
      </c>
      <c r="E1334" s="14">
        <v>1</v>
      </c>
      <c r="F1334" s="14">
        <v>0</v>
      </c>
      <c r="G1334" s="14"/>
      <c r="H1334" s="14"/>
      <c r="I1334" s="8" t="s">
        <v>120</v>
      </c>
      <c r="J1334" s="8" t="s">
        <v>38</v>
      </c>
      <c r="K1334">
        <v>60</v>
      </c>
      <c r="L1334">
        <v>69.125</v>
      </c>
      <c r="M1334" s="14">
        <v>4.5</v>
      </c>
      <c r="N1334" s="14">
        <v>5.25</v>
      </c>
      <c r="R1334" t="str">
        <f t="shared" si="64"/>
        <v xml:space="preserve">XX8X_PV_1991:    Front abuts stile:TRUE       Back abuts stile:FALSE          Panel Section: BOTTOM           Stile in the back Width:            Cutout A: B-386          Cutout B:      F.C.:4.5 in.         C.C.:5.25 in.   </v>
      </c>
      <c r="S1334" t="str">
        <f t="shared" si="65"/>
        <v>TRUE</v>
      </c>
      <c r="T1334" t="str">
        <f t="shared" si="66"/>
        <v>FALSE</v>
      </c>
    </row>
    <row r="1335" spans="1:20">
      <c r="A1335" t="s">
        <v>1495</v>
      </c>
      <c r="B1335" s="14" t="s">
        <v>144</v>
      </c>
      <c r="C1335" s="14" t="s">
        <v>157</v>
      </c>
      <c r="D1335" s="14">
        <v>1</v>
      </c>
      <c r="E1335" s="14">
        <v>1</v>
      </c>
      <c r="F1335" s="14">
        <v>1</v>
      </c>
      <c r="G1335" s="14">
        <v>0</v>
      </c>
      <c r="H1335" s="14">
        <v>12</v>
      </c>
      <c r="I1335" s="8" t="s">
        <v>145</v>
      </c>
      <c r="J1335" s="8" t="s">
        <v>38</v>
      </c>
      <c r="K1335">
        <v>60</v>
      </c>
      <c r="L1335">
        <v>42.375</v>
      </c>
      <c r="M1335" s="14">
        <v>12</v>
      </c>
      <c r="N1335" s="14">
        <v>1</v>
      </c>
      <c r="R1335" t="str">
        <f t="shared" si="64"/>
        <v xml:space="preserve">XX8X_PV_1992:    Front abuts stile:TRUE       Back abuts stile:TRUE          Panel Section: BOTTOM           Stile in the back Width: 12           Cutout A: B-347          Cutout B:      F.C.:12 in.         C.C.:1 in.   </v>
      </c>
      <c r="S1335" t="str">
        <f t="shared" si="65"/>
        <v>TRUE</v>
      </c>
      <c r="T1335" t="str">
        <f t="shared" si="66"/>
        <v>TRUE</v>
      </c>
    </row>
    <row r="1336" spans="1:20">
      <c r="A1336" t="s">
        <v>1496</v>
      </c>
      <c r="B1336" s="14" t="s">
        <v>144</v>
      </c>
      <c r="C1336" s="14" t="s">
        <v>157</v>
      </c>
      <c r="D1336" s="14">
        <v>1</v>
      </c>
      <c r="E1336" s="14">
        <v>1</v>
      </c>
      <c r="F1336" s="14">
        <v>1</v>
      </c>
      <c r="G1336" s="14">
        <v>0</v>
      </c>
      <c r="H1336" s="14">
        <v>24</v>
      </c>
      <c r="I1336" s="8" t="s">
        <v>145</v>
      </c>
      <c r="J1336" s="8" t="s">
        <v>38</v>
      </c>
      <c r="K1336">
        <v>60</v>
      </c>
      <c r="L1336">
        <v>59.3125</v>
      </c>
      <c r="M1336" s="14">
        <v>9</v>
      </c>
      <c r="N1336" s="14">
        <v>1.8125</v>
      </c>
      <c r="R1336" t="str">
        <f t="shared" si="64"/>
        <v xml:space="preserve">XX8X_PV_1993:    Front abuts stile:TRUE       Back abuts stile:TRUE          Panel Section: BOTTOM           Stile in the back Width: 24           Cutout A: B-347          Cutout B:      F.C.:9 in.         C.C.:1.8125 in.   </v>
      </c>
      <c r="S1336" t="str">
        <f t="shared" si="65"/>
        <v>TRUE</v>
      </c>
      <c r="T1336" t="str">
        <f t="shared" si="66"/>
        <v>TRUE</v>
      </c>
    </row>
    <row r="1337" spans="1:20">
      <c r="A1337" t="s">
        <v>1497</v>
      </c>
      <c r="B1337" s="14" t="s">
        <v>144</v>
      </c>
      <c r="C1337" s="14" t="s">
        <v>157</v>
      </c>
      <c r="D1337" s="14">
        <v>1</v>
      </c>
      <c r="E1337" s="14">
        <v>1</v>
      </c>
      <c r="F1337" s="14">
        <v>1</v>
      </c>
      <c r="G1337" s="14">
        <v>0</v>
      </c>
      <c r="H1337" s="14"/>
      <c r="I1337" s="8" t="s">
        <v>38</v>
      </c>
      <c r="J1337" s="8" t="s">
        <v>38</v>
      </c>
      <c r="K1337">
        <v>60</v>
      </c>
      <c r="L1337">
        <v>53.3125</v>
      </c>
      <c r="M1337" s="14">
        <v>9.6875</v>
      </c>
      <c r="N1337" s="14" t="s">
        <v>38</v>
      </c>
      <c r="R1337" t="str">
        <f t="shared" si="64"/>
        <v xml:space="preserve">XX8X_PV_1994:    Front abuts stile:TRUE       Back abuts stile:TRUE          Panel Section: BOTTOM           Stile in the back Width:            Cutout A:           Cutout B:      F.C.:9.6875 in.         C.C.: in.   </v>
      </c>
      <c r="S1337" t="str">
        <f t="shared" si="65"/>
        <v>TRUE</v>
      </c>
      <c r="T1337" t="str">
        <f t="shared" si="66"/>
        <v>TRUE</v>
      </c>
    </row>
    <row r="1338" spans="1:20">
      <c r="A1338" t="s">
        <v>1498</v>
      </c>
      <c r="B1338" s="14" t="s">
        <v>144</v>
      </c>
      <c r="C1338" s="14" t="s">
        <v>157</v>
      </c>
      <c r="D1338" s="14">
        <v>1</v>
      </c>
      <c r="E1338" s="14">
        <v>1</v>
      </c>
      <c r="F1338" s="14">
        <v>1</v>
      </c>
      <c r="G1338" s="14">
        <v>1</v>
      </c>
      <c r="H1338" s="14"/>
      <c r="I1338" s="8" t="s">
        <v>38</v>
      </c>
      <c r="J1338" s="8" t="s">
        <v>38</v>
      </c>
      <c r="K1338">
        <v>60</v>
      </c>
      <c r="L1338">
        <v>44.75</v>
      </c>
      <c r="M1338" s="14">
        <v>3.75</v>
      </c>
      <c r="N1338" s="14" t="s">
        <v>38</v>
      </c>
      <c r="R1338" t="str">
        <f t="shared" si="64"/>
        <v xml:space="preserve">XX8X_PV_1995:    Front abuts stile:TRUE       Back abuts stile:TRUE          Panel Section: BOTTOM           Stile in the back Width:            Cutout A:           Cutout B:      F.C.:3.75 in.         C.C.: in.   </v>
      </c>
      <c r="S1338" t="str">
        <f t="shared" si="65"/>
        <v>TRUE</v>
      </c>
      <c r="T1338" t="str">
        <f t="shared" si="66"/>
        <v>TRUE</v>
      </c>
    </row>
    <row r="1339" spans="1:20">
      <c r="A1339" t="s">
        <v>1499</v>
      </c>
      <c r="B1339" s="14" t="s">
        <v>144</v>
      </c>
      <c r="C1339" s="14" t="s">
        <v>21</v>
      </c>
      <c r="D1339" s="14">
        <v>0</v>
      </c>
      <c r="E1339" s="14"/>
      <c r="F1339" s="14">
        <v>0</v>
      </c>
      <c r="G1339" s="14"/>
      <c r="H1339" s="14"/>
      <c r="I1339" s="8" t="s">
        <v>35</v>
      </c>
      <c r="J1339" s="8" t="s">
        <v>38</v>
      </c>
      <c r="K1339">
        <v>61.1875</v>
      </c>
      <c r="L1339">
        <v>41.1875</v>
      </c>
      <c r="M1339" s="14">
        <v>1</v>
      </c>
      <c r="N1339" s="14">
        <v>6.125</v>
      </c>
      <c r="R1339" t="str">
        <f t="shared" si="64"/>
        <v xml:space="preserve">XX8X_PV_1996:    Front abuts stile:FALSE       Back abuts stile:FALSE          Panel Section: WHOLE           Stile in the back Width:            Cutout A: B-357          Cutout B:      F.C.:1 in.         C.C.:6.125 in.   </v>
      </c>
      <c r="S1339" t="str">
        <f t="shared" si="65"/>
        <v>FALSE</v>
      </c>
      <c r="T1339" t="str">
        <f t="shared" si="66"/>
        <v>FALSE</v>
      </c>
    </row>
    <row r="1340" spans="1:20">
      <c r="A1340" t="s">
        <v>1500</v>
      </c>
      <c r="B1340" s="14" t="s">
        <v>144</v>
      </c>
      <c r="C1340" s="14" t="s">
        <v>21</v>
      </c>
      <c r="D1340" s="14">
        <v>0</v>
      </c>
      <c r="E1340" s="14"/>
      <c r="F1340" s="14">
        <v>1</v>
      </c>
      <c r="G1340" s="14">
        <v>0</v>
      </c>
      <c r="H1340" s="14">
        <v>12</v>
      </c>
      <c r="I1340" s="8" t="s">
        <v>121</v>
      </c>
      <c r="J1340" s="8" t="s">
        <v>38</v>
      </c>
      <c r="K1340">
        <v>50.125</v>
      </c>
      <c r="L1340">
        <v>71.25</v>
      </c>
      <c r="M1340" s="14">
        <v>8.5625</v>
      </c>
      <c r="N1340" s="14">
        <v>1</v>
      </c>
      <c r="R1340" t="str">
        <f t="shared" si="64"/>
        <v xml:space="preserve">XX8X_PV_1997:    Front abuts stile:FALSE       Back abuts stile:TRUE          Panel Section: WHOLE           Stile in the back Width: 12           Cutout A: B-4354          Cutout B:      F.C.:8.5625 in.         C.C.:1 in.   </v>
      </c>
      <c r="S1340" t="str">
        <f t="shared" si="65"/>
        <v>FALSE</v>
      </c>
      <c r="T1340" t="str">
        <f t="shared" si="66"/>
        <v>TRUE</v>
      </c>
    </row>
    <row r="1341" spans="1:20">
      <c r="A1341" t="s">
        <v>1501</v>
      </c>
      <c r="B1341" s="14" t="s">
        <v>144</v>
      </c>
      <c r="C1341" s="14" t="s">
        <v>21</v>
      </c>
      <c r="D1341" s="14">
        <v>0</v>
      </c>
      <c r="E1341" s="14"/>
      <c r="F1341" s="14">
        <v>1</v>
      </c>
      <c r="G1341" s="14">
        <v>0</v>
      </c>
      <c r="H1341" s="14">
        <v>24</v>
      </c>
      <c r="I1341" s="8" t="s">
        <v>121</v>
      </c>
      <c r="J1341" s="8" t="s">
        <v>38</v>
      </c>
      <c r="K1341">
        <v>57.5625</v>
      </c>
      <c r="L1341">
        <v>75.125</v>
      </c>
      <c r="M1341" s="14">
        <v>1</v>
      </c>
      <c r="N1341" s="14" t="s">
        <v>38</v>
      </c>
      <c r="R1341" t="str">
        <f t="shared" si="64"/>
        <v xml:space="preserve">XX8X_PV_1998:    Front abuts stile:FALSE       Back abuts stile:TRUE          Panel Section: WHOLE           Stile in the back Width: 24           Cutout A: B-4354          Cutout B:      F.C.:1 in.         C.C.: in.   </v>
      </c>
      <c r="S1341" t="str">
        <f t="shared" si="65"/>
        <v>FALSE</v>
      </c>
      <c r="T1341" t="str">
        <f t="shared" si="66"/>
        <v>TRUE</v>
      </c>
    </row>
    <row r="1342" spans="1:20">
      <c r="A1342" t="s">
        <v>1502</v>
      </c>
      <c r="B1342" s="14" t="s">
        <v>144</v>
      </c>
      <c r="C1342" s="14" t="s">
        <v>21</v>
      </c>
      <c r="D1342" s="14">
        <v>0</v>
      </c>
      <c r="E1342" s="14"/>
      <c r="F1342" s="14">
        <v>1</v>
      </c>
      <c r="G1342" s="14">
        <v>0</v>
      </c>
      <c r="H1342" s="14"/>
      <c r="I1342" s="8" t="s">
        <v>38</v>
      </c>
      <c r="J1342" s="8" t="s">
        <v>38</v>
      </c>
      <c r="K1342">
        <v>37.1875</v>
      </c>
      <c r="L1342">
        <v>77.3125</v>
      </c>
      <c r="M1342" s="14">
        <v>12</v>
      </c>
      <c r="N1342" s="14" t="s">
        <v>38</v>
      </c>
      <c r="R1342" t="str">
        <f t="shared" si="64"/>
        <v xml:space="preserve">XX8X_PV_1999:    Front abuts stile:FALSE       Back abuts stile:TRUE          Panel Section: WHOLE           Stile in the back Width:            Cutout A:           Cutout B:      F.C.:12 in.         C.C.: in.   </v>
      </c>
      <c r="S1342" t="str">
        <f t="shared" si="65"/>
        <v>FALSE</v>
      </c>
      <c r="T1342" t="str">
        <f t="shared" si="66"/>
        <v>TRUE</v>
      </c>
    </row>
    <row r="1343" spans="1:20">
      <c r="A1343" t="s">
        <v>1503</v>
      </c>
      <c r="B1343" s="14" t="s">
        <v>144</v>
      </c>
      <c r="C1343" s="14" t="s">
        <v>21</v>
      </c>
      <c r="D1343" s="14">
        <v>0</v>
      </c>
      <c r="E1343" s="14"/>
      <c r="F1343" s="14">
        <v>1</v>
      </c>
      <c r="G1343" s="14">
        <v>1</v>
      </c>
      <c r="H1343" s="14"/>
      <c r="I1343" s="8" t="s">
        <v>38</v>
      </c>
      <c r="J1343" s="8" t="s">
        <v>38</v>
      </c>
      <c r="K1343">
        <v>96</v>
      </c>
      <c r="L1343">
        <v>19.9375</v>
      </c>
      <c r="M1343" s="14">
        <v>9</v>
      </c>
      <c r="N1343" s="14">
        <v>4.8125</v>
      </c>
      <c r="R1343" t="str">
        <f t="shared" si="64"/>
        <v xml:space="preserve">XX8X_PV_2000:    Front abuts stile:FALSE       Back abuts stile:TRUE          Panel Section: WHOLE           Stile in the back Width:            Cutout A:           Cutout B:      F.C.:9 in.         C.C.:4.8125 in.   </v>
      </c>
      <c r="S1343" t="str">
        <f t="shared" si="65"/>
        <v>FALSE</v>
      </c>
      <c r="T1343" t="str">
        <f t="shared" si="66"/>
        <v>TRUE</v>
      </c>
    </row>
    <row r="1344" spans="1:20">
      <c r="A1344" t="s">
        <v>1504</v>
      </c>
      <c r="B1344" s="14" t="s">
        <v>144</v>
      </c>
      <c r="C1344" s="14" t="s">
        <v>21</v>
      </c>
      <c r="D1344" s="14">
        <v>1</v>
      </c>
      <c r="E1344" s="14">
        <v>0</v>
      </c>
      <c r="F1344" s="14">
        <v>0</v>
      </c>
      <c r="G1344" s="14"/>
      <c r="H1344" s="14"/>
      <c r="I1344" s="8" t="s">
        <v>38</v>
      </c>
      <c r="J1344" s="8" t="s">
        <v>38</v>
      </c>
      <c r="K1344">
        <v>73.3125</v>
      </c>
      <c r="L1344">
        <v>73.4375</v>
      </c>
      <c r="M1344" s="14">
        <v>1</v>
      </c>
      <c r="N1344" s="14">
        <v>1</v>
      </c>
      <c r="R1344" t="str">
        <f t="shared" si="64"/>
        <v xml:space="preserve">XX8X_PV_2001:    Front abuts stile:TRUE       Back abuts stile:FALSE          Panel Section: WHOLE           Stile in the back Width:            Cutout A:           Cutout B:      F.C.:1 in.         C.C.:1 in.   </v>
      </c>
      <c r="S1344" t="str">
        <f t="shared" si="65"/>
        <v>TRUE</v>
      </c>
      <c r="T1344" t="str">
        <f t="shared" si="66"/>
        <v>FALSE</v>
      </c>
    </row>
    <row r="1345" spans="1:20">
      <c r="A1345" t="s">
        <v>1505</v>
      </c>
      <c r="B1345" s="14" t="s">
        <v>144</v>
      </c>
      <c r="C1345" s="14" t="s">
        <v>21</v>
      </c>
      <c r="D1345" s="14">
        <v>1</v>
      </c>
      <c r="E1345" s="14">
        <v>0</v>
      </c>
      <c r="F1345" s="14">
        <v>1</v>
      </c>
      <c r="G1345" s="14">
        <v>0</v>
      </c>
      <c r="H1345" s="14">
        <v>12</v>
      </c>
      <c r="I1345" s="8" t="s">
        <v>120</v>
      </c>
      <c r="J1345" s="8" t="s">
        <v>38</v>
      </c>
      <c r="K1345">
        <v>78.9375</v>
      </c>
      <c r="L1345">
        <v>77.0625</v>
      </c>
      <c r="M1345" s="14">
        <v>5.3125</v>
      </c>
      <c r="N1345" s="14">
        <v>5.125</v>
      </c>
      <c r="R1345" t="str">
        <f t="shared" ref="R1345:R1408" si="67">A1345&amp;":    Front abuts stile:"&amp;S1345&amp;"       Back abuts stile:"&amp;T1345&amp;"          Panel Section: "&amp;C1345&amp;"           Stile in the back Width: "&amp;H1345&amp;"           Cutout A: "&amp;I1345&amp;"          Cutout B:"&amp;J1345&amp;"      F.C.:"&amp;M1345&amp;" in. "&amp;"        C.C.:"&amp;N1345&amp;" in. "&amp;"  "</f>
        <v xml:space="preserve">XX8X_PV_2002:    Front abuts stile:TRUE       Back abuts stile:TRUE          Panel Section: WHOLE           Stile in the back Width: 12           Cutout A: B-386          Cutout B:      F.C.:5.3125 in.         C.C.:5.125 in.   </v>
      </c>
      <c r="S1345" t="str">
        <f t="shared" ref="S1345:S1408" si="68">IF(D1345=1, "TRUE", "FALSE")</f>
        <v>TRUE</v>
      </c>
      <c r="T1345" t="str">
        <f t="shared" ref="T1345:T1408" si="69">IF(F1345=1, "TRUE", "FALSE")</f>
        <v>TRUE</v>
      </c>
    </row>
    <row r="1346" spans="1:20">
      <c r="A1346" t="s">
        <v>1506</v>
      </c>
      <c r="B1346" s="14" t="s">
        <v>144</v>
      </c>
      <c r="C1346" s="14" t="s">
        <v>21</v>
      </c>
      <c r="D1346" s="14">
        <v>1</v>
      </c>
      <c r="E1346" s="14">
        <v>0</v>
      </c>
      <c r="F1346" s="14">
        <v>1</v>
      </c>
      <c r="G1346" s="14">
        <v>0</v>
      </c>
      <c r="H1346" s="14">
        <v>24</v>
      </c>
      <c r="I1346" s="8" t="s">
        <v>121</v>
      </c>
      <c r="J1346" s="8" t="s">
        <v>38</v>
      </c>
      <c r="K1346">
        <v>55.5625</v>
      </c>
      <c r="L1346">
        <v>71.3125</v>
      </c>
      <c r="M1346" s="14">
        <v>12</v>
      </c>
      <c r="N1346" s="14">
        <v>1</v>
      </c>
      <c r="R1346" t="str">
        <f t="shared" si="67"/>
        <v xml:space="preserve">XX8X_PV_2003:    Front abuts stile:TRUE       Back abuts stile:TRUE          Panel Section: WHOLE           Stile in the back Width: 24           Cutout A: B-4354          Cutout B:      F.C.:12 in.         C.C.:1 in.   </v>
      </c>
      <c r="S1346" t="str">
        <f t="shared" si="68"/>
        <v>TRUE</v>
      </c>
      <c r="T1346" t="str">
        <f t="shared" si="69"/>
        <v>TRUE</v>
      </c>
    </row>
    <row r="1347" spans="1:20">
      <c r="A1347" t="s">
        <v>1507</v>
      </c>
      <c r="B1347" s="14" t="s">
        <v>144</v>
      </c>
      <c r="C1347" s="14" t="s">
        <v>21</v>
      </c>
      <c r="D1347" s="14">
        <v>1</v>
      </c>
      <c r="E1347" s="14">
        <v>0</v>
      </c>
      <c r="F1347" s="14">
        <v>1</v>
      </c>
      <c r="G1347" s="14">
        <v>0</v>
      </c>
      <c r="H1347" s="14"/>
      <c r="I1347" s="8" t="s">
        <v>38</v>
      </c>
      <c r="J1347" s="8" t="s">
        <v>38</v>
      </c>
      <c r="K1347">
        <v>96</v>
      </c>
      <c r="L1347">
        <v>54.9375</v>
      </c>
      <c r="M1347" s="14">
        <v>9</v>
      </c>
      <c r="N1347" s="14">
        <v>1.0625</v>
      </c>
      <c r="R1347" t="str">
        <f t="shared" si="67"/>
        <v xml:space="preserve">XX8X_PV_2004:    Front abuts stile:TRUE       Back abuts stile:TRUE          Panel Section: WHOLE           Stile in the back Width:            Cutout A:           Cutout B:      F.C.:9 in.         C.C.:1.0625 in.   </v>
      </c>
      <c r="S1347" t="str">
        <f t="shared" si="68"/>
        <v>TRUE</v>
      </c>
      <c r="T1347" t="str">
        <f t="shared" si="69"/>
        <v>TRUE</v>
      </c>
    </row>
    <row r="1348" spans="1:20">
      <c r="A1348" t="s">
        <v>1508</v>
      </c>
      <c r="B1348" s="14" t="s">
        <v>144</v>
      </c>
      <c r="C1348" s="14" t="s">
        <v>21</v>
      </c>
      <c r="D1348" s="14">
        <v>1</v>
      </c>
      <c r="E1348" s="14">
        <v>0</v>
      </c>
      <c r="F1348" s="14">
        <v>1</v>
      </c>
      <c r="G1348" s="14">
        <v>1</v>
      </c>
      <c r="H1348" s="14"/>
      <c r="I1348" s="8" t="s">
        <v>38</v>
      </c>
      <c r="J1348" s="8" t="s">
        <v>38</v>
      </c>
      <c r="K1348">
        <v>68.6875</v>
      </c>
      <c r="L1348">
        <v>50.8125</v>
      </c>
      <c r="M1348" s="14">
        <v>4.5</v>
      </c>
      <c r="N1348" s="14">
        <v>1</v>
      </c>
      <c r="R1348" t="str">
        <f t="shared" si="67"/>
        <v xml:space="preserve">XX8X_PV_2005:    Front abuts stile:TRUE       Back abuts stile:TRUE          Panel Section: WHOLE           Stile in the back Width:            Cutout A:           Cutout B:      F.C.:4.5 in.         C.C.:1 in.   </v>
      </c>
      <c r="S1348" t="str">
        <f t="shared" si="68"/>
        <v>TRUE</v>
      </c>
      <c r="T1348" t="str">
        <f t="shared" si="69"/>
        <v>TRUE</v>
      </c>
    </row>
    <row r="1349" spans="1:20">
      <c r="A1349" t="s">
        <v>1509</v>
      </c>
      <c r="B1349" s="14" t="s">
        <v>144</v>
      </c>
      <c r="C1349" s="14" t="s">
        <v>21</v>
      </c>
      <c r="D1349" s="14">
        <v>1</v>
      </c>
      <c r="E1349" s="14">
        <v>1</v>
      </c>
      <c r="F1349" s="14">
        <v>0</v>
      </c>
      <c r="G1349" s="14"/>
      <c r="H1349" s="14"/>
      <c r="I1349" s="8" t="s">
        <v>120</v>
      </c>
      <c r="J1349" s="8" t="s">
        <v>38</v>
      </c>
      <c r="K1349">
        <v>95.625</v>
      </c>
      <c r="L1349">
        <v>40.5</v>
      </c>
      <c r="M1349" s="14">
        <v>1.3125</v>
      </c>
      <c r="N1349" s="14">
        <v>1</v>
      </c>
      <c r="R1349" t="str">
        <f t="shared" si="67"/>
        <v xml:space="preserve">XX8X_PV_2006:    Front abuts stile:TRUE       Back abuts stile:FALSE          Panel Section: WHOLE           Stile in the back Width:            Cutout A: B-386          Cutout B:      F.C.:1.3125 in.         C.C.:1 in.   </v>
      </c>
      <c r="S1349" t="str">
        <f t="shared" si="68"/>
        <v>TRUE</v>
      </c>
      <c r="T1349" t="str">
        <f t="shared" si="69"/>
        <v>FALSE</v>
      </c>
    </row>
    <row r="1350" spans="1:20">
      <c r="A1350" t="s">
        <v>1510</v>
      </c>
      <c r="B1350" s="14" t="s">
        <v>144</v>
      </c>
      <c r="C1350" s="14" t="s">
        <v>21</v>
      </c>
      <c r="D1350" s="14">
        <v>1</v>
      </c>
      <c r="E1350" s="14">
        <v>1</v>
      </c>
      <c r="F1350" s="14">
        <v>1</v>
      </c>
      <c r="G1350" s="14">
        <v>0</v>
      </c>
      <c r="H1350" s="14">
        <v>12</v>
      </c>
      <c r="I1350" s="8" t="s">
        <v>145</v>
      </c>
      <c r="J1350" s="8" t="s">
        <v>38</v>
      </c>
      <c r="K1350">
        <v>79.9375</v>
      </c>
      <c r="L1350">
        <v>48.0625</v>
      </c>
      <c r="M1350" s="14">
        <v>3.9375</v>
      </c>
      <c r="N1350" s="14">
        <v>1</v>
      </c>
      <c r="R1350" t="str">
        <f t="shared" si="67"/>
        <v xml:space="preserve">XX8X_PV_2007:    Front abuts stile:TRUE       Back abuts stile:TRUE          Panel Section: WHOLE           Stile in the back Width: 12           Cutout A: B-347          Cutout B:      F.C.:3.9375 in.         C.C.:1 in.   </v>
      </c>
      <c r="S1350" t="str">
        <f t="shared" si="68"/>
        <v>TRUE</v>
      </c>
      <c r="T1350" t="str">
        <f t="shared" si="69"/>
        <v>TRUE</v>
      </c>
    </row>
    <row r="1351" spans="1:20">
      <c r="A1351" t="s">
        <v>1511</v>
      </c>
      <c r="B1351" s="14" t="s">
        <v>144</v>
      </c>
      <c r="C1351" s="14" t="s">
        <v>21</v>
      </c>
      <c r="D1351" s="14">
        <v>1</v>
      </c>
      <c r="E1351" s="14">
        <v>1</v>
      </c>
      <c r="F1351" s="14">
        <v>1</v>
      </c>
      <c r="G1351" s="14">
        <v>0</v>
      </c>
      <c r="H1351" s="14">
        <v>24</v>
      </c>
      <c r="I1351" s="8" t="s">
        <v>150</v>
      </c>
      <c r="J1351" s="8" t="s">
        <v>38</v>
      </c>
      <c r="K1351">
        <v>109.375</v>
      </c>
      <c r="L1351">
        <v>75.375</v>
      </c>
      <c r="M1351" s="14">
        <v>1.9375</v>
      </c>
      <c r="N1351" s="14" t="s">
        <v>38</v>
      </c>
      <c r="R1351" t="str">
        <f t="shared" si="67"/>
        <v xml:space="preserve">XX8X_PV_2008:    Front abuts stile:TRUE       Back abuts stile:TRUE          Panel Section: WHOLE           Stile in the back Width: 24           Cutout A: B-3571          Cutout B:      F.C.:1.9375 in.         C.C.: in.   </v>
      </c>
      <c r="S1351" t="str">
        <f t="shared" si="68"/>
        <v>TRUE</v>
      </c>
      <c r="T1351" t="str">
        <f t="shared" si="69"/>
        <v>TRUE</v>
      </c>
    </row>
    <row r="1352" spans="1:20">
      <c r="A1352" t="s">
        <v>1512</v>
      </c>
      <c r="B1352" s="14" t="s">
        <v>144</v>
      </c>
      <c r="C1352" s="14" t="s">
        <v>21</v>
      </c>
      <c r="D1352" s="14">
        <v>1</v>
      </c>
      <c r="E1352" s="14">
        <v>1</v>
      </c>
      <c r="F1352" s="14">
        <v>1</v>
      </c>
      <c r="G1352" s="14">
        <v>0</v>
      </c>
      <c r="H1352" s="14"/>
      <c r="I1352" s="8" t="s">
        <v>38</v>
      </c>
      <c r="J1352" s="8" t="s">
        <v>38</v>
      </c>
      <c r="K1352">
        <v>85.625</v>
      </c>
      <c r="L1352">
        <v>22.375</v>
      </c>
      <c r="M1352" s="14">
        <v>12</v>
      </c>
      <c r="N1352" s="14">
        <v>1.125</v>
      </c>
      <c r="R1352" t="str">
        <f t="shared" si="67"/>
        <v xml:space="preserve">XX8X_PV_2009:    Front abuts stile:TRUE       Back abuts stile:TRUE          Panel Section: WHOLE           Stile in the back Width:            Cutout A:           Cutout B:      F.C.:12 in.         C.C.:1.125 in.   </v>
      </c>
      <c r="S1352" t="str">
        <f t="shared" si="68"/>
        <v>TRUE</v>
      </c>
      <c r="T1352" t="str">
        <f t="shared" si="69"/>
        <v>TRUE</v>
      </c>
    </row>
    <row r="1353" spans="1:20" ht="15" thickBot="1">
      <c r="A1353" t="s">
        <v>1513</v>
      </c>
      <c r="B1353" s="14" t="s">
        <v>144</v>
      </c>
      <c r="C1353" s="50" t="s">
        <v>21</v>
      </c>
      <c r="D1353" s="50">
        <v>1</v>
      </c>
      <c r="E1353" s="50">
        <v>1</v>
      </c>
      <c r="F1353" s="50">
        <v>1</v>
      </c>
      <c r="G1353" s="50">
        <v>1</v>
      </c>
      <c r="H1353" s="50"/>
      <c r="I1353" s="51" t="s">
        <v>38</v>
      </c>
      <c r="J1353" s="51" t="s">
        <v>38</v>
      </c>
      <c r="K1353" s="49">
        <v>41.625</v>
      </c>
      <c r="L1353" s="49">
        <v>8.375</v>
      </c>
      <c r="M1353" s="50">
        <v>3.125</v>
      </c>
      <c r="N1353" s="14">
        <v>1</v>
      </c>
      <c r="R1353" t="str">
        <f t="shared" si="67"/>
        <v xml:space="preserve">XX8X_PV_2010:    Front abuts stile:TRUE       Back abuts stile:TRUE          Panel Section: WHOLE           Stile in the back Width:            Cutout A:           Cutout B:      F.C.:3.125 in.         C.C.:1 in.   </v>
      </c>
      <c r="S1353" t="str">
        <f t="shared" si="68"/>
        <v>TRUE</v>
      </c>
      <c r="T1353" t="str">
        <f t="shared" si="69"/>
        <v>TRUE</v>
      </c>
    </row>
    <row r="1354" spans="1:20" ht="15" thickTop="1">
      <c r="A1354" t="s">
        <v>1514</v>
      </c>
      <c r="B1354" s="14" t="s">
        <v>144</v>
      </c>
      <c r="C1354" s="14" t="s">
        <v>156</v>
      </c>
      <c r="D1354" s="19">
        <v>0</v>
      </c>
      <c r="E1354" s="19"/>
      <c r="F1354" s="19">
        <v>0</v>
      </c>
      <c r="G1354" s="19"/>
      <c r="H1354" s="14"/>
      <c r="I1354" s="8" t="s">
        <v>119</v>
      </c>
      <c r="J1354" s="8" t="s">
        <v>38</v>
      </c>
      <c r="K1354">
        <v>7.4375</v>
      </c>
      <c r="L1354">
        <v>51</v>
      </c>
      <c r="M1354" s="14">
        <v>7</v>
      </c>
      <c r="N1354" s="14">
        <v>4.5</v>
      </c>
      <c r="R1354" t="str">
        <f t="shared" si="67"/>
        <v xml:space="preserve">XX8X_PV_2011:    Front abuts stile:FALSE       Back abuts stile:FALSE          Panel Section: TOP           Stile in the back Width:            Cutout A: B-354          Cutout B:      F.C.:7 in.         C.C.:4.5 in.   </v>
      </c>
      <c r="S1354" t="str">
        <f t="shared" si="68"/>
        <v>FALSE</v>
      </c>
      <c r="T1354" t="str">
        <f t="shared" si="69"/>
        <v>FALSE</v>
      </c>
    </row>
    <row r="1355" spans="1:20">
      <c r="A1355" t="s">
        <v>1515</v>
      </c>
      <c r="B1355" s="14" t="s">
        <v>144</v>
      </c>
      <c r="C1355" s="14" t="s">
        <v>156</v>
      </c>
      <c r="D1355" s="14">
        <v>0</v>
      </c>
      <c r="E1355" s="14"/>
      <c r="F1355" s="14">
        <v>1</v>
      </c>
      <c r="G1355" s="14">
        <v>0</v>
      </c>
      <c r="H1355" s="14">
        <v>12</v>
      </c>
      <c r="I1355" s="8" t="s">
        <v>149</v>
      </c>
      <c r="J1355" s="8" t="s">
        <v>38</v>
      </c>
      <c r="K1355">
        <v>12.125</v>
      </c>
      <c r="L1355">
        <v>78.5625</v>
      </c>
      <c r="M1355" s="14">
        <v>1</v>
      </c>
      <c r="N1355" s="14">
        <v>5.375</v>
      </c>
      <c r="R1355" t="str">
        <f t="shared" si="67"/>
        <v xml:space="preserve">XX8X_PV_2012:    Front abuts stile:FALSE       Back abuts stile:TRUE          Panel Section: TOP           Stile in the back Width: 12           Cutout A: B-34715          Cutout B:      F.C.:1 in.         C.C.:5.375 in.   </v>
      </c>
      <c r="S1355" t="str">
        <f t="shared" si="68"/>
        <v>FALSE</v>
      </c>
      <c r="T1355" t="str">
        <f t="shared" si="69"/>
        <v>TRUE</v>
      </c>
    </row>
    <row r="1356" spans="1:20">
      <c r="A1356" t="s">
        <v>1516</v>
      </c>
      <c r="B1356" s="14" t="s">
        <v>144</v>
      </c>
      <c r="C1356" s="14" t="s">
        <v>156</v>
      </c>
      <c r="D1356" s="14">
        <v>0</v>
      </c>
      <c r="E1356" s="14"/>
      <c r="F1356" s="14">
        <v>1</v>
      </c>
      <c r="G1356" s="14">
        <v>0</v>
      </c>
      <c r="H1356" s="14">
        <v>24</v>
      </c>
      <c r="I1356" s="8" t="s">
        <v>120</v>
      </c>
      <c r="J1356" s="8" t="s">
        <v>38</v>
      </c>
      <c r="K1356">
        <v>9.0625</v>
      </c>
      <c r="L1356">
        <v>57.1875</v>
      </c>
      <c r="M1356" s="14">
        <v>12</v>
      </c>
      <c r="N1356" s="14">
        <v>4.5625</v>
      </c>
      <c r="R1356" t="str">
        <f t="shared" si="67"/>
        <v xml:space="preserve">XX8X_PV_2013:    Front abuts stile:FALSE       Back abuts stile:TRUE          Panel Section: TOP           Stile in the back Width: 24           Cutout A: B-386          Cutout B:      F.C.:12 in.         C.C.:4.5625 in.   </v>
      </c>
      <c r="S1356" t="str">
        <f t="shared" si="68"/>
        <v>FALSE</v>
      </c>
      <c r="T1356" t="str">
        <f t="shared" si="69"/>
        <v>TRUE</v>
      </c>
    </row>
    <row r="1357" spans="1:20">
      <c r="A1357" t="s">
        <v>1517</v>
      </c>
      <c r="B1357" s="14" t="s">
        <v>144</v>
      </c>
      <c r="C1357" s="14" t="s">
        <v>156</v>
      </c>
      <c r="D1357" s="14">
        <v>0</v>
      </c>
      <c r="E1357" s="14"/>
      <c r="F1357" s="14">
        <v>1</v>
      </c>
      <c r="G1357" s="14">
        <v>0</v>
      </c>
      <c r="H1357" s="14"/>
      <c r="I1357" s="8" t="s">
        <v>38</v>
      </c>
      <c r="J1357" s="8" t="s">
        <v>38</v>
      </c>
      <c r="K1357">
        <v>15.5625</v>
      </c>
      <c r="L1357">
        <v>70.375</v>
      </c>
      <c r="M1357" s="14">
        <v>9.1875</v>
      </c>
      <c r="N1357" s="14">
        <v>1</v>
      </c>
      <c r="R1357" t="str">
        <f t="shared" si="67"/>
        <v xml:space="preserve">XX8X_PV_2014:    Front abuts stile:FALSE       Back abuts stile:TRUE          Panel Section: TOP           Stile in the back Width:            Cutout A:           Cutout B:      F.C.:9.1875 in.         C.C.:1 in.   </v>
      </c>
      <c r="S1357" t="str">
        <f t="shared" si="68"/>
        <v>FALSE</v>
      </c>
      <c r="T1357" t="str">
        <f t="shared" si="69"/>
        <v>TRUE</v>
      </c>
    </row>
    <row r="1358" spans="1:20">
      <c r="A1358" t="s">
        <v>1518</v>
      </c>
      <c r="B1358" s="14" t="s">
        <v>144</v>
      </c>
      <c r="C1358" s="14" t="s">
        <v>156</v>
      </c>
      <c r="D1358" s="14">
        <v>0</v>
      </c>
      <c r="E1358" s="14"/>
      <c r="F1358" s="14">
        <v>1</v>
      </c>
      <c r="G1358" s="14">
        <v>1</v>
      </c>
      <c r="H1358" s="14"/>
      <c r="I1358" s="8" t="s">
        <v>38</v>
      </c>
      <c r="J1358" s="8" t="s">
        <v>38</v>
      </c>
      <c r="K1358">
        <v>11.25</v>
      </c>
      <c r="L1358">
        <v>42</v>
      </c>
      <c r="M1358" s="14">
        <v>9</v>
      </c>
      <c r="N1358" s="14" t="s">
        <v>38</v>
      </c>
      <c r="R1358" t="str">
        <f t="shared" si="67"/>
        <v xml:space="preserve">XX8X_PV_2015:    Front abuts stile:FALSE       Back abuts stile:TRUE          Panel Section: TOP           Stile in the back Width:            Cutout A:           Cutout B:      F.C.:9 in.         C.C.: in.   </v>
      </c>
      <c r="S1358" t="str">
        <f t="shared" si="68"/>
        <v>FALSE</v>
      </c>
      <c r="T1358" t="str">
        <f t="shared" si="69"/>
        <v>TRUE</v>
      </c>
    </row>
    <row r="1359" spans="1:20">
      <c r="A1359" t="s">
        <v>1519</v>
      </c>
      <c r="B1359" s="14" t="s">
        <v>144</v>
      </c>
      <c r="C1359" s="14" t="s">
        <v>156</v>
      </c>
      <c r="D1359" s="14">
        <v>1</v>
      </c>
      <c r="E1359" s="14">
        <v>0</v>
      </c>
      <c r="F1359" s="14">
        <v>0</v>
      </c>
      <c r="G1359" s="14"/>
      <c r="H1359" s="14"/>
      <c r="I1359" s="8" t="s">
        <v>119</v>
      </c>
      <c r="J1359" s="8" t="s">
        <v>38</v>
      </c>
      <c r="K1359">
        <v>41.5625</v>
      </c>
      <c r="L1359">
        <v>78.9375</v>
      </c>
      <c r="M1359" s="14">
        <v>2.5625</v>
      </c>
      <c r="N1359" s="14" t="s">
        <v>38</v>
      </c>
      <c r="R1359" t="str">
        <f t="shared" si="67"/>
        <v xml:space="preserve">XX8X_PV_2016:    Front abuts stile:TRUE       Back abuts stile:FALSE          Panel Section: TOP           Stile in the back Width:            Cutout A: B-354          Cutout B:      F.C.:2.5625 in.         C.C.: in.   </v>
      </c>
      <c r="S1359" t="str">
        <f t="shared" si="68"/>
        <v>TRUE</v>
      </c>
      <c r="T1359" t="str">
        <f t="shared" si="69"/>
        <v>FALSE</v>
      </c>
    </row>
    <row r="1360" spans="1:20">
      <c r="A1360" t="s">
        <v>1520</v>
      </c>
      <c r="B1360" s="14" t="s">
        <v>144</v>
      </c>
      <c r="C1360" s="14" t="s">
        <v>156</v>
      </c>
      <c r="D1360" s="14">
        <v>1</v>
      </c>
      <c r="E1360" s="14">
        <v>0</v>
      </c>
      <c r="F1360" s="14">
        <v>1</v>
      </c>
      <c r="G1360" s="14">
        <v>0</v>
      </c>
      <c r="H1360" s="14">
        <v>12</v>
      </c>
      <c r="I1360" s="8" t="s">
        <v>121</v>
      </c>
      <c r="J1360" s="8" t="s">
        <v>38</v>
      </c>
      <c r="K1360">
        <v>27.3125</v>
      </c>
      <c r="L1360">
        <v>53.75</v>
      </c>
      <c r="M1360" s="14">
        <v>11.4375</v>
      </c>
      <c r="N1360" s="14">
        <v>5.9375</v>
      </c>
      <c r="R1360" t="str">
        <f t="shared" si="67"/>
        <v xml:space="preserve">XX8X_PV_2017:    Front abuts stile:TRUE       Back abuts stile:TRUE          Panel Section: TOP           Stile in the back Width: 12           Cutout A: B-4354          Cutout B:      F.C.:11.4375 in.         C.C.:5.9375 in.   </v>
      </c>
      <c r="S1360" t="str">
        <f t="shared" si="68"/>
        <v>TRUE</v>
      </c>
      <c r="T1360" t="str">
        <f t="shared" si="69"/>
        <v>TRUE</v>
      </c>
    </row>
    <row r="1361" spans="1:20">
      <c r="A1361" t="s">
        <v>1521</v>
      </c>
      <c r="B1361" s="14" t="s">
        <v>144</v>
      </c>
      <c r="C1361" s="14" t="s">
        <v>156</v>
      </c>
      <c r="D1361" s="14">
        <v>1</v>
      </c>
      <c r="E1361" s="14">
        <v>0</v>
      </c>
      <c r="F1361" s="14">
        <v>1</v>
      </c>
      <c r="G1361" s="14">
        <v>0</v>
      </c>
      <c r="H1361" s="14">
        <v>24</v>
      </c>
      <c r="I1361" s="8" t="s">
        <v>148</v>
      </c>
      <c r="J1361" s="8" t="s">
        <v>38</v>
      </c>
      <c r="K1361">
        <v>19.3125</v>
      </c>
      <c r="L1361">
        <v>51.8125</v>
      </c>
      <c r="M1361" s="14">
        <v>4.5</v>
      </c>
      <c r="N1361" s="14">
        <v>7</v>
      </c>
      <c r="R1361" t="str">
        <f t="shared" si="67"/>
        <v xml:space="preserve">XX8X_PV_2018:    Front abuts stile:TRUE       Back abuts stile:TRUE          Panel Section: TOP           Stile in the back Width: 24           Cutout A: B-3471          Cutout B:      F.C.:4.5 in.         C.C.:7 in.   </v>
      </c>
      <c r="S1361" t="str">
        <f t="shared" si="68"/>
        <v>TRUE</v>
      </c>
      <c r="T1361" t="str">
        <f t="shared" si="69"/>
        <v>TRUE</v>
      </c>
    </row>
    <row r="1362" spans="1:20">
      <c r="A1362" t="s">
        <v>1522</v>
      </c>
      <c r="B1362" s="14" t="s">
        <v>144</v>
      </c>
      <c r="C1362" s="14" t="s">
        <v>156</v>
      </c>
      <c r="D1362" s="14">
        <v>1</v>
      </c>
      <c r="E1362" s="14">
        <v>0</v>
      </c>
      <c r="F1362" s="14">
        <v>1</v>
      </c>
      <c r="G1362" s="14">
        <v>0</v>
      </c>
      <c r="H1362" s="14"/>
      <c r="I1362" s="8" t="s">
        <v>38</v>
      </c>
      <c r="J1362" s="8" t="s">
        <v>38</v>
      </c>
      <c r="K1362">
        <v>15.125</v>
      </c>
      <c r="L1362">
        <v>58.375</v>
      </c>
      <c r="M1362" s="14">
        <v>1</v>
      </c>
      <c r="N1362" s="14">
        <v>6.25</v>
      </c>
      <c r="R1362" t="str">
        <f t="shared" si="67"/>
        <v xml:space="preserve">XX8X_PV_2019:    Front abuts stile:TRUE       Back abuts stile:TRUE          Panel Section: TOP           Stile in the back Width:            Cutout A:           Cutout B:      F.C.:1 in.         C.C.:6.25 in.   </v>
      </c>
      <c r="S1362" t="str">
        <f t="shared" si="68"/>
        <v>TRUE</v>
      </c>
      <c r="T1362" t="str">
        <f t="shared" si="69"/>
        <v>TRUE</v>
      </c>
    </row>
    <row r="1363" spans="1:20">
      <c r="A1363" t="s">
        <v>1523</v>
      </c>
      <c r="B1363" s="14" t="s">
        <v>144</v>
      </c>
      <c r="C1363" s="14" t="s">
        <v>156</v>
      </c>
      <c r="D1363" s="14">
        <v>1</v>
      </c>
      <c r="E1363" s="14">
        <v>0</v>
      </c>
      <c r="F1363" s="14">
        <v>1</v>
      </c>
      <c r="G1363" s="14">
        <v>1</v>
      </c>
      <c r="H1363" s="14"/>
      <c r="I1363" s="8" t="s">
        <v>38</v>
      </c>
      <c r="J1363" s="8" t="s">
        <v>38</v>
      </c>
      <c r="K1363">
        <v>48.6875</v>
      </c>
      <c r="L1363">
        <v>45</v>
      </c>
      <c r="M1363" s="14">
        <v>9</v>
      </c>
      <c r="N1363" s="14">
        <v>1</v>
      </c>
      <c r="R1363" t="str">
        <f t="shared" si="67"/>
        <v xml:space="preserve">XX8X_PV_2020:    Front abuts stile:TRUE       Back abuts stile:TRUE          Panel Section: TOP           Stile in the back Width:            Cutout A:           Cutout B:      F.C.:9 in.         C.C.:1 in.   </v>
      </c>
      <c r="S1363" t="str">
        <f t="shared" si="68"/>
        <v>TRUE</v>
      </c>
      <c r="T1363" t="str">
        <f t="shared" si="69"/>
        <v>TRUE</v>
      </c>
    </row>
    <row r="1364" spans="1:20">
      <c r="A1364" t="s">
        <v>1524</v>
      </c>
      <c r="B1364" s="14" t="s">
        <v>144</v>
      </c>
      <c r="C1364" s="14" t="s">
        <v>156</v>
      </c>
      <c r="D1364" s="14">
        <v>1</v>
      </c>
      <c r="E1364" s="14">
        <v>1</v>
      </c>
      <c r="F1364" s="14">
        <v>0</v>
      </c>
      <c r="G1364" s="14"/>
      <c r="H1364" s="14"/>
      <c r="I1364" s="8" t="s">
        <v>145</v>
      </c>
      <c r="J1364" s="8" t="s">
        <v>38</v>
      </c>
      <c r="K1364">
        <v>23.3125</v>
      </c>
      <c r="L1364">
        <v>42.4375</v>
      </c>
      <c r="M1364" s="14">
        <v>4.5</v>
      </c>
      <c r="N1364" s="14">
        <v>4.8125</v>
      </c>
      <c r="R1364" t="str">
        <f t="shared" si="67"/>
        <v xml:space="preserve">XX8X_PV_2021:    Front abuts stile:TRUE       Back abuts stile:FALSE          Panel Section: TOP           Stile in the back Width:            Cutout A: B-347          Cutout B:      F.C.:4.5 in.         C.C.:4.8125 in.   </v>
      </c>
      <c r="S1364" t="str">
        <f t="shared" si="68"/>
        <v>TRUE</v>
      </c>
      <c r="T1364" t="str">
        <f t="shared" si="69"/>
        <v>FALSE</v>
      </c>
    </row>
    <row r="1365" spans="1:20">
      <c r="A1365" t="s">
        <v>1525</v>
      </c>
      <c r="B1365" s="14" t="s">
        <v>144</v>
      </c>
      <c r="C1365" s="14" t="s">
        <v>156</v>
      </c>
      <c r="D1365" s="14">
        <v>1</v>
      </c>
      <c r="E1365" s="14">
        <v>1</v>
      </c>
      <c r="F1365" s="14">
        <v>1</v>
      </c>
      <c r="G1365" s="14">
        <v>0</v>
      </c>
      <c r="H1365" s="14">
        <v>12</v>
      </c>
      <c r="I1365" s="8" t="s">
        <v>35</v>
      </c>
      <c r="J1365" s="8" t="s">
        <v>38</v>
      </c>
      <c r="K1365">
        <v>29.5625</v>
      </c>
      <c r="L1365">
        <v>50.9375</v>
      </c>
      <c r="M1365" s="14">
        <v>11.4375</v>
      </c>
      <c r="N1365" s="14">
        <v>1.4375</v>
      </c>
      <c r="R1365" t="str">
        <f t="shared" si="67"/>
        <v xml:space="preserve">XX8X_PV_2022:    Front abuts stile:TRUE       Back abuts stile:TRUE          Panel Section: TOP           Stile in the back Width: 12           Cutout A: B-357          Cutout B:      F.C.:11.4375 in.         C.C.:1.4375 in.   </v>
      </c>
      <c r="S1365" t="str">
        <f t="shared" si="68"/>
        <v>TRUE</v>
      </c>
      <c r="T1365" t="str">
        <f t="shared" si="69"/>
        <v>TRUE</v>
      </c>
    </row>
    <row r="1366" spans="1:20">
      <c r="A1366" t="s">
        <v>1526</v>
      </c>
      <c r="B1366" s="14" t="s">
        <v>144</v>
      </c>
      <c r="C1366" s="14" t="s">
        <v>156</v>
      </c>
      <c r="D1366" s="14">
        <v>1</v>
      </c>
      <c r="E1366" s="14">
        <v>1</v>
      </c>
      <c r="F1366" s="14">
        <v>1</v>
      </c>
      <c r="G1366" s="14">
        <v>0</v>
      </c>
      <c r="H1366" s="14">
        <v>24</v>
      </c>
      <c r="I1366" s="8" t="s">
        <v>38</v>
      </c>
      <c r="J1366" s="8" t="s">
        <v>38</v>
      </c>
      <c r="K1366">
        <v>24</v>
      </c>
      <c r="L1366">
        <v>31.375</v>
      </c>
      <c r="M1366" s="14">
        <v>4.5</v>
      </c>
      <c r="N1366" s="14">
        <v>1.6875</v>
      </c>
      <c r="R1366" t="str">
        <f t="shared" si="67"/>
        <v xml:space="preserve">XX8X_PV_2023:    Front abuts stile:TRUE       Back abuts stile:TRUE          Panel Section: TOP           Stile in the back Width: 24           Cutout A:           Cutout B:      F.C.:4.5 in.         C.C.:1.6875 in.   </v>
      </c>
      <c r="S1366" t="str">
        <f t="shared" si="68"/>
        <v>TRUE</v>
      </c>
      <c r="T1366" t="str">
        <f t="shared" si="69"/>
        <v>TRUE</v>
      </c>
    </row>
    <row r="1367" spans="1:20">
      <c r="A1367" t="s">
        <v>1527</v>
      </c>
      <c r="B1367" s="14" t="s">
        <v>144</v>
      </c>
      <c r="C1367" s="14" t="s">
        <v>156</v>
      </c>
      <c r="D1367" s="14">
        <v>1</v>
      </c>
      <c r="E1367" s="14">
        <v>1</v>
      </c>
      <c r="F1367" s="14">
        <v>1</v>
      </c>
      <c r="G1367" s="14">
        <v>0</v>
      </c>
      <c r="H1367" s="14"/>
      <c r="I1367" s="8" t="s">
        <v>38</v>
      </c>
      <c r="J1367" s="8" t="s">
        <v>38</v>
      </c>
      <c r="K1367">
        <v>47.75</v>
      </c>
      <c r="L1367">
        <v>50.8125</v>
      </c>
      <c r="M1367" s="14">
        <v>12</v>
      </c>
      <c r="N1367" s="14" t="s">
        <v>38</v>
      </c>
      <c r="R1367" t="str">
        <f t="shared" si="67"/>
        <v xml:space="preserve">XX8X_PV_2024:    Front abuts stile:TRUE       Back abuts stile:TRUE          Panel Section: TOP           Stile in the back Width:            Cutout A:           Cutout B:      F.C.:12 in.         C.C.: in.   </v>
      </c>
      <c r="S1367" t="str">
        <f t="shared" si="68"/>
        <v>TRUE</v>
      </c>
      <c r="T1367" t="str">
        <f t="shared" si="69"/>
        <v>TRUE</v>
      </c>
    </row>
    <row r="1368" spans="1:20">
      <c r="A1368" t="s">
        <v>1528</v>
      </c>
      <c r="B1368" s="14" t="s">
        <v>144</v>
      </c>
      <c r="C1368" s="14" t="s">
        <v>156</v>
      </c>
      <c r="D1368" s="14">
        <v>1</v>
      </c>
      <c r="E1368" s="14">
        <v>1</v>
      </c>
      <c r="F1368" s="14">
        <v>1</v>
      </c>
      <c r="G1368" s="14">
        <v>1</v>
      </c>
      <c r="H1368" s="14"/>
      <c r="I1368" s="8" t="s">
        <v>38</v>
      </c>
      <c r="J1368" s="8" t="s">
        <v>38</v>
      </c>
      <c r="K1368">
        <v>37.0625</v>
      </c>
      <c r="L1368">
        <v>77.6875</v>
      </c>
      <c r="M1368" s="14">
        <v>4.5</v>
      </c>
      <c r="N1368" s="14">
        <v>2.8125</v>
      </c>
      <c r="R1368" t="str">
        <f t="shared" si="67"/>
        <v xml:space="preserve">XX8X_PV_2025:    Front abuts stile:TRUE       Back abuts stile:TRUE          Panel Section: TOP           Stile in the back Width:            Cutout A:           Cutout B:      F.C.:4.5 in.         C.C.:2.8125 in.   </v>
      </c>
      <c r="S1368" t="str">
        <f t="shared" si="68"/>
        <v>TRUE</v>
      </c>
      <c r="T1368" t="str">
        <f t="shared" si="69"/>
        <v>TRUE</v>
      </c>
    </row>
    <row r="1369" spans="1:20">
      <c r="A1369" t="s">
        <v>1529</v>
      </c>
      <c r="B1369" s="14" t="s">
        <v>144</v>
      </c>
      <c r="C1369" s="14" t="s">
        <v>157</v>
      </c>
      <c r="D1369" s="14">
        <v>0</v>
      </c>
      <c r="E1369" s="14"/>
      <c r="F1369" s="14">
        <v>0</v>
      </c>
      <c r="G1369" s="14"/>
      <c r="H1369" s="14"/>
      <c r="I1369" s="8" t="s">
        <v>120</v>
      </c>
      <c r="J1369" s="8" t="s">
        <v>38</v>
      </c>
      <c r="K1369">
        <v>60</v>
      </c>
      <c r="L1369">
        <v>46.5</v>
      </c>
      <c r="M1369" s="14">
        <v>2.9375</v>
      </c>
      <c r="N1369" s="14">
        <v>3.875</v>
      </c>
      <c r="R1369" t="str">
        <f t="shared" si="67"/>
        <v xml:space="preserve">XX8X_PV_2026:    Front abuts stile:FALSE       Back abuts stile:FALSE          Panel Section: BOTTOM           Stile in the back Width:            Cutout A: B-386          Cutout B:      F.C.:2.9375 in.         C.C.:3.875 in.   </v>
      </c>
      <c r="S1369" t="str">
        <f t="shared" si="68"/>
        <v>FALSE</v>
      </c>
      <c r="T1369" t="str">
        <f t="shared" si="69"/>
        <v>FALSE</v>
      </c>
    </row>
    <row r="1370" spans="1:20">
      <c r="A1370" t="s">
        <v>1530</v>
      </c>
      <c r="B1370" s="14" t="s">
        <v>144</v>
      </c>
      <c r="C1370" s="14" t="s">
        <v>157</v>
      </c>
      <c r="D1370" s="14">
        <v>0</v>
      </c>
      <c r="E1370" s="14"/>
      <c r="F1370" s="14">
        <v>1</v>
      </c>
      <c r="G1370" s="14">
        <v>0</v>
      </c>
      <c r="H1370" s="14">
        <v>12</v>
      </c>
      <c r="I1370" s="8" t="s">
        <v>38</v>
      </c>
      <c r="J1370" s="8" t="s">
        <v>38</v>
      </c>
      <c r="K1370">
        <v>60</v>
      </c>
      <c r="L1370">
        <v>26.5</v>
      </c>
      <c r="M1370" s="14">
        <v>1</v>
      </c>
      <c r="N1370" s="14">
        <v>3.4375</v>
      </c>
      <c r="R1370" t="str">
        <f t="shared" si="67"/>
        <v xml:space="preserve">XX8X_PV_2027:    Front abuts stile:FALSE       Back abuts stile:TRUE          Panel Section: BOTTOM           Stile in the back Width: 12           Cutout A:           Cutout B:      F.C.:1 in.         C.C.:3.4375 in.   </v>
      </c>
      <c r="S1370" t="str">
        <f t="shared" si="68"/>
        <v>FALSE</v>
      </c>
      <c r="T1370" t="str">
        <f t="shared" si="69"/>
        <v>TRUE</v>
      </c>
    </row>
    <row r="1371" spans="1:20">
      <c r="A1371" t="s">
        <v>1531</v>
      </c>
      <c r="B1371" s="14" t="s">
        <v>144</v>
      </c>
      <c r="C1371" s="14" t="s">
        <v>157</v>
      </c>
      <c r="D1371" s="14">
        <v>0</v>
      </c>
      <c r="E1371" s="14"/>
      <c r="F1371" s="14">
        <v>1</v>
      </c>
      <c r="G1371" s="14">
        <v>0</v>
      </c>
      <c r="H1371" s="14">
        <v>24</v>
      </c>
      <c r="I1371" s="8" t="s">
        <v>149</v>
      </c>
      <c r="J1371" s="8" t="s">
        <v>38</v>
      </c>
      <c r="K1371">
        <v>60</v>
      </c>
      <c r="L1371">
        <v>76.375</v>
      </c>
      <c r="M1371" s="14">
        <v>1.375</v>
      </c>
      <c r="N1371" s="14">
        <v>7.6875</v>
      </c>
      <c r="R1371" t="str">
        <f t="shared" si="67"/>
        <v xml:space="preserve">XX8X_PV_2028:    Front abuts stile:FALSE       Back abuts stile:TRUE          Panel Section: BOTTOM           Stile in the back Width: 24           Cutout A: B-34715          Cutout B:      F.C.:1.375 in.         C.C.:7.6875 in.   </v>
      </c>
      <c r="S1371" t="str">
        <f t="shared" si="68"/>
        <v>FALSE</v>
      </c>
      <c r="T1371" t="str">
        <f t="shared" si="69"/>
        <v>TRUE</v>
      </c>
    </row>
    <row r="1372" spans="1:20">
      <c r="A1372" t="s">
        <v>1532</v>
      </c>
      <c r="B1372" s="14" t="s">
        <v>144</v>
      </c>
      <c r="C1372" s="14" t="s">
        <v>157</v>
      </c>
      <c r="D1372" s="14">
        <v>0</v>
      </c>
      <c r="E1372" s="14"/>
      <c r="F1372" s="14">
        <v>1</v>
      </c>
      <c r="G1372" s="14">
        <v>0</v>
      </c>
      <c r="H1372" s="14"/>
      <c r="I1372" s="8" t="s">
        <v>38</v>
      </c>
      <c r="J1372" s="8" t="s">
        <v>38</v>
      </c>
      <c r="K1372">
        <v>60</v>
      </c>
      <c r="L1372">
        <v>58</v>
      </c>
      <c r="M1372" s="14">
        <v>4.5</v>
      </c>
      <c r="N1372" s="14">
        <v>1</v>
      </c>
      <c r="R1372" t="str">
        <f t="shared" si="67"/>
        <v xml:space="preserve">XX8X_PV_2029:    Front abuts stile:FALSE       Back abuts stile:TRUE          Panel Section: BOTTOM           Stile in the back Width:            Cutout A:           Cutout B:      F.C.:4.5 in.         C.C.:1 in.   </v>
      </c>
      <c r="S1372" t="str">
        <f t="shared" si="68"/>
        <v>FALSE</v>
      </c>
      <c r="T1372" t="str">
        <f t="shared" si="69"/>
        <v>TRUE</v>
      </c>
    </row>
    <row r="1373" spans="1:20">
      <c r="A1373" t="s">
        <v>1533</v>
      </c>
      <c r="B1373" s="14" t="s">
        <v>144</v>
      </c>
      <c r="C1373" s="14" t="s">
        <v>157</v>
      </c>
      <c r="D1373" s="14">
        <v>0</v>
      </c>
      <c r="E1373" s="14"/>
      <c r="F1373" s="14">
        <v>1</v>
      </c>
      <c r="G1373" s="14">
        <v>1</v>
      </c>
      <c r="H1373" s="14"/>
      <c r="I1373" s="8" t="s">
        <v>38</v>
      </c>
      <c r="J1373" s="8" t="s">
        <v>38</v>
      </c>
      <c r="K1373">
        <v>60</v>
      </c>
      <c r="L1373">
        <v>66.1875</v>
      </c>
      <c r="M1373" s="14">
        <v>9</v>
      </c>
      <c r="N1373" s="14" t="s">
        <v>38</v>
      </c>
      <c r="R1373" t="str">
        <f t="shared" si="67"/>
        <v xml:space="preserve">XX8X_PV_2030:    Front abuts stile:FALSE       Back abuts stile:TRUE          Panel Section: BOTTOM           Stile in the back Width:            Cutout A:           Cutout B:      F.C.:9 in.         C.C.: in.   </v>
      </c>
      <c r="S1373" t="str">
        <f t="shared" si="68"/>
        <v>FALSE</v>
      </c>
      <c r="T1373" t="str">
        <f t="shared" si="69"/>
        <v>TRUE</v>
      </c>
    </row>
    <row r="1374" spans="1:20">
      <c r="A1374" t="s">
        <v>1534</v>
      </c>
      <c r="B1374" s="14" t="s">
        <v>144</v>
      </c>
      <c r="C1374" s="14" t="s">
        <v>157</v>
      </c>
      <c r="D1374" s="14">
        <v>1</v>
      </c>
      <c r="E1374" s="14">
        <v>0</v>
      </c>
      <c r="F1374" s="14">
        <v>0</v>
      </c>
      <c r="G1374" s="14"/>
      <c r="H1374" s="14"/>
      <c r="I1374" s="8" t="s">
        <v>149</v>
      </c>
      <c r="J1374" s="8" t="s">
        <v>38</v>
      </c>
      <c r="K1374">
        <v>60</v>
      </c>
      <c r="L1374">
        <v>70.3125</v>
      </c>
      <c r="M1374" s="14">
        <v>9</v>
      </c>
      <c r="N1374" s="14">
        <v>8.4375</v>
      </c>
      <c r="R1374" t="str">
        <f t="shared" si="67"/>
        <v xml:space="preserve">XX8X_PV_2031:    Front abuts stile:TRUE       Back abuts stile:FALSE          Panel Section: BOTTOM           Stile in the back Width:            Cutout A: B-34715          Cutout B:      F.C.:9 in.         C.C.:8.4375 in.   </v>
      </c>
      <c r="S1374" t="str">
        <f t="shared" si="68"/>
        <v>TRUE</v>
      </c>
      <c r="T1374" t="str">
        <f t="shared" si="69"/>
        <v>FALSE</v>
      </c>
    </row>
    <row r="1375" spans="1:20">
      <c r="A1375" t="s">
        <v>1535</v>
      </c>
      <c r="B1375" s="14" t="s">
        <v>144</v>
      </c>
      <c r="C1375" s="14" t="s">
        <v>157</v>
      </c>
      <c r="D1375" s="14">
        <v>1</v>
      </c>
      <c r="E1375" s="14">
        <v>0</v>
      </c>
      <c r="F1375" s="14">
        <v>1</v>
      </c>
      <c r="G1375" s="14">
        <v>0</v>
      </c>
      <c r="H1375" s="14">
        <v>12</v>
      </c>
      <c r="I1375" s="8" t="s">
        <v>121</v>
      </c>
      <c r="J1375" s="8" t="s">
        <v>38</v>
      </c>
      <c r="K1375">
        <v>60</v>
      </c>
      <c r="L1375">
        <v>50.625</v>
      </c>
      <c r="M1375" s="14">
        <v>7.75</v>
      </c>
      <c r="N1375" s="14">
        <v>1</v>
      </c>
      <c r="R1375" t="str">
        <f t="shared" si="67"/>
        <v xml:space="preserve">XX8X_PV_2032:    Front abuts stile:TRUE       Back abuts stile:TRUE          Panel Section: BOTTOM           Stile in the back Width: 12           Cutout A: B-4354          Cutout B:      F.C.:7.75 in.         C.C.:1 in.   </v>
      </c>
      <c r="S1375" t="str">
        <f t="shared" si="68"/>
        <v>TRUE</v>
      </c>
      <c r="T1375" t="str">
        <f t="shared" si="69"/>
        <v>TRUE</v>
      </c>
    </row>
    <row r="1376" spans="1:20">
      <c r="A1376" t="s">
        <v>1536</v>
      </c>
      <c r="B1376" s="14" t="s">
        <v>144</v>
      </c>
      <c r="C1376" s="14" t="s">
        <v>157</v>
      </c>
      <c r="D1376" s="14">
        <v>1</v>
      </c>
      <c r="E1376" s="14">
        <v>0</v>
      </c>
      <c r="F1376" s="14">
        <v>1</v>
      </c>
      <c r="G1376" s="14">
        <v>0</v>
      </c>
      <c r="H1376" s="14">
        <v>24</v>
      </c>
      <c r="I1376" s="8" t="s">
        <v>38</v>
      </c>
      <c r="J1376" s="8" t="s">
        <v>38</v>
      </c>
      <c r="K1376">
        <v>60</v>
      </c>
      <c r="L1376">
        <v>73</v>
      </c>
      <c r="M1376" s="14">
        <v>1</v>
      </c>
      <c r="N1376" s="14">
        <v>7.3125</v>
      </c>
      <c r="R1376" t="str">
        <f t="shared" si="67"/>
        <v xml:space="preserve">XX8X_PV_2033:    Front abuts stile:TRUE       Back abuts stile:TRUE          Panel Section: BOTTOM           Stile in the back Width: 24           Cutout A:           Cutout B:      F.C.:1 in.         C.C.:7.3125 in.   </v>
      </c>
      <c r="S1376" t="str">
        <f t="shared" si="68"/>
        <v>TRUE</v>
      </c>
      <c r="T1376" t="str">
        <f t="shared" si="69"/>
        <v>TRUE</v>
      </c>
    </row>
    <row r="1377" spans="1:20">
      <c r="A1377" t="s">
        <v>1537</v>
      </c>
      <c r="B1377" s="14" t="s">
        <v>144</v>
      </c>
      <c r="C1377" s="14" t="s">
        <v>157</v>
      </c>
      <c r="D1377" s="14">
        <v>1</v>
      </c>
      <c r="E1377" s="14">
        <v>0</v>
      </c>
      <c r="F1377" s="14">
        <v>1</v>
      </c>
      <c r="G1377" s="14">
        <v>0</v>
      </c>
      <c r="H1377" s="14"/>
      <c r="I1377" s="8" t="s">
        <v>38</v>
      </c>
      <c r="J1377" s="8" t="s">
        <v>38</v>
      </c>
      <c r="K1377">
        <v>60</v>
      </c>
      <c r="L1377">
        <v>10.75</v>
      </c>
      <c r="M1377" s="14">
        <v>4.5</v>
      </c>
      <c r="N1377" s="14">
        <v>7.4375</v>
      </c>
      <c r="R1377" t="str">
        <f t="shared" si="67"/>
        <v xml:space="preserve">XX8X_PV_2034:    Front abuts stile:TRUE       Back abuts stile:TRUE          Panel Section: BOTTOM           Stile in the back Width:            Cutout A:           Cutout B:      F.C.:4.5 in.         C.C.:7.4375 in.   </v>
      </c>
      <c r="S1377" t="str">
        <f t="shared" si="68"/>
        <v>TRUE</v>
      </c>
      <c r="T1377" t="str">
        <f t="shared" si="69"/>
        <v>TRUE</v>
      </c>
    </row>
    <row r="1378" spans="1:20">
      <c r="A1378" t="s">
        <v>1538</v>
      </c>
      <c r="B1378" s="14" t="s">
        <v>144</v>
      </c>
      <c r="C1378" s="14" t="s">
        <v>157</v>
      </c>
      <c r="D1378" s="14">
        <v>1</v>
      </c>
      <c r="E1378" s="14">
        <v>0</v>
      </c>
      <c r="F1378" s="14">
        <v>1</v>
      </c>
      <c r="G1378" s="14">
        <v>1</v>
      </c>
      <c r="H1378" s="14"/>
      <c r="I1378" s="8" t="s">
        <v>38</v>
      </c>
      <c r="J1378" s="8" t="s">
        <v>38</v>
      </c>
      <c r="K1378">
        <v>60</v>
      </c>
      <c r="L1378">
        <v>70</v>
      </c>
      <c r="M1378" s="14">
        <v>10.75</v>
      </c>
      <c r="N1378" s="14">
        <v>1</v>
      </c>
      <c r="R1378" t="str">
        <f t="shared" si="67"/>
        <v xml:space="preserve">XX8X_PV_2035:    Front abuts stile:TRUE       Back abuts stile:TRUE          Panel Section: BOTTOM           Stile in the back Width:            Cutout A:           Cutout B:      F.C.:10.75 in.         C.C.:1 in.   </v>
      </c>
      <c r="S1378" t="str">
        <f t="shared" si="68"/>
        <v>TRUE</v>
      </c>
      <c r="T1378" t="str">
        <f t="shared" si="69"/>
        <v>TRUE</v>
      </c>
    </row>
    <row r="1379" spans="1:20">
      <c r="A1379" t="s">
        <v>1539</v>
      </c>
      <c r="B1379" s="14" t="s">
        <v>144</v>
      </c>
      <c r="C1379" s="14" t="s">
        <v>157</v>
      </c>
      <c r="D1379" s="14">
        <v>1</v>
      </c>
      <c r="E1379" s="14">
        <v>1</v>
      </c>
      <c r="F1379" s="14">
        <v>0</v>
      </c>
      <c r="G1379" s="14"/>
      <c r="H1379" s="14"/>
      <c r="I1379" s="8" t="s">
        <v>38</v>
      </c>
      <c r="J1379" s="8" t="s">
        <v>38</v>
      </c>
      <c r="K1379">
        <v>60</v>
      </c>
      <c r="L1379">
        <v>31.25</v>
      </c>
      <c r="M1379" s="14">
        <v>9</v>
      </c>
      <c r="N1379" s="14" t="s">
        <v>38</v>
      </c>
      <c r="R1379" t="str">
        <f t="shared" si="67"/>
        <v xml:space="preserve">XX8X_PV_2036:    Front abuts stile:TRUE       Back abuts stile:FALSE          Panel Section: BOTTOM           Stile in the back Width:            Cutout A:           Cutout B:      F.C.:9 in.         C.C.: in.   </v>
      </c>
      <c r="S1379" t="str">
        <f t="shared" si="68"/>
        <v>TRUE</v>
      </c>
      <c r="T1379" t="str">
        <f t="shared" si="69"/>
        <v>FALSE</v>
      </c>
    </row>
    <row r="1380" spans="1:20">
      <c r="A1380" t="s">
        <v>1540</v>
      </c>
      <c r="B1380" s="14" t="s">
        <v>144</v>
      </c>
      <c r="C1380" s="14" t="s">
        <v>157</v>
      </c>
      <c r="D1380" s="14">
        <v>1</v>
      </c>
      <c r="E1380" s="14">
        <v>1</v>
      </c>
      <c r="F1380" s="14">
        <v>1</v>
      </c>
      <c r="G1380" s="14">
        <v>0</v>
      </c>
      <c r="H1380" s="14">
        <v>12</v>
      </c>
      <c r="I1380" s="8" t="s">
        <v>145</v>
      </c>
      <c r="J1380" s="8" t="s">
        <v>38</v>
      </c>
      <c r="K1380">
        <v>60</v>
      </c>
      <c r="L1380">
        <v>53.0625</v>
      </c>
      <c r="M1380" s="14">
        <v>1.75</v>
      </c>
      <c r="N1380" s="14">
        <v>4</v>
      </c>
      <c r="R1380" t="str">
        <f t="shared" si="67"/>
        <v xml:space="preserve">XX8X_PV_2037:    Front abuts stile:TRUE       Back abuts stile:TRUE          Panel Section: BOTTOM           Stile in the back Width: 12           Cutout A: B-347          Cutout B:      F.C.:1.75 in.         C.C.:4 in.   </v>
      </c>
      <c r="S1380" t="str">
        <f t="shared" si="68"/>
        <v>TRUE</v>
      </c>
      <c r="T1380" t="str">
        <f t="shared" si="69"/>
        <v>TRUE</v>
      </c>
    </row>
    <row r="1381" spans="1:20">
      <c r="A1381" t="s">
        <v>1541</v>
      </c>
      <c r="B1381" s="14" t="s">
        <v>144</v>
      </c>
      <c r="C1381" s="14" t="s">
        <v>157</v>
      </c>
      <c r="D1381" s="14">
        <v>1</v>
      </c>
      <c r="E1381" s="14">
        <v>1</v>
      </c>
      <c r="F1381" s="14">
        <v>1</v>
      </c>
      <c r="G1381" s="14">
        <v>0</v>
      </c>
      <c r="H1381" s="14">
        <v>24</v>
      </c>
      <c r="I1381" s="8" t="s">
        <v>38</v>
      </c>
      <c r="J1381" s="8" t="s">
        <v>38</v>
      </c>
      <c r="K1381">
        <v>60</v>
      </c>
      <c r="L1381">
        <v>46.5</v>
      </c>
      <c r="M1381" s="14">
        <v>9</v>
      </c>
      <c r="N1381" s="14">
        <v>1</v>
      </c>
      <c r="R1381" t="str">
        <f t="shared" si="67"/>
        <v xml:space="preserve">XX8X_PV_2038:    Front abuts stile:TRUE       Back abuts stile:TRUE          Panel Section: BOTTOM           Stile in the back Width: 24           Cutout A:           Cutout B:      F.C.:9 in.         C.C.:1 in.   </v>
      </c>
      <c r="S1381" t="str">
        <f t="shared" si="68"/>
        <v>TRUE</v>
      </c>
      <c r="T1381" t="str">
        <f t="shared" si="69"/>
        <v>TRUE</v>
      </c>
    </row>
    <row r="1382" spans="1:20">
      <c r="A1382" t="s">
        <v>1542</v>
      </c>
      <c r="B1382" s="14" t="s">
        <v>144</v>
      </c>
      <c r="C1382" s="14" t="s">
        <v>157</v>
      </c>
      <c r="D1382" s="14">
        <v>1</v>
      </c>
      <c r="E1382" s="14">
        <v>1</v>
      </c>
      <c r="F1382" s="14">
        <v>1</v>
      </c>
      <c r="G1382" s="14">
        <v>0</v>
      </c>
      <c r="H1382" s="14"/>
      <c r="I1382" s="8" t="s">
        <v>38</v>
      </c>
      <c r="J1382" s="8" t="s">
        <v>38</v>
      </c>
      <c r="K1382">
        <v>60</v>
      </c>
      <c r="L1382">
        <v>47.6875</v>
      </c>
      <c r="M1382" s="14">
        <v>12</v>
      </c>
      <c r="N1382" s="14">
        <v>4.9375</v>
      </c>
      <c r="R1382" t="str">
        <f t="shared" si="67"/>
        <v xml:space="preserve">XX8X_PV_2039:    Front abuts stile:TRUE       Back abuts stile:TRUE          Panel Section: BOTTOM           Stile in the back Width:            Cutout A:           Cutout B:      F.C.:12 in.         C.C.:4.9375 in.   </v>
      </c>
      <c r="S1382" t="str">
        <f t="shared" si="68"/>
        <v>TRUE</v>
      </c>
      <c r="T1382" t="str">
        <f t="shared" si="69"/>
        <v>TRUE</v>
      </c>
    </row>
    <row r="1383" spans="1:20">
      <c r="A1383" t="s">
        <v>1543</v>
      </c>
      <c r="B1383" s="14" t="s">
        <v>144</v>
      </c>
      <c r="C1383" s="14" t="s">
        <v>157</v>
      </c>
      <c r="D1383" s="14">
        <v>1</v>
      </c>
      <c r="E1383" s="14">
        <v>1</v>
      </c>
      <c r="F1383" s="14">
        <v>1</v>
      </c>
      <c r="G1383" s="14">
        <v>1</v>
      </c>
      <c r="H1383" s="14"/>
      <c r="I1383" s="8" t="s">
        <v>38</v>
      </c>
      <c r="J1383" s="8" t="s">
        <v>38</v>
      </c>
      <c r="K1383">
        <v>60</v>
      </c>
      <c r="L1383">
        <v>73.75</v>
      </c>
      <c r="M1383" s="14">
        <v>4.5</v>
      </c>
      <c r="N1383" s="14">
        <v>4.375</v>
      </c>
      <c r="R1383" t="str">
        <f t="shared" si="67"/>
        <v xml:space="preserve">XX8X_PV_2040:    Front abuts stile:TRUE       Back abuts stile:TRUE          Panel Section: BOTTOM           Stile in the back Width:            Cutout A:           Cutout B:      F.C.:4.5 in.         C.C.:4.375 in.   </v>
      </c>
      <c r="S1383" t="str">
        <f t="shared" si="68"/>
        <v>TRUE</v>
      </c>
      <c r="T1383" t="str">
        <f t="shared" si="69"/>
        <v>TRUE</v>
      </c>
    </row>
    <row r="1384" spans="1:20">
      <c r="A1384" t="s">
        <v>1544</v>
      </c>
      <c r="B1384" s="14" t="s">
        <v>144</v>
      </c>
      <c r="C1384" s="14" t="s">
        <v>21</v>
      </c>
      <c r="D1384" s="14">
        <v>0</v>
      </c>
      <c r="E1384" s="14"/>
      <c r="F1384" s="14">
        <v>0</v>
      </c>
      <c r="G1384" s="14"/>
      <c r="H1384" s="14"/>
      <c r="I1384" s="8" t="s">
        <v>38</v>
      </c>
      <c r="J1384" s="8" t="s">
        <v>38</v>
      </c>
      <c r="K1384">
        <v>51.1875</v>
      </c>
      <c r="L1384">
        <v>57.875</v>
      </c>
      <c r="M1384" s="14">
        <v>8.0625</v>
      </c>
      <c r="N1384" s="14">
        <v>1</v>
      </c>
      <c r="R1384" t="str">
        <f t="shared" si="67"/>
        <v xml:space="preserve">XX8X_PV_2041:    Front abuts stile:FALSE       Back abuts stile:FALSE          Panel Section: WHOLE           Stile in the back Width:            Cutout A:           Cutout B:      F.C.:8.0625 in.         C.C.:1 in.   </v>
      </c>
      <c r="S1384" t="str">
        <f t="shared" si="68"/>
        <v>FALSE</v>
      </c>
      <c r="T1384" t="str">
        <f t="shared" si="69"/>
        <v>FALSE</v>
      </c>
    </row>
    <row r="1385" spans="1:20">
      <c r="A1385" t="s">
        <v>1545</v>
      </c>
      <c r="B1385" s="14" t="s">
        <v>144</v>
      </c>
      <c r="C1385" s="14" t="s">
        <v>21</v>
      </c>
      <c r="D1385" s="14">
        <v>0</v>
      </c>
      <c r="E1385" s="14"/>
      <c r="F1385" s="14">
        <v>1</v>
      </c>
      <c r="G1385" s="14">
        <v>0</v>
      </c>
      <c r="H1385" s="14">
        <v>12</v>
      </c>
      <c r="I1385" s="8" t="s">
        <v>148</v>
      </c>
      <c r="J1385" s="8" t="s">
        <v>38</v>
      </c>
      <c r="K1385">
        <v>93.25</v>
      </c>
      <c r="L1385">
        <v>70</v>
      </c>
      <c r="M1385" s="14">
        <v>4.5</v>
      </c>
      <c r="N1385" s="14">
        <v>7.125</v>
      </c>
      <c r="R1385" t="str">
        <f t="shared" si="67"/>
        <v xml:space="preserve">XX8X_PV_2042:    Front abuts stile:FALSE       Back abuts stile:TRUE          Panel Section: WHOLE           Stile in the back Width: 12           Cutout A: B-3471          Cutout B:      F.C.:4.5 in.         C.C.:7.125 in.   </v>
      </c>
      <c r="S1385" t="str">
        <f t="shared" si="68"/>
        <v>FALSE</v>
      </c>
      <c r="T1385" t="str">
        <f t="shared" si="69"/>
        <v>TRUE</v>
      </c>
    </row>
    <row r="1386" spans="1:20">
      <c r="A1386" t="s">
        <v>1546</v>
      </c>
      <c r="B1386" s="14" t="s">
        <v>144</v>
      </c>
      <c r="C1386" s="14" t="s">
        <v>21</v>
      </c>
      <c r="D1386" s="14">
        <v>0</v>
      </c>
      <c r="E1386" s="14"/>
      <c r="F1386" s="14">
        <v>1</v>
      </c>
      <c r="G1386" s="14">
        <v>0</v>
      </c>
      <c r="H1386" s="14">
        <v>24</v>
      </c>
      <c r="I1386" s="8" t="s">
        <v>149</v>
      </c>
      <c r="J1386" s="8" t="s">
        <v>38</v>
      </c>
      <c r="K1386">
        <v>96</v>
      </c>
      <c r="L1386">
        <v>76.75</v>
      </c>
      <c r="M1386" s="14">
        <v>4</v>
      </c>
      <c r="N1386" s="14" t="s">
        <v>38</v>
      </c>
      <c r="R1386" t="str">
        <f t="shared" si="67"/>
        <v xml:space="preserve">XX8X_PV_2043:    Front abuts stile:FALSE       Back abuts stile:TRUE          Panel Section: WHOLE           Stile in the back Width: 24           Cutout A: B-34715          Cutout B:      F.C.:4 in.         C.C.: in.   </v>
      </c>
      <c r="S1386" t="str">
        <f t="shared" si="68"/>
        <v>FALSE</v>
      </c>
      <c r="T1386" t="str">
        <f t="shared" si="69"/>
        <v>TRUE</v>
      </c>
    </row>
    <row r="1387" spans="1:20">
      <c r="A1387" t="s">
        <v>1547</v>
      </c>
      <c r="B1387" s="14" t="s">
        <v>144</v>
      </c>
      <c r="C1387" s="14" t="s">
        <v>21</v>
      </c>
      <c r="D1387" s="14">
        <v>0</v>
      </c>
      <c r="E1387" s="14"/>
      <c r="F1387" s="14">
        <v>1</v>
      </c>
      <c r="G1387" s="14">
        <v>0</v>
      </c>
      <c r="H1387" s="14"/>
      <c r="I1387" s="8" t="s">
        <v>38</v>
      </c>
      <c r="J1387" s="8" t="s">
        <v>38</v>
      </c>
      <c r="K1387">
        <v>96</v>
      </c>
      <c r="L1387">
        <v>75.5</v>
      </c>
      <c r="M1387" s="14">
        <v>1</v>
      </c>
      <c r="N1387" s="14">
        <v>1.5625</v>
      </c>
      <c r="R1387" t="str">
        <f t="shared" si="67"/>
        <v xml:space="preserve">XX8X_PV_2044:    Front abuts stile:FALSE       Back abuts stile:TRUE          Panel Section: WHOLE           Stile in the back Width:            Cutout A:           Cutout B:      F.C.:1 in.         C.C.:1.5625 in.   </v>
      </c>
      <c r="S1387" t="str">
        <f t="shared" si="68"/>
        <v>FALSE</v>
      </c>
      <c r="T1387" t="str">
        <f t="shared" si="69"/>
        <v>TRUE</v>
      </c>
    </row>
    <row r="1388" spans="1:20">
      <c r="A1388" t="s">
        <v>1548</v>
      </c>
      <c r="B1388" s="14" t="s">
        <v>144</v>
      </c>
      <c r="C1388" s="14" t="s">
        <v>21</v>
      </c>
      <c r="D1388" s="14">
        <v>0</v>
      </c>
      <c r="E1388" s="14"/>
      <c r="F1388" s="14">
        <v>1</v>
      </c>
      <c r="G1388" s="14">
        <v>1</v>
      </c>
      <c r="H1388" s="14"/>
      <c r="I1388" s="8" t="s">
        <v>38</v>
      </c>
      <c r="J1388" s="8" t="s">
        <v>38</v>
      </c>
      <c r="K1388">
        <v>90</v>
      </c>
      <c r="L1388">
        <v>59.75</v>
      </c>
      <c r="M1388" s="14">
        <v>9</v>
      </c>
      <c r="N1388" s="14">
        <v>6.25</v>
      </c>
      <c r="R1388" t="str">
        <f t="shared" si="67"/>
        <v xml:space="preserve">XX8X_PV_2045:    Front abuts stile:FALSE       Back abuts stile:TRUE          Panel Section: WHOLE           Stile in the back Width:            Cutout A:           Cutout B:      F.C.:9 in.         C.C.:6.25 in.   </v>
      </c>
      <c r="S1388" t="str">
        <f t="shared" si="68"/>
        <v>FALSE</v>
      </c>
      <c r="T1388" t="str">
        <f t="shared" si="69"/>
        <v>TRUE</v>
      </c>
    </row>
    <row r="1389" spans="1:20">
      <c r="A1389" t="s">
        <v>1549</v>
      </c>
      <c r="B1389" s="14" t="s">
        <v>144</v>
      </c>
      <c r="C1389" s="14" t="s">
        <v>21</v>
      </c>
      <c r="D1389" s="14">
        <v>1</v>
      </c>
      <c r="E1389" s="14">
        <v>0</v>
      </c>
      <c r="F1389" s="14">
        <v>0</v>
      </c>
      <c r="G1389" s="14"/>
      <c r="H1389" s="14"/>
      <c r="I1389" s="8" t="s">
        <v>121</v>
      </c>
      <c r="J1389" s="8" t="s">
        <v>38</v>
      </c>
      <c r="K1389">
        <v>76.5</v>
      </c>
      <c r="L1389">
        <v>76.75</v>
      </c>
      <c r="M1389" s="14">
        <v>9</v>
      </c>
      <c r="N1389" s="14">
        <v>4.75</v>
      </c>
      <c r="R1389" t="str">
        <f t="shared" si="67"/>
        <v xml:space="preserve">XX8X_PV_2046:    Front abuts stile:TRUE       Back abuts stile:FALSE          Panel Section: WHOLE           Stile in the back Width:            Cutout A: B-4354          Cutout B:      F.C.:9 in.         C.C.:4.75 in.   </v>
      </c>
      <c r="S1389" t="str">
        <f t="shared" si="68"/>
        <v>TRUE</v>
      </c>
      <c r="T1389" t="str">
        <f t="shared" si="69"/>
        <v>FALSE</v>
      </c>
    </row>
    <row r="1390" spans="1:20">
      <c r="A1390" t="s">
        <v>1550</v>
      </c>
      <c r="B1390" s="14" t="s">
        <v>144</v>
      </c>
      <c r="C1390" s="14" t="s">
        <v>21</v>
      </c>
      <c r="D1390" s="14">
        <v>1</v>
      </c>
      <c r="E1390" s="14">
        <v>0</v>
      </c>
      <c r="F1390" s="14">
        <v>1</v>
      </c>
      <c r="G1390" s="14">
        <v>0</v>
      </c>
      <c r="H1390" s="14">
        <v>12</v>
      </c>
      <c r="I1390" s="8" t="s">
        <v>121</v>
      </c>
      <c r="J1390" s="8" t="s">
        <v>38</v>
      </c>
      <c r="K1390">
        <v>49</v>
      </c>
      <c r="L1390">
        <v>68.5625</v>
      </c>
      <c r="M1390" s="14">
        <v>4.75</v>
      </c>
      <c r="N1390" s="14">
        <v>6.75</v>
      </c>
      <c r="R1390" t="str">
        <f t="shared" si="67"/>
        <v xml:space="preserve">XX8X_PV_2047:    Front abuts stile:TRUE       Back abuts stile:TRUE          Panel Section: WHOLE           Stile in the back Width: 12           Cutout A: B-4354          Cutout B:      F.C.:4.75 in.         C.C.:6.75 in.   </v>
      </c>
      <c r="S1390" t="str">
        <f t="shared" si="68"/>
        <v>TRUE</v>
      </c>
      <c r="T1390" t="str">
        <f t="shared" si="69"/>
        <v>TRUE</v>
      </c>
    </row>
    <row r="1391" spans="1:20">
      <c r="A1391" t="s">
        <v>1551</v>
      </c>
      <c r="B1391" s="14" t="s">
        <v>144</v>
      </c>
      <c r="C1391" s="14" t="s">
        <v>21</v>
      </c>
      <c r="D1391" s="14">
        <v>1</v>
      </c>
      <c r="E1391" s="14">
        <v>0</v>
      </c>
      <c r="F1391" s="14">
        <v>1</v>
      </c>
      <c r="G1391" s="14">
        <v>0</v>
      </c>
      <c r="H1391" s="14">
        <v>24</v>
      </c>
      <c r="I1391" s="8" t="s">
        <v>119</v>
      </c>
      <c r="J1391" s="8" t="s">
        <v>38</v>
      </c>
      <c r="K1391">
        <v>72.8125</v>
      </c>
      <c r="L1391">
        <v>71.25</v>
      </c>
      <c r="M1391" s="14">
        <v>12</v>
      </c>
      <c r="N1391" s="14">
        <v>8.375</v>
      </c>
      <c r="R1391" t="str">
        <f t="shared" si="67"/>
        <v xml:space="preserve">XX8X_PV_2048:    Front abuts stile:TRUE       Back abuts stile:TRUE          Panel Section: WHOLE           Stile in the back Width: 24           Cutout A: B-354          Cutout B:      F.C.:12 in.         C.C.:8.375 in.   </v>
      </c>
      <c r="S1391" t="str">
        <f t="shared" si="68"/>
        <v>TRUE</v>
      </c>
      <c r="T1391" t="str">
        <f t="shared" si="69"/>
        <v>TRUE</v>
      </c>
    </row>
    <row r="1392" spans="1:20">
      <c r="A1392" t="s">
        <v>1552</v>
      </c>
      <c r="B1392" s="14" t="s">
        <v>144</v>
      </c>
      <c r="C1392" s="14" t="s">
        <v>21</v>
      </c>
      <c r="D1392" s="14">
        <v>1</v>
      </c>
      <c r="E1392" s="14">
        <v>0</v>
      </c>
      <c r="F1392" s="14">
        <v>1</v>
      </c>
      <c r="G1392" s="14">
        <v>0</v>
      </c>
      <c r="H1392" s="14"/>
      <c r="I1392" s="8" t="s">
        <v>38</v>
      </c>
      <c r="J1392" s="8" t="s">
        <v>38</v>
      </c>
      <c r="K1392">
        <v>71</v>
      </c>
      <c r="L1392">
        <v>73.0625</v>
      </c>
      <c r="M1392" s="14">
        <v>12</v>
      </c>
      <c r="N1392" s="14" t="s">
        <v>38</v>
      </c>
      <c r="R1392" t="str">
        <f t="shared" si="67"/>
        <v xml:space="preserve">XX8X_PV_2049:    Front abuts stile:TRUE       Back abuts stile:TRUE          Panel Section: WHOLE           Stile in the back Width:            Cutout A:           Cutout B:      F.C.:12 in.         C.C.: in.   </v>
      </c>
      <c r="S1392" t="str">
        <f t="shared" si="68"/>
        <v>TRUE</v>
      </c>
      <c r="T1392" t="str">
        <f t="shared" si="69"/>
        <v>TRUE</v>
      </c>
    </row>
    <row r="1393" spans="1:20">
      <c r="A1393" t="s">
        <v>1553</v>
      </c>
      <c r="B1393" s="14" t="s">
        <v>144</v>
      </c>
      <c r="C1393" s="14" t="s">
        <v>21</v>
      </c>
      <c r="D1393" s="14">
        <v>1</v>
      </c>
      <c r="E1393" s="14">
        <v>0</v>
      </c>
      <c r="F1393" s="14">
        <v>1</v>
      </c>
      <c r="G1393" s="14">
        <v>1</v>
      </c>
      <c r="H1393" s="14"/>
      <c r="I1393" s="8" t="s">
        <v>38</v>
      </c>
      <c r="J1393" s="8" t="s">
        <v>38</v>
      </c>
      <c r="K1393">
        <v>49.375</v>
      </c>
      <c r="L1393">
        <v>15.875</v>
      </c>
      <c r="M1393" s="14">
        <v>9</v>
      </c>
      <c r="N1393" s="14">
        <v>8.5</v>
      </c>
      <c r="R1393" t="str">
        <f t="shared" si="67"/>
        <v xml:space="preserve">XX8X_PV_2050:    Front abuts stile:TRUE       Back abuts stile:TRUE          Panel Section: WHOLE           Stile in the back Width:            Cutout A:           Cutout B:      F.C.:9 in.         C.C.:8.5 in.   </v>
      </c>
      <c r="S1393" t="str">
        <f t="shared" si="68"/>
        <v>TRUE</v>
      </c>
      <c r="T1393" t="str">
        <f t="shared" si="69"/>
        <v>TRUE</v>
      </c>
    </row>
    <row r="1394" spans="1:20">
      <c r="A1394" t="s">
        <v>1554</v>
      </c>
      <c r="B1394" s="14" t="s">
        <v>144</v>
      </c>
      <c r="C1394" s="14" t="s">
        <v>21</v>
      </c>
      <c r="D1394" s="14">
        <v>1</v>
      </c>
      <c r="E1394" s="14">
        <v>1</v>
      </c>
      <c r="F1394" s="14">
        <v>0</v>
      </c>
      <c r="G1394" s="14"/>
      <c r="H1394" s="14"/>
      <c r="I1394" s="8" t="s">
        <v>149</v>
      </c>
      <c r="J1394" s="8" t="s">
        <v>38</v>
      </c>
      <c r="K1394">
        <v>41.75</v>
      </c>
      <c r="L1394">
        <v>62.6875</v>
      </c>
      <c r="M1394" s="14">
        <v>12</v>
      </c>
      <c r="N1394" s="14">
        <v>5.625</v>
      </c>
      <c r="R1394" t="str">
        <f t="shared" si="67"/>
        <v xml:space="preserve">XX8X_PV_2051:    Front abuts stile:TRUE       Back abuts stile:FALSE          Panel Section: WHOLE           Stile in the back Width:            Cutout A: B-34715          Cutout B:      F.C.:12 in.         C.C.:5.625 in.   </v>
      </c>
      <c r="S1394" t="str">
        <f t="shared" si="68"/>
        <v>TRUE</v>
      </c>
      <c r="T1394" t="str">
        <f t="shared" si="69"/>
        <v>FALSE</v>
      </c>
    </row>
    <row r="1395" spans="1:20">
      <c r="A1395" t="s">
        <v>1555</v>
      </c>
      <c r="B1395" s="14" t="s">
        <v>144</v>
      </c>
      <c r="C1395" s="14" t="s">
        <v>21</v>
      </c>
      <c r="D1395" s="14">
        <v>1</v>
      </c>
      <c r="E1395" s="14">
        <v>1</v>
      </c>
      <c r="F1395" s="14">
        <v>1</v>
      </c>
      <c r="G1395" s="14">
        <v>0</v>
      </c>
      <c r="H1395" s="14">
        <v>12</v>
      </c>
      <c r="I1395" s="8" t="s">
        <v>148</v>
      </c>
      <c r="J1395" s="8" t="s">
        <v>38</v>
      </c>
      <c r="K1395">
        <v>45.8125</v>
      </c>
      <c r="L1395">
        <v>57.0625</v>
      </c>
      <c r="M1395" s="14">
        <v>1</v>
      </c>
      <c r="N1395" s="14">
        <v>5.125</v>
      </c>
      <c r="R1395" t="str">
        <f t="shared" si="67"/>
        <v xml:space="preserve">XX8X_PV_2052:    Front abuts stile:TRUE       Back abuts stile:TRUE          Panel Section: WHOLE           Stile in the back Width: 12           Cutout A: B-3471          Cutout B:      F.C.:1 in.         C.C.:5.125 in.   </v>
      </c>
      <c r="S1395" t="str">
        <f t="shared" si="68"/>
        <v>TRUE</v>
      </c>
      <c r="T1395" t="str">
        <f t="shared" si="69"/>
        <v>TRUE</v>
      </c>
    </row>
    <row r="1396" spans="1:20">
      <c r="A1396" t="s">
        <v>1556</v>
      </c>
      <c r="B1396" s="14" t="s">
        <v>144</v>
      </c>
      <c r="C1396" s="14" t="s">
        <v>21</v>
      </c>
      <c r="D1396" s="14">
        <v>1</v>
      </c>
      <c r="E1396" s="14">
        <v>1</v>
      </c>
      <c r="F1396" s="14">
        <v>1</v>
      </c>
      <c r="G1396" s="14">
        <v>0</v>
      </c>
      <c r="H1396" s="14">
        <v>24</v>
      </c>
      <c r="I1396" s="8" t="s">
        <v>145</v>
      </c>
      <c r="J1396" s="8" t="s">
        <v>38</v>
      </c>
      <c r="K1396">
        <v>94.625</v>
      </c>
      <c r="L1396">
        <v>71.3125</v>
      </c>
      <c r="M1396" s="14">
        <v>2.3125</v>
      </c>
      <c r="N1396" s="14" t="s">
        <v>38</v>
      </c>
      <c r="R1396" t="str">
        <f t="shared" si="67"/>
        <v xml:space="preserve">XX8X_PV_2053:    Front abuts stile:TRUE       Back abuts stile:TRUE          Panel Section: WHOLE           Stile in the back Width: 24           Cutout A: B-347          Cutout B:      F.C.:2.3125 in.         C.C.: in.   </v>
      </c>
      <c r="S1396" t="str">
        <f t="shared" si="68"/>
        <v>TRUE</v>
      </c>
      <c r="T1396" t="str">
        <f t="shared" si="69"/>
        <v>TRUE</v>
      </c>
    </row>
    <row r="1397" spans="1:20">
      <c r="A1397" t="s">
        <v>1557</v>
      </c>
      <c r="B1397" s="14" t="s">
        <v>144</v>
      </c>
      <c r="C1397" s="14" t="s">
        <v>21</v>
      </c>
      <c r="D1397" s="14">
        <v>1</v>
      </c>
      <c r="E1397" s="14">
        <v>1</v>
      </c>
      <c r="F1397" s="14">
        <v>1</v>
      </c>
      <c r="G1397" s="14">
        <v>0</v>
      </c>
      <c r="H1397" s="14"/>
      <c r="I1397" s="8" t="s">
        <v>38</v>
      </c>
      <c r="J1397" s="8" t="s">
        <v>38</v>
      </c>
      <c r="K1397">
        <v>96</v>
      </c>
      <c r="L1397">
        <v>55.1875</v>
      </c>
      <c r="M1397" s="14">
        <v>2.125</v>
      </c>
      <c r="N1397" s="14">
        <v>6.5625</v>
      </c>
      <c r="R1397" t="str">
        <f t="shared" si="67"/>
        <v xml:space="preserve">XX8X_PV_2054:    Front abuts stile:TRUE       Back abuts stile:TRUE          Panel Section: WHOLE           Stile in the back Width:            Cutout A:           Cutout B:      F.C.:2.125 in.         C.C.:6.5625 in.   </v>
      </c>
      <c r="S1397" t="str">
        <f t="shared" si="68"/>
        <v>TRUE</v>
      </c>
      <c r="T1397" t="str">
        <f t="shared" si="69"/>
        <v>TRUE</v>
      </c>
    </row>
    <row r="1398" spans="1:20" ht="15" thickBot="1">
      <c r="A1398" t="s">
        <v>1558</v>
      </c>
      <c r="B1398" s="14" t="s">
        <v>144</v>
      </c>
      <c r="C1398" s="50" t="s">
        <v>21</v>
      </c>
      <c r="D1398" s="50">
        <v>1</v>
      </c>
      <c r="E1398" s="50">
        <v>1</v>
      </c>
      <c r="F1398" s="50">
        <v>1</v>
      </c>
      <c r="G1398" s="50">
        <v>1</v>
      </c>
      <c r="H1398" s="50"/>
      <c r="I1398" s="51" t="s">
        <v>38</v>
      </c>
      <c r="J1398" s="51" t="s">
        <v>38</v>
      </c>
      <c r="K1398" s="49">
        <v>68.3125</v>
      </c>
      <c r="L1398" s="49">
        <v>52.25</v>
      </c>
      <c r="M1398" s="50">
        <v>11.3125</v>
      </c>
      <c r="N1398" s="14" t="s">
        <v>38</v>
      </c>
      <c r="R1398" t="str">
        <f t="shared" si="67"/>
        <v xml:space="preserve">XX8X_PV_2055:    Front abuts stile:TRUE       Back abuts stile:TRUE          Panel Section: WHOLE           Stile in the back Width:            Cutout A:           Cutout B:      F.C.:11.3125 in.         C.C.: in.   </v>
      </c>
      <c r="S1398" t="str">
        <f t="shared" si="68"/>
        <v>TRUE</v>
      </c>
      <c r="T1398" t="str">
        <f t="shared" si="69"/>
        <v>TRUE</v>
      </c>
    </row>
    <row r="1399" spans="1:20" ht="15" thickTop="1">
      <c r="A1399" t="s">
        <v>1559</v>
      </c>
      <c r="B1399" s="14" t="s">
        <v>144</v>
      </c>
      <c r="C1399" s="14" t="s">
        <v>156</v>
      </c>
      <c r="D1399" s="19">
        <v>0</v>
      </c>
      <c r="E1399" s="19"/>
      <c r="F1399" s="19">
        <v>0</v>
      </c>
      <c r="G1399" s="19"/>
      <c r="H1399" s="14"/>
      <c r="I1399" s="8" t="s">
        <v>120</v>
      </c>
      <c r="J1399" s="8" t="s">
        <v>38</v>
      </c>
      <c r="K1399">
        <v>6.5</v>
      </c>
      <c r="L1399">
        <v>72.4375</v>
      </c>
      <c r="M1399" s="14">
        <v>6.5625</v>
      </c>
      <c r="N1399" s="14">
        <v>7.75</v>
      </c>
      <c r="R1399" t="str">
        <f t="shared" si="67"/>
        <v xml:space="preserve">XX8X_PV_2056:    Front abuts stile:FALSE       Back abuts stile:FALSE          Panel Section: TOP           Stile in the back Width:            Cutout A: B-386          Cutout B:      F.C.:6.5625 in.         C.C.:7.75 in.   </v>
      </c>
      <c r="S1399" t="str">
        <f t="shared" si="68"/>
        <v>FALSE</v>
      </c>
      <c r="T1399" t="str">
        <f t="shared" si="69"/>
        <v>FALSE</v>
      </c>
    </row>
    <row r="1400" spans="1:20">
      <c r="A1400" t="s">
        <v>1560</v>
      </c>
      <c r="B1400" s="14" t="s">
        <v>144</v>
      </c>
      <c r="C1400" s="14" t="s">
        <v>156</v>
      </c>
      <c r="D1400" s="14">
        <v>0</v>
      </c>
      <c r="E1400" s="14"/>
      <c r="F1400" s="14">
        <v>1</v>
      </c>
      <c r="G1400" s="14">
        <v>0</v>
      </c>
      <c r="H1400" s="14">
        <v>12</v>
      </c>
      <c r="I1400" s="8" t="s">
        <v>119</v>
      </c>
      <c r="J1400" s="8" t="s">
        <v>38</v>
      </c>
      <c r="K1400">
        <v>29.125</v>
      </c>
      <c r="L1400">
        <v>46.625</v>
      </c>
      <c r="M1400" s="14">
        <v>8.125</v>
      </c>
      <c r="N1400" s="14">
        <v>6.375</v>
      </c>
      <c r="R1400" t="str">
        <f t="shared" si="67"/>
        <v xml:space="preserve">XX8X_PV_2057:    Front abuts stile:FALSE       Back abuts stile:TRUE          Panel Section: TOP           Stile in the back Width: 12           Cutout A: B-354          Cutout B:      F.C.:8.125 in.         C.C.:6.375 in.   </v>
      </c>
      <c r="S1400" t="str">
        <f t="shared" si="68"/>
        <v>FALSE</v>
      </c>
      <c r="T1400" t="str">
        <f t="shared" si="69"/>
        <v>TRUE</v>
      </c>
    </row>
    <row r="1401" spans="1:20">
      <c r="A1401" t="s">
        <v>1561</v>
      </c>
      <c r="B1401" s="14" t="s">
        <v>144</v>
      </c>
      <c r="C1401" s="14" t="s">
        <v>156</v>
      </c>
      <c r="D1401" s="14">
        <v>0</v>
      </c>
      <c r="E1401" s="14"/>
      <c r="F1401" s="14">
        <v>1</v>
      </c>
      <c r="G1401" s="14">
        <v>0</v>
      </c>
      <c r="H1401" s="14">
        <v>24</v>
      </c>
      <c r="I1401" s="8" t="s">
        <v>35</v>
      </c>
      <c r="J1401" s="8" t="s">
        <v>38</v>
      </c>
      <c r="K1401">
        <v>49.1875</v>
      </c>
      <c r="L1401">
        <v>73.8125</v>
      </c>
      <c r="M1401" s="14">
        <v>4.5</v>
      </c>
      <c r="N1401" s="14">
        <v>1</v>
      </c>
      <c r="R1401" t="str">
        <f t="shared" si="67"/>
        <v xml:space="preserve">XX8X_PV_2058:    Front abuts stile:FALSE       Back abuts stile:TRUE          Panel Section: TOP           Stile in the back Width: 24           Cutout A: B-357          Cutout B:      F.C.:4.5 in.         C.C.:1 in.   </v>
      </c>
      <c r="S1401" t="str">
        <f t="shared" si="68"/>
        <v>FALSE</v>
      </c>
      <c r="T1401" t="str">
        <f t="shared" si="69"/>
        <v>TRUE</v>
      </c>
    </row>
    <row r="1402" spans="1:20">
      <c r="A1402" t="s">
        <v>1562</v>
      </c>
      <c r="B1402" s="14" t="s">
        <v>144</v>
      </c>
      <c r="C1402" s="14" t="s">
        <v>156</v>
      </c>
      <c r="D1402" s="14">
        <v>0</v>
      </c>
      <c r="E1402" s="14"/>
      <c r="F1402" s="14">
        <v>1</v>
      </c>
      <c r="G1402" s="14">
        <v>0</v>
      </c>
      <c r="H1402" s="14"/>
      <c r="I1402" s="8" t="s">
        <v>38</v>
      </c>
      <c r="J1402" s="8" t="s">
        <v>38</v>
      </c>
      <c r="K1402">
        <v>18</v>
      </c>
      <c r="L1402">
        <v>72.8125</v>
      </c>
      <c r="M1402" s="14">
        <v>1.6875</v>
      </c>
      <c r="N1402" s="14">
        <v>5.0625</v>
      </c>
      <c r="R1402" t="str">
        <f t="shared" si="67"/>
        <v xml:space="preserve">XX8X_PV_2059:    Front abuts stile:FALSE       Back abuts stile:TRUE          Panel Section: TOP           Stile in the back Width:            Cutout A:           Cutout B:      F.C.:1.6875 in.         C.C.:5.0625 in.   </v>
      </c>
      <c r="S1402" t="str">
        <f t="shared" si="68"/>
        <v>FALSE</v>
      </c>
      <c r="T1402" t="str">
        <f t="shared" si="69"/>
        <v>TRUE</v>
      </c>
    </row>
    <row r="1403" spans="1:20">
      <c r="A1403" t="s">
        <v>1563</v>
      </c>
      <c r="B1403" s="14" t="s">
        <v>144</v>
      </c>
      <c r="C1403" s="14" t="s">
        <v>156</v>
      </c>
      <c r="D1403" s="14">
        <v>0</v>
      </c>
      <c r="E1403" s="14"/>
      <c r="F1403" s="14">
        <v>1</v>
      </c>
      <c r="G1403" s="14">
        <v>1</v>
      </c>
      <c r="H1403" s="14"/>
      <c r="I1403" s="8" t="s">
        <v>38</v>
      </c>
      <c r="J1403" s="8" t="s">
        <v>38</v>
      </c>
      <c r="K1403">
        <v>33.75</v>
      </c>
      <c r="L1403">
        <v>22.125</v>
      </c>
      <c r="M1403" s="14">
        <v>4.5</v>
      </c>
      <c r="N1403" s="14" t="s">
        <v>38</v>
      </c>
      <c r="R1403" t="str">
        <f t="shared" si="67"/>
        <v xml:space="preserve">XX8X_PV_2060:    Front abuts stile:FALSE       Back abuts stile:TRUE          Panel Section: TOP           Stile in the back Width:            Cutout A:           Cutout B:      F.C.:4.5 in.         C.C.: in.   </v>
      </c>
      <c r="S1403" t="str">
        <f t="shared" si="68"/>
        <v>FALSE</v>
      </c>
      <c r="T1403" t="str">
        <f t="shared" si="69"/>
        <v>TRUE</v>
      </c>
    </row>
    <row r="1404" spans="1:20">
      <c r="A1404" t="s">
        <v>1564</v>
      </c>
      <c r="B1404" s="14" t="s">
        <v>144</v>
      </c>
      <c r="C1404" s="14" t="s">
        <v>156</v>
      </c>
      <c r="D1404" s="14">
        <v>1</v>
      </c>
      <c r="E1404" s="14">
        <v>0</v>
      </c>
      <c r="F1404" s="14">
        <v>0</v>
      </c>
      <c r="G1404" s="14"/>
      <c r="H1404" s="14"/>
      <c r="I1404" s="8" t="s">
        <v>120</v>
      </c>
      <c r="J1404" s="8" t="s">
        <v>38</v>
      </c>
      <c r="K1404">
        <v>42.0625</v>
      </c>
      <c r="L1404">
        <v>53.9375</v>
      </c>
      <c r="M1404" s="14">
        <v>12</v>
      </c>
      <c r="N1404" s="14">
        <v>1</v>
      </c>
      <c r="R1404" t="str">
        <f t="shared" si="67"/>
        <v xml:space="preserve">XX8X_PV_2061:    Front abuts stile:TRUE       Back abuts stile:FALSE          Panel Section: TOP           Stile in the back Width:            Cutout A: B-386          Cutout B:      F.C.:12 in.         C.C.:1 in.   </v>
      </c>
      <c r="S1404" t="str">
        <f t="shared" si="68"/>
        <v>TRUE</v>
      </c>
      <c r="T1404" t="str">
        <f t="shared" si="69"/>
        <v>FALSE</v>
      </c>
    </row>
    <row r="1405" spans="1:20">
      <c r="A1405" t="s">
        <v>1565</v>
      </c>
      <c r="B1405" s="14" t="s">
        <v>144</v>
      </c>
      <c r="C1405" s="14" t="s">
        <v>156</v>
      </c>
      <c r="D1405" s="14">
        <v>1</v>
      </c>
      <c r="E1405" s="14">
        <v>0</v>
      </c>
      <c r="F1405" s="14">
        <v>1</v>
      </c>
      <c r="G1405" s="14">
        <v>0</v>
      </c>
      <c r="H1405" s="14">
        <v>12</v>
      </c>
      <c r="I1405" s="8" t="s">
        <v>151</v>
      </c>
      <c r="J1405" s="8" t="s">
        <v>38</v>
      </c>
      <c r="K1405">
        <v>38.9375</v>
      </c>
      <c r="L1405">
        <v>45.625</v>
      </c>
      <c r="M1405" s="14">
        <v>1</v>
      </c>
      <c r="N1405" s="14">
        <v>1</v>
      </c>
      <c r="R1405" t="str">
        <f t="shared" si="67"/>
        <v xml:space="preserve">XX8X_PV_2062:    Front abuts stile:TRUE       Back abuts stile:TRUE          Panel Section: TOP           Stile in the back Width: 12           Cutout A: B-35715          Cutout B:      F.C.:1 in.         C.C.:1 in.   </v>
      </c>
      <c r="S1405" t="str">
        <f t="shared" si="68"/>
        <v>TRUE</v>
      </c>
      <c r="T1405" t="str">
        <f t="shared" si="69"/>
        <v>TRUE</v>
      </c>
    </row>
    <row r="1406" spans="1:20">
      <c r="A1406" t="s">
        <v>1566</v>
      </c>
      <c r="B1406" s="14" t="s">
        <v>144</v>
      </c>
      <c r="C1406" s="14" t="s">
        <v>156</v>
      </c>
      <c r="D1406" s="14">
        <v>1</v>
      </c>
      <c r="E1406" s="14">
        <v>0</v>
      </c>
      <c r="F1406" s="14">
        <v>1</v>
      </c>
      <c r="G1406" s="14">
        <v>0</v>
      </c>
      <c r="H1406" s="14">
        <v>24</v>
      </c>
      <c r="I1406" s="8" t="s">
        <v>120</v>
      </c>
      <c r="J1406" s="8" t="s">
        <v>38</v>
      </c>
      <c r="K1406">
        <v>49.5625</v>
      </c>
      <c r="L1406">
        <v>69.5625</v>
      </c>
      <c r="M1406" s="14">
        <v>4.5</v>
      </c>
      <c r="N1406" s="14" t="s">
        <v>38</v>
      </c>
      <c r="R1406" t="str">
        <f t="shared" si="67"/>
        <v xml:space="preserve">XX8X_PV_2063:    Front abuts stile:TRUE       Back abuts stile:TRUE          Panel Section: TOP           Stile in the back Width: 24           Cutout A: B-386          Cutout B:      F.C.:4.5 in.         C.C.: in.   </v>
      </c>
      <c r="S1406" t="str">
        <f t="shared" si="68"/>
        <v>TRUE</v>
      </c>
      <c r="T1406" t="str">
        <f t="shared" si="69"/>
        <v>TRUE</v>
      </c>
    </row>
    <row r="1407" spans="1:20">
      <c r="A1407" t="s">
        <v>1567</v>
      </c>
      <c r="B1407" s="14" t="s">
        <v>144</v>
      </c>
      <c r="C1407" s="14" t="s">
        <v>156</v>
      </c>
      <c r="D1407" s="14">
        <v>1</v>
      </c>
      <c r="E1407" s="14">
        <v>0</v>
      </c>
      <c r="F1407" s="14">
        <v>1</v>
      </c>
      <c r="G1407" s="14">
        <v>0</v>
      </c>
      <c r="H1407" s="14"/>
      <c r="I1407" s="8" t="s">
        <v>38</v>
      </c>
      <c r="J1407" s="8" t="s">
        <v>38</v>
      </c>
      <c r="K1407">
        <v>20.5</v>
      </c>
      <c r="L1407">
        <v>62.8125</v>
      </c>
      <c r="M1407" s="14">
        <v>4.5</v>
      </c>
      <c r="N1407" s="14">
        <v>1.4375</v>
      </c>
      <c r="R1407" t="str">
        <f t="shared" si="67"/>
        <v xml:space="preserve">XX8X_PV_2064:    Front abuts stile:TRUE       Back abuts stile:TRUE          Panel Section: TOP           Stile in the back Width:            Cutout A:           Cutout B:      F.C.:4.5 in.         C.C.:1.4375 in.   </v>
      </c>
      <c r="S1407" t="str">
        <f t="shared" si="68"/>
        <v>TRUE</v>
      </c>
      <c r="T1407" t="str">
        <f t="shared" si="69"/>
        <v>TRUE</v>
      </c>
    </row>
    <row r="1408" spans="1:20">
      <c r="A1408" t="s">
        <v>1568</v>
      </c>
      <c r="B1408" s="14" t="s">
        <v>144</v>
      </c>
      <c r="C1408" s="14" t="s">
        <v>156</v>
      </c>
      <c r="D1408" s="14">
        <v>1</v>
      </c>
      <c r="E1408" s="14">
        <v>0</v>
      </c>
      <c r="F1408" s="14">
        <v>1</v>
      </c>
      <c r="G1408" s="14">
        <v>1</v>
      </c>
      <c r="H1408" s="14"/>
      <c r="I1408" s="8" t="s">
        <v>38</v>
      </c>
      <c r="J1408" s="8" t="s">
        <v>38</v>
      </c>
      <c r="K1408">
        <v>31.8125</v>
      </c>
      <c r="L1408">
        <v>51.875</v>
      </c>
      <c r="M1408" s="14">
        <v>1</v>
      </c>
      <c r="N1408" s="14" t="s">
        <v>38</v>
      </c>
      <c r="R1408" t="str">
        <f t="shared" si="67"/>
        <v xml:space="preserve">XX8X_PV_2065:    Front abuts stile:TRUE       Back abuts stile:TRUE          Panel Section: TOP           Stile in the back Width:            Cutout A:           Cutout B:      F.C.:1 in.         C.C.: in.   </v>
      </c>
      <c r="S1408" t="str">
        <f t="shared" si="68"/>
        <v>TRUE</v>
      </c>
      <c r="T1408" t="str">
        <f t="shared" si="69"/>
        <v>TRUE</v>
      </c>
    </row>
    <row r="1409" spans="1:20">
      <c r="A1409" t="s">
        <v>1569</v>
      </c>
      <c r="B1409" s="14" t="s">
        <v>144</v>
      </c>
      <c r="C1409" s="14" t="s">
        <v>156</v>
      </c>
      <c r="D1409" s="14">
        <v>1</v>
      </c>
      <c r="E1409" s="14">
        <v>1</v>
      </c>
      <c r="F1409" s="14">
        <v>0</v>
      </c>
      <c r="G1409" s="14"/>
      <c r="H1409" s="14"/>
      <c r="I1409" s="8" t="s">
        <v>38</v>
      </c>
      <c r="J1409" s="8" t="s">
        <v>38</v>
      </c>
      <c r="K1409">
        <v>4.8125</v>
      </c>
      <c r="L1409">
        <v>73</v>
      </c>
      <c r="M1409" s="14">
        <v>2.6875</v>
      </c>
      <c r="N1409" s="14">
        <v>1.625</v>
      </c>
      <c r="R1409" t="str">
        <f t="shared" ref="R1409:R1472" si="70">A1409&amp;":    Front abuts stile:"&amp;S1409&amp;"       Back abuts stile:"&amp;T1409&amp;"          Panel Section: "&amp;C1409&amp;"           Stile in the back Width: "&amp;H1409&amp;"           Cutout A: "&amp;I1409&amp;"          Cutout B:"&amp;J1409&amp;"      F.C.:"&amp;M1409&amp;" in. "&amp;"        C.C.:"&amp;N1409&amp;" in. "&amp;"  "</f>
        <v xml:space="preserve">XX8X_PV_2066:    Front abuts stile:TRUE       Back abuts stile:FALSE          Panel Section: TOP           Stile in the back Width:            Cutout A:           Cutout B:      F.C.:2.6875 in.         C.C.:1.625 in.   </v>
      </c>
      <c r="S1409" t="str">
        <f t="shared" ref="S1409:S1472" si="71">IF(D1409=1, "TRUE", "FALSE")</f>
        <v>TRUE</v>
      </c>
      <c r="T1409" t="str">
        <f t="shared" ref="T1409:T1472" si="72">IF(F1409=1, "TRUE", "FALSE")</f>
        <v>FALSE</v>
      </c>
    </row>
    <row r="1410" spans="1:20">
      <c r="A1410" t="s">
        <v>1570</v>
      </c>
      <c r="B1410" s="14" t="s">
        <v>144</v>
      </c>
      <c r="C1410" s="14" t="s">
        <v>156</v>
      </c>
      <c r="D1410" s="14">
        <v>1</v>
      </c>
      <c r="E1410" s="14">
        <v>1</v>
      </c>
      <c r="F1410" s="14">
        <v>1</v>
      </c>
      <c r="G1410" s="14">
        <v>0</v>
      </c>
      <c r="H1410" s="14">
        <v>12</v>
      </c>
      <c r="I1410" s="8" t="s">
        <v>35</v>
      </c>
      <c r="J1410" s="8" t="s">
        <v>38</v>
      </c>
      <c r="K1410">
        <v>27.1875</v>
      </c>
      <c r="L1410">
        <v>45.5625</v>
      </c>
      <c r="M1410" s="14">
        <v>9</v>
      </c>
      <c r="N1410" s="14">
        <v>3.8125</v>
      </c>
      <c r="R1410" t="str">
        <f t="shared" si="70"/>
        <v xml:space="preserve">XX8X_PV_2067:    Front abuts stile:TRUE       Back abuts stile:TRUE          Panel Section: TOP           Stile in the back Width: 12           Cutout A: B-357          Cutout B:      F.C.:9 in.         C.C.:3.8125 in.   </v>
      </c>
      <c r="S1410" t="str">
        <f t="shared" si="71"/>
        <v>TRUE</v>
      </c>
      <c r="T1410" t="str">
        <f t="shared" si="72"/>
        <v>TRUE</v>
      </c>
    </row>
    <row r="1411" spans="1:20">
      <c r="A1411" t="s">
        <v>1571</v>
      </c>
      <c r="B1411" s="14" t="s">
        <v>144</v>
      </c>
      <c r="C1411" s="14" t="s">
        <v>156</v>
      </c>
      <c r="D1411" s="14">
        <v>1</v>
      </c>
      <c r="E1411" s="14">
        <v>1</v>
      </c>
      <c r="F1411" s="14">
        <v>1</v>
      </c>
      <c r="G1411" s="14">
        <v>0</v>
      </c>
      <c r="H1411" s="14">
        <v>24</v>
      </c>
      <c r="I1411" s="8" t="s">
        <v>150</v>
      </c>
      <c r="J1411" s="8" t="s">
        <v>38</v>
      </c>
      <c r="K1411">
        <v>45.875</v>
      </c>
      <c r="L1411">
        <v>45.5625</v>
      </c>
      <c r="M1411" s="14">
        <v>12</v>
      </c>
      <c r="N1411" s="14">
        <v>1</v>
      </c>
      <c r="R1411" t="str">
        <f t="shared" si="70"/>
        <v xml:space="preserve">XX8X_PV_2068:    Front abuts stile:TRUE       Back abuts stile:TRUE          Panel Section: TOP           Stile in the back Width: 24           Cutout A: B-3571          Cutout B:      F.C.:12 in.         C.C.:1 in.   </v>
      </c>
      <c r="S1411" t="str">
        <f t="shared" si="71"/>
        <v>TRUE</v>
      </c>
      <c r="T1411" t="str">
        <f t="shared" si="72"/>
        <v>TRUE</v>
      </c>
    </row>
    <row r="1412" spans="1:20">
      <c r="A1412" t="s">
        <v>1572</v>
      </c>
      <c r="B1412" s="14" t="s">
        <v>144</v>
      </c>
      <c r="C1412" s="14" t="s">
        <v>156</v>
      </c>
      <c r="D1412" s="14">
        <v>1</v>
      </c>
      <c r="E1412" s="14">
        <v>1</v>
      </c>
      <c r="F1412" s="14">
        <v>1</v>
      </c>
      <c r="G1412" s="14">
        <v>0</v>
      </c>
      <c r="H1412" s="14"/>
      <c r="I1412" s="8" t="s">
        <v>38</v>
      </c>
      <c r="J1412" s="8" t="s">
        <v>38</v>
      </c>
      <c r="K1412">
        <v>40.3125</v>
      </c>
      <c r="L1412">
        <v>79.9375</v>
      </c>
      <c r="M1412" s="14">
        <v>1</v>
      </c>
      <c r="N1412" s="14">
        <v>6.75</v>
      </c>
      <c r="R1412" t="str">
        <f t="shared" si="70"/>
        <v xml:space="preserve">XX8X_PV_2069:    Front abuts stile:TRUE       Back abuts stile:TRUE          Panel Section: TOP           Stile in the back Width:            Cutout A:           Cutout B:      F.C.:1 in.         C.C.:6.75 in.   </v>
      </c>
      <c r="S1412" t="str">
        <f t="shared" si="71"/>
        <v>TRUE</v>
      </c>
      <c r="T1412" t="str">
        <f t="shared" si="72"/>
        <v>TRUE</v>
      </c>
    </row>
    <row r="1413" spans="1:20">
      <c r="A1413" t="s">
        <v>1573</v>
      </c>
      <c r="B1413" s="14" t="s">
        <v>144</v>
      </c>
      <c r="C1413" s="14" t="s">
        <v>156</v>
      </c>
      <c r="D1413" s="14">
        <v>1</v>
      </c>
      <c r="E1413" s="14">
        <v>1</v>
      </c>
      <c r="F1413" s="14">
        <v>1</v>
      </c>
      <c r="G1413" s="14">
        <v>1</v>
      </c>
      <c r="H1413" s="14"/>
      <c r="I1413" s="8" t="s">
        <v>38</v>
      </c>
      <c r="J1413" s="8" t="s">
        <v>38</v>
      </c>
      <c r="K1413">
        <v>9.375</v>
      </c>
      <c r="L1413">
        <v>60.9375</v>
      </c>
      <c r="M1413" s="14">
        <v>12</v>
      </c>
      <c r="N1413" s="14">
        <v>1</v>
      </c>
      <c r="R1413" t="str">
        <f t="shared" si="70"/>
        <v xml:space="preserve">XX8X_PV_2070:    Front abuts stile:TRUE       Back abuts stile:TRUE          Panel Section: TOP           Stile in the back Width:            Cutout A:           Cutout B:      F.C.:12 in.         C.C.:1 in.   </v>
      </c>
      <c r="S1413" t="str">
        <f t="shared" si="71"/>
        <v>TRUE</v>
      </c>
      <c r="T1413" t="str">
        <f t="shared" si="72"/>
        <v>TRUE</v>
      </c>
    </row>
    <row r="1414" spans="1:20">
      <c r="A1414" t="s">
        <v>1574</v>
      </c>
      <c r="B1414" s="14" t="s">
        <v>144</v>
      </c>
      <c r="C1414" s="14" t="s">
        <v>157</v>
      </c>
      <c r="D1414" s="14">
        <v>0</v>
      </c>
      <c r="E1414" s="14"/>
      <c r="F1414" s="14">
        <v>0</v>
      </c>
      <c r="G1414" s="14"/>
      <c r="H1414" s="14"/>
      <c r="I1414" s="8" t="s">
        <v>119</v>
      </c>
      <c r="J1414" s="8" t="s">
        <v>38</v>
      </c>
      <c r="K1414">
        <v>60</v>
      </c>
      <c r="L1414">
        <v>74.875</v>
      </c>
      <c r="M1414" s="14">
        <v>2.125</v>
      </c>
      <c r="N1414" s="14">
        <v>5.0625</v>
      </c>
      <c r="R1414" t="str">
        <f t="shared" si="70"/>
        <v xml:space="preserve">XX8X_PV_2071:    Front abuts stile:FALSE       Back abuts stile:FALSE          Panel Section: BOTTOM           Stile in the back Width:            Cutout A: B-354          Cutout B:      F.C.:2.125 in.         C.C.:5.0625 in.   </v>
      </c>
      <c r="S1414" t="str">
        <f t="shared" si="71"/>
        <v>FALSE</v>
      </c>
      <c r="T1414" t="str">
        <f t="shared" si="72"/>
        <v>FALSE</v>
      </c>
    </row>
    <row r="1415" spans="1:20">
      <c r="A1415" t="s">
        <v>1575</v>
      </c>
      <c r="B1415" s="14" t="s">
        <v>144</v>
      </c>
      <c r="C1415" s="14" t="s">
        <v>157</v>
      </c>
      <c r="D1415" s="14">
        <v>0</v>
      </c>
      <c r="E1415" s="14"/>
      <c r="F1415" s="14">
        <v>1</v>
      </c>
      <c r="G1415" s="14">
        <v>0</v>
      </c>
      <c r="H1415" s="14">
        <v>12</v>
      </c>
      <c r="I1415" s="8" t="s">
        <v>121</v>
      </c>
      <c r="J1415" s="8" t="s">
        <v>38</v>
      </c>
      <c r="K1415">
        <v>60</v>
      </c>
      <c r="L1415">
        <v>78</v>
      </c>
      <c r="M1415" s="14">
        <v>8.5</v>
      </c>
      <c r="N1415" s="14" t="s">
        <v>38</v>
      </c>
      <c r="R1415" t="str">
        <f t="shared" si="70"/>
        <v xml:space="preserve">XX8X_PV_2072:    Front abuts stile:FALSE       Back abuts stile:TRUE          Panel Section: BOTTOM           Stile in the back Width: 12           Cutout A: B-4354          Cutout B:      F.C.:8.5 in.         C.C.: in.   </v>
      </c>
      <c r="S1415" t="str">
        <f t="shared" si="71"/>
        <v>FALSE</v>
      </c>
      <c r="T1415" t="str">
        <f t="shared" si="72"/>
        <v>TRUE</v>
      </c>
    </row>
    <row r="1416" spans="1:20">
      <c r="A1416" t="s">
        <v>1576</v>
      </c>
      <c r="B1416" s="14" t="s">
        <v>144</v>
      </c>
      <c r="C1416" s="14" t="s">
        <v>157</v>
      </c>
      <c r="D1416" s="14">
        <v>0</v>
      </c>
      <c r="E1416" s="14"/>
      <c r="F1416" s="14">
        <v>1</v>
      </c>
      <c r="G1416" s="14">
        <v>0</v>
      </c>
      <c r="H1416" s="14">
        <v>24</v>
      </c>
      <c r="I1416" s="8" t="s">
        <v>38</v>
      </c>
      <c r="J1416" s="8" t="s">
        <v>38</v>
      </c>
      <c r="K1416">
        <v>60</v>
      </c>
      <c r="L1416">
        <v>43</v>
      </c>
      <c r="M1416" s="14">
        <v>11.5625</v>
      </c>
      <c r="N1416" s="14" t="s">
        <v>38</v>
      </c>
      <c r="R1416" t="str">
        <f t="shared" si="70"/>
        <v xml:space="preserve">XX8X_PV_2073:    Front abuts stile:FALSE       Back abuts stile:TRUE          Panel Section: BOTTOM           Stile in the back Width: 24           Cutout A:           Cutout B:      F.C.:11.5625 in.         C.C.: in.   </v>
      </c>
      <c r="S1416" t="str">
        <f t="shared" si="71"/>
        <v>FALSE</v>
      </c>
      <c r="T1416" t="str">
        <f t="shared" si="72"/>
        <v>TRUE</v>
      </c>
    </row>
    <row r="1417" spans="1:20">
      <c r="A1417" t="s">
        <v>1577</v>
      </c>
      <c r="B1417" s="14" t="s">
        <v>144</v>
      </c>
      <c r="C1417" s="14" t="s">
        <v>157</v>
      </c>
      <c r="D1417" s="14">
        <v>0</v>
      </c>
      <c r="E1417" s="14"/>
      <c r="F1417" s="14">
        <v>1</v>
      </c>
      <c r="G1417" s="14">
        <v>0</v>
      </c>
      <c r="H1417" s="14"/>
      <c r="I1417" s="8" t="s">
        <v>38</v>
      </c>
      <c r="J1417" s="8" t="s">
        <v>38</v>
      </c>
      <c r="K1417">
        <v>60</v>
      </c>
      <c r="L1417">
        <v>45.5625</v>
      </c>
      <c r="M1417" s="14">
        <v>9</v>
      </c>
      <c r="N1417" s="14">
        <v>3.75</v>
      </c>
      <c r="R1417" t="str">
        <f t="shared" si="70"/>
        <v xml:space="preserve">XX8X_PV_2074:    Front abuts stile:FALSE       Back abuts stile:TRUE          Panel Section: BOTTOM           Stile in the back Width:            Cutout A:           Cutout B:      F.C.:9 in.         C.C.:3.75 in.   </v>
      </c>
      <c r="S1417" t="str">
        <f t="shared" si="71"/>
        <v>FALSE</v>
      </c>
      <c r="T1417" t="str">
        <f t="shared" si="72"/>
        <v>TRUE</v>
      </c>
    </row>
    <row r="1418" spans="1:20">
      <c r="A1418" t="s">
        <v>1578</v>
      </c>
      <c r="B1418" s="14" t="s">
        <v>144</v>
      </c>
      <c r="C1418" s="14" t="s">
        <v>157</v>
      </c>
      <c r="D1418" s="14">
        <v>0</v>
      </c>
      <c r="E1418" s="14"/>
      <c r="F1418" s="14">
        <v>1</v>
      </c>
      <c r="G1418" s="14">
        <v>1</v>
      </c>
      <c r="H1418" s="14"/>
      <c r="I1418" s="8" t="s">
        <v>38</v>
      </c>
      <c r="J1418" s="8" t="s">
        <v>38</v>
      </c>
      <c r="K1418">
        <v>60</v>
      </c>
      <c r="L1418">
        <v>62.875</v>
      </c>
      <c r="M1418" s="14">
        <v>12</v>
      </c>
      <c r="N1418" s="14">
        <v>5.1875</v>
      </c>
      <c r="R1418" t="str">
        <f t="shared" si="70"/>
        <v xml:space="preserve">XX8X_PV_2075:    Front abuts stile:FALSE       Back abuts stile:TRUE          Panel Section: BOTTOM           Stile in the back Width:            Cutout A:           Cutout B:      F.C.:12 in.         C.C.:5.1875 in.   </v>
      </c>
      <c r="S1418" t="str">
        <f t="shared" si="71"/>
        <v>FALSE</v>
      </c>
      <c r="T1418" t="str">
        <f t="shared" si="72"/>
        <v>TRUE</v>
      </c>
    </row>
    <row r="1419" spans="1:20">
      <c r="A1419" t="s">
        <v>1579</v>
      </c>
      <c r="B1419" s="14" t="s">
        <v>144</v>
      </c>
      <c r="C1419" s="14" t="s">
        <v>157</v>
      </c>
      <c r="D1419" s="14">
        <v>1</v>
      </c>
      <c r="E1419" s="14">
        <v>0</v>
      </c>
      <c r="F1419" s="14">
        <v>0</v>
      </c>
      <c r="G1419" s="14"/>
      <c r="H1419" s="14"/>
      <c r="I1419" s="8" t="s">
        <v>119</v>
      </c>
      <c r="J1419" s="8" t="s">
        <v>38</v>
      </c>
      <c r="K1419">
        <v>60</v>
      </c>
      <c r="L1419">
        <v>55.625</v>
      </c>
      <c r="M1419" s="14">
        <v>4.5</v>
      </c>
      <c r="N1419" s="14" t="s">
        <v>38</v>
      </c>
      <c r="R1419" t="str">
        <f t="shared" si="70"/>
        <v xml:space="preserve">XX8X_PV_2076:    Front abuts stile:TRUE       Back abuts stile:FALSE          Panel Section: BOTTOM           Stile in the back Width:            Cutout A: B-354          Cutout B:      F.C.:4.5 in.         C.C.: in.   </v>
      </c>
      <c r="S1419" t="str">
        <f t="shared" si="71"/>
        <v>TRUE</v>
      </c>
      <c r="T1419" t="str">
        <f t="shared" si="72"/>
        <v>FALSE</v>
      </c>
    </row>
    <row r="1420" spans="1:20">
      <c r="A1420" t="s">
        <v>1580</v>
      </c>
      <c r="B1420" s="14" t="s">
        <v>144</v>
      </c>
      <c r="C1420" s="14" t="s">
        <v>157</v>
      </c>
      <c r="D1420" s="14">
        <v>1</v>
      </c>
      <c r="E1420" s="14">
        <v>0</v>
      </c>
      <c r="F1420" s="14">
        <v>1</v>
      </c>
      <c r="G1420" s="14">
        <v>0</v>
      </c>
      <c r="H1420" s="14">
        <v>12</v>
      </c>
      <c r="I1420" s="8" t="s">
        <v>145</v>
      </c>
      <c r="J1420" s="8" t="s">
        <v>38</v>
      </c>
      <c r="K1420">
        <v>60</v>
      </c>
      <c r="L1420">
        <v>54.125</v>
      </c>
      <c r="M1420" s="14">
        <v>3.5</v>
      </c>
      <c r="N1420" s="14">
        <v>4.625</v>
      </c>
      <c r="R1420" t="str">
        <f t="shared" si="70"/>
        <v xml:space="preserve">XX8X_PV_2077:    Front abuts stile:TRUE       Back abuts stile:TRUE          Panel Section: BOTTOM           Stile in the back Width: 12           Cutout A: B-347          Cutout B:      F.C.:3.5 in.         C.C.:4.625 in.   </v>
      </c>
      <c r="S1420" t="str">
        <f t="shared" si="71"/>
        <v>TRUE</v>
      </c>
      <c r="T1420" t="str">
        <f t="shared" si="72"/>
        <v>TRUE</v>
      </c>
    </row>
    <row r="1421" spans="1:20">
      <c r="A1421" t="s">
        <v>1581</v>
      </c>
      <c r="B1421" s="14" t="s">
        <v>144</v>
      </c>
      <c r="C1421" s="14" t="s">
        <v>157</v>
      </c>
      <c r="D1421" s="14">
        <v>1</v>
      </c>
      <c r="E1421" s="14">
        <v>0</v>
      </c>
      <c r="F1421" s="14">
        <v>1</v>
      </c>
      <c r="G1421" s="14">
        <v>0</v>
      </c>
      <c r="H1421" s="14">
        <v>24</v>
      </c>
      <c r="I1421" s="8" t="s">
        <v>119</v>
      </c>
      <c r="J1421" s="8" t="s">
        <v>38</v>
      </c>
      <c r="K1421">
        <v>60</v>
      </c>
      <c r="L1421">
        <v>59.875</v>
      </c>
      <c r="M1421" s="14">
        <v>4.5</v>
      </c>
      <c r="N1421" s="14" t="s">
        <v>38</v>
      </c>
      <c r="R1421" t="str">
        <f t="shared" si="70"/>
        <v xml:space="preserve">XX8X_PV_2078:    Front abuts stile:TRUE       Back abuts stile:TRUE          Panel Section: BOTTOM           Stile in the back Width: 24           Cutout A: B-354          Cutout B:      F.C.:4.5 in.         C.C.: in.   </v>
      </c>
      <c r="S1421" t="str">
        <f t="shared" si="71"/>
        <v>TRUE</v>
      </c>
      <c r="T1421" t="str">
        <f t="shared" si="72"/>
        <v>TRUE</v>
      </c>
    </row>
    <row r="1422" spans="1:20">
      <c r="A1422" t="s">
        <v>1582</v>
      </c>
      <c r="B1422" s="14" t="s">
        <v>144</v>
      </c>
      <c r="C1422" s="14" t="s">
        <v>157</v>
      </c>
      <c r="D1422" s="14">
        <v>1</v>
      </c>
      <c r="E1422" s="14">
        <v>0</v>
      </c>
      <c r="F1422" s="14">
        <v>1</v>
      </c>
      <c r="G1422" s="14">
        <v>0</v>
      </c>
      <c r="H1422" s="14"/>
      <c r="I1422" s="8" t="s">
        <v>38</v>
      </c>
      <c r="J1422" s="8" t="s">
        <v>38</v>
      </c>
      <c r="K1422">
        <v>60</v>
      </c>
      <c r="L1422">
        <v>75.25</v>
      </c>
      <c r="M1422" s="14">
        <v>1</v>
      </c>
      <c r="N1422" s="14">
        <v>7.75</v>
      </c>
      <c r="R1422" t="str">
        <f t="shared" si="70"/>
        <v xml:space="preserve">XX8X_PV_2079:    Front abuts stile:TRUE       Back abuts stile:TRUE          Panel Section: BOTTOM           Stile in the back Width:            Cutout A:           Cutout B:      F.C.:1 in.         C.C.:7.75 in.   </v>
      </c>
      <c r="S1422" t="str">
        <f t="shared" si="71"/>
        <v>TRUE</v>
      </c>
      <c r="T1422" t="str">
        <f t="shared" si="72"/>
        <v>TRUE</v>
      </c>
    </row>
    <row r="1423" spans="1:20">
      <c r="A1423" t="s">
        <v>1583</v>
      </c>
      <c r="B1423" s="14" t="s">
        <v>144</v>
      </c>
      <c r="C1423" s="14" t="s">
        <v>157</v>
      </c>
      <c r="D1423" s="14">
        <v>1</v>
      </c>
      <c r="E1423" s="14">
        <v>0</v>
      </c>
      <c r="F1423" s="14">
        <v>1</v>
      </c>
      <c r="G1423" s="14">
        <v>1</v>
      </c>
      <c r="H1423" s="14"/>
      <c r="I1423" s="8" t="s">
        <v>38</v>
      </c>
      <c r="J1423" s="8" t="s">
        <v>38</v>
      </c>
      <c r="K1423">
        <v>60</v>
      </c>
      <c r="L1423">
        <v>58.375</v>
      </c>
      <c r="M1423" s="14">
        <v>3.75</v>
      </c>
      <c r="N1423" s="14">
        <v>7.75</v>
      </c>
      <c r="R1423" t="str">
        <f t="shared" si="70"/>
        <v xml:space="preserve">XX8X_PV_2080:    Front abuts stile:TRUE       Back abuts stile:TRUE          Panel Section: BOTTOM           Stile in the back Width:            Cutout A:           Cutout B:      F.C.:3.75 in.         C.C.:7.75 in.   </v>
      </c>
      <c r="S1423" t="str">
        <f t="shared" si="71"/>
        <v>TRUE</v>
      </c>
      <c r="T1423" t="str">
        <f t="shared" si="72"/>
        <v>TRUE</v>
      </c>
    </row>
    <row r="1424" spans="1:20">
      <c r="A1424" t="s">
        <v>1584</v>
      </c>
      <c r="B1424" s="14" t="s">
        <v>144</v>
      </c>
      <c r="C1424" s="14" t="s">
        <v>157</v>
      </c>
      <c r="D1424" s="14">
        <v>1</v>
      </c>
      <c r="E1424" s="14">
        <v>1</v>
      </c>
      <c r="F1424" s="14">
        <v>0</v>
      </c>
      <c r="G1424" s="14"/>
      <c r="H1424" s="14"/>
      <c r="I1424" s="8" t="s">
        <v>145</v>
      </c>
      <c r="J1424" s="8" t="s">
        <v>38</v>
      </c>
      <c r="K1424">
        <v>60</v>
      </c>
      <c r="L1424">
        <v>53.8125</v>
      </c>
      <c r="M1424" s="14">
        <v>4.5</v>
      </c>
      <c r="N1424" s="14" t="s">
        <v>38</v>
      </c>
      <c r="R1424" t="str">
        <f t="shared" si="70"/>
        <v xml:space="preserve">XX8X_PV_2081:    Front abuts stile:TRUE       Back abuts stile:FALSE          Panel Section: BOTTOM           Stile in the back Width:            Cutout A: B-347          Cutout B:      F.C.:4.5 in.         C.C.: in.   </v>
      </c>
      <c r="S1424" t="str">
        <f t="shared" si="71"/>
        <v>TRUE</v>
      </c>
      <c r="T1424" t="str">
        <f t="shared" si="72"/>
        <v>FALSE</v>
      </c>
    </row>
    <row r="1425" spans="1:20">
      <c r="A1425" t="s">
        <v>1585</v>
      </c>
      <c r="B1425" s="14" t="s">
        <v>144</v>
      </c>
      <c r="C1425" s="14" t="s">
        <v>157</v>
      </c>
      <c r="D1425" s="14">
        <v>1</v>
      </c>
      <c r="E1425" s="14">
        <v>1</v>
      </c>
      <c r="F1425" s="14">
        <v>1</v>
      </c>
      <c r="G1425" s="14">
        <v>0</v>
      </c>
      <c r="H1425" s="14">
        <v>12</v>
      </c>
      <c r="I1425" s="8" t="s">
        <v>35</v>
      </c>
      <c r="J1425" s="8" t="s">
        <v>38</v>
      </c>
      <c r="K1425">
        <v>60</v>
      </c>
      <c r="L1425">
        <v>45.9375</v>
      </c>
      <c r="M1425" s="14">
        <v>12</v>
      </c>
      <c r="N1425" s="14" t="s">
        <v>38</v>
      </c>
      <c r="R1425" t="str">
        <f t="shared" si="70"/>
        <v xml:space="preserve">XX8X_PV_2082:    Front abuts stile:TRUE       Back abuts stile:TRUE          Panel Section: BOTTOM           Stile in the back Width: 12           Cutout A: B-357          Cutout B:      F.C.:12 in.         C.C.: in.   </v>
      </c>
      <c r="S1425" t="str">
        <f t="shared" si="71"/>
        <v>TRUE</v>
      </c>
      <c r="T1425" t="str">
        <f t="shared" si="72"/>
        <v>TRUE</v>
      </c>
    </row>
    <row r="1426" spans="1:20">
      <c r="A1426" t="s">
        <v>1586</v>
      </c>
      <c r="B1426" s="14" t="s">
        <v>144</v>
      </c>
      <c r="C1426" s="14" t="s">
        <v>157</v>
      </c>
      <c r="D1426" s="14">
        <v>1</v>
      </c>
      <c r="E1426" s="14">
        <v>1</v>
      </c>
      <c r="F1426" s="14">
        <v>1</v>
      </c>
      <c r="G1426" s="14">
        <v>0</v>
      </c>
      <c r="H1426" s="14">
        <v>24</v>
      </c>
      <c r="I1426" s="8" t="s">
        <v>38</v>
      </c>
      <c r="J1426" s="8" t="s">
        <v>38</v>
      </c>
      <c r="K1426">
        <v>60</v>
      </c>
      <c r="L1426">
        <v>55.5</v>
      </c>
      <c r="M1426" s="14">
        <v>12</v>
      </c>
      <c r="N1426" s="14">
        <v>1</v>
      </c>
      <c r="R1426" t="str">
        <f t="shared" si="70"/>
        <v xml:space="preserve">XX8X_PV_2083:    Front abuts stile:TRUE       Back abuts stile:TRUE          Panel Section: BOTTOM           Stile in the back Width: 24           Cutout A:           Cutout B:      F.C.:12 in.         C.C.:1 in.   </v>
      </c>
      <c r="S1426" t="str">
        <f t="shared" si="71"/>
        <v>TRUE</v>
      </c>
      <c r="T1426" t="str">
        <f t="shared" si="72"/>
        <v>TRUE</v>
      </c>
    </row>
    <row r="1427" spans="1:20">
      <c r="A1427" t="s">
        <v>1587</v>
      </c>
      <c r="B1427" s="14" t="s">
        <v>144</v>
      </c>
      <c r="C1427" s="14" t="s">
        <v>157</v>
      </c>
      <c r="D1427" s="14">
        <v>1</v>
      </c>
      <c r="E1427" s="14">
        <v>1</v>
      </c>
      <c r="F1427" s="14">
        <v>1</v>
      </c>
      <c r="G1427" s="14">
        <v>0</v>
      </c>
      <c r="H1427" s="14"/>
      <c r="I1427" s="8" t="s">
        <v>38</v>
      </c>
      <c r="J1427" s="8" t="s">
        <v>38</v>
      </c>
      <c r="K1427">
        <v>60</v>
      </c>
      <c r="L1427">
        <v>55.25</v>
      </c>
      <c r="M1427" s="14">
        <v>12</v>
      </c>
      <c r="N1427" s="14" t="s">
        <v>38</v>
      </c>
      <c r="R1427" t="str">
        <f t="shared" si="70"/>
        <v xml:space="preserve">XX8X_PV_2084:    Front abuts stile:TRUE       Back abuts stile:TRUE          Panel Section: BOTTOM           Stile in the back Width:            Cutout A:           Cutout B:      F.C.:12 in.         C.C.: in.   </v>
      </c>
      <c r="S1427" t="str">
        <f t="shared" si="71"/>
        <v>TRUE</v>
      </c>
      <c r="T1427" t="str">
        <f t="shared" si="72"/>
        <v>TRUE</v>
      </c>
    </row>
    <row r="1428" spans="1:20">
      <c r="A1428" t="s">
        <v>1588</v>
      </c>
      <c r="B1428" s="14" t="s">
        <v>144</v>
      </c>
      <c r="C1428" s="14" t="s">
        <v>157</v>
      </c>
      <c r="D1428" s="14">
        <v>1</v>
      </c>
      <c r="E1428" s="14">
        <v>1</v>
      </c>
      <c r="F1428" s="14">
        <v>1</v>
      </c>
      <c r="G1428" s="14">
        <v>1</v>
      </c>
      <c r="H1428" s="14"/>
      <c r="I1428" s="8" t="s">
        <v>38</v>
      </c>
      <c r="J1428" s="8" t="s">
        <v>38</v>
      </c>
      <c r="K1428">
        <v>60</v>
      </c>
      <c r="L1428">
        <v>28.625</v>
      </c>
      <c r="M1428" s="14">
        <v>4.9375</v>
      </c>
      <c r="N1428" s="14">
        <v>1</v>
      </c>
      <c r="R1428" t="str">
        <f t="shared" si="70"/>
        <v xml:space="preserve">XX8X_PV_2085:    Front abuts stile:TRUE       Back abuts stile:TRUE          Panel Section: BOTTOM           Stile in the back Width:            Cutout A:           Cutout B:      F.C.:4.9375 in.         C.C.:1 in.   </v>
      </c>
      <c r="S1428" t="str">
        <f t="shared" si="71"/>
        <v>TRUE</v>
      </c>
      <c r="T1428" t="str">
        <f t="shared" si="72"/>
        <v>TRUE</v>
      </c>
    </row>
    <row r="1429" spans="1:20">
      <c r="A1429" t="s">
        <v>1589</v>
      </c>
      <c r="B1429" s="14" t="s">
        <v>144</v>
      </c>
      <c r="C1429" s="14" t="s">
        <v>21</v>
      </c>
      <c r="D1429" s="14">
        <v>0</v>
      </c>
      <c r="E1429" s="14"/>
      <c r="F1429" s="14">
        <v>0</v>
      </c>
      <c r="G1429" s="14"/>
      <c r="H1429" s="14"/>
      <c r="I1429" s="8" t="s">
        <v>35</v>
      </c>
      <c r="J1429" s="8" t="s">
        <v>38</v>
      </c>
      <c r="K1429">
        <v>96</v>
      </c>
      <c r="L1429">
        <v>71.1875</v>
      </c>
      <c r="M1429" s="14">
        <v>12</v>
      </c>
      <c r="N1429" s="14" t="s">
        <v>38</v>
      </c>
      <c r="R1429" t="str">
        <f t="shared" si="70"/>
        <v xml:space="preserve">XX8X_PV_2086:    Front abuts stile:FALSE       Back abuts stile:FALSE          Panel Section: WHOLE           Stile in the back Width:            Cutout A: B-357          Cutout B:      F.C.:12 in.         C.C.: in.   </v>
      </c>
      <c r="S1429" t="str">
        <f t="shared" si="71"/>
        <v>FALSE</v>
      </c>
      <c r="T1429" t="str">
        <f t="shared" si="72"/>
        <v>FALSE</v>
      </c>
    </row>
    <row r="1430" spans="1:20">
      <c r="A1430" t="s">
        <v>1590</v>
      </c>
      <c r="B1430" s="14" t="s">
        <v>144</v>
      </c>
      <c r="C1430" s="14" t="s">
        <v>21</v>
      </c>
      <c r="D1430" s="14">
        <v>0</v>
      </c>
      <c r="E1430" s="14"/>
      <c r="F1430" s="14">
        <v>1</v>
      </c>
      <c r="G1430" s="14">
        <v>0</v>
      </c>
      <c r="H1430" s="14">
        <v>12</v>
      </c>
      <c r="I1430" s="8" t="s">
        <v>38</v>
      </c>
      <c r="J1430" s="8" t="s">
        <v>38</v>
      </c>
      <c r="K1430">
        <v>96</v>
      </c>
      <c r="L1430">
        <v>24.1875</v>
      </c>
      <c r="M1430" s="14">
        <v>12</v>
      </c>
      <c r="N1430" s="14" t="s">
        <v>38</v>
      </c>
      <c r="R1430" t="str">
        <f t="shared" si="70"/>
        <v xml:space="preserve">XX8X_PV_2087:    Front abuts stile:FALSE       Back abuts stile:TRUE          Panel Section: WHOLE           Stile in the back Width: 12           Cutout A:           Cutout B:      F.C.:12 in.         C.C.: in.   </v>
      </c>
      <c r="S1430" t="str">
        <f t="shared" si="71"/>
        <v>FALSE</v>
      </c>
      <c r="T1430" t="str">
        <f t="shared" si="72"/>
        <v>TRUE</v>
      </c>
    </row>
    <row r="1431" spans="1:20">
      <c r="A1431" t="s">
        <v>1591</v>
      </c>
      <c r="B1431" s="14" t="s">
        <v>144</v>
      </c>
      <c r="C1431" s="14" t="s">
        <v>21</v>
      </c>
      <c r="D1431" s="14">
        <v>0</v>
      </c>
      <c r="E1431" s="14"/>
      <c r="F1431" s="14">
        <v>1</v>
      </c>
      <c r="G1431" s="14">
        <v>0</v>
      </c>
      <c r="H1431" s="14">
        <v>24</v>
      </c>
      <c r="I1431" s="8" t="s">
        <v>120</v>
      </c>
      <c r="J1431" s="8" t="s">
        <v>38</v>
      </c>
      <c r="K1431">
        <v>96</v>
      </c>
      <c r="L1431">
        <v>47.625</v>
      </c>
      <c r="M1431" s="14">
        <v>1</v>
      </c>
      <c r="N1431" s="14">
        <v>1</v>
      </c>
      <c r="R1431" t="str">
        <f t="shared" si="70"/>
        <v xml:space="preserve">XX8X_PV_2088:    Front abuts stile:FALSE       Back abuts stile:TRUE          Panel Section: WHOLE           Stile in the back Width: 24           Cutout A: B-386          Cutout B:      F.C.:1 in.         C.C.:1 in.   </v>
      </c>
      <c r="S1431" t="str">
        <f t="shared" si="71"/>
        <v>FALSE</v>
      </c>
      <c r="T1431" t="str">
        <f t="shared" si="72"/>
        <v>TRUE</v>
      </c>
    </row>
    <row r="1432" spans="1:20">
      <c r="A1432" t="s">
        <v>1592</v>
      </c>
      <c r="B1432" s="14" t="s">
        <v>144</v>
      </c>
      <c r="C1432" s="14" t="s">
        <v>21</v>
      </c>
      <c r="D1432" s="14">
        <v>0</v>
      </c>
      <c r="E1432" s="14"/>
      <c r="F1432" s="14">
        <v>1</v>
      </c>
      <c r="G1432" s="14">
        <v>0</v>
      </c>
      <c r="H1432" s="14"/>
      <c r="I1432" s="8" t="s">
        <v>38</v>
      </c>
      <c r="J1432" s="8" t="s">
        <v>38</v>
      </c>
      <c r="K1432">
        <v>76.6875</v>
      </c>
      <c r="L1432">
        <v>69.75</v>
      </c>
      <c r="M1432" s="14">
        <v>9</v>
      </c>
      <c r="N1432" s="14">
        <v>3.75</v>
      </c>
      <c r="R1432" t="str">
        <f t="shared" si="70"/>
        <v xml:space="preserve">XX8X_PV_2089:    Front abuts stile:FALSE       Back abuts stile:TRUE          Panel Section: WHOLE           Stile in the back Width:            Cutout A:           Cutout B:      F.C.:9 in.         C.C.:3.75 in.   </v>
      </c>
      <c r="S1432" t="str">
        <f t="shared" si="71"/>
        <v>FALSE</v>
      </c>
      <c r="T1432" t="str">
        <f t="shared" si="72"/>
        <v>TRUE</v>
      </c>
    </row>
    <row r="1433" spans="1:20">
      <c r="A1433" t="s">
        <v>1593</v>
      </c>
      <c r="B1433" s="14" t="s">
        <v>144</v>
      </c>
      <c r="C1433" s="14" t="s">
        <v>21</v>
      </c>
      <c r="D1433" s="14">
        <v>0</v>
      </c>
      <c r="E1433" s="14"/>
      <c r="F1433" s="14">
        <v>1</v>
      </c>
      <c r="G1433" s="14">
        <v>1</v>
      </c>
      <c r="H1433" s="14"/>
      <c r="I1433" s="8" t="s">
        <v>38</v>
      </c>
      <c r="J1433" s="8" t="s">
        <v>38</v>
      </c>
      <c r="K1433">
        <v>96</v>
      </c>
      <c r="L1433">
        <v>46.25</v>
      </c>
      <c r="M1433" s="14">
        <v>12</v>
      </c>
      <c r="N1433" s="14">
        <v>3.5</v>
      </c>
      <c r="R1433" t="str">
        <f t="shared" si="70"/>
        <v xml:space="preserve">XX8X_PV_2090:    Front abuts stile:FALSE       Back abuts stile:TRUE          Panel Section: WHOLE           Stile in the back Width:            Cutout A:           Cutout B:      F.C.:12 in.         C.C.:3.5 in.   </v>
      </c>
      <c r="S1433" t="str">
        <f t="shared" si="71"/>
        <v>FALSE</v>
      </c>
      <c r="T1433" t="str">
        <f t="shared" si="72"/>
        <v>TRUE</v>
      </c>
    </row>
    <row r="1434" spans="1:20">
      <c r="A1434" t="s">
        <v>1594</v>
      </c>
      <c r="B1434" s="14" t="s">
        <v>144</v>
      </c>
      <c r="C1434" s="14" t="s">
        <v>21</v>
      </c>
      <c r="D1434" s="14">
        <v>1</v>
      </c>
      <c r="E1434" s="14">
        <v>0</v>
      </c>
      <c r="F1434" s="14">
        <v>0</v>
      </c>
      <c r="G1434" s="14"/>
      <c r="H1434" s="14"/>
      <c r="I1434" s="8" t="s">
        <v>120</v>
      </c>
      <c r="J1434" s="8" t="s">
        <v>38</v>
      </c>
      <c r="K1434">
        <v>58.75</v>
      </c>
      <c r="L1434">
        <v>73.4375</v>
      </c>
      <c r="M1434" s="14">
        <v>1</v>
      </c>
      <c r="N1434" s="14" t="s">
        <v>38</v>
      </c>
      <c r="R1434" t="str">
        <f t="shared" si="70"/>
        <v xml:space="preserve">XX8X_PV_2091:    Front abuts stile:TRUE       Back abuts stile:FALSE          Panel Section: WHOLE           Stile in the back Width:            Cutout A: B-386          Cutout B:      F.C.:1 in.         C.C.: in.   </v>
      </c>
      <c r="S1434" t="str">
        <f t="shared" si="71"/>
        <v>TRUE</v>
      </c>
      <c r="T1434" t="str">
        <f t="shared" si="72"/>
        <v>FALSE</v>
      </c>
    </row>
    <row r="1435" spans="1:20">
      <c r="A1435" t="s">
        <v>1595</v>
      </c>
      <c r="B1435" s="14" t="s">
        <v>144</v>
      </c>
      <c r="C1435" s="14" t="s">
        <v>21</v>
      </c>
      <c r="D1435" s="14">
        <v>1</v>
      </c>
      <c r="E1435" s="14">
        <v>0</v>
      </c>
      <c r="F1435" s="14">
        <v>1</v>
      </c>
      <c r="G1435" s="14">
        <v>0</v>
      </c>
      <c r="H1435" s="14">
        <v>12</v>
      </c>
      <c r="I1435" s="8" t="s">
        <v>38</v>
      </c>
      <c r="J1435" s="8" t="s">
        <v>38</v>
      </c>
      <c r="K1435">
        <v>88.3125</v>
      </c>
      <c r="L1435">
        <v>10.3125</v>
      </c>
      <c r="M1435" s="14">
        <v>4.5</v>
      </c>
      <c r="N1435" s="14">
        <v>1</v>
      </c>
      <c r="R1435" t="str">
        <f t="shared" si="70"/>
        <v xml:space="preserve">XX8X_PV_2092:    Front abuts stile:TRUE       Back abuts stile:TRUE          Panel Section: WHOLE           Stile in the back Width: 12           Cutout A:           Cutout B:      F.C.:4.5 in.         C.C.:1 in.   </v>
      </c>
      <c r="S1435" t="str">
        <f t="shared" si="71"/>
        <v>TRUE</v>
      </c>
      <c r="T1435" t="str">
        <f t="shared" si="72"/>
        <v>TRUE</v>
      </c>
    </row>
    <row r="1436" spans="1:20">
      <c r="A1436" t="s">
        <v>1596</v>
      </c>
      <c r="B1436" s="14" t="s">
        <v>144</v>
      </c>
      <c r="C1436" s="14" t="s">
        <v>21</v>
      </c>
      <c r="D1436" s="14">
        <v>1</v>
      </c>
      <c r="E1436" s="14">
        <v>0</v>
      </c>
      <c r="F1436" s="14">
        <v>1</v>
      </c>
      <c r="G1436" s="14">
        <v>0</v>
      </c>
      <c r="H1436" s="14">
        <v>24</v>
      </c>
      <c r="I1436" s="8" t="s">
        <v>38</v>
      </c>
      <c r="J1436" s="8" t="s">
        <v>38</v>
      </c>
      <c r="K1436">
        <v>108.625</v>
      </c>
      <c r="L1436">
        <v>73.25</v>
      </c>
      <c r="M1436" s="14">
        <v>12</v>
      </c>
      <c r="N1436" s="14">
        <v>5.5</v>
      </c>
      <c r="R1436" t="str">
        <f t="shared" si="70"/>
        <v xml:space="preserve">XX8X_PV_2093:    Front abuts stile:TRUE       Back abuts stile:TRUE          Panel Section: WHOLE           Stile in the back Width: 24           Cutout A:           Cutout B:      F.C.:12 in.         C.C.:5.5 in.   </v>
      </c>
      <c r="S1436" t="str">
        <f t="shared" si="71"/>
        <v>TRUE</v>
      </c>
      <c r="T1436" t="str">
        <f t="shared" si="72"/>
        <v>TRUE</v>
      </c>
    </row>
    <row r="1437" spans="1:20">
      <c r="A1437" t="s">
        <v>1597</v>
      </c>
      <c r="B1437" s="14" t="s">
        <v>144</v>
      </c>
      <c r="C1437" s="14" t="s">
        <v>21</v>
      </c>
      <c r="D1437" s="14">
        <v>1</v>
      </c>
      <c r="E1437" s="14">
        <v>0</v>
      </c>
      <c r="F1437" s="14">
        <v>1</v>
      </c>
      <c r="G1437" s="14">
        <v>0</v>
      </c>
      <c r="H1437" s="14"/>
      <c r="I1437" s="8" t="s">
        <v>38</v>
      </c>
      <c r="J1437" s="8" t="s">
        <v>38</v>
      </c>
      <c r="K1437">
        <v>96</v>
      </c>
      <c r="L1437">
        <v>69.25</v>
      </c>
      <c r="M1437" s="14">
        <v>3.6875</v>
      </c>
      <c r="N1437" s="14" t="s">
        <v>38</v>
      </c>
      <c r="R1437" t="str">
        <f t="shared" si="70"/>
        <v xml:space="preserve">XX8X_PV_2094:    Front abuts stile:TRUE       Back abuts stile:TRUE          Panel Section: WHOLE           Stile in the back Width:            Cutout A:           Cutout B:      F.C.:3.6875 in.         C.C.: in.   </v>
      </c>
      <c r="S1437" t="str">
        <f t="shared" si="71"/>
        <v>TRUE</v>
      </c>
      <c r="T1437" t="str">
        <f t="shared" si="72"/>
        <v>TRUE</v>
      </c>
    </row>
    <row r="1438" spans="1:20">
      <c r="A1438" t="s">
        <v>1598</v>
      </c>
      <c r="B1438" s="14" t="s">
        <v>144</v>
      </c>
      <c r="C1438" s="14" t="s">
        <v>21</v>
      </c>
      <c r="D1438" s="14">
        <v>1</v>
      </c>
      <c r="E1438" s="14">
        <v>0</v>
      </c>
      <c r="F1438" s="14">
        <v>1</v>
      </c>
      <c r="G1438" s="14">
        <v>1</v>
      </c>
      <c r="H1438" s="14"/>
      <c r="I1438" s="8" t="s">
        <v>38</v>
      </c>
      <c r="J1438" s="8" t="s">
        <v>38</v>
      </c>
      <c r="K1438">
        <v>62.5625</v>
      </c>
      <c r="L1438">
        <v>43.5</v>
      </c>
      <c r="M1438" s="14">
        <v>9</v>
      </c>
      <c r="N1438" s="14" t="s">
        <v>38</v>
      </c>
      <c r="R1438" t="str">
        <f t="shared" si="70"/>
        <v xml:space="preserve">XX8X_PV_2095:    Front abuts stile:TRUE       Back abuts stile:TRUE          Panel Section: WHOLE           Stile in the back Width:            Cutout A:           Cutout B:      F.C.:9 in.         C.C.: in.   </v>
      </c>
      <c r="S1438" t="str">
        <f t="shared" si="71"/>
        <v>TRUE</v>
      </c>
      <c r="T1438" t="str">
        <f t="shared" si="72"/>
        <v>TRUE</v>
      </c>
    </row>
    <row r="1439" spans="1:20">
      <c r="A1439" t="s">
        <v>1599</v>
      </c>
      <c r="B1439" s="14" t="s">
        <v>144</v>
      </c>
      <c r="C1439" s="14" t="s">
        <v>21</v>
      </c>
      <c r="D1439" s="14">
        <v>1</v>
      </c>
      <c r="E1439" s="14">
        <v>1</v>
      </c>
      <c r="F1439" s="14">
        <v>0</v>
      </c>
      <c r="G1439" s="14"/>
      <c r="H1439" s="14"/>
      <c r="I1439" s="8" t="s">
        <v>151</v>
      </c>
      <c r="J1439" s="8" t="s">
        <v>38</v>
      </c>
      <c r="K1439">
        <v>36.375</v>
      </c>
      <c r="L1439">
        <v>55.25</v>
      </c>
      <c r="M1439" s="14">
        <v>1</v>
      </c>
      <c r="N1439" s="14">
        <v>5.25</v>
      </c>
      <c r="R1439" t="str">
        <f t="shared" si="70"/>
        <v xml:space="preserve">XX8X_PV_2096:    Front abuts stile:TRUE       Back abuts stile:FALSE          Panel Section: WHOLE           Stile in the back Width:            Cutout A: B-35715          Cutout B:      F.C.:1 in.         C.C.:5.25 in.   </v>
      </c>
      <c r="S1439" t="str">
        <f t="shared" si="71"/>
        <v>TRUE</v>
      </c>
      <c r="T1439" t="str">
        <f t="shared" si="72"/>
        <v>FALSE</v>
      </c>
    </row>
    <row r="1440" spans="1:20">
      <c r="A1440" t="s">
        <v>1600</v>
      </c>
      <c r="B1440" s="14" t="s">
        <v>144</v>
      </c>
      <c r="C1440" s="14" t="s">
        <v>21</v>
      </c>
      <c r="D1440" s="14">
        <v>1</v>
      </c>
      <c r="E1440" s="14">
        <v>1</v>
      </c>
      <c r="F1440" s="14">
        <v>1</v>
      </c>
      <c r="G1440" s="14">
        <v>0</v>
      </c>
      <c r="H1440" s="14">
        <v>12</v>
      </c>
      <c r="I1440" s="8" t="s">
        <v>145</v>
      </c>
      <c r="J1440" s="8" t="s">
        <v>38</v>
      </c>
      <c r="K1440">
        <v>49.625</v>
      </c>
      <c r="L1440">
        <v>57.5625</v>
      </c>
      <c r="M1440" s="14">
        <v>9</v>
      </c>
      <c r="N1440" s="14">
        <v>1</v>
      </c>
      <c r="R1440" t="str">
        <f t="shared" si="70"/>
        <v xml:space="preserve">XX8X_PV_2097:    Front abuts stile:TRUE       Back abuts stile:TRUE          Panel Section: WHOLE           Stile in the back Width: 12           Cutout A: B-347          Cutout B:      F.C.:9 in.         C.C.:1 in.   </v>
      </c>
      <c r="S1440" t="str">
        <f t="shared" si="71"/>
        <v>TRUE</v>
      </c>
      <c r="T1440" t="str">
        <f t="shared" si="72"/>
        <v>TRUE</v>
      </c>
    </row>
    <row r="1441" spans="1:20">
      <c r="A1441" t="s">
        <v>1601</v>
      </c>
      <c r="B1441" s="14" t="s">
        <v>144</v>
      </c>
      <c r="C1441" s="14" t="s">
        <v>21</v>
      </c>
      <c r="D1441" s="14">
        <v>1</v>
      </c>
      <c r="E1441" s="14">
        <v>1</v>
      </c>
      <c r="F1441" s="14">
        <v>1</v>
      </c>
      <c r="G1441" s="14">
        <v>0</v>
      </c>
      <c r="H1441" s="14">
        <v>24</v>
      </c>
      <c r="I1441" s="8" t="s">
        <v>35</v>
      </c>
      <c r="J1441" s="8" t="s">
        <v>38</v>
      </c>
      <c r="K1441">
        <v>85.625</v>
      </c>
      <c r="L1441">
        <v>64.75</v>
      </c>
      <c r="M1441" s="14">
        <v>12</v>
      </c>
      <c r="N1441" s="14">
        <v>7.4375</v>
      </c>
      <c r="R1441" t="str">
        <f t="shared" si="70"/>
        <v xml:space="preserve">XX8X_PV_2098:    Front abuts stile:TRUE       Back abuts stile:TRUE          Panel Section: WHOLE           Stile in the back Width: 24           Cutout A: B-357          Cutout B:      F.C.:12 in.         C.C.:7.4375 in.   </v>
      </c>
      <c r="S1441" t="str">
        <f t="shared" si="71"/>
        <v>TRUE</v>
      </c>
      <c r="T1441" t="str">
        <f t="shared" si="72"/>
        <v>TRUE</v>
      </c>
    </row>
    <row r="1442" spans="1:20">
      <c r="A1442" t="s">
        <v>1602</v>
      </c>
      <c r="B1442" s="14" t="s">
        <v>144</v>
      </c>
      <c r="C1442" s="14" t="s">
        <v>21</v>
      </c>
      <c r="D1442" s="14">
        <v>1</v>
      </c>
      <c r="E1442" s="14">
        <v>1</v>
      </c>
      <c r="F1442" s="14">
        <v>1</v>
      </c>
      <c r="G1442" s="14">
        <v>0</v>
      </c>
      <c r="H1442" s="14"/>
      <c r="I1442" s="8" t="s">
        <v>38</v>
      </c>
      <c r="J1442" s="8" t="s">
        <v>38</v>
      </c>
      <c r="K1442">
        <v>70.875</v>
      </c>
      <c r="L1442">
        <v>25.375</v>
      </c>
      <c r="M1442" s="14">
        <v>9</v>
      </c>
      <c r="N1442" s="14" t="s">
        <v>38</v>
      </c>
      <c r="R1442" t="str">
        <f t="shared" si="70"/>
        <v xml:space="preserve">XX8X_PV_2099:    Front abuts stile:TRUE       Back abuts stile:TRUE          Panel Section: WHOLE           Stile in the back Width:            Cutout A:           Cutout B:      F.C.:9 in.         C.C.: in.   </v>
      </c>
      <c r="S1442" t="str">
        <f t="shared" si="71"/>
        <v>TRUE</v>
      </c>
      <c r="T1442" t="str">
        <f t="shared" si="72"/>
        <v>TRUE</v>
      </c>
    </row>
    <row r="1443" spans="1:20" ht="15" thickBot="1">
      <c r="A1443" t="s">
        <v>1603</v>
      </c>
      <c r="B1443" s="14" t="s">
        <v>144</v>
      </c>
      <c r="C1443" s="50" t="s">
        <v>21</v>
      </c>
      <c r="D1443" s="50">
        <v>1</v>
      </c>
      <c r="E1443" s="50">
        <v>1</v>
      </c>
      <c r="F1443" s="50">
        <v>1</v>
      </c>
      <c r="G1443" s="50">
        <v>1</v>
      </c>
      <c r="H1443" s="50"/>
      <c r="I1443" s="51" t="s">
        <v>38</v>
      </c>
      <c r="J1443" s="51" t="s">
        <v>38</v>
      </c>
      <c r="K1443" s="49">
        <v>56.0625</v>
      </c>
      <c r="L1443" s="49">
        <v>63.8125</v>
      </c>
      <c r="M1443" s="50">
        <v>12</v>
      </c>
      <c r="N1443" s="14">
        <v>8.25</v>
      </c>
      <c r="R1443" t="str">
        <f t="shared" si="70"/>
        <v xml:space="preserve">XX8X_PV_2100:    Front abuts stile:TRUE       Back abuts stile:TRUE          Panel Section: WHOLE           Stile in the back Width:            Cutout A:           Cutout B:      F.C.:12 in.         C.C.:8.25 in.   </v>
      </c>
      <c r="S1443" t="str">
        <f t="shared" si="71"/>
        <v>TRUE</v>
      </c>
      <c r="T1443" t="str">
        <f t="shared" si="72"/>
        <v>TRUE</v>
      </c>
    </row>
    <row r="1444" spans="1:20" ht="15" thickTop="1">
      <c r="A1444" t="s">
        <v>1604</v>
      </c>
      <c r="B1444" s="14" t="s">
        <v>144</v>
      </c>
      <c r="C1444" s="14" t="s">
        <v>156</v>
      </c>
      <c r="D1444" s="19">
        <v>0</v>
      </c>
      <c r="E1444" s="19"/>
      <c r="F1444" s="19">
        <v>0</v>
      </c>
      <c r="G1444" s="19"/>
      <c r="H1444" s="14"/>
      <c r="I1444" s="8" t="s">
        <v>120</v>
      </c>
      <c r="J1444" s="8" t="s">
        <v>38</v>
      </c>
      <c r="K1444">
        <v>33.4375</v>
      </c>
      <c r="L1444">
        <v>74.125</v>
      </c>
      <c r="M1444" s="14">
        <v>12</v>
      </c>
      <c r="N1444" s="14">
        <v>1</v>
      </c>
      <c r="R1444" t="str">
        <f t="shared" si="70"/>
        <v xml:space="preserve">XX8X_PV_2101:    Front abuts stile:FALSE       Back abuts stile:FALSE          Panel Section: TOP           Stile in the back Width:            Cutout A: B-386          Cutout B:      F.C.:12 in.         C.C.:1 in.   </v>
      </c>
      <c r="S1444" t="str">
        <f t="shared" si="71"/>
        <v>FALSE</v>
      </c>
      <c r="T1444" t="str">
        <f t="shared" si="72"/>
        <v>FALSE</v>
      </c>
    </row>
    <row r="1445" spans="1:20">
      <c r="A1445" t="s">
        <v>1605</v>
      </c>
      <c r="B1445" s="14" t="s">
        <v>144</v>
      </c>
      <c r="C1445" s="14" t="s">
        <v>156</v>
      </c>
      <c r="D1445" s="14">
        <v>0</v>
      </c>
      <c r="E1445" s="14"/>
      <c r="F1445" s="14">
        <v>1</v>
      </c>
      <c r="G1445" s="14">
        <v>0</v>
      </c>
      <c r="H1445" s="14">
        <v>12</v>
      </c>
      <c r="I1445" s="8" t="s">
        <v>120</v>
      </c>
      <c r="J1445" s="8" t="s">
        <v>38</v>
      </c>
      <c r="K1445">
        <v>39.5625</v>
      </c>
      <c r="L1445">
        <v>46.0625</v>
      </c>
      <c r="M1445" s="14">
        <v>9</v>
      </c>
      <c r="N1445" s="14">
        <v>1</v>
      </c>
      <c r="R1445" t="str">
        <f t="shared" si="70"/>
        <v xml:space="preserve">XX8X_PV_2102:    Front abuts stile:FALSE       Back abuts stile:TRUE          Panel Section: TOP           Stile in the back Width: 12           Cutout A: B-386          Cutout B:      F.C.:9 in.         C.C.:1 in.   </v>
      </c>
      <c r="S1445" t="str">
        <f t="shared" si="71"/>
        <v>FALSE</v>
      </c>
      <c r="T1445" t="str">
        <f t="shared" si="72"/>
        <v>TRUE</v>
      </c>
    </row>
    <row r="1446" spans="1:20">
      <c r="A1446" t="s">
        <v>1606</v>
      </c>
      <c r="B1446" s="14" t="s">
        <v>144</v>
      </c>
      <c r="C1446" s="14" t="s">
        <v>156</v>
      </c>
      <c r="D1446" s="14">
        <v>0</v>
      </c>
      <c r="E1446" s="14"/>
      <c r="F1446" s="14">
        <v>1</v>
      </c>
      <c r="G1446" s="14">
        <v>0</v>
      </c>
      <c r="H1446" s="14">
        <v>24</v>
      </c>
      <c r="I1446" s="8" t="s">
        <v>120</v>
      </c>
      <c r="J1446" s="8" t="s">
        <v>38</v>
      </c>
      <c r="K1446">
        <v>42.6875</v>
      </c>
      <c r="L1446">
        <v>46.375</v>
      </c>
      <c r="M1446" s="14">
        <v>1</v>
      </c>
      <c r="N1446" s="14">
        <v>1.6875</v>
      </c>
      <c r="R1446" t="str">
        <f t="shared" si="70"/>
        <v xml:space="preserve">XX8X_PV_2103:    Front abuts stile:FALSE       Back abuts stile:TRUE          Panel Section: TOP           Stile in the back Width: 24           Cutout A: B-386          Cutout B:      F.C.:1 in.         C.C.:1.6875 in.   </v>
      </c>
      <c r="S1446" t="str">
        <f t="shared" si="71"/>
        <v>FALSE</v>
      </c>
      <c r="T1446" t="str">
        <f t="shared" si="72"/>
        <v>TRUE</v>
      </c>
    </row>
    <row r="1447" spans="1:20">
      <c r="A1447" t="s">
        <v>1607</v>
      </c>
      <c r="B1447" s="14" t="s">
        <v>144</v>
      </c>
      <c r="C1447" s="14" t="s">
        <v>156</v>
      </c>
      <c r="D1447" s="14">
        <v>0</v>
      </c>
      <c r="E1447" s="14"/>
      <c r="F1447" s="14">
        <v>1</v>
      </c>
      <c r="G1447" s="14">
        <v>0</v>
      </c>
      <c r="H1447" s="14"/>
      <c r="I1447" s="8" t="s">
        <v>38</v>
      </c>
      <c r="J1447" s="8" t="s">
        <v>38</v>
      </c>
      <c r="K1447">
        <v>45.375</v>
      </c>
      <c r="L1447">
        <v>54.625</v>
      </c>
      <c r="M1447" s="14">
        <v>9</v>
      </c>
      <c r="N1447" s="14">
        <v>1</v>
      </c>
      <c r="R1447" t="str">
        <f t="shared" si="70"/>
        <v xml:space="preserve">XX8X_PV_2104:    Front abuts stile:FALSE       Back abuts stile:TRUE          Panel Section: TOP           Stile in the back Width:            Cutout A:           Cutout B:      F.C.:9 in.         C.C.:1 in.   </v>
      </c>
      <c r="S1447" t="str">
        <f t="shared" si="71"/>
        <v>FALSE</v>
      </c>
      <c r="T1447" t="str">
        <f t="shared" si="72"/>
        <v>TRUE</v>
      </c>
    </row>
    <row r="1448" spans="1:20">
      <c r="A1448" t="s">
        <v>1608</v>
      </c>
      <c r="B1448" s="14" t="s">
        <v>144</v>
      </c>
      <c r="C1448" s="14" t="s">
        <v>156</v>
      </c>
      <c r="D1448" s="14">
        <v>0</v>
      </c>
      <c r="E1448" s="14"/>
      <c r="F1448" s="14">
        <v>1</v>
      </c>
      <c r="G1448" s="14">
        <v>1</v>
      </c>
      <c r="H1448" s="14"/>
      <c r="I1448" s="8" t="s">
        <v>38</v>
      </c>
      <c r="J1448" s="8" t="s">
        <v>38</v>
      </c>
      <c r="K1448">
        <v>24.5</v>
      </c>
      <c r="L1448">
        <v>74.3125</v>
      </c>
      <c r="M1448" s="14">
        <v>12</v>
      </c>
      <c r="N1448" s="14">
        <v>6.75</v>
      </c>
      <c r="R1448" t="str">
        <f t="shared" si="70"/>
        <v xml:space="preserve">XX8X_PV_2105:    Front abuts stile:FALSE       Back abuts stile:TRUE          Panel Section: TOP           Stile in the back Width:            Cutout A:           Cutout B:      F.C.:12 in.         C.C.:6.75 in.   </v>
      </c>
      <c r="S1448" t="str">
        <f t="shared" si="71"/>
        <v>FALSE</v>
      </c>
      <c r="T1448" t="str">
        <f t="shared" si="72"/>
        <v>TRUE</v>
      </c>
    </row>
    <row r="1449" spans="1:20">
      <c r="A1449" t="s">
        <v>1609</v>
      </c>
      <c r="B1449" s="14" t="s">
        <v>144</v>
      </c>
      <c r="C1449" s="14" t="s">
        <v>156</v>
      </c>
      <c r="D1449" s="14">
        <v>1</v>
      </c>
      <c r="E1449" s="14">
        <v>0</v>
      </c>
      <c r="F1449" s="14">
        <v>0</v>
      </c>
      <c r="G1449" s="14"/>
      <c r="H1449" s="14"/>
      <c r="I1449" s="8" t="s">
        <v>145</v>
      </c>
      <c r="J1449" s="8" t="s">
        <v>38</v>
      </c>
      <c r="K1449">
        <v>46.3125</v>
      </c>
      <c r="L1449">
        <v>57.4375</v>
      </c>
      <c r="M1449" s="14">
        <v>4.5</v>
      </c>
      <c r="N1449" s="14">
        <v>3.0625</v>
      </c>
      <c r="R1449" t="str">
        <f t="shared" si="70"/>
        <v xml:space="preserve">XX8X_PV_2106:    Front abuts stile:TRUE       Back abuts stile:FALSE          Panel Section: TOP           Stile in the back Width:            Cutout A: B-347          Cutout B:      F.C.:4.5 in.         C.C.:3.0625 in.   </v>
      </c>
      <c r="S1449" t="str">
        <f t="shared" si="71"/>
        <v>TRUE</v>
      </c>
      <c r="T1449" t="str">
        <f t="shared" si="72"/>
        <v>FALSE</v>
      </c>
    </row>
    <row r="1450" spans="1:20">
      <c r="A1450" t="s">
        <v>1610</v>
      </c>
      <c r="B1450" s="14" t="s">
        <v>144</v>
      </c>
      <c r="C1450" s="14" t="s">
        <v>156</v>
      </c>
      <c r="D1450" s="14">
        <v>1</v>
      </c>
      <c r="E1450" s="14">
        <v>0</v>
      </c>
      <c r="F1450" s="14">
        <v>1</v>
      </c>
      <c r="G1450" s="14">
        <v>0</v>
      </c>
      <c r="H1450" s="14">
        <v>12</v>
      </c>
      <c r="I1450" s="8" t="s">
        <v>38</v>
      </c>
      <c r="J1450" s="8" t="s">
        <v>38</v>
      </c>
      <c r="K1450">
        <v>26.625</v>
      </c>
      <c r="L1450">
        <v>67.5625</v>
      </c>
      <c r="M1450" s="14">
        <v>1.5</v>
      </c>
      <c r="N1450" s="14" t="s">
        <v>38</v>
      </c>
      <c r="R1450" t="str">
        <f t="shared" si="70"/>
        <v xml:space="preserve">XX8X_PV_2107:    Front abuts stile:TRUE       Back abuts stile:TRUE          Panel Section: TOP           Stile in the back Width: 12           Cutout A:           Cutout B:      F.C.:1.5 in.         C.C.: in.   </v>
      </c>
      <c r="S1450" t="str">
        <f t="shared" si="71"/>
        <v>TRUE</v>
      </c>
      <c r="T1450" t="str">
        <f t="shared" si="72"/>
        <v>TRUE</v>
      </c>
    </row>
    <row r="1451" spans="1:20">
      <c r="A1451" t="s">
        <v>1611</v>
      </c>
      <c r="B1451" s="14" t="s">
        <v>144</v>
      </c>
      <c r="C1451" s="14" t="s">
        <v>156</v>
      </c>
      <c r="D1451" s="14">
        <v>1</v>
      </c>
      <c r="E1451" s="14">
        <v>0</v>
      </c>
      <c r="F1451" s="14">
        <v>1</v>
      </c>
      <c r="G1451" s="14">
        <v>0</v>
      </c>
      <c r="H1451" s="14">
        <v>24</v>
      </c>
      <c r="I1451" s="8" t="s">
        <v>121</v>
      </c>
      <c r="J1451" s="8" t="s">
        <v>38</v>
      </c>
      <c r="K1451">
        <v>24.4375</v>
      </c>
      <c r="L1451">
        <v>63.875</v>
      </c>
      <c r="M1451" s="14">
        <v>7.75</v>
      </c>
      <c r="N1451" s="14">
        <v>4.625</v>
      </c>
      <c r="R1451" t="str">
        <f t="shared" si="70"/>
        <v xml:space="preserve">XX8X_PV_2108:    Front abuts stile:TRUE       Back abuts stile:TRUE          Panel Section: TOP           Stile in the back Width: 24           Cutout A: B-4354          Cutout B:      F.C.:7.75 in.         C.C.:4.625 in.   </v>
      </c>
      <c r="S1451" t="str">
        <f t="shared" si="71"/>
        <v>TRUE</v>
      </c>
      <c r="T1451" t="str">
        <f t="shared" si="72"/>
        <v>TRUE</v>
      </c>
    </row>
    <row r="1452" spans="1:20">
      <c r="A1452" t="s">
        <v>1612</v>
      </c>
      <c r="B1452" s="14" t="s">
        <v>144</v>
      </c>
      <c r="C1452" s="14" t="s">
        <v>156</v>
      </c>
      <c r="D1452" s="14">
        <v>1</v>
      </c>
      <c r="E1452" s="14">
        <v>0</v>
      </c>
      <c r="F1452" s="14">
        <v>1</v>
      </c>
      <c r="G1452" s="14">
        <v>0</v>
      </c>
      <c r="H1452" s="14"/>
      <c r="I1452" s="8" t="s">
        <v>38</v>
      </c>
      <c r="J1452" s="8" t="s">
        <v>38</v>
      </c>
      <c r="K1452">
        <v>46.6875</v>
      </c>
      <c r="L1452">
        <v>69.6875</v>
      </c>
      <c r="M1452" s="14">
        <v>9</v>
      </c>
      <c r="N1452" s="14">
        <v>1</v>
      </c>
      <c r="R1452" t="str">
        <f t="shared" si="70"/>
        <v xml:space="preserve">XX8X_PV_2109:    Front abuts stile:TRUE       Back abuts stile:TRUE          Panel Section: TOP           Stile in the back Width:            Cutout A:           Cutout B:      F.C.:9 in.         C.C.:1 in.   </v>
      </c>
      <c r="S1452" t="str">
        <f t="shared" si="71"/>
        <v>TRUE</v>
      </c>
      <c r="T1452" t="str">
        <f t="shared" si="72"/>
        <v>TRUE</v>
      </c>
    </row>
    <row r="1453" spans="1:20">
      <c r="A1453" t="s">
        <v>1613</v>
      </c>
      <c r="B1453" s="14" t="s">
        <v>144</v>
      </c>
      <c r="C1453" s="14" t="s">
        <v>156</v>
      </c>
      <c r="D1453" s="14">
        <v>1</v>
      </c>
      <c r="E1453" s="14">
        <v>0</v>
      </c>
      <c r="F1453" s="14">
        <v>1</v>
      </c>
      <c r="G1453" s="14">
        <v>1</v>
      </c>
      <c r="H1453" s="14"/>
      <c r="I1453" s="8" t="s">
        <v>38</v>
      </c>
      <c r="J1453" s="8" t="s">
        <v>38</v>
      </c>
      <c r="K1453">
        <v>18.5625</v>
      </c>
      <c r="L1453">
        <v>42.6875</v>
      </c>
      <c r="M1453" s="14">
        <v>12</v>
      </c>
      <c r="N1453" s="14">
        <v>7.5625</v>
      </c>
      <c r="R1453" t="str">
        <f t="shared" si="70"/>
        <v xml:space="preserve">XX8X_PV_2110:    Front abuts stile:TRUE       Back abuts stile:TRUE          Panel Section: TOP           Stile in the back Width:            Cutout A:           Cutout B:      F.C.:12 in.         C.C.:7.5625 in.   </v>
      </c>
      <c r="S1453" t="str">
        <f t="shared" si="71"/>
        <v>TRUE</v>
      </c>
      <c r="T1453" t="str">
        <f t="shared" si="72"/>
        <v>TRUE</v>
      </c>
    </row>
    <row r="1454" spans="1:20">
      <c r="A1454" t="s">
        <v>1614</v>
      </c>
      <c r="B1454" s="14" t="s">
        <v>144</v>
      </c>
      <c r="C1454" s="14" t="s">
        <v>156</v>
      </c>
      <c r="D1454" s="14">
        <v>1</v>
      </c>
      <c r="E1454" s="14">
        <v>1</v>
      </c>
      <c r="F1454" s="14">
        <v>0</v>
      </c>
      <c r="G1454" s="14"/>
      <c r="H1454" s="14"/>
      <c r="I1454" s="8" t="s">
        <v>120</v>
      </c>
      <c r="J1454" s="8" t="s">
        <v>38</v>
      </c>
      <c r="K1454">
        <v>16.6875</v>
      </c>
      <c r="L1454">
        <v>58.1875</v>
      </c>
      <c r="M1454" s="14">
        <v>8.0625</v>
      </c>
      <c r="N1454" s="14">
        <v>1</v>
      </c>
      <c r="R1454" t="str">
        <f t="shared" si="70"/>
        <v xml:space="preserve">XX8X_PV_2111:    Front abuts stile:TRUE       Back abuts stile:FALSE          Panel Section: TOP           Stile in the back Width:            Cutout A: B-386          Cutout B:      F.C.:8.0625 in.         C.C.:1 in.   </v>
      </c>
      <c r="S1454" t="str">
        <f t="shared" si="71"/>
        <v>TRUE</v>
      </c>
      <c r="T1454" t="str">
        <f t="shared" si="72"/>
        <v>FALSE</v>
      </c>
    </row>
    <row r="1455" spans="1:20">
      <c r="A1455" t="s">
        <v>1615</v>
      </c>
      <c r="B1455" s="14" t="s">
        <v>144</v>
      </c>
      <c r="C1455" s="14" t="s">
        <v>156</v>
      </c>
      <c r="D1455" s="14">
        <v>1</v>
      </c>
      <c r="E1455" s="14">
        <v>1</v>
      </c>
      <c r="F1455" s="14">
        <v>1</v>
      </c>
      <c r="G1455" s="14">
        <v>0</v>
      </c>
      <c r="H1455" s="14">
        <v>12</v>
      </c>
      <c r="I1455" s="8" t="s">
        <v>38</v>
      </c>
      <c r="J1455" s="8" t="s">
        <v>38</v>
      </c>
      <c r="K1455">
        <v>22.5625</v>
      </c>
      <c r="L1455">
        <v>34.1875</v>
      </c>
      <c r="M1455" s="14">
        <v>1.625</v>
      </c>
      <c r="N1455" s="14" t="s">
        <v>38</v>
      </c>
      <c r="R1455" t="str">
        <f t="shared" si="70"/>
        <v xml:space="preserve">XX8X_PV_2112:    Front abuts stile:TRUE       Back abuts stile:TRUE          Panel Section: TOP           Stile in the back Width: 12           Cutout A:           Cutout B:      F.C.:1.625 in.         C.C.: in.   </v>
      </c>
      <c r="S1455" t="str">
        <f t="shared" si="71"/>
        <v>TRUE</v>
      </c>
      <c r="T1455" t="str">
        <f t="shared" si="72"/>
        <v>TRUE</v>
      </c>
    </row>
    <row r="1456" spans="1:20">
      <c r="A1456" t="s">
        <v>1616</v>
      </c>
      <c r="B1456" s="14" t="s">
        <v>144</v>
      </c>
      <c r="C1456" s="14" t="s">
        <v>156</v>
      </c>
      <c r="D1456" s="14">
        <v>1</v>
      </c>
      <c r="E1456" s="14">
        <v>1</v>
      </c>
      <c r="F1456" s="14">
        <v>1</v>
      </c>
      <c r="G1456" s="14">
        <v>0</v>
      </c>
      <c r="H1456" s="14">
        <v>24</v>
      </c>
      <c r="I1456" s="8" t="s">
        <v>148</v>
      </c>
      <c r="J1456" s="8" t="s">
        <v>38</v>
      </c>
      <c r="K1456">
        <v>46.375</v>
      </c>
      <c r="L1456">
        <v>44</v>
      </c>
      <c r="M1456" s="14">
        <v>6</v>
      </c>
      <c r="N1456" s="14" t="s">
        <v>38</v>
      </c>
      <c r="R1456" t="str">
        <f t="shared" si="70"/>
        <v xml:space="preserve">XX8X_PV_2113:    Front abuts stile:TRUE       Back abuts stile:TRUE          Panel Section: TOP           Stile in the back Width: 24           Cutout A: B-3471          Cutout B:      F.C.:6 in.         C.C.: in.   </v>
      </c>
      <c r="S1456" t="str">
        <f t="shared" si="71"/>
        <v>TRUE</v>
      </c>
      <c r="T1456" t="str">
        <f t="shared" si="72"/>
        <v>TRUE</v>
      </c>
    </row>
    <row r="1457" spans="1:20">
      <c r="A1457" t="s">
        <v>1617</v>
      </c>
      <c r="B1457" s="14" t="s">
        <v>144</v>
      </c>
      <c r="C1457" s="14" t="s">
        <v>156</v>
      </c>
      <c r="D1457" s="14">
        <v>1</v>
      </c>
      <c r="E1457" s="14">
        <v>1</v>
      </c>
      <c r="F1457" s="14">
        <v>1</v>
      </c>
      <c r="G1457" s="14">
        <v>0</v>
      </c>
      <c r="H1457" s="14"/>
      <c r="I1457" s="8" t="s">
        <v>38</v>
      </c>
      <c r="J1457" s="8" t="s">
        <v>38</v>
      </c>
      <c r="K1457">
        <v>17.25</v>
      </c>
      <c r="L1457">
        <v>64.5</v>
      </c>
      <c r="M1457" s="14">
        <v>9</v>
      </c>
      <c r="N1457" s="14" t="s">
        <v>38</v>
      </c>
      <c r="R1457" t="str">
        <f t="shared" si="70"/>
        <v xml:space="preserve">XX8X_PV_2114:    Front abuts stile:TRUE       Back abuts stile:TRUE          Panel Section: TOP           Stile in the back Width:            Cutout A:           Cutout B:      F.C.:9 in.         C.C.: in.   </v>
      </c>
      <c r="S1457" t="str">
        <f t="shared" si="71"/>
        <v>TRUE</v>
      </c>
      <c r="T1457" t="str">
        <f t="shared" si="72"/>
        <v>TRUE</v>
      </c>
    </row>
    <row r="1458" spans="1:20">
      <c r="A1458" t="s">
        <v>1618</v>
      </c>
      <c r="B1458" s="14" t="s">
        <v>144</v>
      </c>
      <c r="C1458" s="14" t="s">
        <v>156</v>
      </c>
      <c r="D1458" s="14">
        <v>1</v>
      </c>
      <c r="E1458" s="14">
        <v>1</v>
      </c>
      <c r="F1458" s="14">
        <v>1</v>
      </c>
      <c r="G1458" s="14">
        <v>1</v>
      </c>
      <c r="H1458" s="14"/>
      <c r="I1458" s="8" t="s">
        <v>38</v>
      </c>
      <c r="J1458" s="8" t="s">
        <v>38</v>
      </c>
      <c r="K1458">
        <v>5.5625</v>
      </c>
      <c r="L1458">
        <v>42.625</v>
      </c>
      <c r="M1458" s="14">
        <v>8.5</v>
      </c>
      <c r="N1458" s="14">
        <v>1.75</v>
      </c>
      <c r="R1458" t="str">
        <f t="shared" si="70"/>
        <v xml:space="preserve">XX8X_PV_2115:    Front abuts stile:TRUE       Back abuts stile:TRUE          Panel Section: TOP           Stile in the back Width:            Cutout A:           Cutout B:      F.C.:8.5 in.         C.C.:1.75 in.   </v>
      </c>
      <c r="S1458" t="str">
        <f t="shared" si="71"/>
        <v>TRUE</v>
      </c>
      <c r="T1458" t="str">
        <f t="shared" si="72"/>
        <v>TRUE</v>
      </c>
    </row>
    <row r="1459" spans="1:20">
      <c r="A1459" t="s">
        <v>1619</v>
      </c>
      <c r="B1459" s="14" t="s">
        <v>144</v>
      </c>
      <c r="C1459" s="14" t="s">
        <v>157</v>
      </c>
      <c r="D1459" s="14">
        <v>0</v>
      </c>
      <c r="E1459" s="14"/>
      <c r="F1459" s="14">
        <v>0</v>
      </c>
      <c r="G1459" s="14"/>
      <c r="H1459" s="14"/>
      <c r="I1459" s="8" t="s">
        <v>120</v>
      </c>
      <c r="J1459" s="8" t="s">
        <v>38</v>
      </c>
      <c r="K1459">
        <v>60</v>
      </c>
      <c r="L1459">
        <v>78.25</v>
      </c>
      <c r="M1459" s="14">
        <v>1</v>
      </c>
      <c r="N1459" s="14">
        <v>2</v>
      </c>
      <c r="R1459" t="str">
        <f t="shared" si="70"/>
        <v xml:space="preserve">XX8X_PV_2116:    Front abuts stile:FALSE       Back abuts stile:FALSE          Panel Section: BOTTOM           Stile in the back Width:            Cutout A: B-386          Cutout B:      F.C.:1 in.         C.C.:2 in.   </v>
      </c>
      <c r="S1459" t="str">
        <f t="shared" si="71"/>
        <v>FALSE</v>
      </c>
      <c r="T1459" t="str">
        <f t="shared" si="72"/>
        <v>FALSE</v>
      </c>
    </row>
    <row r="1460" spans="1:20">
      <c r="A1460" t="s">
        <v>1620</v>
      </c>
      <c r="B1460" s="14" t="s">
        <v>144</v>
      </c>
      <c r="C1460" s="14" t="s">
        <v>157</v>
      </c>
      <c r="D1460" s="14">
        <v>0</v>
      </c>
      <c r="E1460" s="14"/>
      <c r="F1460" s="14">
        <v>1</v>
      </c>
      <c r="G1460" s="14">
        <v>0</v>
      </c>
      <c r="H1460" s="14">
        <v>12</v>
      </c>
      <c r="I1460" s="8" t="s">
        <v>121</v>
      </c>
      <c r="J1460" s="8" t="s">
        <v>38</v>
      </c>
      <c r="K1460">
        <v>60</v>
      </c>
      <c r="L1460">
        <v>50.8125</v>
      </c>
      <c r="M1460" s="14">
        <v>4.5</v>
      </c>
      <c r="N1460" s="14">
        <v>2.4375</v>
      </c>
      <c r="R1460" t="str">
        <f t="shared" si="70"/>
        <v xml:space="preserve">XX8X_PV_2117:    Front abuts stile:FALSE       Back abuts stile:TRUE          Panel Section: BOTTOM           Stile in the back Width: 12           Cutout A: B-4354          Cutout B:      F.C.:4.5 in.         C.C.:2.4375 in.   </v>
      </c>
      <c r="S1460" t="str">
        <f t="shared" si="71"/>
        <v>FALSE</v>
      </c>
      <c r="T1460" t="str">
        <f t="shared" si="72"/>
        <v>TRUE</v>
      </c>
    </row>
    <row r="1461" spans="1:20">
      <c r="A1461" t="s">
        <v>1621</v>
      </c>
      <c r="B1461" s="14" t="s">
        <v>144</v>
      </c>
      <c r="C1461" s="14" t="s">
        <v>157</v>
      </c>
      <c r="D1461" s="14">
        <v>0</v>
      </c>
      <c r="E1461" s="14"/>
      <c r="F1461" s="14">
        <v>1</v>
      </c>
      <c r="G1461" s="14">
        <v>0</v>
      </c>
      <c r="H1461" s="14">
        <v>24</v>
      </c>
      <c r="I1461" s="8" t="s">
        <v>145</v>
      </c>
      <c r="J1461" s="8" t="s">
        <v>38</v>
      </c>
      <c r="K1461">
        <v>60</v>
      </c>
      <c r="L1461">
        <v>53.1875</v>
      </c>
      <c r="M1461" s="14">
        <v>7.25</v>
      </c>
      <c r="N1461" s="14">
        <v>6.5</v>
      </c>
      <c r="R1461" t="str">
        <f t="shared" si="70"/>
        <v xml:space="preserve">XX8X_PV_2118:    Front abuts stile:FALSE       Back abuts stile:TRUE          Panel Section: BOTTOM           Stile in the back Width: 24           Cutout A: B-347          Cutout B:      F.C.:7.25 in.         C.C.:6.5 in.   </v>
      </c>
      <c r="S1461" t="str">
        <f t="shared" si="71"/>
        <v>FALSE</v>
      </c>
      <c r="T1461" t="str">
        <f t="shared" si="72"/>
        <v>TRUE</v>
      </c>
    </row>
    <row r="1462" spans="1:20">
      <c r="A1462" t="s">
        <v>1622</v>
      </c>
      <c r="B1462" s="14" t="s">
        <v>144</v>
      </c>
      <c r="C1462" s="14" t="s">
        <v>157</v>
      </c>
      <c r="D1462" s="14">
        <v>0</v>
      </c>
      <c r="E1462" s="14"/>
      <c r="F1462" s="14">
        <v>1</v>
      </c>
      <c r="G1462" s="14">
        <v>0</v>
      </c>
      <c r="H1462" s="14"/>
      <c r="I1462" s="8" t="s">
        <v>38</v>
      </c>
      <c r="J1462" s="8" t="s">
        <v>38</v>
      </c>
      <c r="K1462">
        <v>60</v>
      </c>
      <c r="L1462">
        <v>66.4375</v>
      </c>
      <c r="M1462" s="14">
        <v>9</v>
      </c>
      <c r="N1462" s="14">
        <v>4.9375</v>
      </c>
      <c r="R1462" t="str">
        <f t="shared" si="70"/>
        <v xml:space="preserve">XX8X_PV_2119:    Front abuts stile:FALSE       Back abuts stile:TRUE          Panel Section: BOTTOM           Stile in the back Width:            Cutout A:           Cutout B:      F.C.:9 in.         C.C.:4.9375 in.   </v>
      </c>
      <c r="S1462" t="str">
        <f t="shared" si="71"/>
        <v>FALSE</v>
      </c>
      <c r="T1462" t="str">
        <f t="shared" si="72"/>
        <v>TRUE</v>
      </c>
    </row>
    <row r="1463" spans="1:20">
      <c r="A1463" t="s">
        <v>1623</v>
      </c>
      <c r="B1463" s="14" t="s">
        <v>144</v>
      </c>
      <c r="C1463" s="14" t="s">
        <v>157</v>
      </c>
      <c r="D1463" s="14">
        <v>0</v>
      </c>
      <c r="E1463" s="14"/>
      <c r="F1463" s="14">
        <v>1</v>
      </c>
      <c r="G1463" s="14">
        <v>1</v>
      </c>
      <c r="H1463" s="14"/>
      <c r="I1463" s="8" t="s">
        <v>38</v>
      </c>
      <c r="J1463" s="8" t="s">
        <v>38</v>
      </c>
      <c r="K1463">
        <v>60</v>
      </c>
      <c r="L1463">
        <v>76</v>
      </c>
      <c r="M1463" s="14">
        <v>9</v>
      </c>
      <c r="N1463" s="14">
        <v>6.25</v>
      </c>
      <c r="R1463" t="str">
        <f t="shared" si="70"/>
        <v xml:space="preserve">XX8X_PV_2120:    Front abuts stile:FALSE       Back abuts stile:TRUE          Panel Section: BOTTOM           Stile in the back Width:            Cutout A:           Cutout B:      F.C.:9 in.         C.C.:6.25 in.   </v>
      </c>
      <c r="S1463" t="str">
        <f t="shared" si="71"/>
        <v>FALSE</v>
      </c>
      <c r="T1463" t="str">
        <f t="shared" si="72"/>
        <v>TRUE</v>
      </c>
    </row>
    <row r="1464" spans="1:20">
      <c r="A1464" t="s">
        <v>1624</v>
      </c>
      <c r="B1464" s="14" t="s">
        <v>144</v>
      </c>
      <c r="C1464" s="14" t="s">
        <v>157</v>
      </c>
      <c r="D1464" s="14">
        <v>1</v>
      </c>
      <c r="E1464" s="14">
        <v>0</v>
      </c>
      <c r="F1464" s="14">
        <v>0</v>
      </c>
      <c r="G1464" s="14"/>
      <c r="H1464" s="14"/>
      <c r="I1464" s="8" t="s">
        <v>121</v>
      </c>
      <c r="J1464" s="8" t="s">
        <v>38</v>
      </c>
      <c r="K1464">
        <v>60</v>
      </c>
      <c r="L1464">
        <v>69.125</v>
      </c>
      <c r="M1464" s="14">
        <v>9.8125</v>
      </c>
      <c r="N1464" s="14">
        <v>1</v>
      </c>
      <c r="R1464" t="str">
        <f t="shared" si="70"/>
        <v xml:space="preserve">XX8X_PV_2121:    Front abuts stile:TRUE       Back abuts stile:FALSE          Panel Section: BOTTOM           Stile in the back Width:            Cutout A: B-4354          Cutout B:      F.C.:9.8125 in.         C.C.:1 in.   </v>
      </c>
      <c r="S1464" t="str">
        <f t="shared" si="71"/>
        <v>TRUE</v>
      </c>
      <c r="T1464" t="str">
        <f t="shared" si="72"/>
        <v>FALSE</v>
      </c>
    </row>
    <row r="1465" spans="1:20">
      <c r="A1465" t="s">
        <v>1625</v>
      </c>
      <c r="B1465" s="14" t="s">
        <v>144</v>
      </c>
      <c r="C1465" s="14" t="s">
        <v>157</v>
      </c>
      <c r="D1465" s="14">
        <v>1</v>
      </c>
      <c r="E1465" s="14">
        <v>0</v>
      </c>
      <c r="F1465" s="14">
        <v>1</v>
      </c>
      <c r="G1465" s="14">
        <v>0</v>
      </c>
      <c r="H1465" s="14">
        <v>12</v>
      </c>
      <c r="I1465" s="8" t="s">
        <v>35</v>
      </c>
      <c r="J1465" s="8" t="s">
        <v>38</v>
      </c>
      <c r="K1465">
        <v>60</v>
      </c>
      <c r="L1465">
        <v>53.4375</v>
      </c>
      <c r="M1465" s="14">
        <v>9</v>
      </c>
      <c r="N1465" s="14">
        <v>1.6875</v>
      </c>
      <c r="R1465" t="str">
        <f t="shared" si="70"/>
        <v xml:space="preserve">XX8X_PV_2122:    Front abuts stile:TRUE       Back abuts stile:TRUE          Panel Section: BOTTOM           Stile in the back Width: 12           Cutout A: B-357          Cutout B:      F.C.:9 in.         C.C.:1.6875 in.   </v>
      </c>
      <c r="S1465" t="str">
        <f t="shared" si="71"/>
        <v>TRUE</v>
      </c>
      <c r="T1465" t="str">
        <f t="shared" si="72"/>
        <v>TRUE</v>
      </c>
    </row>
    <row r="1466" spans="1:20">
      <c r="A1466" t="s">
        <v>1626</v>
      </c>
      <c r="B1466" s="14" t="s">
        <v>144</v>
      </c>
      <c r="C1466" s="14" t="s">
        <v>157</v>
      </c>
      <c r="D1466" s="14">
        <v>1</v>
      </c>
      <c r="E1466" s="14">
        <v>0</v>
      </c>
      <c r="F1466" s="14">
        <v>1</v>
      </c>
      <c r="G1466" s="14">
        <v>0</v>
      </c>
      <c r="H1466" s="14">
        <v>24</v>
      </c>
      <c r="I1466" s="8" t="s">
        <v>38</v>
      </c>
      <c r="J1466" s="8" t="s">
        <v>38</v>
      </c>
      <c r="K1466">
        <v>60</v>
      </c>
      <c r="L1466">
        <v>43.9375</v>
      </c>
      <c r="M1466" s="14">
        <v>9</v>
      </c>
      <c r="N1466" s="14">
        <v>5</v>
      </c>
      <c r="R1466" t="str">
        <f t="shared" si="70"/>
        <v xml:space="preserve">XX8X_PV_2123:    Front abuts stile:TRUE       Back abuts stile:TRUE          Panel Section: BOTTOM           Stile in the back Width: 24           Cutout A:           Cutout B:      F.C.:9 in.         C.C.:5 in.   </v>
      </c>
      <c r="S1466" t="str">
        <f t="shared" si="71"/>
        <v>TRUE</v>
      </c>
      <c r="T1466" t="str">
        <f t="shared" si="72"/>
        <v>TRUE</v>
      </c>
    </row>
    <row r="1467" spans="1:20">
      <c r="A1467" t="s">
        <v>1627</v>
      </c>
      <c r="B1467" s="14" t="s">
        <v>144</v>
      </c>
      <c r="C1467" s="14" t="s">
        <v>157</v>
      </c>
      <c r="D1467" s="14">
        <v>1</v>
      </c>
      <c r="E1467" s="14">
        <v>0</v>
      </c>
      <c r="F1467" s="14">
        <v>1</v>
      </c>
      <c r="G1467" s="14">
        <v>0</v>
      </c>
      <c r="H1467" s="14"/>
      <c r="I1467" s="8" t="s">
        <v>38</v>
      </c>
      <c r="J1467" s="8" t="s">
        <v>38</v>
      </c>
      <c r="K1467">
        <v>60</v>
      </c>
      <c r="L1467">
        <v>54.5</v>
      </c>
      <c r="M1467" s="14">
        <v>4.5</v>
      </c>
      <c r="N1467" s="14">
        <v>5.5</v>
      </c>
      <c r="R1467" t="str">
        <f t="shared" si="70"/>
        <v xml:space="preserve">XX8X_PV_2124:    Front abuts stile:TRUE       Back abuts stile:TRUE          Panel Section: BOTTOM           Stile in the back Width:            Cutout A:           Cutout B:      F.C.:4.5 in.         C.C.:5.5 in.   </v>
      </c>
      <c r="S1467" t="str">
        <f t="shared" si="71"/>
        <v>TRUE</v>
      </c>
      <c r="T1467" t="str">
        <f t="shared" si="72"/>
        <v>TRUE</v>
      </c>
    </row>
    <row r="1468" spans="1:20">
      <c r="A1468" t="s">
        <v>1628</v>
      </c>
      <c r="B1468" s="14" t="s">
        <v>144</v>
      </c>
      <c r="C1468" s="14" t="s">
        <v>157</v>
      </c>
      <c r="D1468" s="14">
        <v>1</v>
      </c>
      <c r="E1468" s="14">
        <v>0</v>
      </c>
      <c r="F1468" s="14">
        <v>1</v>
      </c>
      <c r="G1468" s="14">
        <v>1</v>
      </c>
      <c r="H1468" s="14"/>
      <c r="I1468" s="8" t="s">
        <v>38</v>
      </c>
      <c r="J1468" s="8" t="s">
        <v>38</v>
      </c>
      <c r="K1468">
        <v>60</v>
      </c>
      <c r="L1468">
        <v>70.5625</v>
      </c>
      <c r="M1468" s="14">
        <v>3.625</v>
      </c>
      <c r="N1468" s="14">
        <v>1</v>
      </c>
      <c r="R1468" t="str">
        <f t="shared" si="70"/>
        <v xml:space="preserve">XX8X_PV_2125:    Front abuts stile:TRUE       Back abuts stile:TRUE          Panel Section: BOTTOM           Stile in the back Width:            Cutout A:           Cutout B:      F.C.:3.625 in.         C.C.:1 in.   </v>
      </c>
      <c r="S1468" t="str">
        <f t="shared" si="71"/>
        <v>TRUE</v>
      </c>
      <c r="T1468" t="str">
        <f t="shared" si="72"/>
        <v>TRUE</v>
      </c>
    </row>
    <row r="1469" spans="1:20">
      <c r="A1469" t="s">
        <v>1629</v>
      </c>
      <c r="B1469" s="14" t="s">
        <v>144</v>
      </c>
      <c r="C1469" s="14" t="s">
        <v>157</v>
      </c>
      <c r="D1469" s="14">
        <v>1</v>
      </c>
      <c r="E1469" s="14">
        <v>1</v>
      </c>
      <c r="F1469" s="14">
        <v>0</v>
      </c>
      <c r="G1469" s="14"/>
      <c r="H1469" s="14"/>
      <c r="I1469" s="8" t="s">
        <v>145</v>
      </c>
      <c r="J1469" s="8" t="s">
        <v>38</v>
      </c>
      <c r="K1469">
        <v>60</v>
      </c>
      <c r="L1469">
        <v>45.625</v>
      </c>
      <c r="M1469" s="14">
        <v>9</v>
      </c>
      <c r="N1469" s="14" t="s">
        <v>38</v>
      </c>
      <c r="R1469" t="str">
        <f t="shared" si="70"/>
        <v xml:space="preserve">XX8X_PV_2126:    Front abuts stile:TRUE       Back abuts stile:FALSE          Panel Section: BOTTOM           Stile in the back Width:            Cutout A: B-347          Cutout B:      F.C.:9 in.         C.C.: in.   </v>
      </c>
      <c r="S1469" t="str">
        <f t="shared" si="71"/>
        <v>TRUE</v>
      </c>
      <c r="T1469" t="str">
        <f t="shared" si="72"/>
        <v>FALSE</v>
      </c>
    </row>
    <row r="1470" spans="1:20">
      <c r="A1470" t="s">
        <v>1630</v>
      </c>
      <c r="B1470" s="14" t="s">
        <v>144</v>
      </c>
      <c r="C1470" s="14" t="s">
        <v>157</v>
      </c>
      <c r="D1470" s="14">
        <v>1</v>
      </c>
      <c r="E1470" s="14">
        <v>1</v>
      </c>
      <c r="F1470" s="14">
        <v>1</v>
      </c>
      <c r="G1470" s="14">
        <v>0</v>
      </c>
      <c r="H1470" s="14">
        <v>12</v>
      </c>
      <c r="I1470" s="8" t="s">
        <v>151</v>
      </c>
      <c r="J1470" s="8" t="s">
        <v>38</v>
      </c>
      <c r="K1470">
        <v>60</v>
      </c>
      <c r="L1470">
        <v>75.1875</v>
      </c>
      <c r="M1470" s="14">
        <v>9</v>
      </c>
      <c r="N1470" s="14" t="s">
        <v>38</v>
      </c>
      <c r="R1470" t="str">
        <f t="shared" si="70"/>
        <v xml:space="preserve">XX8X_PV_2127:    Front abuts stile:TRUE       Back abuts stile:TRUE          Panel Section: BOTTOM           Stile in the back Width: 12           Cutout A: B-35715          Cutout B:      F.C.:9 in.         C.C.: in.   </v>
      </c>
      <c r="S1470" t="str">
        <f t="shared" si="71"/>
        <v>TRUE</v>
      </c>
      <c r="T1470" t="str">
        <f t="shared" si="72"/>
        <v>TRUE</v>
      </c>
    </row>
    <row r="1471" spans="1:20">
      <c r="A1471" t="s">
        <v>1631</v>
      </c>
      <c r="B1471" s="14" t="s">
        <v>144</v>
      </c>
      <c r="C1471" s="14" t="s">
        <v>157</v>
      </c>
      <c r="D1471" s="14">
        <v>1</v>
      </c>
      <c r="E1471" s="14">
        <v>1</v>
      </c>
      <c r="F1471" s="14">
        <v>1</v>
      </c>
      <c r="G1471" s="14">
        <v>0</v>
      </c>
      <c r="H1471" s="14">
        <v>24</v>
      </c>
      <c r="I1471" s="8" t="s">
        <v>145</v>
      </c>
      <c r="J1471" s="8" t="s">
        <v>38</v>
      </c>
      <c r="K1471">
        <v>60</v>
      </c>
      <c r="L1471">
        <v>47.25</v>
      </c>
      <c r="M1471" s="14">
        <v>1</v>
      </c>
      <c r="N1471" s="14">
        <v>8.25</v>
      </c>
      <c r="R1471" t="str">
        <f t="shared" si="70"/>
        <v xml:space="preserve">XX8X_PV_2128:    Front abuts stile:TRUE       Back abuts stile:TRUE          Panel Section: BOTTOM           Stile in the back Width: 24           Cutout A: B-347          Cutout B:      F.C.:1 in.         C.C.:8.25 in.   </v>
      </c>
      <c r="S1471" t="str">
        <f t="shared" si="71"/>
        <v>TRUE</v>
      </c>
      <c r="T1471" t="str">
        <f t="shared" si="72"/>
        <v>TRUE</v>
      </c>
    </row>
    <row r="1472" spans="1:20">
      <c r="A1472" t="s">
        <v>1632</v>
      </c>
      <c r="B1472" s="14" t="s">
        <v>144</v>
      </c>
      <c r="C1472" s="14" t="s">
        <v>157</v>
      </c>
      <c r="D1472" s="14">
        <v>1</v>
      </c>
      <c r="E1472" s="14">
        <v>1</v>
      </c>
      <c r="F1472" s="14">
        <v>1</v>
      </c>
      <c r="G1472" s="14">
        <v>0</v>
      </c>
      <c r="H1472" s="14"/>
      <c r="I1472" s="8" t="s">
        <v>38</v>
      </c>
      <c r="J1472" s="8" t="s">
        <v>38</v>
      </c>
      <c r="K1472">
        <v>60</v>
      </c>
      <c r="L1472">
        <v>59.25</v>
      </c>
      <c r="M1472" s="14">
        <v>4</v>
      </c>
      <c r="N1472" s="14">
        <v>3.1875</v>
      </c>
      <c r="R1472" t="str">
        <f t="shared" si="70"/>
        <v xml:space="preserve">XX8X_PV_2129:    Front abuts stile:TRUE       Back abuts stile:TRUE          Panel Section: BOTTOM           Stile in the back Width:            Cutout A:           Cutout B:      F.C.:4 in.         C.C.:3.1875 in.   </v>
      </c>
      <c r="S1472" t="str">
        <f t="shared" si="71"/>
        <v>TRUE</v>
      </c>
      <c r="T1472" t="str">
        <f t="shared" si="72"/>
        <v>TRUE</v>
      </c>
    </row>
    <row r="1473" spans="1:20">
      <c r="A1473" t="s">
        <v>1633</v>
      </c>
      <c r="B1473" s="14" t="s">
        <v>144</v>
      </c>
      <c r="C1473" s="14" t="s">
        <v>157</v>
      </c>
      <c r="D1473" s="14">
        <v>1</v>
      </c>
      <c r="E1473" s="14">
        <v>1</v>
      </c>
      <c r="F1473" s="14">
        <v>1</v>
      </c>
      <c r="G1473" s="14">
        <v>1</v>
      </c>
      <c r="H1473" s="14"/>
      <c r="I1473" s="8" t="s">
        <v>38</v>
      </c>
      <c r="J1473" s="8" t="s">
        <v>38</v>
      </c>
      <c r="K1473">
        <v>60</v>
      </c>
      <c r="L1473">
        <v>22.875</v>
      </c>
      <c r="M1473" s="14">
        <v>12</v>
      </c>
      <c r="N1473" s="14">
        <v>4.3125</v>
      </c>
      <c r="R1473" t="str">
        <f t="shared" ref="R1473:R1488" si="73">A1473&amp;":    Front abuts stile:"&amp;S1473&amp;"       Back abuts stile:"&amp;T1473&amp;"          Panel Section: "&amp;C1473&amp;"           Stile in the back Width: "&amp;H1473&amp;"           Cutout A: "&amp;I1473&amp;"          Cutout B:"&amp;J1473&amp;"      F.C.:"&amp;M1473&amp;" in. "&amp;"        C.C.:"&amp;N1473&amp;" in. "&amp;"  "</f>
        <v xml:space="preserve">XX8X_PV_2130:    Front abuts stile:TRUE       Back abuts stile:TRUE          Panel Section: BOTTOM           Stile in the back Width:            Cutout A:           Cutout B:      F.C.:12 in.         C.C.:4.3125 in.   </v>
      </c>
      <c r="S1473" t="str">
        <f t="shared" ref="S1473:S1488" si="74">IF(D1473=1, "TRUE", "FALSE")</f>
        <v>TRUE</v>
      </c>
      <c r="T1473" t="str">
        <f t="shared" ref="T1473:T1488" si="75">IF(F1473=1, "TRUE", "FALSE")</f>
        <v>TRUE</v>
      </c>
    </row>
    <row r="1474" spans="1:20">
      <c r="A1474" t="s">
        <v>1634</v>
      </c>
      <c r="B1474" s="14" t="s">
        <v>144</v>
      </c>
      <c r="C1474" s="14" t="s">
        <v>21</v>
      </c>
      <c r="D1474" s="14">
        <v>0</v>
      </c>
      <c r="E1474" s="14"/>
      <c r="F1474" s="14">
        <v>0</v>
      </c>
      <c r="G1474" s="14"/>
      <c r="H1474" s="14"/>
      <c r="I1474" s="8" t="s">
        <v>121</v>
      </c>
      <c r="J1474" s="8" t="s">
        <v>38</v>
      </c>
      <c r="K1474">
        <v>71</v>
      </c>
      <c r="L1474">
        <v>59.375</v>
      </c>
      <c r="M1474" s="14">
        <v>9</v>
      </c>
      <c r="N1474" s="14">
        <v>4.625</v>
      </c>
      <c r="R1474" t="str">
        <f t="shared" si="73"/>
        <v xml:space="preserve">XX8X_PV_2131:    Front abuts stile:FALSE       Back abuts stile:FALSE          Panel Section: WHOLE           Stile in the back Width:            Cutout A: B-4354          Cutout B:      F.C.:9 in.         C.C.:4.625 in.   </v>
      </c>
      <c r="S1474" t="str">
        <f t="shared" si="74"/>
        <v>FALSE</v>
      </c>
      <c r="T1474" t="str">
        <f t="shared" si="75"/>
        <v>FALSE</v>
      </c>
    </row>
    <row r="1475" spans="1:20">
      <c r="A1475" t="s">
        <v>1635</v>
      </c>
      <c r="B1475" s="14" t="s">
        <v>144</v>
      </c>
      <c r="C1475" s="14" t="s">
        <v>21</v>
      </c>
      <c r="D1475" s="14">
        <v>0</v>
      </c>
      <c r="E1475" s="14"/>
      <c r="F1475" s="14">
        <v>1</v>
      </c>
      <c r="G1475" s="14">
        <v>0</v>
      </c>
      <c r="H1475" s="14">
        <v>12</v>
      </c>
      <c r="I1475" s="8" t="s">
        <v>119</v>
      </c>
      <c r="J1475" s="8" t="s">
        <v>38</v>
      </c>
      <c r="K1475">
        <v>102.4375</v>
      </c>
      <c r="L1475">
        <v>66.75</v>
      </c>
      <c r="M1475" s="14">
        <v>1</v>
      </c>
      <c r="N1475" s="14">
        <v>1</v>
      </c>
      <c r="R1475" t="str">
        <f t="shared" si="73"/>
        <v xml:space="preserve">XX8X_PV_2132:    Front abuts stile:FALSE       Back abuts stile:TRUE          Panel Section: WHOLE           Stile in the back Width: 12           Cutout A: B-354          Cutout B:      F.C.:1 in.         C.C.:1 in.   </v>
      </c>
      <c r="S1475" t="str">
        <f t="shared" si="74"/>
        <v>FALSE</v>
      </c>
      <c r="T1475" t="str">
        <f t="shared" si="75"/>
        <v>TRUE</v>
      </c>
    </row>
    <row r="1476" spans="1:20">
      <c r="A1476" t="s">
        <v>1636</v>
      </c>
      <c r="B1476" s="14" t="s">
        <v>144</v>
      </c>
      <c r="C1476" s="14" t="s">
        <v>21</v>
      </c>
      <c r="D1476" s="14">
        <v>0</v>
      </c>
      <c r="E1476" s="14"/>
      <c r="F1476" s="14">
        <v>1</v>
      </c>
      <c r="G1476" s="14">
        <v>0</v>
      </c>
      <c r="H1476" s="14">
        <v>24</v>
      </c>
      <c r="I1476" s="8" t="s">
        <v>121</v>
      </c>
      <c r="J1476" s="8" t="s">
        <v>38</v>
      </c>
      <c r="K1476">
        <v>38.4375</v>
      </c>
      <c r="L1476">
        <v>52.5</v>
      </c>
      <c r="M1476" s="14">
        <v>9</v>
      </c>
      <c r="N1476" s="14">
        <v>3.3125</v>
      </c>
      <c r="R1476" t="str">
        <f t="shared" si="73"/>
        <v xml:space="preserve">XX8X_PV_2133:    Front abuts stile:FALSE       Back abuts stile:TRUE          Panel Section: WHOLE           Stile in the back Width: 24           Cutout A: B-4354          Cutout B:      F.C.:9 in.         C.C.:3.3125 in.   </v>
      </c>
      <c r="S1476" t="str">
        <f t="shared" si="74"/>
        <v>FALSE</v>
      </c>
      <c r="T1476" t="str">
        <f t="shared" si="75"/>
        <v>TRUE</v>
      </c>
    </row>
    <row r="1477" spans="1:20">
      <c r="A1477" t="s">
        <v>1637</v>
      </c>
      <c r="B1477" s="14" t="s">
        <v>144</v>
      </c>
      <c r="C1477" s="14" t="s">
        <v>21</v>
      </c>
      <c r="D1477" s="14">
        <v>0</v>
      </c>
      <c r="E1477" s="14"/>
      <c r="F1477" s="14">
        <v>1</v>
      </c>
      <c r="G1477" s="14">
        <v>0</v>
      </c>
      <c r="H1477" s="14"/>
      <c r="I1477" s="8" t="s">
        <v>38</v>
      </c>
      <c r="J1477" s="8" t="s">
        <v>38</v>
      </c>
      <c r="K1477">
        <v>74.0625</v>
      </c>
      <c r="L1477">
        <v>75.5</v>
      </c>
      <c r="M1477" s="14">
        <v>9</v>
      </c>
      <c r="N1477" s="14">
        <v>1</v>
      </c>
      <c r="R1477" t="str">
        <f t="shared" si="73"/>
        <v xml:space="preserve">XX8X_PV_2134:    Front abuts stile:FALSE       Back abuts stile:TRUE          Panel Section: WHOLE           Stile in the back Width:            Cutout A:           Cutout B:      F.C.:9 in.         C.C.:1 in.   </v>
      </c>
      <c r="S1477" t="str">
        <f t="shared" si="74"/>
        <v>FALSE</v>
      </c>
      <c r="T1477" t="str">
        <f t="shared" si="75"/>
        <v>TRUE</v>
      </c>
    </row>
    <row r="1478" spans="1:20">
      <c r="A1478" t="s">
        <v>1638</v>
      </c>
      <c r="B1478" s="14" t="s">
        <v>144</v>
      </c>
      <c r="C1478" s="14" t="s">
        <v>21</v>
      </c>
      <c r="D1478" s="14">
        <v>0</v>
      </c>
      <c r="E1478" s="14"/>
      <c r="F1478" s="14">
        <v>1</v>
      </c>
      <c r="G1478" s="14">
        <v>1</v>
      </c>
      <c r="H1478" s="14"/>
      <c r="I1478" s="8" t="s">
        <v>38</v>
      </c>
      <c r="J1478" s="8" t="s">
        <v>38</v>
      </c>
      <c r="K1478">
        <v>40.375</v>
      </c>
      <c r="L1478">
        <v>53.3125</v>
      </c>
      <c r="M1478" s="14">
        <v>12</v>
      </c>
      <c r="N1478" s="14" t="s">
        <v>38</v>
      </c>
      <c r="R1478" t="str">
        <f t="shared" si="73"/>
        <v xml:space="preserve">XX8X_PV_2135:    Front abuts stile:FALSE       Back abuts stile:TRUE          Panel Section: WHOLE           Stile in the back Width:            Cutout A:           Cutout B:      F.C.:12 in.         C.C.: in.   </v>
      </c>
      <c r="S1478" t="str">
        <f t="shared" si="74"/>
        <v>FALSE</v>
      </c>
      <c r="T1478" t="str">
        <f t="shared" si="75"/>
        <v>TRUE</v>
      </c>
    </row>
    <row r="1479" spans="1:20">
      <c r="A1479" t="s">
        <v>1639</v>
      </c>
      <c r="B1479" s="14" t="s">
        <v>144</v>
      </c>
      <c r="C1479" s="14" t="s">
        <v>21</v>
      </c>
      <c r="D1479" s="14">
        <v>1</v>
      </c>
      <c r="E1479" s="14">
        <v>0</v>
      </c>
      <c r="F1479" s="14">
        <v>0</v>
      </c>
      <c r="G1479" s="14"/>
      <c r="H1479" s="14"/>
      <c r="I1479" s="8" t="s">
        <v>38</v>
      </c>
      <c r="J1479" s="8" t="s">
        <v>38</v>
      </c>
      <c r="K1479">
        <v>83.4375</v>
      </c>
      <c r="L1479">
        <v>46.375</v>
      </c>
      <c r="M1479" s="14">
        <v>2.3125</v>
      </c>
      <c r="N1479" s="14" t="s">
        <v>38</v>
      </c>
      <c r="R1479" t="str">
        <f t="shared" si="73"/>
        <v xml:space="preserve">XX8X_PV_2136:    Front abuts stile:TRUE       Back abuts stile:FALSE          Panel Section: WHOLE           Stile in the back Width:            Cutout A:           Cutout B:      F.C.:2.3125 in.         C.C.: in.   </v>
      </c>
      <c r="S1479" t="str">
        <f t="shared" si="74"/>
        <v>TRUE</v>
      </c>
      <c r="T1479" t="str">
        <f t="shared" si="75"/>
        <v>FALSE</v>
      </c>
    </row>
    <row r="1480" spans="1:20">
      <c r="A1480" t="s">
        <v>1640</v>
      </c>
      <c r="B1480" s="14" t="s">
        <v>144</v>
      </c>
      <c r="C1480" s="14" t="s">
        <v>21</v>
      </c>
      <c r="D1480" s="14">
        <v>1</v>
      </c>
      <c r="E1480" s="14">
        <v>0</v>
      </c>
      <c r="F1480" s="14">
        <v>1</v>
      </c>
      <c r="G1480" s="14">
        <v>0</v>
      </c>
      <c r="H1480" s="14">
        <v>12</v>
      </c>
      <c r="I1480" s="8" t="s">
        <v>151</v>
      </c>
      <c r="J1480" s="8" t="s">
        <v>38</v>
      </c>
      <c r="K1480">
        <v>93.125</v>
      </c>
      <c r="L1480">
        <v>52.5</v>
      </c>
      <c r="M1480" s="14">
        <v>11.9375</v>
      </c>
      <c r="N1480" s="14">
        <v>4.75</v>
      </c>
      <c r="R1480" t="str">
        <f t="shared" si="73"/>
        <v xml:space="preserve">XX8X_PV_2137:    Front abuts stile:TRUE       Back abuts stile:TRUE          Panel Section: WHOLE           Stile in the back Width: 12           Cutout A: B-35715          Cutout B:      F.C.:11.9375 in.         C.C.:4.75 in.   </v>
      </c>
      <c r="S1480" t="str">
        <f t="shared" si="74"/>
        <v>TRUE</v>
      </c>
      <c r="T1480" t="str">
        <f t="shared" si="75"/>
        <v>TRUE</v>
      </c>
    </row>
    <row r="1481" spans="1:20">
      <c r="A1481" t="s">
        <v>1641</v>
      </c>
      <c r="B1481" s="14" t="s">
        <v>144</v>
      </c>
      <c r="C1481" s="14" t="s">
        <v>21</v>
      </c>
      <c r="D1481" s="14">
        <v>1</v>
      </c>
      <c r="E1481" s="14">
        <v>0</v>
      </c>
      <c r="F1481" s="14">
        <v>1</v>
      </c>
      <c r="G1481" s="14">
        <v>0</v>
      </c>
      <c r="H1481" s="14">
        <v>24</v>
      </c>
      <c r="I1481" s="8" t="s">
        <v>35</v>
      </c>
      <c r="J1481" s="8" t="s">
        <v>38</v>
      </c>
      <c r="K1481">
        <v>80.1875</v>
      </c>
      <c r="L1481">
        <v>40.1875</v>
      </c>
      <c r="M1481" s="14">
        <v>9</v>
      </c>
      <c r="N1481" s="14">
        <v>1.8125</v>
      </c>
      <c r="R1481" t="str">
        <f t="shared" si="73"/>
        <v xml:space="preserve">XX8X_PV_2138:    Front abuts stile:TRUE       Back abuts stile:TRUE          Panel Section: WHOLE           Stile in the back Width: 24           Cutout A: B-357          Cutout B:      F.C.:9 in.         C.C.:1.8125 in.   </v>
      </c>
      <c r="S1481" t="str">
        <f t="shared" si="74"/>
        <v>TRUE</v>
      </c>
      <c r="T1481" t="str">
        <f t="shared" si="75"/>
        <v>TRUE</v>
      </c>
    </row>
    <row r="1482" spans="1:20">
      <c r="A1482" t="s">
        <v>1642</v>
      </c>
      <c r="B1482" s="14" t="s">
        <v>144</v>
      </c>
      <c r="C1482" s="14" t="s">
        <v>21</v>
      </c>
      <c r="D1482" s="14">
        <v>1</v>
      </c>
      <c r="E1482" s="14">
        <v>0</v>
      </c>
      <c r="F1482" s="14">
        <v>1</v>
      </c>
      <c r="G1482" s="14">
        <v>0</v>
      </c>
      <c r="H1482" s="14"/>
      <c r="I1482" s="8" t="s">
        <v>38</v>
      </c>
      <c r="J1482" s="8" t="s">
        <v>38</v>
      </c>
      <c r="K1482">
        <v>79</v>
      </c>
      <c r="L1482">
        <v>60.8125</v>
      </c>
      <c r="M1482" s="14">
        <v>9</v>
      </c>
      <c r="N1482" s="14">
        <v>7.625</v>
      </c>
      <c r="R1482" t="str">
        <f t="shared" si="73"/>
        <v xml:space="preserve">XX8X_PV_2139:    Front abuts stile:TRUE       Back abuts stile:TRUE          Panel Section: WHOLE           Stile in the back Width:            Cutout A:           Cutout B:      F.C.:9 in.         C.C.:7.625 in.   </v>
      </c>
      <c r="S1482" t="str">
        <f t="shared" si="74"/>
        <v>TRUE</v>
      </c>
      <c r="T1482" t="str">
        <f t="shared" si="75"/>
        <v>TRUE</v>
      </c>
    </row>
    <row r="1483" spans="1:20">
      <c r="A1483" t="s">
        <v>1643</v>
      </c>
      <c r="B1483" s="14" t="s">
        <v>144</v>
      </c>
      <c r="C1483" s="14" t="s">
        <v>21</v>
      </c>
      <c r="D1483" s="14">
        <v>1</v>
      </c>
      <c r="E1483" s="14">
        <v>0</v>
      </c>
      <c r="F1483" s="14">
        <v>1</v>
      </c>
      <c r="G1483" s="14">
        <v>1</v>
      </c>
      <c r="H1483" s="14"/>
      <c r="I1483" s="8" t="s">
        <v>38</v>
      </c>
      <c r="J1483" s="8" t="s">
        <v>38</v>
      </c>
      <c r="K1483">
        <v>96</v>
      </c>
      <c r="L1483">
        <v>45.9375</v>
      </c>
      <c r="M1483" s="14">
        <v>1</v>
      </c>
      <c r="N1483" s="14">
        <v>2.875</v>
      </c>
      <c r="R1483" t="str">
        <f t="shared" si="73"/>
        <v xml:space="preserve">XX8X_PV_2140:    Front abuts stile:TRUE       Back abuts stile:TRUE          Panel Section: WHOLE           Stile in the back Width:            Cutout A:           Cutout B:      F.C.:1 in.         C.C.:2.875 in.   </v>
      </c>
      <c r="S1483" t="str">
        <f t="shared" si="74"/>
        <v>TRUE</v>
      </c>
      <c r="T1483" t="str">
        <f t="shared" si="75"/>
        <v>TRUE</v>
      </c>
    </row>
    <row r="1484" spans="1:20">
      <c r="A1484" t="s">
        <v>1644</v>
      </c>
      <c r="B1484" s="14" t="s">
        <v>144</v>
      </c>
      <c r="C1484" s="14" t="s">
        <v>21</v>
      </c>
      <c r="D1484" s="14">
        <v>1</v>
      </c>
      <c r="E1484" s="14">
        <v>1</v>
      </c>
      <c r="F1484" s="14">
        <v>0</v>
      </c>
      <c r="G1484" s="14"/>
      <c r="H1484" s="14"/>
      <c r="I1484" s="8" t="s">
        <v>145</v>
      </c>
      <c r="J1484" s="8" t="s">
        <v>38</v>
      </c>
      <c r="K1484">
        <v>59.4375</v>
      </c>
      <c r="L1484">
        <v>68.1875</v>
      </c>
      <c r="M1484" s="14">
        <v>1</v>
      </c>
      <c r="N1484" s="14">
        <v>1</v>
      </c>
      <c r="R1484" t="str">
        <f t="shared" si="73"/>
        <v xml:space="preserve">XX8X_PV_2141:    Front abuts stile:TRUE       Back abuts stile:FALSE          Panel Section: WHOLE           Stile in the back Width:            Cutout A: B-347          Cutout B:      F.C.:1 in.         C.C.:1 in.   </v>
      </c>
      <c r="S1484" t="str">
        <f t="shared" si="74"/>
        <v>TRUE</v>
      </c>
      <c r="T1484" t="str">
        <f t="shared" si="75"/>
        <v>FALSE</v>
      </c>
    </row>
    <row r="1485" spans="1:20">
      <c r="A1485" t="s">
        <v>1645</v>
      </c>
      <c r="B1485" s="14" t="s">
        <v>144</v>
      </c>
      <c r="C1485" s="14" t="s">
        <v>21</v>
      </c>
      <c r="D1485" s="14">
        <v>1</v>
      </c>
      <c r="E1485" s="14">
        <v>1</v>
      </c>
      <c r="F1485" s="14">
        <v>1</v>
      </c>
      <c r="G1485" s="14">
        <v>0</v>
      </c>
      <c r="H1485" s="14">
        <v>12</v>
      </c>
      <c r="I1485" s="8" t="s">
        <v>38</v>
      </c>
      <c r="J1485" s="8" t="s">
        <v>38</v>
      </c>
      <c r="K1485">
        <v>65.75</v>
      </c>
      <c r="L1485">
        <v>65.8125</v>
      </c>
      <c r="M1485" s="14">
        <v>12</v>
      </c>
      <c r="N1485" s="14">
        <v>4.75</v>
      </c>
      <c r="R1485" t="str">
        <f t="shared" si="73"/>
        <v xml:space="preserve">XX8X_PV_2142:    Front abuts stile:TRUE       Back abuts stile:TRUE          Panel Section: WHOLE           Stile in the back Width: 12           Cutout A:           Cutout B:      F.C.:12 in.         C.C.:4.75 in.   </v>
      </c>
      <c r="S1485" t="str">
        <f t="shared" si="74"/>
        <v>TRUE</v>
      </c>
      <c r="T1485" t="str">
        <f t="shared" si="75"/>
        <v>TRUE</v>
      </c>
    </row>
    <row r="1486" spans="1:20">
      <c r="A1486" t="s">
        <v>1646</v>
      </c>
      <c r="B1486" s="14" t="s">
        <v>144</v>
      </c>
      <c r="C1486" s="14" t="s">
        <v>21</v>
      </c>
      <c r="D1486" s="14">
        <v>1</v>
      </c>
      <c r="E1486" s="14">
        <v>1</v>
      </c>
      <c r="F1486" s="14">
        <v>1</v>
      </c>
      <c r="G1486" s="14">
        <v>0</v>
      </c>
      <c r="H1486" s="14">
        <v>24</v>
      </c>
      <c r="I1486" s="8" t="s">
        <v>38</v>
      </c>
      <c r="J1486" s="8" t="s">
        <v>38</v>
      </c>
      <c r="K1486">
        <v>96</v>
      </c>
      <c r="L1486">
        <v>78.75</v>
      </c>
      <c r="M1486" s="14">
        <v>7.4375</v>
      </c>
      <c r="N1486" s="14">
        <v>1</v>
      </c>
      <c r="R1486" t="str">
        <f t="shared" si="73"/>
        <v xml:space="preserve">XX8X_PV_2143:    Front abuts stile:TRUE       Back abuts stile:TRUE          Panel Section: WHOLE           Stile in the back Width: 24           Cutout A:           Cutout B:      F.C.:7.4375 in.         C.C.:1 in.   </v>
      </c>
      <c r="S1486" t="str">
        <f t="shared" si="74"/>
        <v>TRUE</v>
      </c>
      <c r="T1486" t="str">
        <f t="shared" si="75"/>
        <v>TRUE</v>
      </c>
    </row>
    <row r="1487" spans="1:20">
      <c r="A1487" t="s">
        <v>1647</v>
      </c>
      <c r="B1487" s="14" t="s">
        <v>144</v>
      </c>
      <c r="C1487" s="14" t="s">
        <v>21</v>
      </c>
      <c r="D1487" s="14">
        <v>1</v>
      </c>
      <c r="E1487" s="14">
        <v>1</v>
      </c>
      <c r="F1487" s="14">
        <v>1</v>
      </c>
      <c r="G1487" s="14">
        <v>0</v>
      </c>
      <c r="H1487" s="14"/>
      <c r="I1487" s="8" t="s">
        <v>38</v>
      </c>
      <c r="J1487" s="8" t="s">
        <v>38</v>
      </c>
      <c r="K1487">
        <v>47.3125</v>
      </c>
      <c r="L1487">
        <v>49.5</v>
      </c>
      <c r="M1487" s="14">
        <v>12</v>
      </c>
      <c r="N1487" s="14">
        <v>4.6875</v>
      </c>
      <c r="R1487" t="str">
        <f t="shared" si="73"/>
        <v xml:space="preserve">XX8X_PV_2144:    Front abuts stile:TRUE       Back abuts stile:TRUE          Panel Section: WHOLE           Stile in the back Width:            Cutout A:           Cutout B:      F.C.:12 in.         C.C.:4.6875 in.   </v>
      </c>
      <c r="S1487" t="str">
        <f t="shared" si="74"/>
        <v>TRUE</v>
      </c>
      <c r="T1487" t="str">
        <f t="shared" si="75"/>
        <v>TRUE</v>
      </c>
    </row>
    <row r="1488" spans="1:20" ht="15" thickBot="1">
      <c r="A1488" t="s">
        <v>1648</v>
      </c>
      <c r="B1488" s="14" t="s">
        <v>144</v>
      </c>
      <c r="C1488" s="50" t="s">
        <v>21</v>
      </c>
      <c r="D1488" s="50">
        <v>1</v>
      </c>
      <c r="E1488" s="50">
        <v>1</v>
      </c>
      <c r="F1488" s="50">
        <v>1</v>
      </c>
      <c r="G1488" s="50">
        <v>1</v>
      </c>
      <c r="H1488" s="50"/>
      <c r="I1488" s="51" t="s">
        <v>38</v>
      </c>
      <c r="J1488" s="51" t="s">
        <v>38</v>
      </c>
      <c r="K1488" s="49">
        <v>96</v>
      </c>
      <c r="L1488" s="49">
        <v>79.9375</v>
      </c>
      <c r="M1488" s="50">
        <v>1</v>
      </c>
      <c r="N1488" s="14" t="s">
        <v>38</v>
      </c>
      <c r="R1488" t="str">
        <f t="shared" si="73"/>
        <v xml:space="preserve">XX8X_PV_2145:    Front abuts stile:TRUE       Back abuts stile:TRUE          Panel Section: WHOLE           Stile in the back Width:            Cutout A:           Cutout B:      F.C.:1 in.         C.C.: in.   </v>
      </c>
      <c r="S1488" t="str">
        <f t="shared" si="74"/>
        <v>TRUE</v>
      </c>
      <c r="T1488" t="str">
        <f t="shared" si="75"/>
        <v>TRUE</v>
      </c>
    </row>
    <row r="1489" ht="15" thickTop="1"/>
  </sheetData>
  <sheetProtection algorithmName="SHA-512" hashValue="YDS0kFADXEbqff7SVNoyV0sZWjt9qSo9qEzFqBJiJGO3CDJcV0RS8U3PdGDz8KVZ1+8psUd+eJ4z4FKhPZKrvQ==" saltValue="SdHRyG4LMLUHJ7ASiXCnQg==" spinCount="100000" sheet="1" objects="1" scenarios="1"/>
  <autoFilter ref="A3:K1488" xr:uid="{E629106A-13DD-4325-A544-45F415BC929C}"/>
  <phoneticPr fontId="6" type="noConversion"/>
  <conditionalFormatting sqref="A4:N768">
    <cfRule type="expression" dxfId="1" priority="1">
      <formula>$B4="Yes"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E22DE-8CAD-4F68-84AE-88E836A1E5B8}">
  <sheetPr codeName="Sheet5" filterMode="1"/>
  <dimension ref="A1:S768"/>
  <sheetViews>
    <sheetView showGridLines="0" zoomScale="110" zoomScaleNormal="110" workbookViewId="0">
      <pane ySplit="3" topLeftCell="A4" activePane="bottomLeft" state="frozen"/>
      <selection pane="bottomLeft" activeCell="A42" sqref="A42:XFD42"/>
    </sheetView>
  </sheetViews>
  <sheetFormatPr defaultRowHeight="14.45"/>
  <cols>
    <col min="1" max="1" width="24" customWidth="1"/>
    <col min="2" max="2" width="8.7109375" style="14"/>
    <col min="3" max="4" width="13.5703125" customWidth="1"/>
    <col min="5" max="5" width="11.85546875" customWidth="1"/>
    <col min="6" max="6" width="11.5703125" customWidth="1"/>
    <col min="7" max="7" width="16.140625" customWidth="1"/>
    <col min="8" max="8" width="14.28515625" customWidth="1"/>
    <col min="9" max="9" width="7.5703125" bestFit="1" customWidth="1"/>
    <col min="10" max="10" width="14.28515625" customWidth="1"/>
    <col min="11" max="11" width="9" bestFit="1" customWidth="1"/>
    <col min="12" max="12" width="8.7109375" customWidth="1"/>
    <col min="17" max="17" width="165.85546875" bestFit="1" customWidth="1"/>
    <col min="18" max="18" width="14.85546875" bestFit="1" customWidth="1"/>
  </cols>
  <sheetData>
    <row r="1" spans="1:19">
      <c r="A1" s="20" t="s">
        <v>1649</v>
      </c>
      <c r="B1" s="20"/>
    </row>
    <row r="2" spans="1:19">
      <c r="B2">
        <f>COUNTIF(B4:B768,"Yes")</f>
        <v>52</v>
      </c>
      <c r="D2" s="14"/>
      <c r="E2" s="14"/>
      <c r="F2" s="14"/>
      <c r="G2" s="14"/>
      <c r="H2" s="14"/>
      <c r="I2" s="14"/>
      <c r="J2" s="14"/>
    </row>
    <row r="3" spans="1:19" ht="100.5">
      <c r="A3" t="s">
        <v>159</v>
      </c>
      <c r="B3" s="21" t="s">
        <v>160</v>
      </c>
      <c r="C3" s="18" t="s">
        <v>19</v>
      </c>
      <c r="D3" s="17" t="s">
        <v>1650</v>
      </c>
      <c r="E3" s="17" t="s">
        <v>1651</v>
      </c>
      <c r="F3" s="18" t="s">
        <v>1652</v>
      </c>
      <c r="G3" s="17" t="s">
        <v>1653</v>
      </c>
      <c r="H3" s="18" t="s">
        <v>31</v>
      </c>
      <c r="I3" s="52" t="s">
        <v>33</v>
      </c>
      <c r="J3" s="52" t="s">
        <v>36</v>
      </c>
      <c r="K3" s="53" t="s">
        <v>9</v>
      </c>
      <c r="L3" s="53" t="s">
        <v>13</v>
      </c>
      <c r="M3" s="53" t="s">
        <v>15</v>
      </c>
      <c r="N3" s="54" t="s">
        <v>155</v>
      </c>
      <c r="Q3" s="20" t="s">
        <v>161</v>
      </c>
      <c r="R3" t="s">
        <v>162</v>
      </c>
      <c r="S3" t="s">
        <v>163</v>
      </c>
    </row>
    <row r="4" spans="1:19">
      <c r="A4" t="s">
        <v>164</v>
      </c>
      <c r="B4" s="14" t="s">
        <v>143</v>
      </c>
      <c r="C4" s="14" t="s">
        <v>156</v>
      </c>
      <c r="D4" s="19">
        <v>0</v>
      </c>
      <c r="E4" s="19"/>
      <c r="F4" s="19">
        <v>0</v>
      </c>
      <c r="G4" s="19"/>
      <c r="H4" s="14"/>
      <c r="I4" s="8" t="s">
        <v>120</v>
      </c>
      <c r="J4" s="8" t="s">
        <v>119</v>
      </c>
      <c r="K4">
        <v>7.875</v>
      </c>
      <c r="L4">
        <v>6</v>
      </c>
      <c r="M4" s="14">
        <v>1</v>
      </c>
      <c r="N4" s="14">
        <v>12</v>
      </c>
      <c r="Q4" t="str">
        <f t="shared" ref="Q4:Q5" si="0">A4&amp;":    Front abuts stile:"&amp;R4&amp;"       Back abuts stile:"&amp;S4&amp;"          Panel Section: "&amp;C4&amp;"           Stile in the back Width: "&amp;H4&amp;"           Cutout A: "&amp;I4&amp;"          Cutout B:"&amp;J4&amp;"      F.C.:"&amp;M4&amp;" in. "&amp;"        C.C.:"&amp;N4&amp;" in. "&amp;"  "</f>
        <v xml:space="preserve">XX8X_PV_0001:    Front abuts stile:FALSE       Back abuts stile:FALSE          Panel Section: TOP           Stile in the back Width:            Cutout A: B-386          Cutout B:B-354      F.C.:1 in.         C.C.:12 in.   </v>
      </c>
      <c r="R4" t="str">
        <f t="shared" ref="R4:R5" si="1">IF(D4=1, "TRUE", "FALSE")</f>
        <v>FALSE</v>
      </c>
      <c r="S4" t="str">
        <f t="shared" ref="S4:S5" si="2">IF(F4=1, "TRUE", "FALSE")</f>
        <v>FALSE</v>
      </c>
    </row>
    <row r="5" spans="1:19" hidden="1">
      <c r="A5" t="s">
        <v>165</v>
      </c>
      <c r="B5" s="14" t="s">
        <v>144</v>
      </c>
      <c r="C5" s="14" t="s">
        <v>156</v>
      </c>
      <c r="D5" s="14">
        <v>0</v>
      </c>
      <c r="E5" s="14"/>
      <c r="F5" s="14">
        <v>1</v>
      </c>
      <c r="G5" s="14">
        <v>0</v>
      </c>
      <c r="H5" s="14">
        <v>12</v>
      </c>
      <c r="I5" s="8" t="s">
        <v>120</v>
      </c>
      <c r="J5" s="8" t="s">
        <v>38</v>
      </c>
      <c r="K5">
        <v>28.0625</v>
      </c>
      <c r="L5">
        <v>54.25</v>
      </c>
      <c r="M5" s="14">
        <v>2.0625</v>
      </c>
      <c r="N5" s="14">
        <v>1</v>
      </c>
      <c r="Q5" t="str">
        <f t="shared" si="0"/>
        <v xml:space="preserve">XX8X_PV_0002:    Front abuts stile:FALSE       Back abuts stile:TRUE          Panel Section: TOP           Stile in the back Width: 12           Cutout A: B-386          Cutout B:      F.C.:2.0625 in.         C.C.:1 in.   </v>
      </c>
      <c r="R5" t="str">
        <f t="shared" si="1"/>
        <v>FALSE</v>
      </c>
      <c r="S5" t="str">
        <f t="shared" si="2"/>
        <v>TRUE</v>
      </c>
    </row>
    <row r="6" spans="1:19" hidden="1">
      <c r="A6" t="s">
        <v>166</v>
      </c>
      <c r="B6" s="14" t="s">
        <v>144</v>
      </c>
      <c r="C6" s="14" t="s">
        <v>156</v>
      </c>
      <c r="D6" s="14">
        <v>0</v>
      </c>
      <c r="E6" s="14"/>
      <c r="F6" s="14">
        <v>1</v>
      </c>
      <c r="G6" s="14">
        <v>0</v>
      </c>
      <c r="H6" s="14">
        <v>24</v>
      </c>
      <c r="I6" s="8" t="s">
        <v>120</v>
      </c>
      <c r="J6" s="8" t="s">
        <v>38</v>
      </c>
      <c r="K6">
        <v>38.1875</v>
      </c>
      <c r="L6">
        <v>56</v>
      </c>
      <c r="M6" s="14">
        <v>1</v>
      </c>
      <c r="N6" s="14">
        <v>3.75</v>
      </c>
      <c r="Q6" t="str">
        <f>A6&amp;":    Front abuts stile:"&amp;R6&amp;"       Back abuts stile:"&amp;S6&amp;"          Panel Section: "&amp;C6&amp;"           Stile in the back Width: "&amp;H6&amp;"           Cutout A: "&amp;I6&amp;"          Cutout B:"&amp;J6&amp;"      F.C.:"&amp;M6&amp;" in. "&amp;"        C.C.:"&amp;N6&amp;" in. "&amp;"  "</f>
        <v xml:space="preserve">XX8X_PV_0003:    Front abuts stile:FALSE       Back abuts stile:TRUE          Panel Section: TOP           Stile in the back Width: 24           Cutout A: B-386          Cutout B:      F.C.:1 in.         C.C.:3.75 in.   </v>
      </c>
      <c r="R6" t="str">
        <f t="shared" ref="R6:R67" si="3">IF(D6=1, "TRUE", "FALSE")</f>
        <v>FALSE</v>
      </c>
      <c r="S6" t="str">
        <f t="shared" ref="S6:S67" si="4">IF(F6=1, "TRUE", "FALSE")</f>
        <v>TRUE</v>
      </c>
    </row>
    <row r="7" spans="1:19" hidden="1">
      <c r="A7" t="s">
        <v>167</v>
      </c>
      <c r="B7" s="14" t="s">
        <v>144</v>
      </c>
      <c r="C7" s="14" t="s">
        <v>156</v>
      </c>
      <c r="D7" s="14">
        <v>0</v>
      </c>
      <c r="E7" s="14"/>
      <c r="F7" s="14">
        <v>1</v>
      </c>
      <c r="G7" s="14">
        <v>0</v>
      </c>
      <c r="H7" s="14"/>
      <c r="I7" s="8" t="s">
        <v>120</v>
      </c>
      <c r="J7" s="8" t="s">
        <v>38</v>
      </c>
      <c r="K7">
        <v>28.1875</v>
      </c>
      <c r="L7">
        <v>74.75</v>
      </c>
      <c r="M7" s="14">
        <v>9</v>
      </c>
      <c r="N7" s="14">
        <v>1.6875</v>
      </c>
      <c r="Q7" t="str">
        <f t="shared" ref="Q7:Q70" si="5">A7&amp;":    Front abuts stile:"&amp;R7&amp;"       Back abuts stile:"&amp;S7&amp;"          Panel Section: "&amp;C7&amp;"           Stile in the back Width: "&amp;H7&amp;"           Cutout A: "&amp;I7&amp;"          Cutout B:"&amp;J7&amp;"      F.C.:"&amp;M7&amp;" in. "&amp;"        C.C.:"&amp;N7&amp;" in. "&amp;"  "</f>
        <v xml:space="preserve">XX8X_PV_0004:    Front abuts stile:FALSE       Back abuts stile:TRUE          Panel Section: TOP           Stile in the back Width:            Cutout A: B-386          Cutout B:      F.C.:9 in.         C.C.:1.6875 in.   </v>
      </c>
      <c r="R7" t="str">
        <f t="shared" si="3"/>
        <v>FALSE</v>
      </c>
      <c r="S7" t="str">
        <f t="shared" si="4"/>
        <v>TRUE</v>
      </c>
    </row>
    <row r="8" spans="1:19" hidden="1">
      <c r="A8" t="s">
        <v>168</v>
      </c>
      <c r="B8" s="14" t="s">
        <v>144</v>
      </c>
      <c r="C8" s="14" t="s">
        <v>156</v>
      </c>
      <c r="D8" s="14">
        <v>0</v>
      </c>
      <c r="E8" s="14"/>
      <c r="F8" s="14">
        <v>1</v>
      </c>
      <c r="G8" s="14">
        <v>1</v>
      </c>
      <c r="H8" s="14"/>
      <c r="I8" s="8" t="s">
        <v>120</v>
      </c>
      <c r="J8" s="8" t="s">
        <v>38</v>
      </c>
      <c r="K8">
        <v>20.1875</v>
      </c>
      <c r="L8">
        <v>62</v>
      </c>
      <c r="M8" s="14">
        <v>4.5</v>
      </c>
      <c r="N8" s="14">
        <v>4.875</v>
      </c>
      <c r="Q8" t="str">
        <f t="shared" si="5"/>
        <v xml:space="preserve">XX8X_PV_0005:    Front abuts stile:FALSE       Back abuts stile:TRUE          Panel Section: TOP           Stile in the back Width:            Cutout A: B-386          Cutout B:      F.C.:4.5 in.         C.C.:4.875 in.   </v>
      </c>
      <c r="R8" t="str">
        <f t="shared" si="3"/>
        <v>FALSE</v>
      </c>
      <c r="S8" t="str">
        <f t="shared" si="4"/>
        <v>TRUE</v>
      </c>
    </row>
    <row r="9" spans="1:19" hidden="1">
      <c r="A9" t="s">
        <v>169</v>
      </c>
      <c r="B9" s="14" t="s">
        <v>144</v>
      </c>
      <c r="C9" s="14" t="s">
        <v>156</v>
      </c>
      <c r="D9" s="14">
        <v>1</v>
      </c>
      <c r="E9" s="14">
        <v>0</v>
      </c>
      <c r="F9" s="14">
        <v>0</v>
      </c>
      <c r="G9" s="14"/>
      <c r="H9" s="14"/>
      <c r="I9" s="8" t="s">
        <v>119</v>
      </c>
      <c r="J9" s="8" t="s">
        <v>38</v>
      </c>
      <c r="K9">
        <v>19.125</v>
      </c>
      <c r="L9">
        <v>25.5625</v>
      </c>
      <c r="M9" s="14">
        <v>1</v>
      </c>
      <c r="N9" s="14">
        <v>1</v>
      </c>
      <c r="Q9" t="str">
        <f t="shared" si="5"/>
        <v xml:space="preserve">XX8X_PV_0006:    Front abuts stile:TRUE       Back abuts stile:FALSE          Panel Section: TOP           Stile in the back Width:            Cutout A: B-354          Cutout B:      F.C.:1 in.         C.C.:1 in.   </v>
      </c>
      <c r="R9" t="str">
        <f t="shared" si="3"/>
        <v>TRUE</v>
      </c>
      <c r="S9" t="str">
        <f t="shared" si="4"/>
        <v>FALSE</v>
      </c>
    </row>
    <row r="10" spans="1:19">
      <c r="A10" t="s">
        <v>170</v>
      </c>
      <c r="B10" s="14" t="s">
        <v>143</v>
      </c>
      <c r="C10" s="14" t="s">
        <v>156</v>
      </c>
      <c r="D10" s="14">
        <v>1</v>
      </c>
      <c r="E10" s="14">
        <v>0</v>
      </c>
      <c r="F10" s="14">
        <v>1</v>
      </c>
      <c r="G10" s="14">
        <v>0</v>
      </c>
      <c r="H10" s="14">
        <v>12</v>
      </c>
      <c r="I10" s="8" t="s">
        <v>38</v>
      </c>
      <c r="J10" s="8" t="s">
        <v>38</v>
      </c>
      <c r="K10">
        <v>36.8125</v>
      </c>
      <c r="L10">
        <v>48.5625</v>
      </c>
      <c r="M10" s="14">
        <v>1.8125</v>
      </c>
      <c r="N10" s="14">
        <v>11.9375</v>
      </c>
      <c r="Q10" t="str">
        <f t="shared" si="5"/>
        <v xml:space="preserve">XX8X_PV_0007:    Front abuts stile:TRUE       Back abuts stile:TRUE          Panel Section: TOP           Stile in the back Width: 12           Cutout A:           Cutout B:      F.C.:1.8125 in.         C.C.:11.9375 in.   </v>
      </c>
      <c r="R10" t="str">
        <f t="shared" si="3"/>
        <v>TRUE</v>
      </c>
      <c r="S10" t="str">
        <f t="shared" si="4"/>
        <v>TRUE</v>
      </c>
    </row>
    <row r="11" spans="1:19" hidden="1">
      <c r="A11" t="s">
        <v>171</v>
      </c>
      <c r="B11" s="14" t="s">
        <v>144</v>
      </c>
      <c r="C11" s="14" t="s">
        <v>156</v>
      </c>
      <c r="D11" s="14">
        <v>1</v>
      </c>
      <c r="E11" s="14">
        <v>0</v>
      </c>
      <c r="F11" s="14">
        <v>1</v>
      </c>
      <c r="G11" s="14">
        <v>0</v>
      </c>
      <c r="H11" s="14">
        <v>24</v>
      </c>
      <c r="I11" s="8" t="s">
        <v>120</v>
      </c>
      <c r="J11" s="8" t="s">
        <v>38</v>
      </c>
      <c r="K11">
        <v>7.6875</v>
      </c>
      <c r="L11">
        <v>56.875</v>
      </c>
      <c r="M11" s="14">
        <v>6.375</v>
      </c>
      <c r="N11" s="14">
        <v>2.625</v>
      </c>
      <c r="Q11" t="str">
        <f t="shared" si="5"/>
        <v xml:space="preserve">XX8X_PV_0008:    Front abuts stile:TRUE       Back abuts stile:TRUE          Panel Section: TOP           Stile in the back Width: 24           Cutout A: B-386          Cutout B:      F.C.:6.375 in.         C.C.:2.625 in.   </v>
      </c>
      <c r="R11" t="str">
        <f t="shared" si="3"/>
        <v>TRUE</v>
      </c>
      <c r="S11" t="str">
        <f t="shared" si="4"/>
        <v>TRUE</v>
      </c>
    </row>
    <row r="12" spans="1:19" hidden="1">
      <c r="A12" t="s">
        <v>172</v>
      </c>
      <c r="B12" s="14" t="s">
        <v>144</v>
      </c>
      <c r="C12" s="14" t="s">
        <v>156</v>
      </c>
      <c r="D12" s="14">
        <v>1</v>
      </c>
      <c r="E12" s="14">
        <v>0</v>
      </c>
      <c r="F12" s="14">
        <v>1</v>
      </c>
      <c r="G12" s="14">
        <v>0</v>
      </c>
      <c r="H12" s="14"/>
      <c r="I12" s="8" t="s">
        <v>120</v>
      </c>
      <c r="J12" s="8" t="s">
        <v>38</v>
      </c>
      <c r="K12">
        <v>7.875</v>
      </c>
      <c r="L12">
        <v>51.125</v>
      </c>
      <c r="M12" s="14">
        <v>12</v>
      </c>
      <c r="N12" s="14">
        <v>2.9375</v>
      </c>
      <c r="Q12" t="str">
        <f t="shared" si="5"/>
        <v xml:space="preserve">XX8X_PV_0009:    Front abuts stile:TRUE       Back abuts stile:TRUE          Panel Section: TOP           Stile in the back Width:            Cutout A: B-386          Cutout B:      F.C.:12 in.         C.C.:2.9375 in.   </v>
      </c>
      <c r="R12" t="str">
        <f t="shared" si="3"/>
        <v>TRUE</v>
      </c>
      <c r="S12" t="str">
        <f t="shared" si="4"/>
        <v>TRUE</v>
      </c>
    </row>
    <row r="13" spans="1:19" hidden="1">
      <c r="A13" t="s">
        <v>173</v>
      </c>
      <c r="B13" s="14" t="s">
        <v>144</v>
      </c>
      <c r="C13" s="14" t="s">
        <v>156</v>
      </c>
      <c r="D13" s="14">
        <v>1</v>
      </c>
      <c r="E13" s="14">
        <v>0</v>
      </c>
      <c r="F13" s="14">
        <v>1</v>
      </c>
      <c r="G13" s="14">
        <v>1</v>
      </c>
      <c r="H13" s="14"/>
      <c r="I13" s="8" t="s">
        <v>38</v>
      </c>
      <c r="J13" s="8" t="s">
        <v>38</v>
      </c>
      <c r="K13">
        <v>36.9375</v>
      </c>
      <c r="L13">
        <v>54.25</v>
      </c>
      <c r="M13" s="14">
        <v>7.6875</v>
      </c>
      <c r="N13" s="14">
        <v>4</v>
      </c>
      <c r="Q13" t="str">
        <f t="shared" si="5"/>
        <v xml:space="preserve">XX8X_PV_0010:    Front abuts stile:TRUE       Back abuts stile:TRUE          Panel Section: TOP           Stile in the back Width:            Cutout A:           Cutout B:      F.C.:7.6875 in.         C.C.:4 in.   </v>
      </c>
      <c r="R13" t="str">
        <f t="shared" si="3"/>
        <v>TRUE</v>
      </c>
      <c r="S13" t="str">
        <f t="shared" si="4"/>
        <v>TRUE</v>
      </c>
    </row>
    <row r="14" spans="1:19" hidden="1">
      <c r="A14" t="s">
        <v>174</v>
      </c>
      <c r="B14" s="14" t="s">
        <v>144</v>
      </c>
      <c r="C14" s="14" t="s">
        <v>156</v>
      </c>
      <c r="D14" s="14">
        <v>1</v>
      </c>
      <c r="E14" s="14">
        <v>1</v>
      </c>
      <c r="F14" s="14">
        <v>0</v>
      </c>
      <c r="G14" s="14"/>
      <c r="H14" s="14"/>
      <c r="I14" s="8" t="s">
        <v>38</v>
      </c>
      <c r="J14" s="8" t="s">
        <v>38</v>
      </c>
      <c r="K14">
        <v>24.1875</v>
      </c>
      <c r="L14">
        <v>63.0625</v>
      </c>
      <c r="M14" s="14">
        <v>9</v>
      </c>
      <c r="N14" s="14">
        <v>1</v>
      </c>
      <c r="Q14" t="str">
        <f t="shared" si="5"/>
        <v xml:space="preserve">XX8X_PV_0011:    Front abuts stile:TRUE       Back abuts stile:FALSE          Panel Section: TOP           Stile in the back Width:            Cutout A:           Cutout B:      F.C.:9 in.         C.C.:1 in.   </v>
      </c>
      <c r="R14" t="str">
        <f t="shared" si="3"/>
        <v>TRUE</v>
      </c>
      <c r="S14" t="str">
        <f t="shared" si="4"/>
        <v>FALSE</v>
      </c>
    </row>
    <row r="15" spans="1:19" hidden="1">
      <c r="A15" t="s">
        <v>175</v>
      </c>
      <c r="B15" s="14" t="s">
        <v>144</v>
      </c>
      <c r="C15" s="14" t="s">
        <v>156</v>
      </c>
      <c r="D15" s="14">
        <v>1</v>
      </c>
      <c r="E15" s="14">
        <v>1</v>
      </c>
      <c r="F15" s="14">
        <v>1</v>
      </c>
      <c r="G15" s="14">
        <v>0</v>
      </c>
      <c r="H15" s="14">
        <v>12</v>
      </c>
      <c r="I15" s="8" t="s">
        <v>35</v>
      </c>
      <c r="J15" s="8" t="s">
        <v>38</v>
      </c>
      <c r="K15">
        <v>32.3125</v>
      </c>
      <c r="L15">
        <v>29.4375</v>
      </c>
      <c r="M15" s="14">
        <v>9</v>
      </c>
      <c r="N15" s="14">
        <v>1</v>
      </c>
      <c r="Q15" t="str">
        <f t="shared" si="5"/>
        <v xml:space="preserve">XX8X_PV_0012:    Front abuts stile:TRUE       Back abuts stile:TRUE          Panel Section: TOP           Stile in the back Width: 12           Cutout A: B-357          Cutout B:      F.C.:9 in.         C.C.:1 in.   </v>
      </c>
      <c r="R15" t="str">
        <f t="shared" si="3"/>
        <v>TRUE</v>
      </c>
      <c r="S15" t="str">
        <f t="shared" si="4"/>
        <v>TRUE</v>
      </c>
    </row>
    <row r="16" spans="1:19" hidden="1">
      <c r="A16" t="s">
        <v>176</v>
      </c>
      <c r="B16" s="14" t="s">
        <v>144</v>
      </c>
      <c r="C16" s="14" t="s">
        <v>156</v>
      </c>
      <c r="D16" s="14">
        <v>1</v>
      </c>
      <c r="E16" s="14">
        <v>1</v>
      </c>
      <c r="F16" s="14">
        <v>1</v>
      </c>
      <c r="G16" s="14">
        <v>0</v>
      </c>
      <c r="H16" s="14">
        <v>24</v>
      </c>
      <c r="I16" s="8" t="s">
        <v>120</v>
      </c>
      <c r="J16" s="8" t="s">
        <v>38</v>
      </c>
      <c r="K16">
        <v>18.125</v>
      </c>
      <c r="L16">
        <v>47.6875</v>
      </c>
      <c r="M16" s="14">
        <v>9.375</v>
      </c>
      <c r="N16" s="14">
        <v>4.9375</v>
      </c>
      <c r="Q16" t="str">
        <f t="shared" si="5"/>
        <v xml:space="preserve">XX8X_PV_0013:    Front abuts stile:TRUE       Back abuts stile:TRUE          Panel Section: TOP           Stile in the back Width: 24           Cutout A: B-386          Cutout B:      F.C.:9.375 in.         C.C.:4.9375 in.   </v>
      </c>
      <c r="R16" t="str">
        <f t="shared" si="3"/>
        <v>TRUE</v>
      </c>
      <c r="S16" t="str">
        <f t="shared" si="4"/>
        <v>TRUE</v>
      </c>
    </row>
    <row r="17" spans="1:19">
      <c r="A17" t="s">
        <v>177</v>
      </c>
      <c r="B17" s="14" t="s">
        <v>143</v>
      </c>
      <c r="C17" s="14" t="s">
        <v>156</v>
      </c>
      <c r="D17" s="14">
        <v>1</v>
      </c>
      <c r="E17" s="14">
        <v>1</v>
      </c>
      <c r="F17" s="14">
        <v>1</v>
      </c>
      <c r="G17" s="14">
        <v>0</v>
      </c>
      <c r="H17" s="14"/>
      <c r="I17" s="8" t="s">
        <v>120</v>
      </c>
      <c r="J17" s="8" t="s">
        <v>38</v>
      </c>
      <c r="K17">
        <v>18.125</v>
      </c>
      <c r="L17">
        <v>76.1875</v>
      </c>
      <c r="M17" s="14">
        <v>1</v>
      </c>
      <c r="N17" s="14">
        <v>1</v>
      </c>
      <c r="Q17" t="str">
        <f t="shared" si="5"/>
        <v xml:space="preserve">XX8X_PV_0014:    Front abuts stile:TRUE       Back abuts stile:TRUE          Panel Section: TOP           Stile in the back Width:            Cutout A: B-386          Cutout B:      F.C.:1 in.         C.C.:1 in.   </v>
      </c>
      <c r="R17" t="str">
        <f t="shared" si="3"/>
        <v>TRUE</v>
      </c>
      <c r="S17" t="str">
        <f t="shared" si="4"/>
        <v>TRUE</v>
      </c>
    </row>
    <row r="18" spans="1:19" hidden="1">
      <c r="A18" t="s">
        <v>178</v>
      </c>
      <c r="B18" s="14" t="s">
        <v>144</v>
      </c>
      <c r="C18" s="14" t="s">
        <v>156</v>
      </c>
      <c r="D18" s="14">
        <v>1</v>
      </c>
      <c r="E18" s="14">
        <v>1</v>
      </c>
      <c r="F18" s="14">
        <v>1</v>
      </c>
      <c r="G18" s="14">
        <v>1</v>
      </c>
      <c r="H18" s="14"/>
      <c r="I18" s="8" t="s">
        <v>120</v>
      </c>
      <c r="J18" s="8" t="s">
        <v>38</v>
      </c>
      <c r="K18">
        <v>48.5625</v>
      </c>
      <c r="L18">
        <v>24.875</v>
      </c>
      <c r="M18" s="14">
        <v>4.625</v>
      </c>
      <c r="N18" s="14">
        <v>4.875</v>
      </c>
      <c r="Q18" t="str">
        <f t="shared" si="5"/>
        <v xml:space="preserve">XX8X_PV_0015:    Front abuts stile:TRUE       Back abuts stile:TRUE          Panel Section: TOP           Stile in the back Width:            Cutout A: B-386          Cutout B:      F.C.:4.625 in.         C.C.:4.875 in.   </v>
      </c>
      <c r="R18" t="str">
        <f t="shared" si="3"/>
        <v>TRUE</v>
      </c>
      <c r="S18" t="str">
        <f t="shared" si="4"/>
        <v>TRUE</v>
      </c>
    </row>
    <row r="19" spans="1:19" hidden="1">
      <c r="A19" t="s">
        <v>179</v>
      </c>
      <c r="B19" s="14" t="s">
        <v>144</v>
      </c>
      <c r="C19" s="14" t="s">
        <v>156</v>
      </c>
      <c r="D19" s="14">
        <v>0</v>
      </c>
      <c r="E19" s="14"/>
      <c r="F19" s="14">
        <v>0</v>
      </c>
      <c r="G19" s="14"/>
      <c r="H19" s="14"/>
      <c r="I19" s="8" t="s">
        <v>148</v>
      </c>
      <c r="J19" s="8" t="s">
        <v>38</v>
      </c>
      <c r="K19">
        <v>19.375</v>
      </c>
      <c r="L19">
        <v>57.0625</v>
      </c>
      <c r="M19" s="14">
        <v>4.5</v>
      </c>
      <c r="N19" s="14">
        <v>6.5</v>
      </c>
      <c r="Q19" t="str">
        <f t="shared" si="5"/>
        <v xml:space="preserve">XX8X_PV_0016:    Front abuts stile:FALSE       Back abuts stile:FALSE          Panel Section: TOP           Stile in the back Width:            Cutout A: B-3471          Cutout B:      F.C.:4.5 in.         C.C.:6.5 in.   </v>
      </c>
      <c r="R19" t="str">
        <f t="shared" si="3"/>
        <v>FALSE</v>
      </c>
      <c r="S19" t="str">
        <f t="shared" si="4"/>
        <v>FALSE</v>
      </c>
    </row>
    <row r="20" spans="1:19" hidden="1">
      <c r="A20" t="s">
        <v>180</v>
      </c>
      <c r="B20" s="14" t="s">
        <v>144</v>
      </c>
      <c r="C20" s="14" t="s">
        <v>156</v>
      </c>
      <c r="D20" s="14">
        <v>0</v>
      </c>
      <c r="E20" s="14"/>
      <c r="F20" s="14">
        <v>1</v>
      </c>
      <c r="G20" s="14">
        <v>0</v>
      </c>
      <c r="H20" s="14">
        <v>12</v>
      </c>
      <c r="I20" s="8" t="s">
        <v>145</v>
      </c>
      <c r="J20" s="8" t="s">
        <v>38</v>
      </c>
      <c r="K20">
        <v>48.375</v>
      </c>
      <c r="L20">
        <v>39.125</v>
      </c>
      <c r="M20" s="14">
        <v>1</v>
      </c>
      <c r="N20" s="14">
        <v>1.75</v>
      </c>
      <c r="Q20" t="str">
        <f t="shared" si="5"/>
        <v xml:space="preserve">XX8X_PV_0017:    Front abuts stile:FALSE       Back abuts stile:TRUE          Panel Section: TOP           Stile in the back Width: 12           Cutout A: B-347          Cutout B:      F.C.:1 in.         C.C.:1.75 in.   </v>
      </c>
      <c r="R20" t="str">
        <f t="shared" si="3"/>
        <v>FALSE</v>
      </c>
      <c r="S20" t="str">
        <f t="shared" si="4"/>
        <v>TRUE</v>
      </c>
    </row>
    <row r="21" spans="1:19" hidden="1">
      <c r="A21" t="s">
        <v>181</v>
      </c>
      <c r="B21" s="14" t="s">
        <v>144</v>
      </c>
      <c r="C21" s="14" t="s">
        <v>156</v>
      </c>
      <c r="D21" s="14">
        <v>0</v>
      </c>
      <c r="E21" s="14"/>
      <c r="F21" s="14">
        <v>1</v>
      </c>
      <c r="G21" s="14">
        <v>0</v>
      </c>
      <c r="H21" s="14">
        <v>24</v>
      </c>
      <c r="I21" s="8" t="s">
        <v>120</v>
      </c>
      <c r="J21" s="8" t="s">
        <v>38</v>
      </c>
      <c r="K21">
        <v>43</v>
      </c>
      <c r="L21">
        <v>63.6875</v>
      </c>
      <c r="M21" s="14">
        <v>2.6875</v>
      </c>
      <c r="N21" s="14">
        <v>1</v>
      </c>
      <c r="Q21" t="str">
        <f t="shared" si="5"/>
        <v xml:space="preserve">XX8X_PV_0018:    Front abuts stile:FALSE       Back abuts stile:TRUE          Panel Section: TOP           Stile in the back Width: 24           Cutout A: B-386          Cutout B:      F.C.:2.6875 in.         C.C.:1 in.   </v>
      </c>
      <c r="R21" t="str">
        <f t="shared" si="3"/>
        <v>FALSE</v>
      </c>
      <c r="S21" t="str">
        <f t="shared" si="4"/>
        <v>TRUE</v>
      </c>
    </row>
    <row r="22" spans="1:19" hidden="1">
      <c r="A22" t="s">
        <v>182</v>
      </c>
      <c r="B22" s="14" t="s">
        <v>144</v>
      </c>
      <c r="C22" s="14" t="s">
        <v>156</v>
      </c>
      <c r="D22" s="14">
        <v>0</v>
      </c>
      <c r="E22" s="14"/>
      <c r="F22" s="14">
        <v>1</v>
      </c>
      <c r="G22" s="14">
        <v>0</v>
      </c>
      <c r="H22" s="14"/>
      <c r="I22" s="8" t="s">
        <v>38</v>
      </c>
      <c r="J22" s="8" t="s">
        <v>38</v>
      </c>
      <c r="K22">
        <v>37.5625</v>
      </c>
      <c r="L22">
        <v>62.75</v>
      </c>
      <c r="M22" s="14">
        <v>12</v>
      </c>
      <c r="N22" s="14">
        <v>2.125</v>
      </c>
      <c r="Q22" t="str">
        <f t="shared" si="5"/>
        <v xml:space="preserve">XX8X_PV_0019:    Front abuts stile:FALSE       Back abuts stile:TRUE          Panel Section: TOP           Stile in the back Width:            Cutout A:           Cutout B:      F.C.:12 in.         C.C.:2.125 in.   </v>
      </c>
      <c r="R22" t="str">
        <f t="shared" si="3"/>
        <v>FALSE</v>
      </c>
      <c r="S22" t="str">
        <f t="shared" si="4"/>
        <v>TRUE</v>
      </c>
    </row>
    <row r="23" spans="1:19">
      <c r="A23" t="s">
        <v>183</v>
      </c>
      <c r="B23" s="14" t="s">
        <v>143</v>
      </c>
      <c r="C23" s="14" t="s">
        <v>156</v>
      </c>
      <c r="D23" s="14">
        <v>0</v>
      </c>
      <c r="E23" s="14"/>
      <c r="F23" s="14">
        <v>1</v>
      </c>
      <c r="G23" s="14">
        <v>1</v>
      </c>
      <c r="H23" s="14"/>
      <c r="I23" s="8" t="s">
        <v>148</v>
      </c>
      <c r="J23" s="8" t="s">
        <v>38</v>
      </c>
      <c r="K23">
        <v>16.625</v>
      </c>
      <c r="L23">
        <v>61.6875</v>
      </c>
      <c r="M23" s="14">
        <v>1</v>
      </c>
      <c r="N23" s="14">
        <v>4.5</v>
      </c>
      <c r="Q23" t="str">
        <f t="shared" si="5"/>
        <v xml:space="preserve">XX8X_PV_0020:    Front abuts stile:FALSE       Back abuts stile:TRUE          Panel Section: TOP           Stile in the back Width:            Cutout A: B-3471          Cutout B:      F.C.:1 in.         C.C.:4.5 in.   </v>
      </c>
      <c r="R23" t="str">
        <f t="shared" si="3"/>
        <v>FALSE</v>
      </c>
      <c r="S23" t="str">
        <f t="shared" si="4"/>
        <v>TRUE</v>
      </c>
    </row>
    <row r="24" spans="1:19" hidden="1">
      <c r="A24" t="s">
        <v>184</v>
      </c>
      <c r="B24" s="14" t="s">
        <v>144</v>
      </c>
      <c r="C24" s="14" t="s">
        <v>156</v>
      </c>
      <c r="D24" s="14">
        <v>1</v>
      </c>
      <c r="E24" s="14">
        <v>0</v>
      </c>
      <c r="F24" s="14">
        <v>0</v>
      </c>
      <c r="G24" s="14"/>
      <c r="H24" s="14"/>
      <c r="I24" s="8" t="s">
        <v>35</v>
      </c>
      <c r="J24" s="8" t="s">
        <v>38</v>
      </c>
      <c r="K24">
        <v>14.8125</v>
      </c>
      <c r="L24">
        <v>52.9375</v>
      </c>
      <c r="M24" s="14">
        <v>12</v>
      </c>
      <c r="N24" s="14">
        <v>3.8125</v>
      </c>
      <c r="Q24" t="str">
        <f t="shared" si="5"/>
        <v xml:space="preserve">XX8X_PV_0021:    Front abuts stile:TRUE       Back abuts stile:FALSE          Panel Section: TOP           Stile in the back Width:            Cutout A: B-357          Cutout B:      F.C.:12 in.         C.C.:3.8125 in.   </v>
      </c>
      <c r="R24" t="str">
        <f t="shared" si="3"/>
        <v>TRUE</v>
      </c>
      <c r="S24" t="str">
        <f t="shared" si="4"/>
        <v>FALSE</v>
      </c>
    </row>
    <row r="25" spans="1:19" hidden="1">
      <c r="A25" t="s">
        <v>185</v>
      </c>
      <c r="B25" s="14" t="s">
        <v>144</v>
      </c>
      <c r="C25" s="14" t="s">
        <v>156</v>
      </c>
      <c r="D25" s="14">
        <v>1</v>
      </c>
      <c r="E25" s="14">
        <v>0</v>
      </c>
      <c r="F25" s="14">
        <v>1</v>
      </c>
      <c r="G25" s="14">
        <v>0</v>
      </c>
      <c r="H25" s="14">
        <v>12</v>
      </c>
      <c r="I25" s="8" t="s">
        <v>151</v>
      </c>
      <c r="J25" s="8" t="s">
        <v>38</v>
      </c>
      <c r="K25">
        <v>40.0625</v>
      </c>
      <c r="L25">
        <v>70.1875</v>
      </c>
      <c r="M25" s="14">
        <v>1</v>
      </c>
      <c r="N25" s="14">
        <v>1.25</v>
      </c>
      <c r="Q25" t="str">
        <f t="shared" si="5"/>
        <v xml:space="preserve">XX8X_PV_0022:    Front abuts stile:TRUE       Back abuts stile:TRUE          Panel Section: TOP           Stile in the back Width: 12           Cutout A: B-35715          Cutout B:      F.C.:1 in.         C.C.:1.25 in.   </v>
      </c>
      <c r="R25" t="str">
        <f t="shared" si="3"/>
        <v>TRUE</v>
      </c>
      <c r="S25" t="str">
        <f t="shared" si="4"/>
        <v>TRUE</v>
      </c>
    </row>
    <row r="26" spans="1:19">
      <c r="A26" t="s">
        <v>186</v>
      </c>
      <c r="B26" s="14" t="s">
        <v>143</v>
      </c>
      <c r="C26" s="14" t="s">
        <v>156</v>
      </c>
      <c r="D26" s="14">
        <v>1</v>
      </c>
      <c r="E26" s="14">
        <v>0</v>
      </c>
      <c r="F26" s="14">
        <v>1</v>
      </c>
      <c r="G26" s="14">
        <v>0</v>
      </c>
      <c r="H26" s="14">
        <v>24</v>
      </c>
      <c r="I26" s="8" t="s">
        <v>120</v>
      </c>
      <c r="J26" s="8" t="s">
        <v>38</v>
      </c>
      <c r="K26">
        <v>8.875</v>
      </c>
      <c r="L26">
        <v>44.5</v>
      </c>
      <c r="M26" s="14">
        <v>1.6875</v>
      </c>
      <c r="N26" s="14">
        <v>3.3125</v>
      </c>
      <c r="Q26" t="str">
        <f t="shared" si="5"/>
        <v xml:space="preserve">XX8X_PV_0023:    Front abuts stile:TRUE       Back abuts stile:TRUE          Panel Section: TOP           Stile in the back Width: 24           Cutout A: B-386          Cutout B:      F.C.:1.6875 in.         C.C.:3.3125 in.   </v>
      </c>
      <c r="R26" t="str">
        <f t="shared" si="3"/>
        <v>TRUE</v>
      </c>
      <c r="S26" t="str">
        <f t="shared" si="4"/>
        <v>TRUE</v>
      </c>
    </row>
    <row r="27" spans="1:19" hidden="1">
      <c r="A27" t="s">
        <v>187</v>
      </c>
      <c r="B27" s="14" t="s">
        <v>144</v>
      </c>
      <c r="C27" s="14" t="s">
        <v>156</v>
      </c>
      <c r="D27" s="14">
        <v>1</v>
      </c>
      <c r="E27" s="14">
        <v>0</v>
      </c>
      <c r="F27" s="14">
        <v>1</v>
      </c>
      <c r="G27" s="14">
        <v>0</v>
      </c>
      <c r="H27" s="14"/>
      <c r="I27" s="8" t="s">
        <v>151</v>
      </c>
      <c r="J27" s="8" t="s">
        <v>38</v>
      </c>
      <c r="K27">
        <v>22.4375</v>
      </c>
      <c r="L27">
        <v>43.0625</v>
      </c>
      <c r="M27" s="14">
        <v>9</v>
      </c>
      <c r="N27" s="14">
        <v>7.3125</v>
      </c>
      <c r="Q27" t="str">
        <f t="shared" si="5"/>
        <v xml:space="preserve">XX8X_PV_0024:    Front abuts stile:TRUE       Back abuts stile:TRUE          Panel Section: TOP           Stile in the back Width:            Cutout A: B-35715          Cutout B:      F.C.:9 in.         C.C.:7.3125 in.   </v>
      </c>
      <c r="R27" t="str">
        <f t="shared" si="3"/>
        <v>TRUE</v>
      </c>
      <c r="S27" t="str">
        <f t="shared" si="4"/>
        <v>TRUE</v>
      </c>
    </row>
    <row r="28" spans="1:19" hidden="1">
      <c r="A28" t="s">
        <v>188</v>
      </c>
      <c r="B28" s="14" t="s">
        <v>144</v>
      </c>
      <c r="C28" s="14" t="s">
        <v>156</v>
      </c>
      <c r="D28" s="14">
        <v>1</v>
      </c>
      <c r="E28" s="14">
        <v>0</v>
      </c>
      <c r="F28" s="14">
        <v>1</v>
      </c>
      <c r="G28" s="14">
        <v>1</v>
      </c>
      <c r="H28" s="14"/>
      <c r="I28" s="8" t="s">
        <v>145</v>
      </c>
      <c r="J28" s="8" t="s">
        <v>38</v>
      </c>
      <c r="K28">
        <v>24.375</v>
      </c>
      <c r="L28">
        <v>55.1875</v>
      </c>
      <c r="M28" s="14">
        <v>1</v>
      </c>
      <c r="N28" s="14">
        <v>2.4375</v>
      </c>
      <c r="Q28" t="str">
        <f t="shared" si="5"/>
        <v xml:space="preserve">XX8X_PV_0025:    Front abuts stile:TRUE       Back abuts stile:TRUE          Panel Section: TOP           Stile in the back Width:            Cutout A: B-347          Cutout B:      F.C.:1 in.         C.C.:2.4375 in.   </v>
      </c>
      <c r="R28" t="str">
        <f t="shared" si="3"/>
        <v>TRUE</v>
      </c>
      <c r="S28" t="str">
        <f t="shared" si="4"/>
        <v>TRUE</v>
      </c>
    </row>
    <row r="29" spans="1:19" hidden="1">
      <c r="A29" t="s">
        <v>189</v>
      </c>
      <c r="B29" s="14" t="s">
        <v>144</v>
      </c>
      <c r="C29" s="14" t="s">
        <v>156</v>
      </c>
      <c r="D29" s="14">
        <v>1</v>
      </c>
      <c r="E29" s="14">
        <v>1</v>
      </c>
      <c r="F29" s="14">
        <v>0</v>
      </c>
      <c r="G29" s="14"/>
      <c r="H29" s="14"/>
      <c r="I29" s="8" t="s">
        <v>35</v>
      </c>
      <c r="J29" s="8" t="s">
        <v>38</v>
      </c>
      <c r="K29">
        <v>35</v>
      </c>
      <c r="L29">
        <v>28.1875</v>
      </c>
      <c r="M29" s="14">
        <v>4.5</v>
      </c>
      <c r="N29" s="14">
        <v>1</v>
      </c>
      <c r="Q29" t="str">
        <f t="shared" si="5"/>
        <v xml:space="preserve">XX8X_PV_0026:    Front abuts stile:TRUE       Back abuts stile:FALSE          Panel Section: TOP           Stile in the back Width:            Cutout A: B-357          Cutout B:      F.C.:4.5 in.         C.C.:1 in.   </v>
      </c>
      <c r="R29" t="str">
        <f t="shared" si="3"/>
        <v>TRUE</v>
      </c>
      <c r="S29" t="str">
        <f t="shared" si="4"/>
        <v>FALSE</v>
      </c>
    </row>
    <row r="30" spans="1:19" hidden="1">
      <c r="A30" t="s">
        <v>190</v>
      </c>
      <c r="B30" s="14" t="s">
        <v>144</v>
      </c>
      <c r="C30" s="14" t="s">
        <v>156</v>
      </c>
      <c r="D30" s="14">
        <v>1</v>
      </c>
      <c r="E30" s="14">
        <v>1</v>
      </c>
      <c r="F30" s="14">
        <v>1</v>
      </c>
      <c r="G30" s="14">
        <v>0</v>
      </c>
      <c r="H30" s="14">
        <v>12</v>
      </c>
      <c r="I30" s="8" t="s">
        <v>145</v>
      </c>
      <c r="J30" s="8" t="s">
        <v>38</v>
      </c>
      <c r="K30">
        <v>43.75</v>
      </c>
      <c r="L30">
        <v>60</v>
      </c>
      <c r="M30" s="14">
        <v>4.5</v>
      </c>
      <c r="N30" s="14">
        <v>1.875</v>
      </c>
      <c r="Q30" t="str">
        <f t="shared" si="5"/>
        <v xml:space="preserve">XX8X_PV_0027:    Front abuts stile:TRUE       Back abuts stile:TRUE          Panel Section: TOP           Stile in the back Width: 12           Cutout A: B-347          Cutout B:      F.C.:4.5 in.         C.C.:1.875 in.   </v>
      </c>
      <c r="R30" t="str">
        <f t="shared" si="3"/>
        <v>TRUE</v>
      </c>
      <c r="S30" t="str">
        <f t="shared" si="4"/>
        <v>TRUE</v>
      </c>
    </row>
    <row r="31" spans="1:19" hidden="1">
      <c r="A31" t="s">
        <v>191</v>
      </c>
      <c r="B31" s="14" t="s">
        <v>144</v>
      </c>
      <c r="C31" s="14" t="s">
        <v>156</v>
      </c>
      <c r="D31" s="14">
        <v>1</v>
      </c>
      <c r="E31" s="14">
        <v>1</v>
      </c>
      <c r="F31" s="14">
        <v>1</v>
      </c>
      <c r="G31" s="14">
        <v>0</v>
      </c>
      <c r="H31" s="14">
        <v>24</v>
      </c>
      <c r="I31" s="8" t="s">
        <v>120</v>
      </c>
      <c r="J31" s="8" t="s">
        <v>38</v>
      </c>
      <c r="K31">
        <v>8.5</v>
      </c>
      <c r="L31">
        <v>48.875</v>
      </c>
      <c r="M31" s="14">
        <v>1</v>
      </c>
      <c r="N31" s="14">
        <v>1</v>
      </c>
      <c r="Q31" t="str">
        <f t="shared" si="5"/>
        <v xml:space="preserve">XX8X_PV_0028:    Front abuts stile:TRUE       Back abuts stile:TRUE          Panel Section: TOP           Stile in the back Width: 24           Cutout A: B-386          Cutout B:      F.C.:1 in.         C.C.:1 in.   </v>
      </c>
      <c r="R31" t="str">
        <f t="shared" si="3"/>
        <v>TRUE</v>
      </c>
      <c r="S31" t="str">
        <f t="shared" si="4"/>
        <v>TRUE</v>
      </c>
    </row>
    <row r="32" spans="1:19" hidden="1">
      <c r="A32" t="s">
        <v>192</v>
      </c>
      <c r="B32" s="14" t="s">
        <v>144</v>
      </c>
      <c r="C32" s="14" t="s">
        <v>156</v>
      </c>
      <c r="D32" s="14">
        <v>1</v>
      </c>
      <c r="E32" s="14">
        <v>1</v>
      </c>
      <c r="F32" s="14">
        <v>1</v>
      </c>
      <c r="G32" s="14">
        <v>0</v>
      </c>
      <c r="H32" s="14"/>
      <c r="I32" s="8" t="s">
        <v>38</v>
      </c>
      <c r="J32" s="8" t="s">
        <v>38</v>
      </c>
      <c r="K32">
        <v>42.5625</v>
      </c>
      <c r="L32">
        <v>21</v>
      </c>
      <c r="M32" s="14">
        <v>1</v>
      </c>
      <c r="N32" s="14">
        <v>6.8125</v>
      </c>
      <c r="Q32" t="str">
        <f t="shared" si="5"/>
        <v xml:space="preserve">XX8X_PV_0029:    Front abuts stile:TRUE       Back abuts stile:TRUE          Panel Section: TOP           Stile in the back Width:            Cutout A:           Cutout B:      F.C.:1 in.         C.C.:6.8125 in.   </v>
      </c>
      <c r="R32" t="str">
        <f t="shared" si="3"/>
        <v>TRUE</v>
      </c>
      <c r="S32" t="str">
        <f t="shared" si="4"/>
        <v>TRUE</v>
      </c>
    </row>
    <row r="33" spans="1:19" hidden="1">
      <c r="A33" t="s">
        <v>193</v>
      </c>
      <c r="B33" s="14" t="s">
        <v>144</v>
      </c>
      <c r="C33" s="14" t="s">
        <v>156</v>
      </c>
      <c r="D33" s="14">
        <v>1</v>
      </c>
      <c r="E33" s="14">
        <v>1</v>
      </c>
      <c r="F33" s="14">
        <v>1</v>
      </c>
      <c r="G33" s="14">
        <v>1</v>
      </c>
      <c r="H33" s="14"/>
      <c r="I33" s="8" t="s">
        <v>38</v>
      </c>
      <c r="J33" s="8" t="s">
        <v>38</v>
      </c>
      <c r="K33">
        <v>8.6875</v>
      </c>
      <c r="L33">
        <v>6.5625</v>
      </c>
      <c r="M33" s="14">
        <v>12</v>
      </c>
      <c r="N33" s="14">
        <v>2.5</v>
      </c>
      <c r="Q33" t="str">
        <f t="shared" si="5"/>
        <v xml:space="preserve">XX8X_PV_0030:    Front abuts stile:TRUE       Back abuts stile:TRUE          Panel Section: TOP           Stile in the back Width:            Cutout A:           Cutout B:      F.C.:12 in.         C.C.:2.5 in.   </v>
      </c>
      <c r="R33" t="str">
        <f t="shared" si="3"/>
        <v>TRUE</v>
      </c>
      <c r="S33" t="str">
        <f t="shared" si="4"/>
        <v>TRUE</v>
      </c>
    </row>
    <row r="34" spans="1:19" hidden="1">
      <c r="A34" t="s">
        <v>194</v>
      </c>
      <c r="B34" s="14" t="s">
        <v>144</v>
      </c>
      <c r="C34" s="14" t="s">
        <v>157</v>
      </c>
      <c r="D34" s="14">
        <v>0</v>
      </c>
      <c r="E34" s="14"/>
      <c r="F34" s="14">
        <v>0</v>
      </c>
      <c r="G34" s="14"/>
      <c r="H34" s="14"/>
      <c r="I34" s="8" t="s">
        <v>38</v>
      </c>
      <c r="J34" s="8" t="s">
        <v>38</v>
      </c>
      <c r="K34">
        <v>60</v>
      </c>
      <c r="L34">
        <v>28.6875</v>
      </c>
      <c r="M34" s="14">
        <v>9</v>
      </c>
      <c r="N34" s="14">
        <v>7.9375</v>
      </c>
      <c r="Q34" t="str">
        <f t="shared" si="5"/>
        <v xml:space="preserve">XX8X_PV_0031:    Front abuts stile:FALSE       Back abuts stile:FALSE          Panel Section: BOTTOM           Stile in the back Width:            Cutout A:           Cutout B:      F.C.:9 in.         C.C.:7.9375 in.   </v>
      </c>
      <c r="R34" t="str">
        <f t="shared" si="3"/>
        <v>FALSE</v>
      </c>
      <c r="S34" t="str">
        <f t="shared" si="4"/>
        <v>FALSE</v>
      </c>
    </row>
    <row r="35" spans="1:19" hidden="1">
      <c r="A35" t="s">
        <v>195</v>
      </c>
      <c r="B35" s="14" t="s">
        <v>144</v>
      </c>
      <c r="C35" s="14" t="s">
        <v>157</v>
      </c>
      <c r="D35" s="14">
        <v>0</v>
      </c>
      <c r="E35" s="14"/>
      <c r="F35" s="14">
        <v>1</v>
      </c>
      <c r="G35" s="14">
        <v>0</v>
      </c>
      <c r="H35" s="14">
        <v>12</v>
      </c>
      <c r="I35" s="8" t="s">
        <v>151</v>
      </c>
      <c r="J35" s="8" t="s">
        <v>38</v>
      </c>
      <c r="K35">
        <v>60</v>
      </c>
      <c r="L35">
        <v>70.5</v>
      </c>
      <c r="M35" s="14">
        <v>4.5</v>
      </c>
      <c r="N35" s="14">
        <v>1</v>
      </c>
      <c r="Q35" t="str">
        <f t="shared" si="5"/>
        <v xml:space="preserve">XX8X_PV_0032:    Front abuts stile:FALSE       Back abuts stile:TRUE          Panel Section: BOTTOM           Stile in the back Width: 12           Cutout A: B-35715          Cutout B:      F.C.:4.5 in.         C.C.:1 in.   </v>
      </c>
      <c r="R35" t="str">
        <f t="shared" si="3"/>
        <v>FALSE</v>
      </c>
      <c r="S35" t="str">
        <f t="shared" si="4"/>
        <v>TRUE</v>
      </c>
    </row>
    <row r="36" spans="1:19" hidden="1">
      <c r="A36" t="s">
        <v>196</v>
      </c>
      <c r="B36" s="14" t="s">
        <v>144</v>
      </c>
      <c r="C36" s="14" t="s">
        <v>157</v>
      </c>
      <c r="D36" s="14">
        <v>0</v>
      </c>
      <c r="E36" s="14"/>
      <c r="F36" s="14">
        <v>1</v>
      </c>
      <c r="G36" s="14">
        <v>0</v>
      </c>
      <c r="H36" s="14">
        <v>24</v>
      </c>
      <c r="I36" s="8" t="s">
        <v>38</v>
      </c>
      <c r="J36" s="8" t="s">
        <v>38</v>
      </c>
      <c r="K36">
        <v>60</v>
      </c>
      <c r="L36">
        <v>33.6875</v>
      </c>
      <c r="M36" s="14">
        <v>8.8125</v>
      </c>
      <c r="N36" s="14">
        <v>1</v>
      </c>
      <c r="Q36" t="str">
        <f t="shared" si="5"/>
        <v xml:space="preserve">XX8X_PV_0033:    Front abuts stile:FALSE       Back abuts stile:TRUE          Panel Section: BOTTOM           Stile in the back Width: 24           Cutout A:           Cutout B:      F.C.:8.8125 in.         C.C.:1 in.   </v>
      </c>
      <c r="R36" t="str">
        <f t="shared" si="3"/>
        <v>FALSE</v>
      </c>
      <c r="S36" t="str">
        <f t="shared" si="4"/>
        <v>TRUE</v>
      </c>
    </row>
    <row r="37" spans="1:19" hidden="1">
      <c r="A37" t="s">
        <v>197</v>
      </c>
      <c r="B37" s="14" t="s">
        <v>144</v>
      </c>
      <c r="C37" s="14" t="s">
        <v>157</v>
      </c>
      <c r="D37" s="14">
        <v>0</v>
      </c>
      <c r="E37" s="14"/>
      <c r="F37" s="14">
        <v>1</v>
      </c>
      <c r="G37" s="14">
        <v>0</v>
      </c>
      <c r="H37" s="14"/>
      <c r="I37" s="8" t="s">
        <v>35</v>
      </c>
      <c r="J37" s="8" t="s">
        <v>38</v>
      </c>
      <c r="K37">
        <v>60</v>
      </c>
      <c r="L37">
        <v>72.5625</v>
      </c>
      <c r="M37" s="14">
        <v>5.5</v>
      </c>
      <c r="N37" s="14">
        <v>7.8125</v>
      </c>
      <c r="Q37" t="str">
        <f t="shared" si="5"/>
        <v xml:space="preserve">XX8X_PV_0034:    Front abuts stile:FALSE       Back abuts stile:TRUE          Panel Section: BOTTOM           Stile in the back Width:            Cutout A: B-357          Cutout B:      F.C.:5.5 in.         C.C.:7.8125 in.   </v>
      </c>
      <c r="R37" t="str">
        <f t="shared" si="3"/>
        <v>FALSE</v>
      </c>
      <c r="S37" t="str">
        <f t="shared" si="4"/>
        <v>TRUE</v>
      </c>
    </row>
    <row r="38" spans="1:19" hidden="1">
      <c r="A38" t="s">
        <v>198</v>
      </c>
      <c r="B38" s="14" t="s">
        <v>144</v>
      </c>
      <c r="C38" s="14" t="s">
        <v>157</v>
      </c>
      <c r="D38" s="14">
        <v>0</v>
      </c>
      <c r="E38" s="14"/>
      <c r="F38" s="14">
        <v>1</v>
      </c>
      <c r="G38" s="14">
        <v>1</v>
      </c>
      <c r="H38" s="14"/>
      <c r="I38" s="8" t="s">
        <v>120</v>
      </c>
      <c r="J38" s="8" t="s">
        <v>38</v>
      </c>
      <c r="K38">
        <v>60</v>
      </c>
      <c r="L38">
        <v>79</v>
      </c>
      <c r="M38" s="14">
        <v>7.125</v>
      </c>
      <c r="N38" s="14">
        <v>4.125</v>
      </c>
      <c r="Q38" t="str">
        <f t="shared" si="5"/>
        <v xml:space="preserve">XX8X_PV_0035:    Front abuts stile:FALSE       Back abuts stile:TRUE          Panel Section: BOTTOM           Stile in the back Width:            Cutout A: B-386          Cutout B:      F.C.:7.125 in.         C.C.:4.125 in.   </v>
      </c>
      <c r="R38" t="str">
        <f t="shared" si="3"/>
        <v>FALSE</v>
      </c>
      <c r="S38" t="str">
        <f t="shared" si="4"/>
        <v>TRUE</v>
      </c>
    </row>
    <row r="39" spans="1:19" hidden="1">
      <c r="A39" t="s">
        <v>199</v>
      </c>
      <c r="B39" s="14" t="s">
        <v>144</v>
      </c>
      <c r="C39" s="14" t="s">
        <v>157</v>
      </c>
      <c r="D39" s="14">
        <v>1</v>
      </c>
      <c r="E39" s="14">
        <v>0</v>
      </c>
      <c r="F39" s="14">
        <v>0</v>
      </c>
      <c r="G39" s="14"/>
      <c r="H39" s="14"/>
      <c r="I39" s="8" t="s">
        <v>119</v>
      </c>
      <c r="J39" s="8" t="s">
        <v>120</v>
      </c>
      <c r="K39">
        <v>60</v>
      </c>
      <c r="L39">
        <v>26.5</v>
      </c>
      <c r="M39" s="14">
        <v>12</v>
      </c>
      <c r="N39" s="14">
        <v>2.375</v>
      </c>
      <c r="Q39" t="str">
        <f t="shared" si="5"/>
        <v xml:space="preserve">XX8X_PV_0036:    Front abuts stile:TRUE       Back abuts stile:FALSE          Panel Section: BOTTOM           Stile in the back Width:            Cutout A: B-354          Cutout B:B-386      F.C.:12 in.         C.C.:2.375 in.   </v>
      </c>
      <c r="R39" t="str">
        <f t="shared" si="3"/>
        <v>TRUE</v>
      </c>
      <c r="S39" t="str">
        <f t="shared" si="4"/>
        <v>FALSE</v>
      </c>
    </row>
    <row r="40" spans="1:19" hidden="1">
      <c r="A40" t="s">
        <v>200</v>
      </c>
      <c r="B40" s="14" t="s">
        <v>144</v>
      </c>
      <c r="C40" s="14" t="s">
        <v>157</v>
      </c>
      <c r="D40" s="14">
        <v>1</v>
      </c>
      <c r="E40" s="14">
        <v>0</v>
      </c>
      <c r="F40" s="14">
        <v>1</v>
      </c>
      <c r="G40" s="14">
        <v>0</v>
      </c>
      <c r="H40" s="14">
        <v>12</v>
      </c>
      <c r="I40" s="8" t="s">
        <v>145</v>
      </c>
      <c r="J40" s="8" t="s">
        <v>38</v>
      </c>
      <c r="K40">
        <v>60</v>
      </c>
      <c r="L40">
        <v>55.4375</v>
      </c>
      <c r="M40" s="14">
        <v>4.5</v>
      </c>
      <c r="N40" s="14">
        <v>1.125</v>
      </c>
      <c r="Q40" t="str">
        <f t="shared" si="5"/>
        <v xml:space="preserve">XX8X_PV_0037:    Front abuts stile:TRUE       Back abuts stile:TRUE          Panel Section: BOTTOM           Stile in the back Width: 12           Cutout A: B-347          Cutout B:      F.C.:4.5 in.         C.C.:1.125 in.   </v>
      </c>
      <c r="R40" t="str">
        <f t="shared" si="3"/>
        <v>TRUE</v>
      </c>
      <c r="S40" t="str">
        <f t="shared" si="4"/>
        <v>TRUE</v>
      </c>
    </row>
    <row r="41" spans="1:19" hidden="1">
      <c r="A41" t="s">
        <v>201</v>
      </c>
      <c r="B41" s="14" t="s">
        <v>144</v>
      </c>
      <c r="C41" s="14" t="s">
        <v>157</v>
      </c>
      <c r="D41" s="14">
        <v>1</v>
      </c>
      <c r="E41" s="14">
        <v>0</v>
      </c>
      <c r="F41" s="14">
        <v>1</v>
      </c>
      <c r="G41" s="14">
        <v>0</v>
      </c>
      <c r="H41" s="14">
        <v>24</v>
      </c>
      <c r="I41" s="8" t="s">
        <v>120</v>
      </c>
      <c r="J41" s="8" t="s">
        <v>38</v>
      </c>
      <c r="K41">
        <v>60</v>
      </c>
      <c r="L41">
        <v>79.875</v>
      </c>
      <c r="M41" s="14">
        <v>1</v>
      </c>
      <c r="N41" s="14">
        <v>4.125</v>
      </c>
      <c r="Q41" t="str">
        <f t="shared" si="5"/>
        <v xml:space="preserve">XX8X_PV_0038:    Front abuts stile:TRUE       Back abuts stile:TRUE          Panel Section: BOTTOM           Stile in the back Width: 24           Cutout A: B-386          Cutout B:      F.C.:1 in.         C.C.:4.125 in.   </v>
      </c>
      <c r="R41" t="str">
        <f t="shared" si="3"/>
        <v>TRUE</v>
      </c>
      <c r="S41" t="str">
        <f t="shared" si="4"/>
        <v>TRUE</v>
      </c>
    </row>
    <row r="42" spans="1:19">
      <c r="A42" t="s">
        <v>202</v>
      </c>
      <c r="B42" s="14" t="s">
        <v>143</v>
      </c>
      <c r="C42" s="14" t="s">
        <v>157</v>
      </c>
      <c r="D42" s="14">
        <v>1</v>
      </c>
      <c r="E42" s="14">
        <v>0</v>
      </c>
      <c r="F42" s="14">
        <v>1</v>
      </c>
      <c r="G42" s="14">
        <v>0</v>
      </c>
      <c r="H42" s="14"/>
      <c r="I42" s="8" t="s">
        <v>120</v>
      </c>
      <c r="J42" s="8" t="s">
        <v>38</v>
      </c>
      <c r="K42">
        <v>60</v>
      </c>
      <c r="L42">
        <v>63.6875</v>
      </c>
      <c r="M42" s="14">
        <v>1</v>
      </c>
      <c r="N42" s="14">
        <v>6.625</v>
      </c>
      <c r="Q42" t="str">
        <f t="shared" si="5"/>
        <v xml:space="preserve">XX8X_PV_0039:    Front abuts stile:TRUE       Back abuts stile:TRUE          Panel Section: BOTTOM           Stile in the back Width:            Cutout A: B-386          Cutout B:      F.C.:1 in.         C.C.:6.625 in.   </v>
      </c>
      <c r="R42" t="str">
        <f t="shared" si="3"/>
        <v>TRUE</v>
      </c>
      <c r="S42" t="str">
        <f t="shared" si="4"/>
        <v>TRUE</v>
      </c>
    </row>
    <row r="43" spans="1:19" hidden="1">
      <c r="A43" t="s">
        <v>203</v>
      </c>
      <c r="B43" s="14" t="s">
        <v>144</v>
      </c>
      <c r="C43" s="14" t="s">
        <v>157</v>
      </c>
      <c r="D43" s="14">
        <v>1</v>
      </c>
      <c r="E43" s="14">
        <v>0</v>
      </c>
      <c r="F43" s="14">
        <v>1</v>
      </c>
      <c r="G43" s="14">
        <v>1</v>
      </c>
      <c r="H43" s="14"/>
      <c r="I43" s="8" t="s">
        <v>120</v>
      </c>
      <c r="J43" s="8" t="s">
        <v>38</v>
      </c>
      <c r="K43">
        <v>60</v>
      </c>
      <c r="L43">
        <v>26.5625</v>
      </c>
      <c r="M43" s="14">
        <v>9</v>
      </c>
      <c r="N43" s="14">
        <v>1</v>
      </c>
      <c r="Q43" t="str">
        <f t="shared" si="5"/>
        <v xml:space="preserve">XX8X_PV_0040:    Front abuts stile:TRUE       Back abuts stile:TRUE          Panel Section: BOTTOM           Stile in the back Width:            Cutout A: B-386          Cutout B:      F.C.:9 in.         C.C.:1 in.   </v>
      </c>
      <c r="R43" t="str">
        <f t="shared" si="3"/>
        <v>TRUE</v>
      </c>
      <c r="S43" t="str">
        <f t="shared" si="4"/>
        <v>TRUE</v>
      </c>
    </row>
    <row r="44" spans="1:19" hidden="1">
      <c r="A44" t="s">
        <v>204</v>
      </c>
      <c r="B44" s="14" t="s">
        <v>144</v>
      </c>
      <c r="C44" s="14" t="s">
        <v>157</v>
      </c>
      <c r="D44" s="14">
        <v>1</v>
      </c>
      <c r="E44" s="14">
        <v>1</v>
      </c>
      <c r="F44" s="14">
        <v>0</v>
      </c>
      <c r="G44" s="14"/>
      <c r="H44" s="14"/>
      <c r="I44" s="8" t="s">
        <v>150</v>
      </c>
      <c r="J44" s="8" t="s">
        <v>38</v>
      </c>
      <c r="K44">
        <v>60</v>
      </c>
      <c r="L44">
        <v>45.75</v>
      </c>
      <c r="M44" s="14">
        <v>12</v>
      </c>
      <c r="N44" s="14">
        <v>1.25</v>
      </c>
      <c r="Q44" t="str">
        <f t="shared" si="5"/>
        <v xml:space="preserve">XX8X_PV_0041:    Front abuts stile:TRUE       Back abuts stile:FALSE          Panel Section: BOTTOM           Stile in the back Width:            Cutout A: B-3571          Cutout B:      F.C.:12 in.         C.C.:1.25 in.   </v>
      </c>
      <c r="R44" t="str">
        <f t="shared" si="3"/>
        <v>TRUE</v>
      </c>
      <c r="S44" t="str">
        <f t="shared" si="4"/>
        <v>FALSE</v>
      </c>
    </row>
    <row r="45" spans="1:19" hidden="1">
      <c r="A45" t="s">
        <v>205</v>
      </c>
      <c r="B45" s="14" t="s">
        <v>144</v>
      </c>
      <c r="C45" s="14" t="s">
        <v>157</v>
      </c>
      <c r="D45" s="14">
        <v>1</v>
      </c>
      <c r="E45" s="14">
        <v>1</v>
      </c>
      <c r="F45" s="14">
        <v>1</v>
      </c>
      <c r="G45" s="14">
        <v>0</v>
      </c>
      <c r="H45" s="14">
        <v>12</v>
      </c>
      <c r="I45" s="8" t="s">
        <v>149</v>
      </c>
      <c r="J45" s="8" t="s">
        <v>38</v>
      </c>
      <c r="K45">
        <v>60</v>
      </c>
      <c r="L45">
        <v>6.75</v>
      </c>
      <c r="M45" s="14">
        <v>2.5</v>
      </c>
      <c r="N45" s="14">
        <v>3.375</v>
      </c>
      <c r="Q45" t="str">
        <f t="shared" si="5"/>
        <v xml:space="preserve">XX8X_PV_0042:    Front abuts stile:TRUE       Back abuts stile:TRUE          Panel Section: BOTTOM           Stile in the back Width: 12           Cutout A: B-34715          Cutout B:      F.C.:2.5 in.         C.C.:3.375 in.   </v>
      </c>
      <c r="R45" t="str">
        <f t="shared" si="3"/>
        <v>TRUE</v>
      </c>
      <c r="S45" t="str">
        <f t="shared" si="4"/>
        <v>TRUE</v>
      </c>
    </row>
    <row r="46" spans="1:19">
      <c r="A46" t="s">
        <v>206</v>
      </c>
      <c r="B46" s="14" t="s">
        <v>143</v>
      </c>
      <c r="C46" s="14" t="s">
        <v>157</v>
      </c>
      <c r="D46" s="14">
        <v>1</v>
      </c>
      <c r="E46" s="14">
        <v>1</v>
      </c>
      <c r="F46" s="14">
        <v>1</v>
      </c>
      <c r="G46" s="14">
        <v>0</v>
      </c>
      <c r="H46" s="14">
        <v>24</v>
      </c>
      <c r="I46" s="8" t="s">
        <v>120</v>
      </c>
      <c r="J46" s="8" t="s">
        <v>38</v>
      </c>
      <c r="K46">
        <v>60</v>
      </c>
      <c r="L46">
        <v>32.875</v>
      </c>
      <c r="M46" s="14">
        <v>12</v>
      </c>
      <c r="N46" s="14">
        <v>2.8125</v>
      </c>
      <c r="Q46" t="str">
        <f t="shared" si="5"/>
        <v xml:space="preserve">XX8X_PV_0043:    Front abuts stile:TRUE       Back abuts stile:TRUE          Panel Section: BOTTOM           Stile in the back Width: 24           Cutout A: B-386          Cutout B:      F.C.:12 in.         C.C.:2.8125 in.   </v>
      </c>
      <c r="R46" t="str">
        <f t="shared" si="3"/>
        <v>TRUE</v>
      </c>
      <c r="S46" t="str">
        <f t="shared" si="4"/>
        <v>TRUE</v>
      </c>
    </row>
    <row r="47" spans="1:19" hidden="1">
      <c r="A47" t="s">
        <v>207</v>
      </c>
      <c r="B47" s="14" t="s">
        <v>144</v>
      </c>
      <c r="C47" s="14" t="s">
        <v>157</v>
      </c>
      <c r="D47" s="14">
        <v>1</v>
      </c>
      <c r="E47" s="14">
        <v>1</v>
      </c>
      <c r="F47" s="14">
        <v>1</v>
      </c>
      <c r="G47" s="14">
        <v>0</v>
      </c>
      <c r="H47" s="14"/>
      <c r="I47" s="8" t="s">
        <v>151</v>
      </c>
      <c r="J47" s="8" t="s">
        <v>38</v>
      </c>
      <c r="K47">
        <v>60</v>
      </c>
      <c r="L47">
        <v>12.125</v>
      </c>
      <c r="M47" s="14">
        <v>4.5</v>
      </c>
      <c r="N47" s="14">
        <v>4.6875</v>
      </c>
      <c r="Q47" t="str">
        <f t="shared" si="5"/>
        <v xml:space="preserve">XX8X_PV_0044:    Front abuts stile:TRUE       Back abuts stile:TRUE          Panel Section: BOTTOM           Stile in the back Width:            Cutout A: B-35715          Cutout B:      F.C.:4.5 in.         C.C.:4.6875 in.   </v>
      </c>
      <c r="R47" t="str">
        <f t="shared" si="3"/>
        <v>TRUE</v>
      </c>
      <c r="S47" t="str">
        <f t="shared" si="4"/>
        <v>TRUE</v>
      </c>
    </row>
    <row r="48" spans="1:19" hidden="1">
      <c r="A48" t="s">
        <v>208</v>
      </c>
      <c r="B48" s="14" t="s">
        <v>144</v>
      </c>
      <c r="C48" s="14" t="s">
        <v>157</v>
      </c>
      <c r="D48" s="14">
        <v>1</v>
      </c>
      <c r="E48" s="14">
        <v>1</v>
      </c>
      <c r="F48" s="14">
        <v>1</v>
      </c>
      <c r="G48" s="14">
        <v>1</v>
      </c>
      <c r="H48" s="14"/>
      <c r="I48" s="8" t="s">
        <v>150</v>
      </c>
      <c r="J48" s="8" t="s">
        <v>38</v>
      </c>
      <c r="K48">
        <v>60</v>
      </c>
      <c r="L48">
        <v>62.6875</v>
      </c>
      <c r="M48" s="14">
        <v>1</v>
      </c>
      <c r="N48" s="14">
        <v>5.5625</v>
      </c>
      <c r="Q48" t="str">
        <f t="shared" si="5"/>
        <v xml:space="preserve">XX8X_PV_0045:    Front abuts stile:TRUE       Back abuts stile:TRUE          Panel Section: BOTTOM           Stile in the back Width:            Cutout A: B-3571          Cutout B:      F.C.:1 in.         C.C.:5.5625 in.   </v>
      </c>
      <c r="R48" t="str">
        <f t="shared" si="3"/>
        <v>TRUE</v>
      </c>
      <c r="S48" t="str">
        <f t="shared" si="4"/>
        <v>TRUE</v>
      </c>
    </row>
    <row r="49" spans="1:19">
      <c r="A49" t="s">
        <v>209</v>
      </c>
      <c r="B49" s="14" t="s">
        <v>143</v>
      </c>
      <c r="C49" s="14" t="s">
        <v>157</v>
      </c>
      <c r="D49" s="14">
        <v>0</v>
      </c>
      <c r="E49" s="14"/>
      <c r="F49" s="14">
        <v>0</v>
      </c>
      <c r="G49" s="14"/>
      <c r="H49" s="14"/>
      <c r="I49" s="8" t="s">
        <v>120</v>
      </c>
      <c r="J49" s="8" t="s">
        <v>119</v>
      </c>
      <c r="K49">
        <v>60</v>
      </c>
      <c r="L49">
        <v>44.3125</v>
      </c>
      <c r="M49" s="14">
        <v>12</v>
      </c>
      <c r="N49" s="14">
        <v>3.8125</v>
      </c>
      <c r="Q49" t="str">
        <f t="shared" si="5"/>
        <v xml:space="preserve">XX8X_PV_0046:    Front abuts stile:FALSE       Back abuts stile:FALSE          Panel Section: BOTTOM           Stile in the back Width:            Cutout A: B-386          Cutout B:B-354      F.C.:12 in.         C.C.:3.8125 in.   </v>
      </c>
      <c r="R49" t="str">
        <f t="shared" si="3"/>
        <v>FALSE</v>
      </c>
      <c r="S49" t="str">
        <f t="shared" si="4"/>
        <v>FALSE</v>
      </c>
    </row>
    <row r="50" spans="1:19" hidden="1">
      <c r="A50" t="s">
        <v>210</v>
      </c>
      <c r="B50" s="14" t="s">
        <v>144</v>
      </c>
      <c r="C50" s="14" t="s">
        <v>157</v>
      </c>
      <c r="D50" s="14">
        <v>0</v>
      </c>
      <c r="E50" s="14"/>
      <c r="F50" s="14">
        <v>1</v>
      </c>
      <c r="G50" s="14">
        <v>0</v>
      </c>
      <c r="H50" s="14">
        <v>12</v>
      </c>
      <c r="I50" s="8" t="s">
        <v>38</v>
      </c>
      <c r="J50" s="8" t="s">
        <v>38</v>
      </c>
      <c r="K50">
        <v>60</v>
      </c>
      <c r="L50">
        <v>42.125</v>
      </c>
      <c r="M50" s="14">
        <v>9.9375</v>
      </c>
      <c r="N50" s="14">
        <v>3.125</v>
      </c>
      <c r="Q50" t="str">
        <f t="shared" si="5"/>
        <v xml:space="preserve">XX8X_PV_0047:    Front abuts stile:FALSE       Back abuts stile:TRUE          Panel Section: BOTTOM           Stile in the back Width: 12           Cutout A:           Cutout B:      F.C.:9.9375 in.         C.C.:3.125 in.   </v>
      </c>
      <c r="R50" t="str">
        <f t="shared" si="3"/>
        <v>FALSE</v>
      </c>
      <c r="S50" t="str">
        <f t="shared" si="4"/>
        <v>TRUE</v>
      </c>
    </row>
    <row r="51" spans="1:19" hidden="1">
      <c r="A51" t="s">
        <v>211</v>
      </c>
      <c r="B51" s="14" t="s">
        <v>144</v>
      </c>
      <c r="C51" s="14" t="s">
        <v>157</v>
      </c>
      <c r="D51" s="14">
        <v>0</v>
      </c>
      <c r="E51" s="14"/>
      <c r="F51" s="14">
        <v>1</v>
      </c>
      <c r="G51" s="14">
        <v>0</v>
      </c>
      <c r="H51" s="14">
        <v>24</v>
      </c>
      <c r="I51" s="8" t="s">
        <v>38</v>
      </c>
      <c r="J51" s="8" t="s">
        <v>38</v>
      </c>
      <c r="K51">
        <v>60</v>
      </c>
      <c r="L51">
        <v>60.8125</v>
      </c>
      <c r="M51" s="14">
        <v>5.875</v>
      </c>
      <c r="N51" s="14">
        <v>2.625</v>
      </c>
      <c r="Q51" t="str">
        <f t="shared" si="5"/>
        <v xml:space="preserve">XX8X_PV_0048:    Front abuts stile:FALSE       Back abuts stile:TRUE          Panel Section: BOTTOM           Stile in the back Width: 24           Cutout A:           Cutout B:      F.C.:5.875 in.         C.C.:2.625 in.   </v>
      </c>
      <c r="R51" t="str">
        <f t="shared" si="3"/>
        <v>FALSE</v>
      </c>
      <c r="S51" t="str">
        <f t="shared" si="4"/>
        <v>TRUE</v>
      </c>
    </row>
    <row r="52" spans="1:19" hidden="1">
      <c r="A52" t="s">
        <v>212</v>
      </c>
      <c r="B52" s="14" t="s">
        <v>144</v>
      </c>
      <c r="C52" s="14" t="s">
        <v>157</v>
      </c>
      <c r="D52" s="14">
        <v>0</v>
      </c>
      <c r="E52" s="14"/>
      <c r="F52" s="14">
        <v>1</v>
      </c>
      <c r="G52" s="14">
        <v>0</v>
      </c>
      <c r="H52" s="14"/>
      <c r="I52" s="8" t="s">
        <v>149</v>
      </c>
      <c r="J52" s="8" t="s">
        <v>38</v>
      </c>
      <c r="K52">
        <v>60</v>
      </c>
      <c r="L52">
        <v>53.5625</v>
      </c>
      <c r="M52" s="14">
        <v>9.75</v>
      </c>
      <c r="N52" s="14">
        <v>1.6875</v>
      </c>
      <c r="Q52" t="str">
        <f t="shared" si="5"/>
        <v xml:space="preserve">XX8X_PV_0049:    Front abuts stile:FALSE       Back abuts stile:TRUE          Panel Section: BOTTOM           Stile in the back Width:            Cutout A: B-34715          Cutout B:      F.C.:9.75 in.         C.C.:1.6875 in.   </v>
      </c>
      <c r="R52" t="str">
        <f t="shared" si="3"/>
        <v>FALSE</v>
      </c>
      <c r="S52" t="str">
        <f t="shared" si="4"/>
        <v>TRUE</v>
      </c>
    </row>
    <row r="53" spans="1:19" hidden="1">
      <c r="A53" t="s">
        <v>213</v>
      </c>
      <c r="B53" s="14" t="s">
        <v>144</v>
      </c>
      <c r="C53" s="14" t="s">
        <v>157</v>
      </c>
      <c r="D53" s="14">
        <v>0</v>
      </c>
      <c r="E53" s="14"/>
      <c r="F53" s="14">
        <v>1</v>
      </c>
      <c r="G53" s="14">
        <v>1</v>
      </c>
      <c r="H53" s="14"/>
      <c r="I53" s="8" t="s">
        <v>149</v>
      </c>
      <c r="J53" s="8" t="s">
        <v>38</v>
      </c>
      <c r="K53">
        <v>60</v>
      </c>
      <c r="L53">
        <v>72.375</v>
      </c>
      <c r="M53" s="14">
        <v>4.5</v>
      </c>
      <c r="N53" s="14">
        <v>4.9375</v>
      </c>
      <c r="Q53" t="str">
        <f t="shared" si="5"/>
        <v xml:space="preserve">XX8X_PV_0050:    Front abuts stile:FALSE       Back abuts stile:TRUE          Panel Section: BOTTOM           Stile in the back Width:            Cutout A: B-34715          Cutout B:      F.C.:4.5 in.         C.C.:4.9375 in.   </v>
      </c>
      <c r="R53" t="str">
        <f t="shared" si="3"/>
        <v>FALSE</v>
      </c>
      <c r="S53" t="str">
        <f t="shared" si="4"/>
        <v>TRUE</v>
      </c>
    </row>
    <row r="54" spans="1:19" hidden="1">
      <c r="A54" t="s">
        <v>214</v>
      </c>
      <c r="B54" s="14" t="s">
        <v>144</v>
      </c>
      <c r="C54" s="14" t="s">
        <v>157</v>
      </c>
      <c r="D54" s="14">
        <v>1</v>
      </c>
      <c r="E54" s="14">
        <v>0</v>
      </c>
      <c r="F54" s="14">
        <v>0</v>
      </c>
      <c r="G54" s="14"/>
      <c r="H54" s="14"/>
      <c r="I54" s="8" t="s">
        <v>119</v>
      </c>
      <c r="J54" s="8" t="s">
        <v>120</v>
      </c>
      <c r="K54">
        <v>60</v>
      </c>
      <c r="L54">
        <v>64.5625</v>
      </c>
      <c r="M54" s="14">
        <v>12</v>
      </c>
      <c r="N54" s="14">
        <v>4.3125</v>
      </c>
      <c r="Q54" t="str">
        <f t="shared" si="5"/>
        <v xml:space="preserve">XX8X_PV_0051:    Front abuts stile:TRUE       Back abuts stile:FALSE          Panel Section: BOTTOM           Stile in the back Width:            Cutout A: B-354          Cutout B:B-386      F.C.:12 in.         C.C.:4.3125 in.   </v>
      </c>
      <c r="R54" t="str">
        <f t="shared" si="3"/>
        <v>TRUE</v>
      </c>
      <c r="S54" t="str">
        <f t="shared" si="4"/>
        <v>FALSE</v>
      </c>
    </row>
    <row r="55" spans="1:19">
      <c r="A55" t="s">
        <v>215</v>
      </c>
      <c r="B55" s="14" t="s">
        <v>143</v>
      </c>
      <c r="C55" s="14" t="s">
        <v>157</v>
      </c>
      <c r="D55" s="14">
        <v>1</v>
      </c>
      <c r="E55" s="14">
        <v>0</v>
      </c>
      <c r="F55" s="14">
        <v>1</v>
      </c>
      <c r="G55" s="14">
        <v>0</v>
      </c>
      <c r="H55" s="14">
        <v>12</v>
      </c>
      <c r="I55" s="8" t="s">
        <v>38</v>
      </c>
      <c r="J55" s="8" t="s">
        <v>38</v>
      </c>
      <c r="K55">
        <v>60</v>
      </c>
      <c r="L55">
        <v>10.0625</v>
      </c>
      <c r="M55" s="14">
        <v>10.8125</v>
      </c>
      <c r="N55" s="14">
        <v>2.5625</v>
      </c>
      <c r="Q55" t="str">
        <f t="shared" si="5"/>
        <v xml:space="preserve">XX8X_PV_0052:    Front abuts stile:TRUE       Back abuts stile:TRUE          Panel Section: BOTTOM           Stile in the back Width: 12           Cutout A:           Cutout B:      F.C.:10.8125 in.         C.C.:2.5625 in.   </v>
      </c>
      <c r="R55" t="str">
        <f t="shared" si="3"/>
        <v>TRUE</v>
      </c>
      <c r="S55" t="str">
        <f t="shared" si="4"/>
        <v>TRUE</v>
      </c>
    </row>
    <row r="56" spans="1:19" hidden="1">
      <c r="A56" t="s">
        <v>216</v>
      </c>
      <c r="B56" s="14" t="s">
        <v>144</v>
      </c>
      <c r="C56" s="14" t="s">
        <v>157</v>
      </c>
      <c r="D56" s="14">
        <v>1</v>
      </c>
      <c r="E56" s="14">
        <v>0</v>
      </c>
      <c r="F56" s="14">
        <v>1</v>
      </c>
      <c r="G56" s="14">
        <v>0</v>
      </c>
      <c r="H56" s="14">
        <v>24</v>
      </c>
      <c r="I56" s="8" t="s">
        <v>120</v>
      </c>
      <c r="J56" s="8" t="s">
        <v>38</v>
      </c>
      <c r="K56">
        <v>60</v>
      </c>
      <c r="L56">
        <v>43.875</v>
      </c>
      <c r="M56" s="14">
        <v>1</v>
      </c>
      <c r="N56" s="14">
        <v>4.6875</v>
      </c>
      <c r="Q56" t="str">
        <f t="shared" si="5"/>
        <v xml:space="preserve">XX8X_PV_0053:    Front abuts stile:TRUE       Back abuts stile:TRUE          Panel Section: BOTTOM           Stile in the back Width: 24           Cutout A: B-386          Cutout B:      F.C.:1 in.         C.C.:4.6875 in.   </v>
      </c>
      <c r="R56" t="str">
        <f t="shared" si="3"/>
        <v>TRUE</v>
      </c>
      <c r="S56" t="str">
        <f t="shared" si="4"/>
        <v>TRUE</v>
      </c>
    </row>
    <row r="57" spans="1:19" hidden="1">
      <c r="A57" t="s">
        <v>217</v>
      </c>
      <c r="B57" s="14" t="s">
        <v>144</v>
      </c>
      <c r="C57" s="14" t="s">
        <v>157</v>
      </c>
      <c r="D57" s="14">
        <v>1</v>
      </c>
      <c r="E57" s="14">
        <v>0</v>
      </c>
      <c r="F57" s="14">
        <v>1</v>
      </c>
      <c r="G57" s="14">
        <v>0</v>
      </c>
      <c r="H57" s="14"/>
      <c r="I57" s="8" t="s">
        <v>151</v>
      </c>
      <c r="J57" s="8" t="s">
        <v>38</v>
      </c>
      <c r="K57">
        <v>60</v>
      </c>
      <c r="L57">
        <v>46.5625</v>
      </c>
      <c r="M57" s="14">
        <v>9</v>
      </c>
      <c r="N57" s="14">
        <v>1</v>
      </c>
      <c r="Q57" t="str">
        <f t="shared" si="5"/>
        <v xml:space="preserve">XX8X_PV_0054:    Front abuts stile:TRUE       Back abuts stile:TRUE          Panel Section: BOTTOM           Stile in the back Width:            Cutout A: B-35715          Cutout B:      F.C.:9 in.         C.C.:1 in.   </v>
      </c>
      <c r="R57" t="str">
        <f t="shared" si="3"/>
        <v>TRUE</v>
      </c>
      <c r="S57" t="str">
        <f t="shared" si="4"/>
        <v>TRUE</v>
      </c>
    </row>
    <row r="58" spans="1:19">
      <c r="A58" t="s">
        <v>218</v>
      </c>
      <c r="B58" s="14" t="s">
        <v>143</v>
      </c>
      <c r="C58" s="14" t="s">
        <v>157</v>
      </c>
      <c r="D58" s="14">
        <v>1</v>
      </c>
      <c r="E58" s="14">
        <v>0</v>
      </c>
      <c r="F58" s="14">
        <v>1</v>
      </c>
      <c r="G58" s="14">
        <v>1</v>
      </c>
      <c r="H58" s="14"/>
      <c r="I58" s="8" t="s">
        <v>151</v>
      </c>
      <c r="J58" s="8" t="s">
        <v>38</v>
      </c>
      <c r="K58">
        <v>60</v>
      </c>
      <c r="L58">
        <v>42.625</v>
      </c>
      <c r="M58" s="14">
        <v>1</v>
      </c>
      <c r="N58" s="14">
        <v>2.625</v>
      </c>
      <c r="Q58" t="str">
        <f t="shared" si="5"/>
        <v xml:space="preserve">XX8X_PV_0055:    Front abuts stile:TRUE       Back abuts stile:TRUE          Panel Section: BOTTOM           Stile in the back Width:            Cutout A: B-35715          Cutout B:      F.C.:1 in.         C.C.:2.625 in.   </v>
      </c>
      <c r="R58" t="str">
        <f t="shared" si="3"/>
        <v>TRUE</v>
      </c>
      <c r="S58" t="str">
        <f t="shared" si="4"/>
        <v>TRUE</v>
      </c>
    </row>
    <row r="59" spans="1:19" hidden="1">
      <c r="A59" t="s">
        <v>219</v>
      </c>
      <c r="B59" s="14" t="s">
        <v>144</v>
      </c>
      <c r="C59" s="14" t="s">
        <v>157</v>
      </c>
      <c r="D59" s="14">
        <v>1</v>
      </c>
      <c r="E59" s="14">
        <v>1</v>
      </c>
      <c r="F59" s="14">
        <v>0</v>
      </c>
      <c r="G59" s="14"/>
      <c r="H59" s="14"/>
      <c r="I59" s="8" t="s">
        <v>119</v>
      </c>
      <c r="J59" s="8" t="s">
        <v>38</v>
      </c>
      <c r="K59">
        <v>60</v>
      </c>
      <c r="L59">
        <v>41.1875</v>
      </c>
      <c r="M59" s="14">
        <v>4.5</v>
      </c>
      <c r="N59" s="14">
        <v>5.375</v>
      </c>
      <c r="Q59" t="str">
        <f t="shared" si="5"/>
        <v xml:space="preserve">XX8X_PV_0056:    Front abuts stile:TRUE       Back abuts stile:FALSE          Panel Section: BOTTOM           Stile in the back Width:            Cutout A: B-354          Cutout B:      F.C.:4.5 in.         C.C.:5.375 in.   </v>
      </c>
      <c r="R59" t="str">
        <f t="shared" si="3"/>
        <v>TRUE</v>
      </c>
      <c r="S59" t="str">
        <f t="shared" si="4"/>
        <v>FALSE</v>
      </c>
    </row>
    <row r="60" spans="1:19" hidden="1">
      <c r="A60" t="s">
        <v>220</v>
      </c>
      <c r="B60" s="14" t="s">
        <v>144</v>
      </c>
      <c r="C60" s="14" t="s">
        <v>157</v>
      </c>
      <c r="D60" s="14">
        <v>1</v>
      </c>
      <c r="E60" s="14">
        <v>1</v>
      </c>
      <c r="F60" s="14">
        <v>1</v>
      </c>
      <c r="G60" s="14">
        <v>0</v>
      </c>
      <c r="H60" s="14">
        <v>12</v>
      </c>
      <c r="I60" s="8" t="s">
        <v>150</v>
      </c>
      <c r="J60" s="8" t="s">
        <v>38</v>
      </c>
      <c r="K60">
        <v>60</v>
      </c>
      <c r="L60">
        <v>48.125</v>
      </c>
      <c r="M60" s="14">
        <v>4.375</v>
      </c>
      <c r="N60" s="14">
        <v>1</v>
      </c>
      <c r="Q60" t="str">
        <f t="shared" si="5"/>
        <v xml:space="preserve">XX8X_PV_0057:    Front abuts stile:TRUE       Back abuts stile:TRUE          Panel Section: BOTTOM           Stile in the back Width: 12           Cutout A: B-3571          Cutout B:      F.C.:4.375 in.         C.C.:1 in.   </v>
      </c>
      <c r="R60" t="str">
        <f t="shared" si="3"/>
        <v>TRUE</v>
      </c>
      <c r="S60" t="str">
        <f t="shared" si="4"/>
        <v>TRUE</v>
      </c>
    </row>
    <row r="61" spans="1:19" hidden="1">
      <c r="A61" t="s">
        <v>221</v>
      </c>
      <c r="B61" s="14" t="s">
        <v>144</v>
      </c>
      <c r="C61" s="14" t="s">
        <v>157</v>
      </c>
      <c r="D61" s="14">
        <v>1</v>
      </c>
      <c r="E61" s="14">
        <v>1</v>
      </c>
      <c r="F61" s="14">
        <v>1</v>
      </c>
      <c r="G61" s="14">
        <v>0</v>
      </c>
      <c r="H61" s="14">
        <v>24</v>
      </c>
      <c r="I61" s="8" t="s">
        <v>38</v>
      </c>
      <c r="J61" s="8" t="s">
        <v>38</v>
      </c>
      <c r="K61">
        <v>60</v>
      </c>
      <c r="L61">
        <v>17.25</v>
      </c>
      <c r="M61" s="14">
        <v>1</v>
      </c>
      <c r="N61" s="14">
        <v>4.875</v>
      </c>
      <c r="Q61" t="str">
        <f t="shared" si="5"/>
        <v xml:space="preserve">XX8X_PV_0058:    Front abuts stile:TRUE       Back abuts stile:TRUE          Panel Section: BOTTOM           Stile in the back Width: 24           Cutout A:           Cutout B:      F.C.:1 in.         C.C.:4.875 in.   </v>
      </c>
      <c r="R61" t="str">
        <f t="shared" si="3"/>
        <v>TRUE</v>
      </c>
      <c r="S61" t="str">
        <f t="shared" si="4"/>
        <v>TRUE</v>
      </c>
    </row>
    <row r="62" spans="1:19" hidden="1">
      <c r="A62" t="s">
        <v>222</v>
      </c>
      <c r="B62" s="14" t="s">
        <v>144</v>
      </c>
      <c r="C62" s="14" t="s">
        <v>157</v>
      </c>
      <c r="D62" s="14">
        <v>1</v>
      </c>
      <c r="E62" s="14">
        <v>1</v>
      </c>
      <c r="F62" s="14">
        <v>1</v>
      </c>
      <c r="G62" s="14">
        <v>0</v>
      </c>
      <c r="H62" s="14"/>
      <c r="I62" s="8" t="s">
        <v>145</v>
      </c>
      <c r="J62" s="8" t="s">
        <v>38</v>
      </c>
      <c r="K62">
        <v>60</v>
      </c>
      <c r="L62">
        <v>35.125</v>
      </c>
      <c r="M62" s="14">
        <v>3.875</v>
      </c>
      <c r="N62" s="14">
        <v>1.875</v>
      </c>
      <c r="Q62" t="str">
        <f t="shared" si="5"/>
        <v xml:space="preserve">XX8X_PV_0059:    Front abuts stile:TRUE       Back abuts stile:TRUE          Panel Section: BOTTOM           Stile in the back Width:            Cutout A: B-347          Cutout B:      F.C.:3.875 in.         C.C.:1.875 in.   </v>
      </c>
      <c r="R62" t="str">
        <f t="shared" si="3"/>
        <v>TRUE</v>
      </c>
      <c r="S62" t="str">
        <f t="shared" si="4"/>
        <v>TRUE</v>
      </c>
    </row>
    <row r="63" spans="1:19" hidden="1">
      <c r="A63" t="s">
        <v>223</v>
      </c>
      <c r="B63" s="14" t="s">
        <v>144</v>
      </c>
      <c r="C63" s="14" t="s">
        <v>157</v>
      </c>
      <c r="D63" s="14">
        <v>1</v>
      </c>
      <c r="E63" s="14">
        <v>1</v>
      </c>
      <c r="F63" s="14">
        <v>1</v>
      </c>
      <c r="G63" s="14">
        <v>1</v>
      </c>
      <c r="H63" s="14"/>
      <c r="I63" s="8" t="s">
        <v>145</v>
      </c>
      <c r="J63" s="8" t="s">
        <v>38</v>
      </c>
      <c r="K63">
        <v>60</v>
      </c>
      <c r="L63">
        <v>77.875</v>
      </c>
      <c r="M63" s="14">
        <v>1</v>
      </c>
      <c r="N63" s="14">
        <v>1.625</v>
      </c>
      <c r="Q63" t="str">
        <f t="shared" si="5"/>
        <v xml:space="preserve">XX8X_PV_0060:    Front abuts stile:TRUE       Back abuts stile:TRUE          Panel Section: BOTTOM           Stile in the back Width:            Cutout A: B-347          Cutout B:      F.C.:1 in.         C.C.:1.625 in.   </v>
      </c>
      <c r="R63" t="str">
        <f t="shared" si="3"/>
        <v>TRUE</v>
      </c>
      <c r="S63" t="str">
        <f t="shared" si="4"/>
        <v>TRUE</v>
      </c>
    </row>
    <row r="64" spans="1:19" hidden="1">
      <c r="A64" t="s">
        <v>224</v>
      </c>
      <c r="B64" s="14" t="s">
        <v>144</v>
      </c>
      <c r="C64" s="14" t="s">
        <v>21</v>
      </c>
      <c r="D64" s="14">
        <v>0</v>
      </c>
      <c r="E64" s="14"/>
      <c r="F64" s="14">
        <v>0</v>
      </c>
      <c r="G64" s="14"/>
      <c r="H64" s="14"/>
      <c r="I64" s="8" t="s">
        <v>38</v>
      </c>
      <c r="J64" s="8" t="s">
        <v>38</v>
      </c>
      <c r="K64">
        <v>37.1875</v>
      </c>
      <c r="L64">
        <v>52.8125</v>
      </c>
      <c r="M64" s="14">
        <v>4.4375</v>
      </c>
      <c r="N64" s="14">
        <v>5.6875</v>
      </c>
      <c r="Q64" t="str">
        <f t="shared" si="5"/>
        <v xml:space="preserve">XX8X_PV_0061:    Front abuts stile:FALSE       Back abuts stile:FALSE          Panel Section: WHOLE           Stile in the back Width:            Cutout A:           Cutout B:      F.C.:4.4375 in.         C.C.:5.6875 in.   </v>
      </c>
      <c r="R64" t="str">
        <f t="shared" si="3"/>
        <v>FALSE</v>
      </c>
      <c r="S64" t="str">
        <f t="shared" si="4"/>
        <v>FALSE</v>
      </c>
    </row>
    <row r="65" spans="1:19">
      <c r="A65" t="s">
        <v>225</v>
      </c>
      <c r="B65" s="14" t="s">
        <v>143</v>
      </c>
      <c r="C65" s="14" t="s">
        <v>21</v>
      </c>
      <c r="D65" s="14">
        <v>0</v>
      </c>
      <c r="E65" s="14"/>
      <c r="F65" s="14">
        <v>1</v>
      </c>
      <c r="G65" s="14">
        <v>0</v>
      </c>
      <c r="H65" s="14">
        <v>12</v>
      </c>
      <c r="I65" s="8" t="s">
        <v>35</v>
      </c>
      <c r="J65" s="8" t="s">
        <v>38</v>
      </c>
      <c r="K65">
        <v>96</v>
      </c>
      <c r="L65">
        <v>71.125</v>
      </c>
      <c r="M65" s="14">
        <v>1.25</v>
      </c>
      <c r="N65" s="14">
        <v>1</v>
      </c>
      <c r="Q65" t="str">
        <f t="shared" si="5"/>
        <v xml:space="preserve">XX8X_PV_0062:    Front abuts stile:FALSE       Back abuts stile:TRUE          Panel Section: WHOLE           Stile in the back Width: 12           Cutout A: B-357          Cutout B:      F.C.:1.25 in.         C.C.:1 in.   </v>
      </c>
      <c r="R65" t="str">
        <f t="shared" si="3"/>
        <v>FALSE</v>
      </c>
      <c r="S65" t="str">
        <f t="shared" si="4"/>
        <v>TRUE</v>
      </c>
    </row>
    <row r="66" spans="1:19">
      <c r="A66" t="s">
        <v>226</v>
      </c>
      <c r="B66" s="14" t="s">
        <v>143</v>
      </c>
      <c r="C66" s="14" t="s">
        <v>21</v>
      </c>
      <c r="D66" s="14">
        <v>0</v>
      </c>
      <c r="E66" s="14"/>
      <c r="F66" s="14">
        <v>1</v>
      </c>
      <c r="G66" s="14">
        <v>0</v>
      </c>
      <c r="H66" s="14">
        <v>24</v>
      </c>
      <c r="I66" s="8" t="s">
        <v>38</v>
      </c>
      <c r="J66" s="8" t="s">
        <v>38</v>
      </c>
      <c r="K66">
        <v>96</v>
      </c>
      <c r="L66">
        <v>9.3125</v>
      </c>
      <c r="M66" s="14">
        <v>6.1875</v>
      </c>
      <c r="N66" s="14">
        <v>3.375</v>
      </c>
      <c r="Q66" t="str">
        <f t="shared" si="5"/>
        <v xml:space="preserve">XX8X_PV_0063:    Front abuts stile:FALSE       Back abuts stile:TRUE          Panel Section: WHOLE           Stile in the back Width: 24           Cutout A:           Cutout B:      F.C.:6.1875 in.         C.C.:3.375 in.   </v>
      </c>
      <c r="R66" t="str">
        <f t="shared" si="3"/>
        <v>FALSE</v>
      </c>
      <c r="S66" t="str">
        <f t="shared" si="4"/>
        <v>TRUE</v>
      </c>
    </row>
    <row r="67" spans="1:19">
      <c r="A67" t="s">
        <v>227</v>
      </c>
      <c r="B67" s="14" t="s">
        <v>143</v>
      </c>
      <c r="C67" s="14" t="s">
        <v>21</v>
      </c>
      <c r="D67" s="14">
        <v>0</v>
      </c>
      <c r="E67" s="14"/>
      <c r="F67" s="14">
        <v>1</v>
      </c>
      <c r="G67" s="14">
        <v>0</v>
      </c>
      <c r="H67" s="14"/>
      <c r="I67" s="8" t="s">
        <v>35</v>
      </c>
      <c r="J67" s="8" t="s">
        <v>38</v>
      </c>
      <c r="K67">
        <v>82.6875</v>
      </c>
      <c r="L67">
        <v>47.125</v>
      </c>
      <c r="M67" s="14">
        <v>6.5625</v>
      </c>
      <c r="N67" s="14">
        <v>4.9375</v>
      </c>
      <c r="Q67" t="str">
        <f t="shared" si="5"/>
        <v xml:space="preserve">XX8X_PV_0064:    Front abuts stile:FALSE       Back abuts stile:TRUE          Panel Section: WHOLE           Stile in the back Width:            Cutout A: B-357          Cutout B:      F.C.:6.5625 in.         C.C.:4.9375 in.   </v>
      </c>
      <c r="R67" t="str">
        <f t="shared" si="3"/>
        <v>FALSE</v>
      </c>
      <c r="S67" t="str">
        <f t="shared" si="4"/>
        <v>TRUE</v>
      </c>
    </row>
    <row r="68" spans="1:19">
      <c r="A68" t="s">
        <v>228</v>
      </c>
      <c r="B68" s="14" t="s">
        <v>143</v>
      </c>
      <c r="C68" s="14" t="s">
        <v>21</v>
      </c>
      <c r="D68" s="14">
        <v>0</v>
      </c>
      <c r="E68" s="14"/>
      <c r="F68" s="14">
        <v>1</v>
      </c>
      <c r="G68" s="14">
        <v>1</v>
      </c>
      <c r="H68" s="14"/>
      <c r="I68" s="8" t="s">
        <v>148</v>
      </c>
      <c r="J68" s="8" t="s">
        <v>38</v>
      </c>
      <c r="K68">
        <v>82.75</v>
      </c>
      <c r="L68">
        <v>40.75</v>
      </c>
      <c r="M68" s="14">
        <v>1</v>
      </c>
      <c r="N68" s="14">
        <v>8.3125</v>
      </c>
      <c r="Q68" t="str">
        <f t="shared" si="5"/>
        <v xml:space="preserve">XX8X_PV_0065:    Front abuts stile:FALSE       Back abuts stile:TRUE          Panel Section: WHOLE           Stile in the back Width:            Cutout A: B-3471          Cutout B:      F.C.:1 in.         C.C.:8.3125 in.   </v>
      </c>
      <c r="R68" t="str">
        <f t="shared" ref="R68:R131" si="6">IF(D68=1, "TRUE", "FALSE")</f>
        <v>FALSE</v>
      </c>
      <c r="S68" t="str">
        <f t="shared" ref="S68:S81" si="7">IF(F68=1, "TRUE", "FALSE")</f>
        <v>TRUE</v>
      </c>
    </row>
    <row r="69" spans="1:19">
      <c r="A69" t="s">
        <v>229</v>
      </c>
      <c r="B69" s="14" t="s">
        <v>143</v>
      </c>
      <c r="C69" s="14" t="s">
        <v>21</v>
      </c>
      <c r="D69" s="14">
        <v>1</v>
      </c>
      <c r="E69" s="14">
        <v>0</v>
      </c>
      <c r="F69" s="14">
        <v>0</v>
      </c>
      <c r="G69" s="14"/>
      <c r="H69" s="14"/>
      <c r="I69" s="8" t="s">
        <v>38</v>
      </c>
      <c r="J69" s="8" t="s">
        <v>38</v>
      </c>
      <c r="K69">
        <v>78.5625</v>
      </c>
      <c r="L69">
        <v>25.625</v>
      </c>
      <c r="M69" s="14">
        <v>2.0625</v>
      </c>
      <c r="N69" s="14">
        <v>4.3125</v>
      </c>
      <c r="Q69" t="str">
        <f t="shared" si="5"/>
        <v xml:space="preserve">XX8X_PV_0066:    Front abuts stile:TRUE       Back abuts stile:FALSE          Panel Section: WHOLE           Stile in the back Width:            Cutout A:           Cutout B:      F.C.:2.0625 in.         C.C.:4.3125 in.   </v>
      </c>
      <c r="R69" t="str">
        <f t="shared" si="6"/>
        <v>TRUE</v>
      </c>
      <c r="S69" t="str">
        <f t="shared" si="7"/>
        <v>FALSE</v>
      </c>
    </row>
    <row r="70" spans="1:19" hidden="1">
      <c r="A70" t="s">
        <v>230</v>
      </c>
      <c r="B70" s="14" t="s">
        <v>144</v>
      </c>
      <c r="C70" s="14" t="s">
        <v>21</v>
      </c>
      <c r="D70" s="14">
        <v>1</v>
      </c>
      <c r="E70" s="14">
        <v>0</v>
      </c>
      <c r="F70" s="14">
        <v>1</v>
      </c>
      <c r="G70" s="14">
        <v>0</v>
      </c>
      <c r="H70" s="14">
        <v>12</v>
      </c>
      <c r="I70" s="8" t="s">
        <v>149</v>
      </c>
      <c r="J70" s="8" t="s">
        <v>38</v>
      </c>
      <c r="K70">
        <v>60.75</v>
      </c>
      <c r="L70">
        <v>35.5625</v>
      </c>
      <c r="M70" s="14">
        <v>4.5</v>
      </c>
      <c r="N70" s="14">
        <v>1.25</v>
      </c>
      <c r="Q70" t="str">
        <f t="shared" si="5"/>
        <v xml:space="preserve">XX8X_PV_0067:    Front abuts stile:TRUE       Back abuts stile:TRUE          Panel Section: WHOLE           Stile in the back Width: 12           Cutout A: B-34715          Cutout B:      F.C.:4.5 in.         C.C.:1.25 in.   </v>
      </c>
      <c r="R70" t="str">
        <f t="shared" si="6"/>
        <v>TRUE</v>
      </c>
      <c r="S70" t="str">
        <f t="shared" si="7"/>
        <v>TRUE</v>
      </c>
    </row>
    <row r="71" spans="1:19">
      <c r="A71" t="s">
        <v>231</v>
      </c>
      <c r="B71" s="14" t="s">
        <v>143</v>
      </c>
      <c r="C71" s="14" t="s">
        <v>21</v>
      </c>
      <c r="D71" s="14">
        <v>1</v>
      </c>
      <c r="E71" s="14">
        <v>0</v>
      </c>
      <c r="F71" s="14">
        <v>1</v>
      </c>
      <c r="G71" s="14">
        <v>0</v>
      </c>
      <c r="H71" s="14">
        <v>24</v>
      </c>
      <c r="I71" s="8" t="s">
        <v>120</v>
      </c>
      <c r="J71" s="8" t="s">
        <v>38</v>
      </c>
      <c r="K71">
        <v>69.4375</v>
      </c>
      <c r="L71">
        <v>55.625</v>
      </c>
      <c r="M71" s="14">
        <v>1</v>
      </c>
      <c r="N71" s="14">
        <v>7</v>
      </c>
      <c r="Q71" t="str">
        <f t="shared" ref="Q71:Q134" si="8">A71&amp;":    Front abuts stile:"&amp;R71&amp;"       Back abuts stile:"&amp;S71&amp;"          Panel Section: "&amp;C71&amp;"           Stile in the back Width: "&amp;H71&amp;"           Cutout A: "&amp;I71&amp;"          Cutout B:"&amp;J71&amp;"      F.C.:"&amp;M71&amp;" in. "&amp;"        C.C.:"&amp;N71&amp;" in. "&amp;"  "</f>
        <v xml:space="preserve">XX8X_PV_0068:    Front abuts stile:TRUE       Back abuts stile:TRUE          Panel Section: WHOLE           Stile in the back Width: 24           Cutout A: B-386          Cutout B:      F.C.:1 in.         C.C.:7 in.   </v>
      </c>
      <c r="R71" t="str">
        <f t="shared" si="6"/>
        <v>TRUE</v>
      </c>
      <c r="S71" t="str">
        <f t="shared" si="7"/>
        <v>TRUE</v>
      </c>
    </row>
    <row r="72" spans="1:19" hidden="1">
      <c r="A72" t="s">
        <v>232</v>
      </c>
      <c r="B72" s="14" t="s">
        <v>144</v>
      </c>
      <c r="C72" s="14" t="s">
        <v>21</v>
      </c>
      <c r="D72" s="14">
        <v>1</v>
      </c>
      <c r="E72" s="14">
        <v>0</v>
      </c>
      <c r="F72" s="14">
        <v>1</v>
      </c>
      <c r="G72" s="14">
        <v>0</v>
      </c>
      <c r="H72" s="14"/>
      <c r="I72" s="8" t="s">
        <v>120</v>
      </c>
      <c r="J72" s="8" t="s">
        <v>38</v>
      </c>
      <c r="K72">
        <v>96</v>
      </c>
      <c r="L72">
        <v>63.5</v>
      </c>
      <c r="M72" s="14">
        <v>12</v>
      </c>
      <c r="N72" s="14">
        <v>8.375</v>
      </c>
      <c r="Q72" t="str">
        <f t="shared" si="8"/>
        <v xml:space="preserve">XX8X_PV_0069:    Front abuts stile:TRUE       Back abuts stile:TRUE          Panel Section: WHOLE           Stile in the back Width:            Cutout A: B-386          Cutout B:      F.C.:12 in.         C.C.:8.375 in.   </v>
      </c>
      <c r="R72" t="str">
        <f t="shared" si="6"/>
        <v>TRUE</v>
      </c>
      <c r="S72" t="str">
        <f t="shared" si="7"/>
        <v>TRUE</v>
      </c>
    </row>
    <row r="73" spans="1:19">
      <c r="A73" t="s">
        <v>233</v>
      </c>
      <c r="B73" s="14" t="s">
        <v>143</v>
      </c>
      <c r="C73" s="14" t="s">
        <v>21</v>
      </c>
      <c r="D73" s="14">
        <v>1</v>
      </c>
      <c r="E73" s="14">
        <v>0</v>
      </c>
      <c r="F73" s="14">
        <v>1</v>
      </c>
      <c r="G73" s="14">
        <v>1</v>
      </c>
      <c r="H73" s="14"/>
      <c r="I73" s="8" t="s">
        <v>148</v>
      </c>
      <c r="J73" s="8" t="s">
        <v>38</v>
      </c>
      <c r="K73">
        <v>96</v>
      </c>
      <c r="L73">
        <v>75.75</v>
      </c>
      <c r="M73" s="14">
        <v>1</v>
      </c>
      <c r="N73" s="14">
        <v>1.3125</v>
      </c>
      <c r="Q73" t="str">
        <f t="shared" si="8"/>
        <v xml:space="preserve">XX8X_PV_0070:    Front abuts stile:TRUE       Back abuts stile:TRUE          Panel Section: WHOLE           Stile in the back Width:            Cutout A: B-3471          Cutout B:      F.C.:1 in.         C.C.:1.3125 in.   </v>
      </c>
      <c r="R73" t="str">
        <f t="shared" si="6"/>
        <v>TRUE</v>
      </c>
      <c r="S73" t="str">
        <f t="shared" si="7"/>
        <v>TRUE</v>
      </c>
    </row>
    <row r="74" spans="1:19">
      <c r="A74" t="s">
        <v>234</v>
      </c>
      <c r="B74" s="14" t="s">
        <v>143</v>
      </c>
      <c r="C74" s="14" t="s">
        <v>21</v>
      </c>
      <c r="D74" s="14">
        <v>1</v>
      </c>
      <c r="E74" s="14">
        <v>1</v>
      </c>
      <c r="F74" s="14">
        <v>0</v>
      </c>
      <c r="G74" s="14"/>
      <c r="H74" s="14"/>
      <c r="I74" s="8" t="s">
        <v>119</v>
      </c>
      <c r="J74" s="8" t="s">
        <v>120</v>
      </c>
      <c r="K74">
        <v>108.4375</v>
      </c>
      <c r="L74">
        <v>49.0625</v>
      </c>
      <c r="M74" s="14">
        <v>9</v>
      </c>
      <c r="N74" s="14">
        <v>1</v>
      </c>
      <c r="Q74" t="str">
        <f t="shared" si="8"/>
        <v xml:space="preserve">XX8X_PV_0071:    Front abuts stile:TRUE       Back abuts stile:FALSE          Panel Section: WHOLE           Stile in the back Width:            Cutout A: B-354          Cutout B:B-386      F.C.:9 in.         C.C.:1 in.   </v>
      </c>
      <c r="R74" t="str">
        <f t="shared" si="6"/>
        <v>TRUE</v>
      </c>
      <c r="S74" t="str">
        <f t="shared" si="7"/>
        <v>FALSE</v>
      </c>
    </row>
    <row r="75" spans="1:19">
      <c r="A75" t="s">
        <v>235</v>
      </c>
      <c r="B75" s="14" t="s">
        <v>143</v>
      </c>
      <c r="C75" s="14" t="s">
        <v>21</v>
      </c>
      <c r="D75" s="14">
        <v>1</v>
      </c>
      <c r="E75" s="14">
        <v>1</v>
      </c>
      <c r="F75" s="14">
        <v>1</v>
      </c>
      <c r="G75" s="14">
        <v>0</v>
      </c>
      <c r="H75" s="14">
        <v>12</v>
      </c>
      <c r="I75" s="8" t="s">
        <v>38</v>
      </c>
      <c r="J75" s="8" t="s">
        <v>38</v>
      </c>
      <c r="K75">
        <v>96</v>
      </c>
      <c r="L75">
        <v>10.75</v>
      </c>
      <c r="M75" s="14">
        <v>12</v>
      </c>
      <c r="N75" s="14">
        <v>1.0625</v>
      </c>
      <c r="Q75" t="str">
        <f t="shared" si="8"/>
        <v xml:space="preserve">XX8X_PV_0072:    Front abuts stile:TRUE       Back abuts stile:TRUE          Panel Section: WHOLE           Stile in the back Width: 12           Cutout A:           Cutout B:      F.C.:12 in.         C.C.:1.0625 in.   </v>
      </c>
      <c r="R75" t="str">
        <f t="shared" si="6"/>
        <v>TRUE</v>
      </c>
      <c r="S75" t="str">
        <f t="shared" si="7"/>
        <v>TRUE</v>
      </c>
    </row>
    <row r="76" spans="1:19" hidden="1">
      <c r="A76" t="s">
        <v>236</v>
      </c>
      <c r="B76" s="14" t="s">
        <v>144</v>
      </c>
      <c r="C76" s="14" t="s">
        <v>21</v>
      </c>
      <c r="D76" s="14">
        <v>1</v>
      </c>
      <c r="E76" s="14">
        <v>1</v>
      </c>
      <c r="F76" s="14">
        <v>1</v>
      </c>
      <c r="G76" s="14">
        <v>0</v>
      </c>
      <c r="H76" s="14">
        <v>24</v>
      </c>
      <c r="I76" s="8" t="s">
        <v>120</v>
      </c>
      <c r="J76" s="8" t="s">
        <v>38</v>
      </c>
      <c r="K76">
        <v>96</v>
      </c>
      <c r="L76">
        <v>58.625</v>
      </c>
      <c r="M76" s="14">
        <v>1</v>
      </c>
      <c r="N76" s="14">
        <v>1.375</v>
      </c>
      <c r="Q76" t="str">
        <f t="shared" si="8"/>
        <v xml:space="preserve">XX8X_PV_0073:    Front abuts stile:TRUE       Back abuts stile:TRUE          Panel Section: WHOLE           Stile in the back Width: 24           Cutout A: B-386          Cutout B:      F.C.:1 in.         C.C.:1.375 in.   </v>
      </c>
      <c r="R76" t="str">
        <f t="shared" si="6"/>
        <v>TRUE</v>
      </c>
      <c r="S76" t="str">
        <f t="shared" si="7"/>
        <v>TRUE</v>
      </c>
    </row>
    <row r="77" spans="1:19" hidden="1">
      <c r="A77" t="s">
        <v>237</v>
      </c>
      <c r="B77" s="14" t="s">
        <v>144</v>
      </c>
      <c r="C77" s="14" t="s">
        <v>21</v>
      </c>
      <c r="D77" s="14">
        <v>1</v>
      </c>
      <c r="E77" s="14">
        <v>1</v>
      </c>
      <c r="F77" s="14">
        <v>1</v>
      </c>
      <c r="G77" s="14">
        <v>0</v>
      </c>
      <c r="H77" s="14"/>
      <c r="I77" s="8" t="s">
        <v>38</v>
      </c>
      <c r="J77" s="8" t="s">
        <v>38</v>
      </c>
      <c r="K77">
        <v>76.5</v>
      </c>
      <c r="L77">
        <v>30.875</v>
      </c>
      <c r="M77" s="14">
        <v>9.4375</v>
      </c>
      <c r="N77" s="14">
        <v>2.4375</v>
      </c>
      <c r="Q77" t="str">
        <f t="shared" si="8"/>
        <v xml:space="preserve">XX8X_PV_0074:    Front abuts stile:TRUE       Back abuts stile:TRUE          Panel Section: WHOLE           Stile in the back Width:            Cutout A:           Cutout B:      F.C.:9.4375 in.         C.C.:2.4375 in.   </v>
      </c>
      <c r="R77" t="str">
        <f t="shared" si="6"/>
        <v>TRUE</v>
      </c>
      <c r="S77" t="str">
        <f t="shared" si="7"/>
        <v>TRUE</v>
      </c>
    </row>
    <row r="78" spans="1:19">
      <c r="A78" t="s">
        <v>238</v>
      </c>
      <c r="B78" s="14" t="s">
        <v>143</v>
      </c>
      <c r="C78" s="14" t="s">
        <v>21</v>
      </c>
      <c r="D78" s="14">
        <v>1</v>
      </c>
      <c r="E78" s="14">
        <v>1</v>
      </c>
      <c r="F78" s="14">
        <v>1</v>
      </c>
      <c r="G78" s="14">
        <v>1</v>
      </c>
      <c r="H78" s="14"/>
      <c r="I78" s="8" t="s">
        <v>150</v>
      </c>
      <c r="J78" s="8" t="s">
        <v>38</v>
      </c>
      <c r="K78">
        <v>51.125</v>
      </c>
      <c r="L78">
        <v>39.6875</v>
      </c>
      <c r="M78" s="14">
        <v>1</v>
      </c>
      <c r="N78" s="14">
        <v>1.3125</v>
      </c>
      <c r="Q78" t="str">
        <f t="shared" si="8"/>
        <v xml:space="preserve">XX8X_PV_0075:    Front abuts stile:TRUE       Back abuts stile:TRUE          Panel Section: WHOLE           Stile in the back Width:            Cutout A: B-3571          Cutout B:      F.C.:1 in.         C.C.:1.3125 in.   </v>
      </c>
      <c r="R78" t="str">
        <f t="shared" si="6"/>
        <v>TRUE</v>
      </c>
      <c r="S78" t="str">
        <f t="shared" si="7"/>
        <v>TRUE</v>
      </c>
    </row>
    <row r="79" spans="1:19" hidden="1">
      <c r="A79" t="s">
        <v>239</v>
      </c>
      <c r="B79" s="14" t="s">
        <v>144</v>
      </c>
      <c r="C79" s="14" t="s">
        <v>21</v>
      </c>
      <c r="D79" s="14">
        <v>0</v>
      </c>
      <c r="E79" s="14"/>
      <c r="F79" s="14">
        <v>0</v>
      </c>
      <c r="G79" s="14"/>
      <c r="H79" s="14"/>
      <c r="I79" s="8" t="s">
        <v>120</v>
      </c>
      <c r="J79" s="8" t="s">
        <v>119</v>
      </c>
      <c r="K79">
        <v>49.9375</v>
      </c>
      <c r="L79">
        <v>66.375</v>
      </c>
      <c r="M79" s="14">
        <v>4.625</v>
      </c>
      <c r="N79" s="14">
        <v>1</v>
      </c>
      <c r="Q79" t="str">
        <f t="shared" si="8"/>
        <v xml:space="preserve">XX8X_PV_0076:    Front abuts stile:FALSE       Back abuts stile:FALSE          Panel Section: WHOLE           Stile in the back Width:            Cutout A: B-386          Cutout B:B-354      F.C.:4.625 in.         C.C.:1 in.   </v>
      </c>
      <c r="R79" t="str">
        <f t="shared" si="6"/>
        <v>FALSE</v>
      </c>
      <c r="S79" t="str">
        <f t="shared" si="7"/>
        <v>FALSE</v>
      </c>
    </row>
    <row r="80" spans="1:19">
      <c r="A80" t="s">
        <v>240</v>
      </c>
      <c r="B80" s="14" t="s">
        <v>143</v>
      </c>
      <c r="C80" s="14" t="s">
        <v>21</v>
      </c>
      <c r="D80" s="14">
        <v>0</v>
      </c>
      <c r="E80" s="14"/>
      <c r="F80" s="14">
        <v>1</v>
      </c>
      <c r="G80" s="14">
        <v>0</v>
      </c>
      <c r="H80" s="14">
        <v>12</v>
      </c>
      <c r="I80" s="8" t="s">
        <v>38</v>
      </c>
      <c r="J80" s="8" t="s">
        <v>38</v>
      </c>
      <c r="K80">
        <v>96</v>
      </c>
      <c r="L80">
        <v>79.3125</v>
      </c>
      <c r="M80" s="14">
        <v>10.375</v>
      </c>
      <c r="N80" s="14">
        <v>2.25</v>
      </c>
      <c r="Q80" t="str">
        <f t="shared" si="8"/>
        <v xml:space="preserve">XX8X_PV_0077:    Front abuts stile:FALSE       Back abuts stile:TRUE          Panel Section: WHOLE           Stile in the back Width: 12           Cutout A:           Cutout B:      F.C.:10.375 in.         C.C.:2.25 in.   </v>
      </c>
      <c r="R80" t="str">
        <f t="shared" si="6"/>
        <v>FALSE</v>
      </c>
      <c r="S80" t="str">
        <f t="shared" si="7"/>
        <v>TRUE</v>
      </c>
    </row>
    <row r="81" spans="1:19">
      <c r="A81" t="s">
        <v>241</v>
      </c>
      <c r="B81" s="14" t="s">
        <v>143</v>
      </c>
      <c r="C81" s="14" t="s">
        <v>21</v>
      </c>
      <c r="D81" s="14">
        <v>0</v>
      </c>
      <c r="E81" s="14"/>
      <c r="F81" s="14">
        <v>1</v>
      </c>
      <c r="G81" s="14">
        <v>0</v>
      </c>
      <c r="H81" s="14">
        <v>24</v>
      </c>
      <c r="I81" s="8" t="s">
        <v>120</v>
      </c>
      <c r="J81" s="8" t="s">
        <v>38</v>
      </c>
      <c r="K81">
        <v>96</v>
      </c>
      <c r="L81">
        <v>57.1875</v>
      </c>
      <c r="M81" s="14">
        <v>4.5</v>
      </c>
      <c r="N81" s="14">
        <v>6.5</v>
      </c>
      <c r="Q81" t="str">
        <f t="shared" si="8"/>
        <v xml:space="preserve">XX8X_PV_0078:    Front abuts stile:FALSE       Back abuts stile:TRUE          Panel Section: WHOLE           Stile in the back Width: 24           Cutout A: B-386          Cutout B:      F.C.:4.5 in.         C.C.:6.5 in.   </v>
      </c>
      <c r="R81" t="str">
        <f t="shared" si="6"/>
        <v>FALSE</v>
      </c>
      <c r="S81" t="str">
        <f t="shared" si="7"/>
        <v>TRUE</v>
      </c>
    </row>
    <row r="82" spans="1:19">
      <c r="A82" t="s">
        <v>242</v>
      </c>
      <c r="B82" s="14" t="s">
        <v>143</v>
      </c>
      <c r="C82" s="14" t="s">
        <v>21</v>
      </c>
      <c r="D82" s="14">
        <v>0</v>
      </c>
      <c r="E82" s="14"/>
      <c r="F82" s="14">
        <v>1</v>
      </c>
      <c r="G82" s="14">
        <v>0</v>
      </c>
      <c r="H82" s="14"/>
      <c r="I82" s="8" t="s">
        <v>38</v>
      </c>
      <c r="J82" s="8" t="s">
        <v>38</v>
      </c>
      <c r="K82">
        <v>37.6875</v>
      </c>
      <c r="L82">
        <v>70.375</v>
      </c>
      <c r="M82" s="14">
        <v>1</v>
      </c>
      <c r="N82" s="14">
        <v>5</v>
      </c>
      <c r="Q82" t="str">
        <f t="shared" si="8"/>
        <v xml:space="preserve">XX8X_PV_0079:    Front abuts stile:FALSE       Back abuts stile:TRUE          Panel Section: WHOLE           Stile in the back Width:            Cutout A:           Cutout B:      F.C.:1 in.         C.C.:5 in.   </v>
      </c>
      <c r="R82" t="str">
        <f t="shared" si="6"/>
        <v>FALSE</v>
      </c>
      <c r="S82" t="str">
        <f t="shared" ref="S82:S145" si="9">IF(F82=1, "TRUE", "FALSE")</f>
        <v>TRUE</v>
      </c>
    </row>
    <row r="83" spans="1:19" hidden="1">
      <c r="A83" t="s">
        <v>243</v>
      </c>
      <c r="B83" s="14" t="s">
        <v>144</v>
      </c>
      <c r="C83" s="14" t="s">
        <v>21</v>
      </c>
      <c r="D83" s="14">
        <v>0</v>
      </c>
      <c r="E83" s="14"/>
      <c r="F83" s="14">
        <v>1</v>
      </c>
      <c r="G83" s="14">
        <v>1</v>
      </c>
      <c r="H83" s="14"/>
      <c r="I83" s="8" t="s">
        <v>145</v>
      </c>
      <c r="J83" s="8" t="s">
        <v>38</v>
      </c>
      <c r="K83">
        <v>76.5</v>
      </c>
      <c r="L83">
        <v>5.5</v>
      </c>
      <c r="M83" s="14">
        <v>4.4375</v>
      </c>
      <c r="N83" s="14">
        <v>8.25</v>
      </c>
      <c r="Q83" t="str">
        <f t="shared" si="8"/>
        <v xml:space="preserve">XX8X_PV_0080:    Front abuts stile:FALSE       Back abuts stile:TRUE          Panel Section: WHOLE           Stile in the back Width:            Cutout A: B-347          Cutout B:      F.C.:4.4375 in.         C.C.:8.25 in.   </v>
      </c>
      <c r="R83" t="str">
        <f t="shared" si="6"/>
        <v>FALSE</v>
      </c>
      <c r="S83" t="str">
        <f t="shared" si="9"/>
        <v>TRUE</v>
      </c>
    </row>
    <row r="84" spans="1:19">
      <c r="A84" t="s">
        <v>244</v>
      </c>
      <c r="B84" s="14" t="s">
        <v>143</v>
      </c>
      <c r="C84" s="14" t="s">
        <v>21</v>
      </c>
      <c r="D84" s="14">
        <v>1</v>
      </c>
      <c r="E84" s="14">
        <v>0</v>
      </c>
      <c r="F84" s="14">
        <v>0</v>
      </c>
      <c r="G84" s="14"/>
      <c r="H84" s="14"/>
      <c r="I84" s="8" t="s">
        <v>151</v>
      </c>
      <c r="J84" s="8" t="s">
        <v>38</v>
      </c>
      <c r="K84">
        <v>96</v>
      </c>
      <c r="L84">
        <v>46.5</v>
      </c>
      <c r="M84" s="14">
        <v>4.5</v>
      </c>
      <c r="N84" s="14">
        <v>2.9375</v>
      </c>
      <c r="Q84" t="str">
        <f t="shared" si="8"/>
        <v xml:space="preserve">XX8X_PV_0081:    Front abuts stile:TRUE       Back abuts stile:FALSE          Panel Section: WHOLE           Stile in the back Width:            Cutout A: B-35715          Cutout B:      F.C.:4.5 in.         C.C.:2.9375 in.   </v>
      </c>
      <c r="R84" t="str">
        <f t="shared" si="6"/>
        <v>TRUE</v>
      </c>
      <c r="S84" t="str">
        <f t="shared" si="9"/>
        <v>FALSE</v>
      </c>
    </row>
    <row r="85" spans="1:19" hidden="1">
      <c r="A85" t="s">
        <v>245</v>
      </c>
      <c r="B85" s="14" t="s">
        <v>144</v>
      </c>
      <c r="C85" s="14" t="s">
        <v>21</v>
      </c>
      <c r="D85" s="14">
        <v>1</v>
      </c>
      <c r="E85" s="14">
        <v>0</v>
      </c>
      <c r="F85" s="14">
        <v>1</v>
      </c>
      <c r="G85" s="14">
        <v>0</v>
      </c>
      <c r="H85" s="14">
        <v>12</v>
      </c>
      <c r="I85" s="8" t="s">
        <v>120</v>
      </c>
      <c r="J85" s="8" t="s">
        <v>38</v>
      </c>
      <c r="K85">
        <v>67.5</v>
      </c>
      <c r="L85">
        <v>6.625</v>
      </c>
      <c r="M85" s="14">
        <v>12</v>
      </c>
      <c r="N85" s="14">
        <v>4.8125</v>
      </c>
      <c r="Q85" t="str">
        <f t="shared" si="8"/>
        <v xml:space="preserve">XX8X_PV_0082:    Front abuts stile:TRUE       Back abuts stile:TRUE          Panel Section: WHOLE           Stile in the back Width: 12           Cutout A: B-386          Cutout B:      F.C.:12 in.         C.C.:4.8125 in.   </v>
      </c>
      <c r="R85" t="str">
        <f t="shared" si="6"/>
        <v>TRUE</v>
      </c>
      <c r="S85" t="str">
        <f t="shared" si="9"/>
        <v>TRUE</v>
      </c>
    </row>
    <row r="86" spans="1:19" hidden="1">
      <c r="A86" t="s">
        <v>246</v>
      </c>
      <c r="B86" s="14" t="s">
        <v>144</v>
      </c>
      <c r="C86" s="14" t="s">
        <v>21</v>
      </c>
      <c r="D86" s="14">
        <v>1</v>
      </c>
      <c r="E86" s="14">
        <v>0</v>
      </c>
      <c r="F86" s="14">
        <v>1</v>
      </c>
      <c r="G86" s="14">
        <v>0</v>
      </c>
      <c r="H86" s="14">
        <v>24</v>
      </c>
      <c r="I86" s="8" t="s">
        <v>120</v>
      </c>
      <c r="J86" s="8" t="s">
        <v>38</v>
      </c>
      <c r="K86">
        <v>56.5625</v>
      </c>
      <c r="L86">
        <v>54.375</v>
      </c>
      <c r="M86" s="14">
        <v>1</v>
      </c>
      <c r="N86" s="14">
        <v>5.0625</v>
      </c>
      <c r="Q86" t="str">
        <f t="shared" si="8"/>
        <v xml:space="preserve">XX8X_PV_0083:    Front abuts stile:TRUE       Back abuts stile:TRUE          Panel Section: WHOLE           Stile in the back Width: 24           Cutout A: B-386          Cutout B:      F.C.:1 in.         C.C.:5.0625 in.   </v>
      </c>
      <c r="R86" t="str">
        <f t="shared" si="6"/>
        <v>TRUE</v>
      </c>
      <c r="S86" t="str">
        <f t="shared" si="9"/>
        <v>TRUE</v>
      </c>
    </row>
    <row r="87" spans="1:19">
      <c r="A87" t="s">
        <v>247</v>
      </c>
      <c r="B87" s="14" t="s">
        <v>143</v>
      </c>
      <c r="C87" s="14" t="s">
        <v>21</v>
      </c>
      <c r="D87" s="14">
        <v>1</v>
      </c>
      <c r="E87" s="14">
        <v>0</v>
      </c>
      <c r="F87" s="14">
        <v>1</v>
      </c>
      <c r="G87" s="14">
        <v>0</v>
      </c>
      <c r="H87" s="14"/>
      <c r="I87" s="8" t="s">
        <v>145</v>
      </c>
      <c r="J87" s="8" t="s">
        <v>38</v>
      </c>
      <c r="K87">
        <v>74.375</v>
      </c>
      <c r="L87">
        <v>52.6875</v>
      </c>
      <c r="M87" s="14">
        <v>9</v>
      </c>
      <c r="N87" s="14">
        <v>4.25</v>
      </c>
      <c r="Q87" t="str">
        <f t="shared" si="8"/>
        <v xml:space="preserve">XX8X_PV_0084:    Front abuts stile:TRUE       Back abuts stile:TRUE          Panel Section: WHOLE           Stile in the back Width:            Cutout A: B-347          Cutout B:      F.C.:9 in.         C.C.:4.25 in.   </v>
      </c>
      <c r="R87" t="str">
        <f t="shared" si="6"/>
        <v>TRUE</v>
      </c>
      <c r="S87" t="str">
        <f t="shared" si="9"/>
        <v>TRUE</v>
      </c>
    </row>
    <row r="88" spans="1:19">
      <c r="A88" t="s">
        <v>248</v>
      </c>
      <c r="B88" s="14" t="s">
        <v>143</v>
      </c>
      <c r="C88" s="14" t="s">
        <v>21</v>
      </c>
      <c r="D88" s="14">
        <v>1</v>
      </c>
      <c r="E88" s="14">
        <v>0</v>
      </c>
      <c r="F88" s="14">
        <v>1</v>
      </c>
      <c r="G88" s="14">
        <v>1</v>
      </c>
      <c r="H88" s="14"/>
      <c r="I88" s="8" t="s">
        <v>38</v>
      </c>
      <c r="J88" s="8" t="s">
        <v>38</v>
      </c>
      <c r="K88">
        <v>43.4375</v>
      </c>
      <c r="L88">
        <v>34.4375</v>
      </c>
      <c r="M88" s="14">
        <v>12</v>
      </c>
      <c r="N88" s="14">
        <v>1.0625</v>
      </c>
      <c r="Q88" t="str">
        <f t="shared" si="8"/>
        <v xml:space="preserve">XX8X_PV_0085:    Front abuts stile:TRUE       Back abuts stile:TRUE          Panel Section: WHOLE           Stile in the back Width:            Cutout A:           Cutout B:      F.C.:12 in.         C.C.:1.0625 in.   </v>
      </c>
      <c r="R88" t="str">
        <f t="shared" si="6"/>
        <v>TRUE</v>
      </c>
      <c r="S88" t="str">
        <f t="shared" si="9"/>
        <v>TRUE</v>
      </c>
    </row>
    <row r="89" spans="1:19">
      <c r="A89" t="s">
        <v>249</v>
      </c>
      <c r="B89" s="14" t="s">
        <v>143</v>
      </c>
      <c r="C89" s="14" t="s">
        <v>21</v>
      </c>
      <c r="D89" s="14">
        <v>1</v>
      </c>
      <c r="E89" s="14">
        <v>1</v>
      </c>
      <c r="F89" s="14">
        <v>0</v>
      </c>
      <c r="G89" s="14"/>
      <c r="H89" s="14"/>
      <c r="I89" s="8" t="s">
        <v>121</v>
      </c>
      <c r="J89" s="8" t="s">
        <v>120</v>
      </c>
      <c r="K89">
        <v>96</v>
      </c>
      <c r="L89">
        <v>43.1875</v>
      </c>
      <c r="M89" s="14">
        <v>1.5625</v>
      </c>
      <c r="N89" s="14">
        <v>1</v>
      </c>
      <c r="Q89" t="str">
        <f t="shared" si="8"/>
        <v xml:space="preserve">XX8X_PV_0086:    Front abuts stile:TRUE       Back abuts stile:FALSE          Panel Section: WHOLE           Stile in the back Width:            Cutout A: B-4354          Cutout B:B-386      F.C.:1.5625 in.         C.C.:1 in.   </v>
      </c>
      <c r="R89" t="str">
        <f t="shared" si="6"/>
        <v>TRUE</v>
      </c>
      <c r="S89" t="str">
        <f t="shared" si="9"/>
        <v>FALSE</v>
      </c>
    </row>
    <row r="90" spans="1:19">
      <c r="A90" t="s">
        <v>250</v>
      </c>
      <c r="B90" s="14" t="s">
        <v>143</v>
      </c>
      <c r="C90" s="14" t="s">
        <v>21</v>
      </c>
      <c r="D90" s="14">
        <v>1</v>
      </c>
      <c r="E90" s="14">
        <v>1</v>
      </c>
      <c r="F90" s="14">
        <v>1</v>
      </c>
      <c r="G90" s="14">
        <v>0</v>
      </c>
      <c r="H90" s="14">
        <v>12</v>
      </c>
      <c r="I90" s="8" t="s">
        <v>150</v>
      </c>
      <c r="J90" s="8" t="s">
        <v>38</v>
      </c>
      <c r="K90">
        <v>94.125</v>
      </c>
      <c r="L90">
        <v>53.9375</v>
      </c>
      <c r="M90" s="14">
        <v>9</v>
      </c>
      <c r="N90" s="14">
        <v>1</v>
      </c>
      <c r="Q90" t="str">
        <f t="shared" si="8"/>
        <v xml:space="preserve">XX8X_PV_0087:    Front abuts stile:TRUE       Back abuts stile:TRUE          Panel Section: WHOLE           Stile in the back Width: 12           Cutout A: B-3571          Cutout B:      F.C.:9 in.         C.C.:1 in.   </v>
      </c>
      <c r="R90" t="str">
        <f t="shared" si="6"/>
        <v>TRUE</v>
      </c>
      <c r="S90" t="str">
        <f t="shared" si="9"/>
        <v>TRUE</v>
      </c>
    </row>
    <row r="91" spans="1:19">
      <c r="A91" t="s">
        <v>251</v>
      </c>
      <c r="B91" s="14" t="s">
        <v>143</v>
      </c>
      <c r="C91" s="14" t="s">
        <v>21</v>
      </c>
      <c r="D91" s="14">
        <v>1</v>
      </c>
      <c r="E91" s="14">
        <v>1</v>
      </c>
      <c r="F91" s="14">
        <v>1</v>
      </c>
      <c r="G91" s="14">
        <v>0</v>
      </c>
      <c r="H91" s="14">
        <v>24</v>
      </c>
      <c r="I91" s="8" t="s">
        <v>120</v>
      </c>
      <c r="J91" s="8" t="s">
        <v>38</v>
      </c>
      <c r="K91">
        <v>109.3125</v>
      </c>
      <c r="L91">
        <v>66.9375</v>
      </c>
      <c r="M91" s="14">
        <v>12</v>
      </c>
      <c r="N91" s="14">
        <v>3.875</v>
      </c>
      <c r="Q91" t="str">
        <f t="shared" si="8"/>
        <v xml:space="preserve">XX8X_PV_0088:    Front abuts stile:TRUE       Back abuts stile:TRUE          Panel Section: WHOLE           Stile in the back Width: 24           Cutout A: B-386          Cutout B:      F.C.:12 in.         C.C.:3.875 in.   </v>
      </c>
      <c r="R91" t="str">
        <f t="shared" si="6"/>
        <v>TRUE</v>
      </c>
      <c r="S91" t="str">
        <f t="shared" si="9"/>
        <v>TRUE</v>
      </c>
    </row>
    <row r="92" spans="1:19">
      <c r="A92" t="s">
        <v>252</v>
      </c>
      <c r="B92" s="14" t="s">
        <v>143</v>
      </c>
      <c r="C92" s="14" t="s">
        <v>21</v>
      </c>
      <c r="D92" s="14">
        <v>1</v>
      </c>
      <c r="E92" s="14">
        <v>1</v>
      </c>
      <c r="F92" s="14">
        <v>1</v>
      </c>
      <c r="G92" s="14">
        <v>0</v>
      </c>
      <c r="H92" s="14"/>
      <c r="I92" s="8" t="s">
        <v>151</v>
      </c>
      <c r="J92" s="8" t="s">
        <v>38</v>
      </c>
      <c r="K92">
        <v>83.1875</v>
      </c>
      <c r="L92">
        <v>42.625</v>
      </c>
      <c r="M92" s="14">
        <v>1.0625</v>
      </c>
      <c r="N92" s="14">
        <v>3.75</v>
      </c>
      <c r="Q92" t="str">
        <f t="shared" si="8"/>
        <v xml:space="preserve">XX8X_PV_0089:    Front abuts stile:TRUE       Back abuts stile:TRUE          Panel Section: WHOLE           Stile in the back Width:            Cutout A: B-35715          Cutout B:      F.C.:1.0625 in.         C.C.:3.75 in.   </v>
      </c>
      <c r="R92" t="str">
        <f t="shared" si="6"/>
        <v>TRUE</v>
      </c>
      <c r="S92" t="str">
        <f t="shared" si="9"/>
        <v>TRUE</v>
      </c>
    </row>
    <row r="93" spans="1:19" ht="15" thickBot="1">
      <c r="A93" s="49" t="s">
        <v>253</v>
      </c>
      <c r="B93" s="50" t="s">
        <v>143</v>
      </c>
      <c r="C93" s="50" t="s">
        <v>21</v>
      </c>
      <c r="D93" s="50">
        <v>1</v>
      </c>
      <c r="E93" s="50">
        <v>1</v>
      </c>
      <c r="F93" s="50">
        <v>1</v>
      </c>
      <c r="G93" s="50">
        <v>1</v>
      </c>
      <c r="H93" s="50"/>
      <c r="I93" s="51" t="s">
        <v>120</v>
      </c>
      <c r="J93" s="51" t="s">
        <v>38</v>
      </c>
      <c r="K93" s="49">
        <v>38.375</v>
      </c>
      <c r="L93" s="49">
        <v>73.9375</v>
      </c>
      <c r="M93" s="50">
        <v>1</v>
      </c>
      <c r="N93" s="50">
        <v>2.1875</v>
      </c>
      <c r="Q93" s="49" t="str">
        <f t="shared" si="8"/>
        <v xml:space="preserve">XX8X_PV_0090:    Front abuts stile:TRUE       Back abuts stile:TRUE          Panel Section: WHOLE           Stile in the back Width:            Cutout A: B-386          Cutout B:      F.C.:1 in.         C.C.:2.1875 in.   </v>
      </c>
      <c r="R93" t="str">
        <f t="shared" si="6"/>
        <v>TRUE</v>
      </c>
      <c r="S93" t="str">
        <f t="shared" si="9"/>
        <v>TRUE</v>
      </c>
    </row>
    <row r="94" spans="1:19" ht="15" hidden="1" thickTop="1">
      <c r="A94" t="s">
        <v>254</v>
      </c>
      <c r="B94" s="14" t="s">
        <v>144</v>
      </c>
      <c r="C94" s="14" t="s">
        <v>156</v>
      </c>
      <c r="D94" s="19">
        <v>0</v>
      </c>
      <c r="E94" s="19"/>
      <c r="F94" s="19">
        <v>0</v>
      </c>
      <c r="G94" s="19"/>
      <c r="H94" s="14"/>
      <c r="I94" s="8" t="s">
        <v>119</v>
      </c>
      <c r="J94" s="8" t="s">
        <v>120</v>
      </c>
      <c r="K94">
        <v>34.5</v>
      </c>
      <c r="L94">
        <v>73.3125</v>
      </c>
      <c r="M94" s="14">
        <v>2.75</v>
      </c>
      <c r="N94" s="14">
        <v>4.8125</v>
      </c>
      <c r="Q94" t="str">
        <f t="shared" si="8"/>
        <v xml:space="preserve">XX8X_PV_0091:    Front abuts stile:FALSE       Back abuts stile:FALSE          Panel Section: TOP           Stile in the back Width:            Cutout A: B-354          Cutout B:B-386      F.C.:2.75 in.         C.C.:4.8125 in.   </v>
      </c>
      <c r="R94" t="str">
        <f t="shared" si="6"/>
        <v>FALSE</v>
      </c>
      <c r="S94" t="str">
        <f t="shared" si="9"/>
        <v>FALSE</v>
      </c>
    </row>
    <row r="95" spans="1:19" ht="15" hidden="1" thickTop="1">
      <c r="A95" t="s">
        <v>255</v>
      </c>
      <c r="B95" s="14" t="s">
        <v>144</v>
      </c>
      <c r="C95" s="14" t="s">
        <v>156</v>
      </c>
      <c r="D95" s="14">
        <v>0</v>
      </c>
      <c r="E95" s="14"/>
      <c r="F95" s="14">
        <v>1</v>
      </c>
      <c r="G95" s="14">
        <v>0</v>
      </c>
      <c r="H95" s="14">
        <v>12</v>
      </c>
      <c r="I95" s="8" t="s">
        <v>38</v>
      </c>
      <c r="J95" s="8" t="s">
        <v>38</v>
      </c>
      <c r="K95">
        <v>26.75</v>
      </c>
      <c r="L95">
        <v>68.9375</v>
      </c>
      <c r="M95" s="14">
        <v>9</v>
      </c>
      <c r="N95" s="14">
        <v>4.5625</v>
      </c>
      <c r="Q95" t="str">
        <f t="shared" si="8"/>
        <v xml:space="preserve">XX8X_PV_0092:    Front abuts stile:FALSE       Back abuts stile:TRUE          Panel Section: TOP           Stile in the back Width: 12           Cutout A:           Cutout B:      F.C.:9 in.         C.C.:4.5625 in.   </v>
      </c>
      <c r="R95" t="str">
        <f t="shared" si="6"/>
        <v>FALSE</v>
      </c>
      <c r="S95" t="str">
        <f t="shared" si="9"/>
        <v>TRUE</v>
      </c>
    </row>
    <row r="96" spans="1:19" ht="15" hidden="1" thickTop="1">
      <c r="A96" t="s">
        <v>256</v>
      </c>
      <c r="B96" s="14" t="s">
        <v>144</v>
      </c>
      <c r="C96" s="14" t="s">
        <v>156</v>
      </c>
      <c r="D96" s="14">
        <v>0</v>
      </c>
      <c r="E96" s="14"/>
      <c r="F96" s="14">
        <v>1</v>
      </c>
      <c r="G96" s="14">
        <v>0</v>
      </c>
      <c r="H96" s="14">
        <v>24</v>
      </c>
      <c r="I96" s="8" t="s">
        <v>120</v>
      </c>
      <c r="J96" s="8" t="s">
        <v>38</v>
      </c>
      <c r="K96">
        <v>44.6875</v>
      </c>
      <c r="L96">
        <v>77.6875</v>
      </c>
      <c r="M96" s="14">
        <v>1</v>
      </c>
      <c r="N96" s="14">
        <v>6.875</v>
      </c>
      <c r="Q96" t="str">
        <f t="shared" si="8"/>
        <v xml:space="preserve">XX8X_PV_0093:    Front abuts stile:FALSE       Back abuts stile:TRUE          Panel Section: TOP           Stile in the back Width: 24           Cutout A: B-386          Cutout B:      F.C.:1 in.         C.C.:6.875 in.   </v>
      </c>
      <c r="R96" t="str">
        <f t="shared" si="6"/>
        <v>FALSE</v>
      </c>
      <c r="S96" t="str">
        <f t="shared" si="9"/>
        <v>TRUE</v>
      </c>
    </row>
    <row r="97" spans="1:19" ht="15" hidden="1" thickTop="1">
      <c r="A97" t="s">
        <v>257</v>
      </c>
      <c r="B97" s="14" t="s">
        <v>144</v>
      </c>
      <c r="C97" s="14" t="s">
        <v>156</v>
      </c>
      <c r="D97" s="14">
        <v>0</v>
      </c>
      <c r="E97" s="14"/>
      <c r="F97" s="14">
        <v>1</v>
      </c>
      <c r="G97" s="14">
        <v>0</v>
      </c>
      <c r="H97" s="14"/>
      <c r="I97" s="8" t="s">
        <v>145</v>
      </c>
      <c r="J97" s="8" t="s">
        <v>38</v>
      </c>
      <c r="K97">
        <v>16.875</v>
      </c>
      <c r="L97">
        <v>49.125</v>
      </c>
      <c r="M97" s="14">
        <v>1.625</v>
      </c>
      <c r="N97" s="14">
        <v>1.3125</v>
      </c>
      <c r="Q97" t="str">
        <f t="shared" si="8"/>
        <v xml:space="preserve">XX8X_PV_0094:    Front abuts stile:FALSE       Back abuts stile:TRUE          Panel Section: TOP           Stile in the back Width:            Cutout A: B-347          Cutout B:      F.C.:1.625 in.         C.C.:1.3125 in.   </v>
      </c>
      <c r="R97" t="str">
        <f t="shared" si="6"/>
        <v>FALSE</v>
      </c>
      <c r="S97" t="str">
        <f t="shared" si="9"/>
        <v>TRUE</v>
      </c>
    </row>
    <row r="98" spans="1:19" ht="15" hidden="1" thickTop="1">
      <c r="A98" t="s">
        <v>258</v>
      </c>
      <c r="B98" s="14" t="s">
        <v>144</v>
      </c>
      <c r="C98" s="14" t="s">
        <v>156</v>
      </c>
      <c r="D98" s="14">
        <v>0</v>
      </c>
      <c r="E98" s="14"/>
      <c r="F98" s="14">
        <v>1</v>
      </c>
      <c r="G98" s="14">
        <v>1</v>
      </c>
      <c r="H98" s="14"/>
      <c r="I98" s="8" t="s">
        <v>38</v>
      </c>
      <c r="J98" s="8" t="s">
        <v>38</v>
      </c>
      <c r="K98">
        <v>25</v>
      </c>
      <c r="L98">
        <v>74.1875</v>
      </c>
      <c r="M98" s="14">
        <v>1</v>
      </c>
      <c r="N98" s="14">
        <v>1</v>
      </c>
      <c r="Q98" t="str">
        <f t="shared" si="8"/>
        <v xml:space="preserve">XX8X_PV_0095:    Front abuts stile:FALSE       Back abuts stile:TRUE          Panel Section: TOP           Stile in the back Width:            Cutout A:           Cutout B:      F.C.:1 in.         C.C.:1 in.   </v>
      </c>
      <c r="R98" t="str">
        <f t="shared" si="6"/>
        <v>FALSE</v>
      </c>
      <c r="S98" t="str">
        <f t="shared" si="9"/>
        <v>TRUE</v>
      </c>
    </row>
    <row r="99" spans="1:19" ht="15" hidden="1" thickTop="1">
      <c r="A99" t="s">
        <v>259</v>
      </c>
      <c r="B99" s="14" t="s">
        <v>144</v>
      </c>
      <c r="C99" s="14" t="s">
        <v>156</v>
      </c>
      <c r="D99" s="14">
        <v>1</v>
      </c>
      <c r="E99" s="14">
        <v>0</v>
      </c>
      <c r="F99" s="14">
        <v>0</v>
      </c>
      <c r="G99" s="14"/>
      <c r="H99" s="14"/>
      <c r="I99" s="8" t="s">
        <v>38</v>
      </c>
      <c r="J99" s="8" t="s">
        <v>38</v>
      </c>
      <c r="K99">
        <v>25.9375</v>
      </c>
      <c r="L99">
        <v>45.5625</v>
      </c>
      <c r="M99" s="14">
        <v>8.375</v>
      </c>
      <c r="N99" s="14">
        <v>4.4375</v>
      </c>
      <c r="Q99" t="str">
        <f t="shared" si="8"/>
        <v xml:space="preserve">XX8X_PV_0096:    Front abuts stile:TRUE       Back abuts stile:FALSE          Panel Section: TOP           Stile in the back Width:            Cutout A:           Cutout B:      F.C.:8.375 in.         C.C.:4.4375 in.   </v>
      </c>
      <c r="R99" t="str">
        <f t="shared" si="6"/>
        <v>TRUE</v>
      </c>
      <c r="S99" t="str">
        <f t="shared" si="9"/>
        <v>FALSE</v>
      </c>
    </row>
    <row r="100" spans="1:19" ht="15" hidden="1" thickTop="1">
      <c r="A100" t="s">
        <v>260</v>
      </c>
      <c r="B100" s="14" t="s">
        <v>144</v>
      </c>
      <c r="C100" s="14" t="s">
        <v>156</v>
      </c>
      <c r="D100" s="14">
        <v>1</v>
      </c>
      <c r="E100" s="14">
        <v>0</v>
      </c>
      <c r="F100" s="14">
        <v>1</v>
      </c>
      <c r="G100" s="14">
        <v>0</v>
      </c>
      <c r="H100" s="14">
        <v>12</v>
      </c>
      <c r="I100" s="8" t="s">
        <v>148</v>
      </c>
      <c r="J100" s="8" t="s">
        <v>38</v>
      </c>
      <c r="K100">
        <v>16.0625</v>
      </c>
      <c r="L100">
        <v>22.5625</v>
      </c>
      <c r="M100" s="14">
        <v>4.5</v>
      </c>
      <c r="N100" s="14">
        <v>3.1875</v>
      </c>
      <c r="Q100" t="str">
        <f t="shared" si="8"/>
        <v xml:space="preserve">XX8X_PV_0097:    Front abuts stile:TRUE       Back abuts stile:TRUE          Panel Section: TOP           Stile in the back Width: 12           Cutout A: B-3471          Cutout B:      F.C.:4.5 in.         C.C.:3.1875 in.   </v>
      </c>
      <c r="R100" t="str">
        <f t="shared" si="6"/>
        <v>TRUE</v>
      </c>
      <c r="S100" t="str">
        <f t="shared" si="9"/>
        <v>TRUE</v>
      </c>
    </row>
    <row r="101" spans="1:19" ht="15" hidden="1" thickTop="1">
      <c r="A101" t="s">
        <v>261</v>
      </c>
      <c r="B101" s="14" t="s">
        <v>144</v>
      </c>
      <c r="C101" s="14" t="s">
        <v>156</v>
      </c>
      <c r="D101" s="14">
        <v>1</v>
      </c>
      <c r="E101" s="14">
        <v>0</v>
      </c>
      <c r="F101" s="14">
        <v>1</v>
      </c>
      <c r="G101" s="14">
        <v>0</v>
      </c>
      <c r="H101" s="14">
        <v>24</v>
      </c>
      <c r="I101" s="8" t="s">
        <v>120</v>
      </c>
      <c r="J101" s="8" t="s">
        <v>38</v>
      </c>
      <c r="K101">
        <v>38.8125</v>
      </c>
      <c r="L101">
        <v>48.875</v>
      </c>
      <c r="M101" s="14">
        <v>4.5</v>
      </c>
      <c r="N101" s="14">
        <v>5.875</v>
      </c>
      <c r="Q101" t="str">
        <f t="shared" si="8"/>
        <v xml:space="preserve">XX8X_PV_0098:    Front abuts stile:TRUE       Back abuts stile:TRUE          Panel Section: TOP           Stile in the back Width: 24           Cutout A: B-386          Cutout B:      F.C.:4.5 in.         C.C.:5.875 in.   </v>
      </c>
      <c r="R101" t="str">
        <f t="shared" si="6"/>
        <v>TRUE</v>
      </c>
      <c r="S101" t="str">
        <f t="shared" si="9"/>
        <v>TRUE</v>
      </c>
    </row>
    <row r="102" spans="1:19" ht="15" hidden="1" thickTop="1">
      <c r="A102" t="s">
        <v>262</v>
      </c>
      <c r="B102" s="14" t="s">
        <v>144</v>
      </c>
      <c r="C102" s="14" t="s">
        <v>156</v>
      </c>
      <c r="D102" s="14">
        <v>1</v>
      </c>
      <c r="E102" s="14">
        <v>0</v>
      </c>
      <c r="F102" s="14">
        <v>1</v>
      </c>
      <c r="G102" s="14">
        <v>0</v>
      </c>
      <c r="H102" s="14"/>
      <c r="I102" s="8" t="s">
        <v>38</v>
      </c>
      <c r="J102" s="8" t="s">
        <v>38</v>
      </c>
      <c r="K102">
        <v>47</v>
      </c>
      <c r="L102">
        <v>56.8125</v>
      </c>
      <c r="M102" s="14">
        <v>1</v>
      </c>
      <c r="N102" s="14">
        <v>4.1875</v>
      </c>
      <c r="Q102" t="str">
        <f t="shared" si="8"/>
        <v xml:space="preserve">XX8X_PV_0099:    Front abuts stile:TRUE       Back abuts stile:TRUE          Panel Section: TOP           Stile in the back Width:            Cutout A:           Cutout B:      F.C.:1 in.         C.C.:4.1875 in.   </v>
      </c>
      <c r="R102" t="str">
        <f t="shared" si="6"/>
        <v>TRUE</v>
      </c>
      <c r="S102" t="str">
        <f t="shared" si="9"/>
        <v>TRUE</v>
      </c>
    </row>
    <row r="103" spans="1:19" ht="15" hidden="1" thickTop="1">
      <c r="A103" t="s">
        <v>263</v>
      </c>
      <c r="B103" s="14" t="s">
        <v>144</v>
      </c>
      <c r="C103" s="14" t="s">
        <v>156</v>
      </c>
      <c r="D103" s="14">
        <v>1</v>
      </c>
      <c r="E103" s="14">
        <v>0</v>
      </c>
      <c r="F103" s="14">
        <v>1</v>
      </c>
      <c r="G103" s="14">
        <v>1</v>
      </c>
      <c r="H103" s="14"/>
      <c r="I103" s="8" t="s">
        <v>35</v>
      </c>
      <c r="J103" s="8" t="s">
        <v>38</v>
      </c>
      <c r="K103">
        <v>6.4375</v>
      </c>
      <c r="L103">
        <v>41.5625</v>
      </c>
      <c r="M103" s="14">
        <v>1</v>
      </c>
      <c r="N103" s="14">
        <v>3.1875</v>
      </c>
      <c r="Q103" t="str">
        <f t="shared" si="8"/>
        <v xml:space="preserve">XX8X_PV_0100:    Front abuts stile:TRUE       Back abuts stile:TRUE          Panel Section: TOP           Stile in the back Width:            Cutout A: B-357          Cutout B:      F.C.:1 in.         C.C.:3.1875 in.   </v>
      </c>
      <c r="R103" t="str">
        <f t="shared" si="6"/>
        <v>TRUE</v>
      </c>
      <c r="S103" t="str">
        <f t="shared" si="9"/>
        <v>TRUE</v>
      </c>
    </row>
    <row r="104" spans="1:19" ht="15" hidden="1" thickTop="1">
      <c r="A104" t="s">
        <v>264</v>
      </c>
      <c r="B104" s="14" t="s">
        <v>144</v>
      </c>
      <c r="C104" s="14" t="s">
        <v>156</v>
      </c>
      <c r="D104" s="14">
        <v>1</v>
      </c>
      <c r="E104" s="14">
        <v>1</v>
      </c>
      <c r="F104" s="14">
        <v>0</v>
      </c>
      <c r="G104" s="14"/>
      <c r="H104" s="14"/>
      <c r="I104" s="8" t="s">
        <v>148</v>
      </c>
      <c r="J104" s="8" t="s">
        <v>38</v>
      </c>
      <c r="K104">
        <v>13.4375</v>
      </c>
      <c r="L104">
        <v>23.0625</v>
      </c>
      <c r="M104" s="14">
        <v>4.5</v>
      </c>
      <c r="N104" s="14">
        <v>1</v>
      </c>
      <c r="Q104" t="str">
        <f t="shared" si="8"/>
        <v xml:space="preserve">XX8X_PV_0101:    Front abuts stile:TRUE       Back abuts stile:FALSE          Panel Section: TOP           Stile in the back Width:            Cutout A: B-3471          Cutout B:      F.C.:4.5 in.         C.C.:1 in.   </v>
      </c>
      <c r="R104" t="str">
        <f t="shared" si="6"/>
        <v>TRUE</v>
      </c>
      <c r="S104" t="str">
        <f t="shared" si="9"/>
        <v>FALSE</v>
      </c>
    </row>
    <row r="105" spans="1:19" ht="15" hidden="1" thickTop="1">
      <c r="A105" t="s">
        <v>265</v>
      </c>
      <c r="B105" s="14" t="s">
        <v>144</v>
      </c>
      <c r="C105" s="14" t="s">
        <v>156</v>
      </c>
      <c r="D105" s="14">
        <v>1</v>
      </c>
      <c r="E105" s="14">
        <v>1</v>
      </c>
      <c r="F105" s="14">
        <v>1</v>
      </c>
      <c r="G105" s="14">
        <v>0</v>
      </c>
      <c r="H105" s="14">
        <v>12</v>
      </c>
      <c r="I105" s="8" t="s">
        <v>150</v>
      </c>
      <c r="J105" s="8" t="s">
        <v>38</v>
      </c>
      <c r="K105">
        <v>12.6875</v>
      </c>
      <c r="L105">
        <v>67.5</v>
      </c>
      <c r="M105" s="14">
        <v>1</v>
      </c>
      <c r="N105" s="14">
        <v>4.5625</v>
      </c>
      <c r="Q105" t="str">
        <f t="shared" si="8"/>
        <v xml:space="preserve">XX8X_PV_0102:    Front abuts stile:TRUE       Back abuts stile:TRUE          Panel Section: TOP           Stile in the back Width: 12           Cutout A: B-3571          Cutout B:      F.C.:1 in.         C.C.:4.5625 in.   </v>
      </c>
      <c r="R105" t="str">
        <f t="shared" si="6"/>
        <v>TRUE</v>
      </c>
      <c r="S105" t="str">
        <f t="shared" si="9"/>
        <v>TRUE</v>
      </c>
    </row>
    <row r="106" spans="1:19" ht="15" hidden="1" thickTop="1">
      <c r="A106" t="s">
        <v>266</v>
      </c>
      <c r="B106" s="14" t="s">
        <v>144</v>
      </c>
      <c r="C106" s="14" t="s">
        <v>156</v>
      </c>
      <c r="D106" s="14">
        <v>1</v>
      </c>
      <c r="E106" s="14">
        <v>1</v>
      </c>
      <c r="F106" s="14">
        <v>1</v>
      </c>
      <c r="G106" s="14">
        <v>0</v>
      </c>
      <c r="H106" s="14">
        <v>24</v>
      </c>
      <c r="I106" s="8" t="s">
        <v>120</v>
      </c>
      <c r="J106" s="8" t="s">
        <v>38</v>
      </c>
      <c r="K106">
        <v>24.75</v>
      </c>
      <c r="L106">
        <v>64</v>
      </c>
      <c r="M106" s="14">
        <v>8.1875</v>
      </c>
      <c r="N106" s="14">
        <v>3.125</v>
      </c>
      <c r="Q106" t="str">
        <f t="shared" si="8"/>
        <v xml:space="preserve">XX8X_PV_0103:    Front abuts stile:TRUE       Back abuts stile:TRUE          Panel Section: TOP           Stile in the back Width: 24           Cutout A: B-386          Cutout B:      F.C.:8.1875 in.         C.C.:3.125 in.   </v>
      </c>
      <c r="R106" t="str">
        <f t="shared" si="6"/>
        <v>TRUE</v>
      </c>
      <c r="S106" t="str">
        <f t="shared" si="9"/>
        <v>TRUE</v>
      </c>
    </row>
    <row r="107" spans="1:19" ht="15" hidden="1" thickTop="1">
      <c r="A107" t="s">
        <v>267</v>
      </c>
      <c r="B107" s="14" t="s">
        <v>144</v>
      </c>
      <c r="C107" s="14" t="s">
        <v>156</v>
      </c>
      <c r="D107" s="14">
        <v>1</v>
      </c>
      <c r="E107" s="14">
        <v>1</v>
      </c>
      <c r="F107" s="14">
        <v>1</v>
      </c>
      <c r="G107" s="14">
        <v>0</v>
      </c>
      <c r="H107" s="14"/>
      <c r="I107" s="8" t="s">
        <v>38</v>
      </c>
      <c r="J107" s="8" t="s">
        <v>38</v>
      </c>
      <c r="K107">
        <v>21.4375</v>
      </c>
      <c r="L107">
        <v>43.4375</v>
      </c>
      <c r="M107" s="14">
        <v>8.75</v>
      </c>
      <c r="N107" s="14">
        <v>4.0625</v>
      </c>
      <c r="Q107" t="str">
        <f t="shared" si="8"/>
        <v xml:space="preserve">XX8X_PV_0104:    Front abuts stile:TRUE       Back abuts stile:TRUE          Panel Section: TOP           Stile in the back Width:            Cutout A:           Cutout B:      F.C.:8.75 in.         C.C.:4.0625 in.   </v>
      </c>
      <c r="R107" t="str">
        <f t="shared" si="6"/>
        <v>TRUE</v>
      </c>
      <c r="S107" t="str">
        <f t="shared" si="9"/>
        <v>TRUE</v>
      </c>
    </row>
    <row r="108" spans="1:19" ht="15" hidden="1" thickTop="1">
      <c r="A108" t="s">
        <v>268</v>
      </c>
      <c r="B108" s="14" t="s">
        <v>144</v>
      </c>
      <c r="C108" s="14" t="s">
        <v>156</v>
      </c>
      <c r="D108" s="14">
        <v>1</v>
      </c>
      <c r="E108" s="14">
        <v>1</v>
      </c>
      <c r="F108" s="14">
        <v>1</v>
      </c>
      <c r="G108" s="14">
        <v>1</v>
      </c>
      <c r="H108" s="14"/>
      <c r="I108" s="8" t="s">
        <v>38</v>
      </c>
      <c r="J108" s="8" t="s">
        <v>38</v>
      </c>
      <c r="K108">
        <v>9.4375</v>
      </c>
      <c r="L108">
        <v>45.0625</v>
      </c>
      <c r="M108" s="14">
        <v>4.9375</v>
      </c>
      <c r="N108" s="14">
        <v>4.625</v>
      </c>
      <c r="Q108" t="str">
        <f t="shared" si="8"/>
        <v xml:space="preserve">XX8X_PV_0105:    Front abuts stile:TRUE       Back abuts stile:TRUE          Panel Section: TOP           Stile in the back Width:            Cutout A:           Cutout B:      F.C.:4.9375 in.         C.C.:4.625 in.   </v>
      </c>
      <c r="R108" t="str">
        <f t="shared" si="6"/>
        <v>TRUE</v>
      </c>
      <c r="S108" t="str">
        <f t="shared" si="9"/>
        <v>TRUE</v>
      </c>
    </row>
    <row r="109" spans="1:19" ht="15" thickTop="1">
      <c r="A109" t="s">
        <v>269</v>
      </c>
      <c r="B109" s="14" t="s">
        <v>143</v>
      </c>
      <c r="C109" s="14" t="s">
        <v>157</v>
      </c>
      <c r="D109" s="14">
        <v>0</v>
      </c>
      <c r="E109" s="14"/>
      <c r="F109" s="14">
        <v>0</v>
      </c>
      <c r="G109" s="14"/>
      <c r="H109" s="14"/>
      <c r="I109" s="8" t="s">
        <v>119</v>
      </c>
      <c r="J109" s="8" t="s">
        <v>38</v>
      </c>
      <c r="K109">
        <v>60</v>
      </c>
      <c r="L109">
        <v>67.75</v>
      </c>
      <c r="M109" s="14">
        <v>8.8125</v>
      </c>
      <c r="N109" s="14">
        <v>4.5625</v>
      </c>
      <c r="Q109" t="str">
        <f t="shared" si="8"/>
        <v xml:space="preserve">XX8X_PV_0121:    Front abuts stile:FALSE       Back abuts stile:FALSE          Panel Section: BOTTOM           Stile in the back Width:            Cutout A: B-354          Cutout B:      F.C.:8.8125 in.         C.C.:4.5625 in.   </v>
      </c>
      <c r="R109" t="str">
        <f t="shared" si="6"/>
        <v>FALSE</v>
      </c>
      <c r="S109" t="str">
        <f t="shared" si="9"/>
        <v>FALSE</v>
      </c>
    </row>
    <row r="110" spans="1:19" hidden="1">
      <c r="A110" t="s">
        <v>270</v>
      </c>
      <c r="B110" s="14" t="s">
        <v>144</v>
      </c>
      <c r="C110" s="14" t="s">
        <v>157</v>
      </c>
      <c r="D110" s="14">
        <v>0</v>
      </c>
      <c r="E110" s="14"/>
      <c r="F110" s="14">
        <v>1</v>
      </c>
      <c r="G110" s="14">
        <v>0</v>
      </c>
      <c r="H110" s="14">
        <v>12</v>
      </c>
      <c r="I110" s="8" t="s">
        <v>35</v>
      </c>
      <c r="J110" s="8" t="s">
        <v>38</v>
      </c>
      <c r="K110">
        <v>60</v>
      </c>
      <c r="L110">
        <v>18.3125</v>
      </c>
      <c r="M110" s="14">
        <v>3.9375</v>
      </c>
      <c r="N110" s="14">
        <v>1.8125</v>
      </c>
      <c r="Q110" t="str">
        <f t="shared" si="8"/>
        <v xml:space="preserve">XX8X_PV_0122:    Front abuts stile:FALSE       Back abuts stile:TRUE          Panel Section: BOTTOM           Stile in the back Width: 12           Cutout A: B-357          Cutout B:      F.C.:3.9375 in.         C.C.:1.8125 in.   </v>
      </c>
      <c r="R110" t="str">
        <f t="shared" si="6"/>
        <v>FALSE</v>
      </c>
      <c r="S110" t="str">
        <f t="shared" si="9"/>
        <v>TRUE</v>
      </c>
    </row>
    <row r="111" spans="1:19" hidden="1">
      <c r="A111" t="s">
        <v>271</v>
      </c>
      <c r="B111" s="14" t="s">
        <v>144</v>
      </c>
      <c r="C111" s="14" t="s">
        <v>157</v>
      </c>
      <c r="D111" s="14">
        <v>0</v>
      </c>
      <c r="E111" s="14"/>
      <c r="F111" s="14">
        <v>1</v>
      </c>
      <c r="G111" s="14">
        <v>0</v>
      </c>
      <c r="H111" s="14">
        <v>24</v>
      </c>
      <c r="I111" s="8" t="s">
        <v>120</v>
      </c>
      <c r="J111" s="8" t="s">
        <v>38</v>
      </c>
      <c r="K111">
        <v>60</v>
      </c>
      <c r="L111">
        <v>9.0625</v>
      </c>
      <c r="M111" s="14">
        <v>9.375</v>
      </c>
      <c r="N111" s="14">
        <v>1</v>
      </c>
      <c r="Q111" t="str">
        <f t="shared" si="8"/>
        <v xml:space="preserve">XX8X_PV_0123:    Front abuts stile:FALSE       Back abuts stile:TRUE          Panel Section: BOTTOM           Stile in the back Width: 24           Cutout A: B-386          Cutout B:      F.C.:9.375 in.         C.C.:1 in.   </v>
      </c>
      <c r="R111" t="str">
        <f t="shared" si="6"/>
        <v>FALSE</v>
      </c>
      <c r="S111" t="str">
        <f t="shared" si="9"/>
        <v>TRUE</v>
      </c>
    </row>
    <row r="112" spans="1:19">
      <c r="A112" t="s">
        <v>272</v>
      </c>
      <c r="B112" s="14" t="s">
        <v>143</v>
      </c>
      <c r="C112" s="14" t="s">
        <v>157</v>
      </c>
      <c r="D112" s="14">
        <v>0</v>
      </c>
      <c r="E112" s="14"/>
      <c r="F112" s="14">
        <v>1</v>
      </c>
      <c r="G112" s="14">
        <v>0</v>
      </c>
      <c r="H112" s="14"/>
      <c r="I112" s="8" t="s">
        <v>119</v>
      </c>
      <c r="J112" s="8" t="s">
        <v>38</v>
      </c>
      <c r="K112">
        <v>60</v>
      </c>
      <c r="L112">
        <v>38</v>
      </c>
      <c r="M112" s="14">
        <v>3.875</v>
      </c>
      <c r="N112" s="14">
        <v>5.5</v>
      </c>
      <c r="Q112" t="str">
        <f t="shared" si="8"/>
        <v xml:space="preserve">XX8X_PV_0124:    Front abuts stile:FALSE       Back abuts stile:TRUE          Panel Section: BOTTOM           Stile in the back Width:            Cutout A: B-354          Cutout B:      F.C.:3.875 in.         C.C.:5.5 in.   </v>
      </c>
      <c r="R112" t="str">
        <f t="shared" si="6"/>
        <v>FALSE</v>
      </c>
      <c r="S112" t="str">
        <f t="shared" si="9"/>
        <v>TRUE</v>
      </c>
    </row>
    <row r="113" spans="1:19">
      <c r="A113" t="s">
        <v>273</v>
      </c>
      <c r="B113" s="14" t="s">
        <v>143</v>
      </c>
      <c r="C113" s="14" t="s">
        <v>157</v>
      </c>
      <c r="D113" s="14">
        <v>0</v>
      </c>
      <c r="E113" s="14"/>
      <c r="F113" s="14">
        <v>1</v>
      </c>
      <c r="G113" s="14">
        <v>1</v>
      </c>
      <c r="H113" s="14"/>
      <c r="I113" s="8" t="s">
        <v>119</v>
      </c>
      <c r="J113" s="8" t="s">
        <v>120</v>
      </c>
      <c r="K113">
        <v>60</v>
      </c>
      <c r="L113">
        <v>38.8125</v>
      </c>
      <c r="M113" s="14">
        <v>1.125</v>
      </c>
      <c r="N113" s="14">
        <v>1.9375</v>
      </c>
      <c r="Q113" t="str">
        <f t="shared" si="8"/>
        <v xml:space="preserve">XX8X_PV_0125:    Front abuts stile:FALSE       Back abuts stile:TRUE          Panel Section: BOTTOM           Stile in the back Width:            Cutout A: B-354          Cutout B:B-386      F.C.:1.125 in.         C.C.:1.9375 in.   </v>
      </c>
      <c r="R113" t="str">
        <f t="shared" si="6"/>
        <v>FALSE</v>
      </c>
      <c r="S113" t="str">
        <f t="shared" si="9"/>
        <v>TRUE</v>
      </c>
    </row>
    <row r="114" spans="1:19">
      <c r="A114" t="s">
        <v>274</v>
      </c>
      <c r="B114" s="14" t="s">
        <v>143</v>
      </c>
      <c r="C114" s="14" t="s">
        <v>157</v>
      </c>
      <c r="D114" s="14">
        <v>1</v>
      </c>
      <c r="E114" s="14">
        <v>0</v>
      </c>
      <c r="F114" s="14">
        <v>0</v>
      </c>
      <c r="G114" s="14"/>
      <c r="H114" s="14"/>
      <c r="I114" s="8" t="s">
        <v>145</v>
      </c>
      <c r="J114" s="8" t="s">
        <v>38</v>
      </c>
      <c r="K114">
        <v>60</v>
      </c>
      <c r="L114">
        <v>53.4375</v>
      </c>
      <c r="M114" s="14">
        <v>4.5</v>
      </c>
      <c r="N114" s="14">
        <v>2.125</v>
      </c>
      <c r="Q114" t="str">
        <f t="shared" si="8"/>
        <v xml:space="preserve">XX8X_PV_0126:    Front abuts stile:TRUE       Back abuts stile:FALSE          Panel Section: BOTTOM           Stile in the back Width:            Cutout A: B-347          Cutout B:      F.C.:4.5 in.         C.C.:2.125 in.   </v>
      </c>
      <c r="R114" t="str">
        <f t="shared" si="6"/>
        <v>TRUE</v>
      </c>
      <c r="S114" t="str">
        <f t="shared" si="9"/>
        <v>FALSE</v>
      </c>
    </row>
    <row r="115" spans="1:19">
      <c r="A115" t="s">
        <v>275</v>
      </c>
      <c r="B115" s="14" t="s">
        <v>143</v>
      </c>
      <c r="C115" s="14" t="s">
        <v>157</v>
      </c>
      <c r="D115" s="14">
        <v>1</v>
      </c>
      <c r="E115" s="14">
        <v>0</v>
      </c>
      <c r="F115" s="14">
        <v>1</v>
      </c>
      <c r="G115" s="14">
        <v>0</v>
      </c>
      <c r="H115" s="14">
        <v>12</v>
      </c>
      <c r="I115" s="8" t="s">
        <v>145</v>
      </c>
      <c r="J115" s="8" t="s">
        <v>38</v>
      </c>
      <c r="K115">
        <v>60</v>
      </c>
      <c r="L115">
        <v>64.0625</v>
      </c>
      <c r="M115" s="14">
        <v>3.125</v>
      </c>
      <c r="N115" s="14">
        <v>4.625</v>
      </c>
      <c r="Q115" t="str">
        <f t="shared" si="8"/>
        <v xml:space="preserve">XX8X_PV_0127:    Front abuts stile:TRUE       Back abuts stile:TRUE          Panel Section: BOTTOM           Stile in the back Width: 12           Cutout A: B-347          Cutout B:      F.C.:3.125 in.         C.C.:4.625 in.   </v>
      </c>
      <c r="R115" t="str">
        <f t="shared" si="6"/>
        <v>TRUE</v>
      </c>
      <c r="S115" t="str">
        <f t="shared" si="9"/>
        <v>TRUE</v>
      </c>
    </row>
    <row r="116" spans="1:19" hidden="1">
      <c r="A116" t="s">
        <v>276</v>
      </c>
      <c r="B116" s="14" t="s">
        <v>144</v>
      </c>
      <c r="C116" s="14" t="s">
        <v>157</v>
      </c>
      <c r="D116" s="14">
        <v>1</v>
      </c>
      <c r="E116" s="14">
        <v>0</v>
      </c>
      <c r="F116" s="14">
        <v>1</v>
      </c>
      <c r="G116" s="14">
        <v>0</v>
      </c>
      <c r="H116" s="14">
        <v>24</v>
      </c>
      <c r="I116" s="8" t="s">
        <v>120</v>
      </c>
      <c r="J116" s="8" t="s">
        <v>38</v>
      </c>
      <c r="K116">
        <v>60</v>
      </c>
      <c r="L116">
        <v>42.0625</v>
      </c>
      <c r="M116" s="14">
        <v>11.6875</v>
      </c>
      <c r="N116" s="14">
        <v>1</v>
      </c>
      <c r="Q116" t="str">
        <f t="shared" si="8"/>
        <v xml:space="preserve">XX8X_PV_0128:    Front abuts stile:TRUE       Back abuts stile:TRUE          Panel Section: BOTTOM           Stile in the back Width: 24           Cutout A: B-386          Cutout B:      F.C.:11.6875 in.         C.C.:1 in.   </v>
      </c>
      <c r="R116" t="str">
        <f t="shared" si="6"/>
        <v>TRUE</v>
      </c>
      <c r="S116" t="str">
        <f t="shared" si="9"/>
        <v>TRUE</v>
      </c>
    </row>
    <row r="117" spans="1:19">
      <c r="A117" t="s">
        <v>277</v>
      </c>
      <c r="B117" s="14" t="s">
        <v>143</v>
      </c>
      <c r="C117" s="14" t="s">
        <v>157</v>
      </c>
      <c r="D117" s="14">
        <v>1</v>
      </c>
      <c r="E117" s="14">
        <v>0</v>
      </c>
      <c r="F117" s="14">
        <v>1</v>
      </c>
      <c r="G117" s="14">
        <v>0</v>
      </c>
      <c r="H117" s="14"/>
      <c r="I117" s="8" t="s">
        <v>121</v>
      </c>
      <c r="J117" s="8" t="s">
        <v>38</v>
      </c>
      <c r="K117">
        <v>60</v>
      </c>
      <c r="L117">
        <v>21.625</v>
      </c>
      <c r="M117" s="14">
        <v>6.875</v>
      </c>
      <c r="N117" s="14">
        <v>2.1875</v>
      </c>
      <c r="Q117" t="str">
        <f t="shared" si="8"/>
        <v xml:space="preserve">XX8X_PV_0129:    Front abuts stile:TRUE       Back abuts stile:TRUE          Panel Section: BOTTOM           Stile in the back Width:            Cutout A: B-4354          Cutout B:      F.C.:6.875 in.         C.C.:2.1875 in.   </v>
      </c>
      <c r="R117" t="str">
        <f t="shared" si="6"/>
        <v>TRUE</v>
      </c>
      <c r="S117" t="str">
        <f t="shared" si="9"/>
        <v>TRUE</v>
      </c>
    </row>
    <row r="118" spans="1:19" hidden="1">
      <c r="A118" t="s">
        <v>278</v>
      </c>
      <c r="B118" s="14" t="s">
        <v>144</v>
      </c>
      <c r="C118" s="14" t="s">
        <v>157</v>
      </c>
      <c r="D118" s="14">
        <v>1</v>
      </c>
      <c r="E118" s="14">
        <v>0</v>
      </c>
      <c r="F118" s="14">
        <v>1</v>
      </c>
      <c r="G118" s="14">
        <v>1</v>
      </c>
      <c r="H118" s="14"/>
      <c r="I118" s="8" t="s">
        <v>145</v>
      </c>
      <c r="J118" s="8" t="s">
        <v>38</v>
      </c>
      <c r="K118">
        <v>60</v>
      </c>
      <c r="L118">
        <v>42.25</v>
      </c>
      <c r="M118" s="14">
        <v>9</v>
      </c>
      <c r="N118" s="14">
        <v>1</v>
      </c>
      <c r="Q118" t="str">
        <f t="shared" si="8"/>
        <v xml:space="preserve">XX8X_PV_0130:    Front abuts stile:TRUE       Back abuts stile:TRUE          Panel Section: BOTTOM           Stile in the back Width:            Cutout A: B-347          Cutout B:      F.C.:9 in.         C.C.:1 in.   </v>
      </c>
      <c r="R118" t="str">
        <f t="shared" si="6"/>
        <v>TRUE</v>
      </c>
      <c r="S118" t="str">
        <f t="shared" si="9"/>
        <v>TRUE</v>
      </c>
    </row>
    <row r="119" spans="1:19">
      <c r="A119" t="s">
        <v>279</v>
      </c>
      <c r="B119" s="14" t="s">
        <v>143</v>
      </c>
      <c r="C119" s="14" t="s">
        <v>157</v>
      </c>
      <c r="D119" s="14">
        <v>1</v>
      </c>
      <c r="E119" s="14">
        <v>1</v>
      </c>
      <c r="F119" s="14">
        <v>0</v>
      </c>
      <c r="G119" s="14"/>
      <c r="H119" s="14"/>
      <c r="I119" s="8" t="s">
        <v>121</v>
      </c>
      <c r="J119" s="8" t="s">
        <v>38</v>
      </c>
      <c r="K119">
        <v>60</v>
      </c>
      <c r="L119">
        <v>72.0625</v>
      </c>
      <c r="M119" s="14">
        <v>12</v>
      </c>
      <c r="N119" s="14">
        <v>3.375</v>
      </c>
      <c r="Q119" t="str">
        <f t="shared" si="8"/>
        <v xml:space="preserve">XX8X_PV_0131:    Front abuts stile:TRUE       Back abuts stile:FALSE          Panel Section: BOTTOM           Stile in the back Width:            Cutout A: B-4354          Cutout B:      F.C.:12 in.         C.C.:3.375 in.   </v>
      </c>
      <c r="R119" t="str">
        <f t="shared" si="6"/>
        <v>TRUE</v>
      </c>
      <c r="S119" t="str">
        <f t="shared" si="9"/>
        <v>FALSE</v>
      </c>
    </row>
    <row r="120" spans="1:19" hidden="1">
      <c r="A120" t="s">
        <v>280</v>
      </c>
      <c r="B120" s="14" t="s">
        <v>144</v>
      </c>
      <c r="C120" s="14" t="s">
        <v>157</v>
      </c>
      <c r="D120" s="14">
        <v>1</v>
      </c>
      <c r="E120" s="14">
        <v>1</v>
      </c>
      <c r="F120" s="14">
        <v>1</v>
      </c>
      <c r="G120" s="14">
        <v>0</v>
      </c>
      <c r="H120" s="14">
        <v>12</v>
      </c>
      <c r="I120" s="8" t="s">
        <v>35</v>
      </c>
      <c r="J120" s="8" t="s">
        <v>38</v>
      </c>
      <c r="K120">
        <v>60</v>
      </c>
      <c r="L120">
        <v>8.8125</v>
      </c>
      <c r="M120" s="14">
        <v>5.875</v>
      </c>
      <c r="N120" s="14">
        <v>3.8125</v>
      </c>
      <c r="Q120" t="str">
        <f t="shared" si="8"/>
        <v xml:space="preserve">XX8X_PV_0132:    Front abuts stile:TRUE       Back abuts stile:TRUE          Panel Section: BOTTOM           Stile in the back Width: 12           Cutout A: B-357          Cutout B:      F.C.:5.875 in.         C.C.:3.8125 in.   </v>
      </c>
      <c r="R120" t="str">
        <f t="shared" si="6"/>
        <v>TRUE</v>
      </c>
      <c r="S120" t="str">
        <f t="shared" si="9"/>
        <v>TRUE</v>
      </c>
    </row>
    <row r="121" spans="1:19" hidden="1">
      <c r="A121" t="s">
        <v>281</v>
      </c>
      <c r="B121" s="14" t="s">
        <v>144</v>
      </c>
      <c r="C121" s="14" t="s">
        <v>157</v>
      </c>
      <c r="D121" s="14">
        <v>1</v>
      </c>
      <c r="E121" s="14">
        <v>1</v>
      </c>
      <c r="F121" s="14">
        <v>1</v>
      </c>
      <c r="G121" s="14">
        <v>0</v>
      </c>
      <c r="H121" s="14">
        <v>24</v>
      </c>
      <c r="I121" s="8" t="s">
        <v>120</v>
      </c>
      <c r="J121" s="8" t="s">
        <v>38</v>
      </c>
      <c r="K121">
        <v>60</v>
      </c>
      <c r="L121">
        <v>59.5625</v>
      </c>
      <c r="M121" s="14">
        <v>12</v>
      </c>
      <c r="N121" s="14">
        <v>1</v>
      </c>
      <c r="Q121" t="str">
        <f t="shared" si="8"/>
        <v xml:space="preserve">XX8X_PV_0133:    Front abuts stile:TRUE       Back abuts stile:TRUE          Panel Section: BOTTOM           Stile in the back Width: 24           Cutout A: B-386          Cutout B:      F.C.:12 in.         C.C.:1 in.   </v>
      </c>
      <c r="R121" t="str">
        <f t="shared" si="6"/>
        <v>TRUE</v>
      </c>
      <c r="S121" t="str">
        <f t="shared" si="9"/>
        <v>TRUE</v>
      </c>
    </row>
    <row r="122" spans="1:19">
      <c r="A122" t="s">
        <v>282</v>
      </c>
      <c r="B122" s="14" t="s">
        <v>143</v>
      </c>
      <c r="C122" s="14" t="s">
        <v>157</v>
      </c>
      <c r="D122" s="14">
        <v>1</v>
      </c>
      <c r="E122" s="14">
        <v>1</v>
      </c>
      <c r="F122" s="14">
        <v>1</v>
      </c>
      <c r="G122" s="14">
        <v>0</v>
      </c>
      <c r="H122" s="14"/>
      <c r="I122" s="8" t="s">
        <v>121</v>
      </c>
      <c r="J122" s="8" t="s">
        <v>120</v>
      </c>
      <c r="K122">
        <v>60</v>
      </c>
      <c r="L122">
        <v>12.6875</v>
      </c>
      <c r="M122" s="14">
        <v>2.875</v>
      </c>
      <c r="N122" s="14">
        <v>3.4375</v>
      </c>
      <c r="Q122" t="str">
        <f t="shared" si="8"/>
        <v xml:space="preserve">XX8X_PV_0134:    Front abuts stile:TRUE       Back abuts stile:TRUE          Panel Section: BOTTOM           Stile in the back Width:            Cutout A: B-4354          Cutout B:B-386      F.C.:2.875 in.         C.C.:3.4375 in.   </v>
      </c>
      <c r="R122" t="str">
        <f t="shared" si="6"/>
        <v>TRUE</v>
      </c>
      <c r="S122" t="str">
        <f t="shared" si="9"/>
        <v>TRUE</v>
      </c>
    </row>
    <row r="123" spans="1:19" hidden="1">
      <c r="A123" t="s">
        <v>283</v>
      </c>
      <c r="B123" s="14" t="s">
        <v>144</v>
      </c>
      <c r="C123" s="14" t="s">
        <v>157</v>
      </c>
      <c r="D123" s="14">
        <v>1</v>
      </c>
      <c r="E123" s="14">
        <v>1</v>
      </c>
      <c r="F123" s="14">
        <v>1</v>
      </c>
      <c r="G123" s="14">
        <v>1</v>
      </c>
      <c r="H123" s="14"/>
      <c r="I123" s="8" t="s">
        <v>148</v>
      </c>
      <c r="J123" s="8" t="s">
        <v>38</v>
      </c>
      <c r="K123">
        <v>60</v>
      </c>
      <c r="L123">
        <v>23</v>
      </c>
      <c r="M123" s="14">
        <v>9</v>
      </c>
      <c r="N123" s="14">
        <v>6.9375</v>
      </c>
      <c r="Q123" t="str">
        <f t="shared" si="8"/>
        <v xml:space="preserve">XX8X_PV_0135:    Front abuts stile:TRUE       Back abuts stile:TRUE          Panel Section: BOTTOM           Stile in the back Width:            Cutout A: B-3471          Cutout B:      F.C.:9 in.         C.C.:6.9375 in.   </v>
      </c>
      <c r="R123" t="str">
        <f t="shared" si="6"/>
        <v>TRUE</v>
      </c>
      <c r="S123" t="str">
        <f t="shared" si="9"/>
        <v>TRUE</v>
      </c>
    </row>
    <row r="124" spans="1:19">
      <c r="A124" t="s">
        <v>284</v>
      </c>
      <c r="B124" s="14" t="s">
        <v>143</v>
      </c>
      <c r="C124" s="14" t="s">
        <v>21</v>
      </c>
      <c r="D124" s="14">
        <v>0</v>
      </c>
      <c r="E124" s="14"/>
      <c r="F124" s="14">
        <v>0</v>
      </c>
      <c r="G124" s="14"/>
      <c r="H124" s="14"/>
      <c r="I124" s="8" t="s">
        <v>150</v>
      </c>
      <c r="J124" s="8" t="s">
        <v>38</v>
      </c>
      <c r="K124">
        <v>95.25</v>
      </c>
      <c r="L124">
        <v>67.25</v>
      </c>
      <c r="M124" s="14">
        <v>3.3125</v>
      </c>
      <c r="N124" s="14">
        <v>3.25</v>
      </c>
      <c r="Q124" t="str">
        <f t="shared" si="8"/>
        <v xml:space="preserve">XX8X_PV_0151:    Front abuts stile:FALSE       Back abuts stile:FALSE          Panel Section: WHOLE           Stile in the back Width:            Cutout A: B-3571          Cutout B:      F.C.:3.3125 in.         C.C.:3.25 in.   </v>
      </c>
      <c r="R124" t="str">
        <f t="shared" si="6"/>
        <v>FALSE</v>
      </c>
      <c r="S124" t="str">
        <f t="shared" si="9"/>
        <v>FALSE</v>
      </c>
    </row>
    <row r="125" spans="1:19" hidden="1">
      <c r="A125" t="s">
        <v>285</v>
      </c>
      <c r="B125" s="14" t="s">
        <v>144</v>
      </c>
      <c r="C125" s="14" t="s">
        <v>21</v>
      </c>
      <c r="D125" s="14">
        <v>0</v>
      </c>
      <c r="E125" s="14"/>
      <c r="F125" s="14">
        <v>1</v>
      </c>
      <c r="G125" s="14">
        <v>0</v>
      </c>
      <c r="H125" s="14">
        <v>12</v>
      </c>
      <c r="I125" s="8" t="s">
        <v>38</v>
      </c>
      <c r="J125" s="8" t="s">
        <v>38</v>
      </c>
      <c r="K125">
        <v>86.625</v>
      </c>
      <c r="L125">
        <v>72.1875</v>
      </c>
      <c r="M125" s="14">
        <v>4.5</v>
      </c>
      <c r="N125" s="14">
        <v>1</v>
      </c>
      <c r="Q125" t="str">
        <f t="shared" si="8"/>
        <v xml:space="preserve">XX8X_PV_0152:    Front abuts stile:FALSE       Back abuts stile:TRUE          Panel Section: WHOLE           Stile in the back Width: 12           Cutout A:           Cutout B:      F.C.:4.5 in.         C.C.:1 in.   </v>
      </c>
      <c r="R125" t="str">
        <f t="shared" si="6"/>
        <v>FALSE</v>
      </c>
      <c r="S125" t="str">
        <f t="shared" si="9"/>
        <v>TRUE</v>
      </c>
    </row>
    <row r="126" spans="1:19" hidden="1">
      <c r="A126" t="s">
        <v>286</v>
      </c>
      <c r="B126" s="14" t="s">
        <v>144</v>
      </c>
      <c r="C126" s="14" t="s">
        <v>21</v>
      </c>
      <c r="D126" s="14">
        <v>0</v>
      </c>
      <c r="E126" s="14"/>
      <c r="F126" s="14">
        <v>1</v>
      </c>
      <c r="G126" s="14">
        <v>0</v>
      </c>
      <c r="H126" s="14">
        <v>24</v>
      </c>
      <c r="I126" s="8" t="s">
        <v>120</v>
      </c>
      <c r="J126" s="8" t="s">
        <v>38</v>
      </c>
      <c r="K126">
        <v>109.5</v>
      </c>
      <c r="L126">
        <v>48.1875</v>
      </c>
      <c r="M126" s="14">
        <v>1</v>
      </c>
      <c r="N126" s="14">
        <v>1</v>
      </c>
      <c r="Q126" t="str">
        <f t="shared" si="8"/>
        <v xml:space="preserve">XX8X_PV_0153:    Front abuts stile:FALSE       Back abuts stile:TRUE          Panel Section: WHOLE           Stile in the back Width: 24           Cutout A: B-386          Cutout B:      F.C.:1 in.         C.C.:1 in.   </v>
      </c>
      <c r="R126" t="str">
        <f t="shared" si="6"/>
        <v>FALSE</v>
      </c>
      <c r="S126" t="str">
        <f t="shared" si="9"/>
        <v>TRUE</v>
      </c>
    </row>
    <row r="127" spans="1:19">
      <c r="A127" t="s">
        <v>287</v>
      </c>
      <c r="B127" s="14" t="s">
        <v>143</v>
      </c>
      <c r="C127" s="14" t="s">
        <v>21</v>
      </c>
      <c r="D127" s="14">
        <v>0</v>
      </c>
      <c r="E127" s="14"/>
      <c r="F127" s="14">
        <v>1</v>
      </c>
      <c r="G127" s="14">
        <v>0</v>
      </c>
      <c r="H127" s="14"/>
      <c r="I127" s="8" t="s">
        <v>149</v>
      </c>
      <c r="J127" s="8" t="s">
        <v>38</v>
      </c>
      <c r="K127">
        <v>96</v>
      </c>
      <c r="L127">
        <v>53.9375</v>
      </c>
      <c r="M127" s="14">
        <v>5.4375</v>
      </c>
      <c r="N127" s="14">
        <v>2.125</v>
      </c>
      <c r="Q127" t="str">
        <f t="shared" si="8"/>
        <v xml:space="preserve">XX8X_PV_0154:    Front abuts stile:FALSE       Back abuts stile:TRUE          Panel Section: WHOLE           Stile in the back Width:            Cutout A: B-34715          Cutout B:      F.C.:5.4375 in.         C.C.:2.125 in.   </v>
      </c>
      <c r="R127" t="str">
        <f t="shared" si="6"/>
        <v>FALSE</v>
      </c>
      <c r="S127" t="str">
        <f t="shared" si="9"/>
        <v>TRUE</v>
      </c>
    </row>
    <row r="128" spans="1:19" hidden="1">
      <c r="A128" t="s">
        <v>288</v>
      </c>
      <c r="B128" s="14" t="s">
        <v>144</v>
      </c>
      <c r="C128" s="14" t="s">
        <v>21</v>
      </c>
      <c r="D128" s="14">
        <v>0</v>
      </c>
      <c r="E128" s="14"/>
      <c r="F128" s="14">
        <v>1</v>
      </c>
      <c r="G128" s="14">
        <v>1</v>
      </c>
      <c r="H128" s="14"/>
      <c r="I128" s="8" t="s">
        <v>151</v>
      </c>
      <c r="J128" s="8" t="s">
        <v>38</v>
      </c>
      <c r="K128">
        <v>67.5</v>
      </c>
      <c r="L128">
        <v>24.6875</v>
      </c>
      <c r="M128" s="14">
        <v>10.3125</v>
      </c>
      <c r="N128" s="14">
        <v>1.75</v>
      </c>
      <c r="Q128" t="str">
        <f t="shared" si="8"/>
        <v xml:space="preserve">XX8X_PV_0155:    Front abuts stile:FALSE       Back abuts stile:TRUE          Panel Section: WHOLE           Stile in the back Width:            Cutout A: B-35715          Cutout B:      F.C.:10.3125 in.         C.C.:1.75 in.   </v>
      </c>
      <c r="R128" t="str">
        <f t="shared" si="6"/>
        <v>FALSE</v>
      </c>
      <c r="S128" t="str">
        <f t="shared" si="9"/>
        <v>TRUE</v>
      </c>
    </row>
    <row r="129" spans="1:19" hidden="1">
      <c r="A129" t="s">
        <v>289</v>
      </c>
      <c r="B129" s="14" t="s">
        <v>144</v>
      </c>
      <c r="C129" s="14" t="s">
        <v>21</v>
      </c>
      <c r="D129" s="14">
        <v>1</v>
      </c>
      <c r="E129" s="14">
        <v>0</v>
      </c>
      <c r="F129" s="14">
        <v>0</v>
      </c>
      <c r="G129" s="14"/>
      <c r="H129" s="14"/>
      <c r="I129" s="8" t="s">
        <v>38</v>
      </c>
      <c r="J129" s="8" t="s">
        <v>38</v>
      </c>
      <c r="K129">
        <v>50.6875</v>
      </c>
      <c r="L129">
        <v>53.25</v>
      </c>
      <c r="M129" s="14">
        <v>3.625</v>
      </c>
      <c r="N129" s="14">
        <v>1</v>
      </c>
      <c r="Q129" t="str">
        <f t="shared" si="8"/>
        <v xml:space="preserve">XX8X_PV_0156:    Front abuts stile:TRUE       Back abuts stile:FALSE          Panel Section: WHOLE           Stile in the back Width:            Cutout A:           Cutout B:      F.C.:3.625 in.         C.C.:1 in.   </v>
      </c>
      <c r="R129" t="str">
        <f t="shared" si="6"/>
        <v>TRUE</v>
      </c>
      <c r="S129" t="str">
        <f t="shared" si="9"/>
        <v>FALSE</v>
      </c>
    </row>
    <row r="130" spans="1:19" hidden="1">
      <c r="A130" t="s">
        <v>290</v>
      </c>
      <c r="B130" s="14" t="s">
        <v>144</v>
      </c>
      <c r="C130" s="14" t="s">
        <v>21</v>
      </c>
      <c r="D130" s="14">
        <v>1</v>
      </c>
      <c r="E130" s="14">
        <v>0</v>
      </c>
      <c r="F130" s="14">
        <v>1</v>
      </c>
      <c r="G130" s="14">
        <v>0</v>
      </c>
      <c r="H130" s="14">
        <v>12</v>
      </c>
      <c r="I130" s="8" t="s">
        <v>145</v>
      </c>
      <c r="J130" s="8" t="s">
        <v>38</v>
      </c>
      <c r="K130">
        <v>103.375</v>
      </c>
      <c r="L130">
        <v>6.75</v>
      </c>
      <c r="M130" s="14">
        <v>12</v>
      </c>
      <c r="N130" s="14">
        <v>1</v>
      </c>
      <c r="Q130" t="str">
        <f t="shared" si="8"/>
        <v xml:space="preserve">XX8X_PV_0157:    Front abuts stile:TRUE       Back abuts stile:TRUE          Panel Section: WHOLE           Stile in the back Width: 12           Cutout A: B-347          Cutout B:      F.C.:12 in.         C.C.:1 in.   </v>
      </c>
      <c r="R130" t="str">
        <f t="shared" si="6"/>
        <v>TRUE</v>
      </c>
      <c r="S130" t="str">
        <f t="shared" si="9"/>
        <v>TRUE</v>
      </c>
    </row>
    <row r="131" spans="1:19" hidden="1">
      <c r="A131" t="s">
        <v>291</v>
      </c>
      <c r="B131" s="14" t="s">
        <v>144</v>
      </c>
      <c r="C131" s="14" t="s">
        <v>21</v>
      </c>
      <c r="D131" s="14">
        <v>1</v>
      </c>
      <c r="E131" s="14">
        <v>0</v>
      </c>
      <c r="F131" s="14">
        <v>1</v>
      </c>
      <c r="G131" s="14">
        <v>0</v>
      </c>
      <c r="H131" s="14">
        <v>24</v>
      </c>
      <c r="I131" s="8" t="s">
        <v>120</v>
      </c>
      <c r="J131" s="8" t="s">
        <v>38</v>
      </c>
      <c r="K131">
        <v>50.875</v>
      </c>
      <c r="L131">
        <v>63.875</v>
      </c>
      <c r="M131" s="14">
        <v>4.5</v>
      </c>
      <c r="N131" s="14">
        <v>3.8125</v>
      </c>
      <c r="Q131" t="str">
        <f t="shared" si="8"/>
        <v xml:space="preserve">XX8X_PV_0158:    Front abuts stile:TRUE       Back abuts stile:TRUE          Panel Section: WHOLE           Stile in the back Width: 24           Cutout A: B-386          Cutout B:      F.C.:4.5 in.         C.C.:3.8125 in.   </v>
      </c>
      <c r="R131" t="str">
        <f t="shared" si="6"/>
        <v>TRUE</v>
      </c>
      <c r="S131" t="str">
        <f t="shared" si="9"/>
        <v>TRUE</v>
      </c>
    </row>
    <row r="132" spans="1:19" hidden="1">
      <c r="A132" t="s">
        <v>292</v>
      </c>
      <c r="B132" s="14" t="s">
        <v>144</v>
      </c>
      <c r="C132" s="14" t="s">
        <v>21</v>
      </c>
      <c r="D132" s="14">
        <v>1</v>
      </c>
      <c r="E132" s="14">
        <v>0</v>
      </c>
      <c r="F132" s="14">
        <v>1</v>
      </c>
      <c r="G132" s="14">
        <v>0</v>
      </c>
      <c r="H132" s="14"/>
      <c r="I132" s="8" t="s">
        <v>35</v>
      </c>
      <c r="J132" s="8" t="s">
        <v>38</v>
      </c>
      <c r="K132">
        <v>96</v>
      </c>
      <c r="L132">
        <v>47.0625</v>
      </c>
      <c r="M132" s="14">
        <v>12</v>
      </c>
      <c r="N132" s="14">
        <v>1</v>
      </c>
      <c r="Q132" t="str">
        <f t="shared" si="8"/>
        <v xml:space="preserve">XX8X_PV_0159:    Front abuts stile:TRUE       Back abuts stile:TRUE          Panel Section: WHOLE           Stile in the back Width:            Cutout A: B-357          Cutout B:      F.C.:12 in.         C.C.:1 in.   </v>
      </c>
      <c r="R132" t="str">
        <f t="shared" ref="R132:R195" si="10">IF(D132=1, "TRUE", "FALSE")</f>
        <v>TRUE</v>
      </c>
      <c r="S132" t="str">
        <f t="shared" si="9"/>
        <v>TRUE</v>
      </c>
    </row>
    <row r="133" spans="1:19" hidden="1">
      <c r="A133" t="s">
        <v>293</v>
      </c>
      <c r="B133" s="14" t="s">
        <v>144</v>
      </c>
      <c r="C133" s="14" t="s">
        <v>21</v>
      </c>
      <c r="D133" s="14">
        <v>1</v>
      </c>
      <c r="E133" s="14">
        <v>0</v>
      </c>
      <c r="F133" s="14">
        <v>1</v>
      </c>
      <c r="G133" s="14">
        <v>1</v>
      </c>
      <c r="H133" s="14"/>
      <c r="I133" s="8" t="s">
        <v>38</v>
      </c>
      <c r="J133" s="8" t="s">
        <v>38</v>
      </c>
      <c r="K133">
        <v>69.5</v>
      </c>
      <c r="L133">
        <v>50.375</v>
      </c>
      <c r="M133" s="14">
        <v>1</v>
      </c>
      <c r="N133" s="14">
        <v>4.3125</v>
      </c>
      <c r="Q133" t="str">
        <f t="shared" si="8"/>
        <v xml:space="preserve">XX8X_PV_0160:    Front abuts stile:TRUE       Back abuts stile:TRUE          Panel Section: WHOLE           Stile in the back Width:            Cutout A:           Cutout B:      F.C.:1 in.         C.C.:4.3125 in.   </v>
      </c>
      <c r="R133" t="str">
        <f t="shared" si="10"/>
        <v>TRUE</v>
      </c>
      <c r="S133" t="str">
        <f t="shared" si="9"/>
        <v>TRUE</v>
      </c>
    </row>
    <row r="134" spans="1:19" hidden="1">
      <c r="A134" t="s">
        <v>294</v>
      </c>
      <c r="B134" s="14" t="s">
        <v>144</v>
      </c>
      <c r="C134" s="14" t="s">
        <v>21</v>
      </c>
      <c r="D134" s="14">
        <v>1</v>
      </c>
      <c r="E134" s="14">
        <v>1</v>
      </c>
      <c r="F134" s="14">
        <v>0</v>
      </c>
      <c r="G134" s="14"/>
      <c r="H134" s="14"/>
      <c r="I134" s="8" t="s">
        <v>38</v>
      </c>
      <c r="J134" s="8" t="s">
        <v>38</v>
      </c>
      <c r="K134">
        <v>74.0625</v>
      </c>
      <c r="L134">
        <v>79.3125</v>
      </c>
      <c r="M134" s="14">
        <v>4.5</v>
      </c>
      <c r="N134" s="14">
        <v>1</v>
      </c>
      <c r="Q134" t="str">
        <f t="shared" si="8"/>
        <v xml:space="preserve">XX8X_PV_0161:    Front abuts stile:TRUE       Back abuts stile:FALSE          Panel Section: WHOLE           Stile in the back Width:            Cutout A:           Cutout B:      F.C.:4.5 in.         C.C.:1 in.   </v>
      </c>
      <c r="R134" t="str">
        <f t="shared" si="10"/>
        <v>TRUE</v>
      </c>
      <c r="S134" t="str">
        <f t="shared" si="9"/>
        <v>FALSE</v>
      </c>
    </row>
    <row r="135" spans="1:19" hidden="1">
      <c r="A135" t="s">
        <v>295</v>
      </c>
      <c r="B135" s="14" t="s">
        <v>144</v>
      </c>
      <c r="C135" s="14" t="s">
        <v>21</v>
      </c>
      <c r="D135" s="14">
        <v>1</v>
      </c>
      <c r="E135" s="14">
        <v>1</v>
      </c>
      <c r="F135" s="14">
        <v>1</v>
      </c>
      <c r="G135" s="14">
        <v>0</v>
      </c>
      <c r="H135" s="14">
        <v>12</v>
      </c>
      <c r="I135" s="8" t="s">
        <v>145</v>
      </c>
      <c r="J135" s="8" t="s">
        <v>38</v>
      </c>
      <c r="K135">
        <v>105.5625</v>
      </c>
      <c r="L135">
        <v>78.8125</v>
      </c>
      <c r="M135" s="14">
        <v>12</v>
      </c>
      <c r="N135" s="14">
        <v>2.1875</v>
      </c>
      <c r="Q135" t="str">
        <f t="shared" ref="Q135:Q198" si="11">A135&amp;":    Front abuts stile:"&amp;R135&amp;"       Back abuts stile:"&amp;S135&amp;"          Panel Section: "&amp;C135&amp;"           Stile in the back Width: "&amp;H135&amp;"           Cutout A: "&amp;I135&amp;"          Cutout B:"&amp;J135&amp;"      F.C.:"&amp;M135&amp;" in. "&amp;"        C.C.:"&amp;N135&amp;" in. "&amp;"  "</f>
        <v xml:space="preserve">XX8X_PV_0162:    Front abuts stile:TRUE       Back abuts stile:TRUE          Panel Section: WHOLE           Stile in the back Width: 12           Cutout A: B-347          Cutout B:      F.C.:12 in.         C.C.:2.1875 in.   </v>
      </c>
      <c r="R135" t="str">
        <f t="shared" si="10"/>
        <v>TRUE</v>
      </c>
      <c r="S135" t="str">
        <f t="shared" si="9"/>
        <v>TRUE</v>
      </c>
    </row>
    <row r="136" spans="1:19" hidden="1">
      <c r="A136" t="s">
        <v>296</v>
      </c>
      <c r="B136" s="14" t="s">
        <v>144</v>
      </c>
      <c r="C136" s="14" t="s">
        <v>21</v>
      </c>
      <c r="D136" s="14">
        <v>1</v>
      </c>
      <c r="E136" s="14">
        <v>1</v>
      </c>
      <c r="F136" s="14">
        <v>1</v>
      </c>
      <c r="G136" s="14">
        <v>0</v>
      </c>
      <c r="H136" s="14">
        <v>24</v>
      </c>
      <c r="I136" s="8" t="s">
        <v>120</v>
      </c>
      <c r="J136" s="8" t="s">
        <v>38</v>
      </c>
      <c r="K136">
        <v>51.0625</v>
      </c>
      <c r="L136">
        <v>34.6875</v>
      </c>
      <c r="M136" s="14">
        <v>1.8125</v>
      </c>
      <c r="N136" s="14">
        <v>1.375</v>
      </c>
      <c r="Q136" t="str">
        <f t="shared" si="11"/>
        <v xml:space="preserve">XX8X_PV_0163:    Front abuts stile:TRUE       Back abuts stile:TRUE          Panel Section: WHOLE           Stile in the back Width: 24           Cutout A: B-386          Cutout B:      F.C.:1.8125 in.         C.C.:1.375 in.   </v>
      </c>
      <c r="R136" t="str">
        <f t="shared" si="10"/>
        <v>TRUE</v>
      </c>
      <c r="S136" t="str">
        <f t="shared" si="9"/>
        <v>TRUE</v>
      </c>
    </row>
    <row r="137" spans="1:19" hidden="1">
      <c r="A137" t="s">
        <v>297</v>
      </c>
      <c r="B137" s="14" t="s">
        <v>144</v>
      </c>
      <c r="C137" s="14" t="s">
        <v>21</v>
      </c>
      <c r="D137" s="14">
        <v>1</v>
      </c>
      <c r="E137" s="14">
        <v>1</v>
      </c>
      <c r="F137" s="14">
        <v>1</v>
      </c>
      <c r="G137" s="14">
        <v>0</v>
      </c>
      <c r="H137" s="14"/>
      <c r="I137" s="8" t="s">
        <v>148</v>
      </c>
      <c r="J137" s="8" t="s">
        <v>38</v>
      </c>
      <c r="K137">
        <v>100.5625</v>
      </c>
      <c r="L137">
        <v>53.125</v>
      </c>
      <c r="M137" s="14">
        <v>10.375</v>
      </c>
      <c r="N137" s="14">
        <v>1</v>
      </c>
      <c r="Q137" t="str">
        <f t="shared" si="11"/>
        <v xml:space="preserve">XX8X_PV_0164:    Front abuts stile:TRUE       Back abuts stile:TRUE          Panel Section: WHOLE           Stile in the back Width:            Cutout A: B-3471          Cutout B:      F.C.:10.375 in.         C.C.:1 in.   </v>
      </c>
      <c r="R137" t="str">
        <f t="shared" si="10"/>
        <v>TRUE</v>
      </c>
      <c r="S137" t="str">
        <f t="shared" si="9"/>
        <v>TRUE</v>
      </c>
    </row>
    <row r="138" spans="1:19" hidden="1">
      <c r="A138" t="s">
        <v>298</v>
      </c>
      <c r="B138" s="14" t="s">
        <v>144</v>
      </c>
      <c r="C138" s="14" t="s">
        <v>21</v>
      </c>
      <c r="D138" s="14">
        <v>1</v>
      </c>
      <c r="E138" s="14">
        <v>1</v>
      </c>
      <c r="F138" s="14">
        <v>1</v>
      </c>
      <c r="G138" s="14">
        <v>1</v>
      </c>
      <c r="H138" s="14"/>
      <c r="I138" s="8" t="s">
        <v>151</v>
      </c>
      <c r="J138" s="8" t="s">
        <v>38</v>
      </c>
      <c r="K138">
        <v>48.125</v>
      </c>
      <c r="L138">
        <v>49.8125</v>
      </c>
      <c r="M138" s="14">
        <v>9</v>
      </c>
      <c r="N138" s="14">
        <v>1</v>
      </c>
      <c r="Q138" t="str">
        <f t="shared" si="11"/>
        <v xml:space="preserve">XX8X_PV_0165:    Front abuts stile:TRUE       Back abuts stile:TRUE          Panel Section: WHOLE           Stile in the back Width:            Cutout A: B-35715          Cutout B:      F.C.:9 in.         C.C.:1 in.   </v>
      </c>
      <c r="R138" t="str">
        <f t="shared" si="10"/>
        <v>TRUE</v>
      </c>
      <c r="S138" t="str">
        <f t="shared" si="9"/>
        <v>TRUE</v>
      </c>
    </row>
    <row r="139" spans="1:19" hidden="1">
      <c r="A139" t="s">
        <v>299</v>
      </c>
      <c r="B139" s="14" t="s">
        <v>144</v>
      </c>
      <c r="C139" s="14" t="s">
        <v>156</v>
      </c>
      <c r="D139" s="19">
        <v>0</v>
      </c>
      <c r="E139" s="19"/>
      <c r="F139" s="19">
        <v>0</v>
      </c>
      <c r="G139" s="19"/>
      <c r="H139" s="14"/>
      <c r="I139" s="8" t="s">
        <v>38</v>
      </c>
      <c r="J139" s="8" t="s">
        <v>38</v>
      </c>
      <c r="K139">
        <v>29.125</v>
      </c>
      <c r="L139">
        <v>71.5</v>
      </c>
      <c r="M139" s="14">
        <v>9</v>
      </c>
      <c r="N139" s="14">
        <v>7.5625</v>
      </c>
      <c r="Q139" t="str">
        <f t="shared" si="11"/>
        <v xml:space="preserve">XX8X_PV_0181:    Front abuts stile:FALSE       Back abuts stile:FALSE          Panel Section: TOP           Stile in the back Width:            Cutout A:           Cutout B:      F.C.:9 in.         C.C.:7.5625 in.   </v>
      </c>
      <c r="R139" t="str">
        <f t="shared" si="10"/>
        <v>FALSE</v>
      </c>
      <c r="S139" t="str">
        <f t="shared" si="9"/>
        <v>FALSE</v>
      </c>
    </row>
    <row r="140" spans="1:19" hidden="1">
      <c r="A140" t="s">
        <v>300</v>
      </c>
      <c r="B140" s="14" t="s">
        <v>144</v>
      </c>
      <c r="C140" s="14" t="s">
        <v>156</v>
      </c>
      <c r="D140" s="14">
        <v>0</v>
      </c>
      <c r="E140" s="14"/>
      <c r="F140" s="14">
        <v>1</v>
      </c>
      <c r="G140" s="14">
        <v>0</v>
      </c>
      <c r="H140" s="14">
        <v>12</v>
      </c>
      <c r="I140" s="8" t="s">
        <v>151</v>
      </c>
      <c r="J140" s="8" t="s">
        <v>38</v>
      </c>
      <c r="K140">
        <v>43.0625</v>
      </c>
      <c r="L140">
        <v>25.875</v>
      </c>
      <c r="M140" s="14">
        <v>1</v>
      </c>
      <c r="N140" s="14">
        <v>3.8125</v>
      </c>
      <c r="Q140" t="str">
        <f t="shared" si="11"/>
        <v xml:space="preserve">XX8X_PV_0182:    Front abuts stile:FALSE       Back abuts stile:TRUE          Panel Section: TOP           Stile in the back Width: 12           Cutout A: B-35715          Cutout B:      F.C.:1 in.         C.C.:3.8125 in.   </v>
      </c>
      <c r="R140" t="str">
        <f t="shared" si="10"/>
        <v>FALSE</v>
      </c>
      <c r="S140" t="str">
        <f t="shared" si="9"/>
        <v>TRUE</v>
      </c>
    </row>
    <row r="141" spans="1:19" hidden="1">
      <c r="A141" t="s">
        <v>301</v>
      </c>
      <c r="B141" s="14" t="s">
        <v>144</v>
      </c>
      <c r="C141" s="14" t="s">
        <v>156</v>
      </c>
      <c r="D141" s="14">
        <v>0</v>
      </c>
      <c r="E141" s="14"/>
      <c r="F141" s="14">
        <v>1</v>
      </c>
      <c r="G141" s="14">
        <v>0</v>
      </c>
      <c r="H141" s="14">
        <v>24</v>
      </c>
      <c r="I141" s="8" t="s">
        <v>38</v>
      </c>
      <c r="J141" s="8" t="s">
        <v>38</v>
      </c>
      <c r="K141">
        <v>14.5625</v>
      </c>
      <c r="L141">
        <v>72.75</v>
      </c>
      <c r="M141" s="14">
        <v>2</v>
      </c>
      <c r="N141" s="14">
        <v>5.25</v>
      </c>
      <c r="Q141" t="str">
        <f t="shared" si="11"/>
        <v xml:space="preserve">XX8X_PV_0183:    Front abuts stile:FALSE       Back abuts stile:TRUE          Panel Section: TOP           Stile in the back Width: 24           Cutout A:           Cutout B:      F.C.:2 in.         C.C.:5.25 in.   </v>
      </c>
      <c r="R141" t="str">
        <f t="shared" si="10"/>
        <v>FALSE</v>
      </c>
      <c r="S141" t="str">
        <f t="shared" si="9"/>
        <v>TRUE</v>
      </c>
    </row>
    <row r="142" spans="1:19" hidden="1">
      <c r="A142" t="s">
        <v>302</v>
      </c>
      <c r="B142" s="14" t="s">
        <v>144</v>
      </c>
      <c r="C142" s="14" t="s">
        <v>156</v>
      </c>
      <c r="D142" s="14">
        <v>0</v>
      </c>
      <c r="E142" s="14"/>
      <c r="F142" s="14">
        <v>1</v>
      </c>
      <c r="G142" s="14">
        <v>0</v>
      </c>
      <c r="H142" s="14"/>
      <c r="I142" s="8" t="s">
        <v>145</v>
      </c>
      <c r="J142" s="8" t="s">
        <v>38</v>
      </c>
      <c r="K142">
        <v>20.8125</v>
      </c>
      <c r="L142">
        <v>16.8125</v>
      </c>
      <c r="M142" s="14">
        <v>4.5</v>
      </c>
      <c r="N142" s="14">
        <v>2.625</v>
      </c>
      <c r="Q142" t="str">
        <f t="shared" si="11"/>
        <v xml:space="preserve">XX8X_PV_0184:    Front abuts stile:FALSE       Back abuts stile:TRUE          Panel Section: TOP           Stile in the back Width:            Cutout A: B-347          Cutout B:      F.C.:4.5 in.         C.C.:2.625 in.   </v>
      </c>
      <c r="R142" t="str">
        <f t="shared" si="10"/>
        <v>FALSE</v>
      </c>
      <c r="S142" t="str">
        <f t="shared" si="9"/>
        <v>TRUE</v>
      </c>
    </row>
    <row r="143" spans="1:19" hidden="1">
      <c r="A143" t="s">
        <v>303</v>
      </c>
      <c r="B143" s="14" t="s">
        <v>144</v>
      </c>
      <c r="C143" s="14" t="s">
        <v>156</v>
      </c>
      <c r="D143" s="14">
        <v>0</v>
      </c>
      <c r="E143" s="14"/>
      <c r="F143" s="14">
        <v>1</v>
      </c>
      <c r="G143" s="14">
        <v>1</v>
      </c>
      <c r="H143" s="14"/>
      <c r="I143" s="8" t="s">
        <v>120</v>
      </c>
      <c r="J143" s="8" t="s">
        <v>38</v>
      </c>
      <c r="K143">
        <v>26.125</v>
      </c>
      <c r="L143">
        <v>21.6875</v>
      </c>
      <c r="M143" s="14">
        <v>9</v>
      </c>
      <c r="N143" s="14">
        <v>7.5625</v>
      </c>
      <c r="Q143" t="str">
        <f t="shared" si="11"/>
        <v xml:space="preserve">XX8X_PV_0185:    Front abuts stile:FALSE       Back abuts stile:TRUE          Panel Section: TOP           Stile in the back Width:            Cutout A: B-386          Cutout B:      F.C.:9 in.         C.C.:7.5625 in.   </v>
      </c>
      <c r="R143" t="str">
        <f t="shared" si="10"/>
        <v>FALSE</v>
      </c>
      <c r="S143" t="str">
        <f t="shared" si="9"/>
        <v>TRUE</v>
      </c>
    </row>
    <row r="144" spans="1:19" hidden="1">
      <c r="A144" t="s">
        <v>304</v>
      </c>
      <c r="B144" s="14" t="s">
        <v>144</v>
      </c>
      <c r="C144" s="14" t="s">
        <v>156</v>
      </c>
      <c r="D144" s="14">
        <v>1</v>
      </c>
      <c r="E144" s="14">
        <v>0</v>
      </c>
      <c r="F144" s="14">
        <v>0</v>
      </c>
      <c r="G144" s="14"/>
      <c r="H144" s="14"/>
      <c r="I144" s="8" t="s">
        <v>150</v>
      </c>
      <c r="J144" s="8" t="s">
        <v>38</v>
      </c>
      <c r="K144">
        <v>4.9375</v>
      </c>
      <c r="L144">
        <v>45</v>
      </c>
      <c r="M144" s="14">
        <v>9</v>
      </c>
      <c r="N144" s="14">
        <v>4.8125</v>
      </c>
      <c r="Q144" t="str">
        <f t="shared" si="11"/>
        <v xml:space="preserve">XX8X_PV_0186:    Front abuts stile:TRUE       Back abuts stile:FALSE          Panel Section: TOP           Stile in the back Width:            Cutout A: B-3571          Cutout B:      F.C.:9 in.         C.C.:4.8125 in.   </v>
      </c>
      <c r="R144" t="str">
        <f t="shared" si="10"/>
        <v>TRUE</v>
      </c>
      <c r="S144" t="str">
        <f t="shared" si="9"/>
        <v>FALSE</v>
      </c>
    </row>
    <row r="145" spans="1:19" hidden="1">
      <c r="A145" t="s">
        <v>305</v>
      </c>
      <c r="B145" s="14" t="s">
        <v>144</v>
      </c>
      <c r="C145" s="14" t="s">
        <v>156</v>
      </c>
      <c r="D145" s="14">
        <v>1</v>
      </c>
      <c r="E145" s="14">
        <v>0</v>
      </c>
      <c r="F145" s="14">
        <v>1</v>
      </c>
      <c r="G145" s="14">
        <v>0</v>
      </c>
      <c r="H145" s="14">
        <v>12</v>
      </c>
      <c r="I145" s="8" t="s">
        <v>38</v>
      </c>
      <c r="J145" s="8" t="s">
        <v>38</v>
      </c>
      <c r="K145">
        <v>33.6875</v>
      </c>
      <c r="L145">
        <v>69.0625</v>
      </c>
      <c r="M145" s="14">
        <v>12</v>
      </c>
      <c r="N145" s="14">
        <v>3.5625</v>
      </c>
      <c r="Q145" t="str">
        <f t="shared" si="11"/>
        <v xml:space="preserve">XX8X_PV_0187:    Front abuts stile:TRUE       Back abuts stile:TRUE          Panel Section: TOP           Stile in the back Width: 12           Cutout A:           Cutout B:      F.C.:12 in.         C.C.:3.5625 in.   </v>
      </c>
      <c r="R145" t="str">
        <f t="shared" si="10"/>
        <v>TRUE</v>
      </c>
      <c r="S145" t="str">
        <f t="shared" si="9"/>
        <v>TRUE</v>
      </c>
    </row>
    <row r="146" spans="1:19" hidden="1">
      <c r="A146" t="s">
        <v>306</v>
      </c>
      <c r="B146" s="14" t="s">
        <v>144</v>
      </c>
      <c r="C146" s="14" t="s">
        <v>156</v>
      </c>
      <c r="D146" s="14">
        <v>1</v>
      </c>
      <c r="E146" s="14">
        <v>0</v>
      </c>
      <c r="F146" s="14">
        <v>1</v>
      </c>
      <c r="G146" s="14">
        <v>0</v>
      </c>
      <c r="H146" s="14">
        <v>24</v>
      </c>
      <c r="I146" s="8" t="s">
        <v>38</v>
      </c>
      <c r="J146" s="8" t="s">
        <v>38</v>
      </c>
      <c r="K146">
        <v>20.1875</v>
      </c>
      <c r="L146">
        <v>53.0625</v>
      </c>
      <c r="M146" s="14">
        <v>1.375</v>
      </c>
      <c r="N146" s="14">
        <v>3.75</v>
      </c>
      <c r="Q146" t="str">
        <f t="shared" si="11"/>
        <v xml:space="preserve">XX8X_PV_0188:    Front abuts stile:TRUE       Back abuts stile:TRUE          Panel Section: TOP           Stile in the back Width: 24           Cutout A:           Cutout B:      F.C.:1.375 in.         C.C.:3.75 in.   </v>
      </c>
      <c r="R146" t="str">
        <f t="shared" si="10"/>
        <v>TRUE</v>
      </c>
      <c r="S146" t="str">
        <f t="shared" ref="S146:S209" si="12">IF(F146=1, "TRUE", "FALSE")</f>
        <v>TRUE</v>
      </c>
    </row>
    <row r="147" spans="1:19" hidden="1">
      <c r="A147" t="s">
        <v>307</v>
      </c>
      <c r="B147" s="14" t="s">
        <v>144</v>
      </c>
      <c r="C147" s="14" t="s">
        <v>156</v>
      </c>
      <c r="D147" s="14">
        <v>1</v>
      </c>
      <c r="E147" s="14">
        <v>0</v>
      </c>
      <c r="F147" s="14">
        <v>1</v>
      </c>
      <c r="G147" s="14">
        <v>0</v>
      </c>
      <c r="H147" s="14"/>
      <c r="I147" s="8" t="s">
        <v>120</v>
      </c>
      <c r="J147" s="8" t="s">
        <v>38</v>
      </c>
      <c r="K147">
        <v>48.8125</v>
      </c>
      <c r="L147">
        <v>17.9375</v>
      </c>
      <c r="M147" s="14">
        <v>3.3125</v>
      </c>
      <c r="N147" s="14">
        <v>7.375</v>
      </c>
      <c r="Q147" t="str">
        <f t="shared" si="11"/>
        <v xml:space="preserve">XX8X_PV_0189:    Front abuts stile:TRUE       Back abuts stile:TRUE          Panel Section: TOP           Stile in the back Width:            Cutout A: B-386          Cutout B:      F.C.:3.3125 in.         C.C.:7.375 in.   </v>
      </c>
      <c r="R147" t="str">
        <f t="shared" si="10"/>
        <v>TRUE</v>
      </c>
      <c r="S147" t="str">
        <f t="shared" si="12"/>
        <v>TRUE</v>
      </c>
    </row>
    <row r="148" spans="1:19" hidden="1">
      <c r="A148" t="s">
        <v>308</v>
      </c>
      <c r="B148" s="14" t="s">
        <v>144</v>
      </c>
      <c r="C148" s="14" t="s">
        <v>156</v>
      </c>
      <c r="D148" s="14">
        <v>1</v>
      </c>
      <c r="E148" s="14">
        <v>0</v>
      </c>
      <c r="F148" s="14">
        <v>1</v>
      </c>
      <c r="G148" s="14">
        <v>1</v>
      </c>
      <c r="H148" s="14"/>
      <c r="I148" s="8" t="s">
        <v>151</v>
      </c>
      <c r="J148" s="8" t="s">
        <v>38</v>
      </c>
      <c r="K148">
        <v>29.125</v>
      </c>
      <c r="L148">
        <v>60.125</v>
      </c>
      <c r="M148" s="14">
        <v>9</v>
      </c>
      <c r="N148" s="14">
        <v>1</v>
      </c>
      <c r="Q148" t="str">
        <f t="shared" si="11"/>
        <v xml:space="preserve">XX8X_PV_0190:    Front abuts stile:TRUE       Back abuts stile:TRUE          Panel Section: TOP           Stile in the back Width:            Cutout A: B-35715          Cutout B:      F.C.:9 in.         C.C.:1 in.   </v>
      </c>
      <c r="R148" t="str">
        <f t="shared" si="10"/>
        <v>TRUE</v>
      </c>
      <c r="S148" t="str">
        <f t="shared" si="12"/>
        <v>TRUE</v>
      </c>
    </row>
    <row r="149" spans="1:19" hidden="1">
      <c r="A149" t="s">
        <v>309</v>
      </c>
      <c r="B149" s="14" t="s">
        <v>144</v>
      </c>
      <c r="C149" s="14" t="s">
        <v>156</v>
      </c>
      <c r="D149" s="14">
        <v>1</v>
      </c>
      <c r="E149" s="14">
        <v>1</v>
      </c>
      <c r="F149" s="14">
        <v>0</v>
      </c>
      <c r="G149" s="14"/>
      <c r="H149" s="14"/>
      <c r="I149" s="8" t="s">
        <v>121</v>
      </c>
      <c r="J149" s="8" t="s">
        <v>38</v>
      </c>
      <c r="K149">
        <v>6.4375</v>
      </c>
      <c r="L149">
        <v>65.25</v>
      </c>
      <c r="M149" s="14">
        <v>9</v>
      </c>
      <c r="N149" s="14">
        <v>5.6875</v>
      </c>
      <c r="Q149" t="str">
        <f t="shared" si="11"/>
        <v xml:space="preserve">XX8X_PV_0191:    Front abuts stile:TRUE       Back abuts stile:FALSE          Panel Section: TOP           Stile in the back Width:            Cutout A: B-4354          Cutout B:      F.C.:9 in.         C.C.:5.6875 in.   </v>
      </c>
      <c r="R149" t="str">
        <f t="shared" si="10"/>
        <v>TRUE</v>
      </c>
      <c r="S149" t="str">
        <f t="shared" si="12"/>
        <v>FALSE</v>
      </c>
    </row>
    <row r="150" spans="1:19" hidden="1">
      <c r="A150" t="s">
        <v>310</v>
      </c>
      <c r="B150" s="14" t="s">
        <v>144</v>
      </c>
      <c r="C150" s="14" t="s">
        <v>156</v>
      </c>
      <c r="D150" s="14">
        <v>1</v>
      </c>
      <c r="E150" s="14">
        <v>1</v>
      </c>
      <c r="F150" s="14">
        <v>1</v>
      </c>
      <c r="G150" s="14">
        <v>0</v>
      </c>
      <c r="H150" s="14">
        <v>12</v>
      </c>
      <c r="I150" s="8" t="s">
        <v>145</v>
      </c>
      <c r="J150" s="8" t="s">
        <v>38</v>
      </c>
      <c r="K150">
        <v>23.4375</v>
      </c>
      <c r="L150">
        <v>76.25</v>
      </c>
      <c r="M150" s="14">
        <v>11.625</v>
      </c>
      <c r="N150" s="14">
        <v>6.4375</v>
      </c>
      <c r="Q150" t="str">
        <f t="shared" si="11"/>
        <v xml:space="preserve">XX8X_PV_0192:    Front abuts stile:TRUE       Back abuts stile:TRUE          Panel Section: TOP           Stile in the back Width: 12           Cutout A: B-347          Cutout B:      F.C.:11.625 in.         C.C.:6.4375 in.   </v>
      </c>
      <c r="R150" t="str">
        <f t="shared" si="10"/>
        <v>TRUE</v>
      </c>
      <c r="S150" t="str">
        <f t="shared" si="12"/>
        <v>TRUE</v>
      </c>
    </row>
    <row r="151" spans="1:19" hidden="1">
      <c r="A151" t="s">
        <v>311</v>
      </c>
      <c r="B151" s="14" t="s">
        <v>144</v>
      </c>
      <c r="C151" s="14" t="s">
        <v>156</v>
      </c>
      <c r="D151" s="14">
        <v>1</v>
      </c>
      <c r="E151" s="14">
        <v>1</v>
      </c>
      <c r="F151" s="14">
        <v>1</v>
      </c>
      <c r="G151" s="14">
        <v>0</v>
      </c>
      <c r="H151" s="14">
        <v>24</v>
      </c>
      <c r="I151" s="8" t="s">
        <v>38</v>
      </c>
      <c r="J151" s="8" t="s">
        <v>38</v>
      </c>
      <c r="K151">
        <v>47</v>
      </c>
      <c r="L151">
        <v>53.0625</v>
      </c>
      <c r="M151" s="14">
        <v>3.875</v>
      </c>
      <c r="N151" s="14">
        <v>1</v>
      </c>
      <c r="Q151" t="str">
        <f t="shared" si="11"/>
        <v xml:space="preserve">XX8X_PV_0193:    Front abuts stile:TRUE       Back abuts stile:TRUE          Panel Section: TOP           Stile in the back Width: 24           Cutout A:           Cutout B:      F.C.:3.875 in.         C.C.:1 in.   </v>
      </c>
      <c r="R151" t="str">
        <f t="shared" si="10"/>
        <v>TRUE</v>
      </c>
      <c r="S151" t="str">
        <f t="shared" si="12"/>
        <v>TRUE</v>
      </c>
    </row>
    <row r="152" spans="1:19" hidden="1">
      <c r="A152" t="s">
        <v>312</v>
      </c>
      <c r="B152" s="14" t="s">
        <v>144</v>
      </c>
      <c r="C152" s="14" t="s">
        <v>156</v>
      </c>
      <c r="D152" s="14">
        <v>1</v>
      </c>
      <c r="E152" s="14">
        <v>1</v>
      </c>
      <c r="F152" s="14">
        <v>1</v>
      </c>
      <c r="G152" s="14">
        <v>0</v>
      </c>
      <c r="H152" s="14"/>
      <c r="I152" s="8" t="s">
        <v>38</v>
      </c>
      <c r="J152" s="8" t="s">
        <v>38</v>
      </c>
      <c r="K152">
        <v>16.1875</v>
      </c>
      <c r="L152">
        <v>27.5625</v>
      </c>
      <c r="M152" s="14">
        <v>4.5</v>
      </c>
      <c r="N152" s="14">
        <v>1</v>
      </c>
      <c r="Q152" t="str">
        <f t="shared" si="11"/>
        <v xml:space="preserve">XX8X_PV_0194:    Front abuts stile:TRUE       Back abuts stile:TRUE          Panel Section: TOP           Stile in the back Width:            Cutout A:           Cutout B:      F.C.:4.5 in.         C.C.:1 in.   </v>
      </c>
      <c r="R152" t="str">
        <f t="shared" si="10"/>
        <v>TRUE</v>
      </c>
      <c r="S152" t="str">
        <f t="shared" si="12"/>
        <v>TRUE</v>
      </c>
    </row>
    <row r="153" spans="1:19" hidden="1">
      <c r="A153" t="s">
        <v>313</v>
      </c>
      <c r="B153" s="14" t="s">
        <v>144</v>
      </c>
      <c r="C153" s="14" t="s">
        <v>156</v>
      </c>
      <c r="D153" s="14">
        <v>1</v>
      </c>
      <c r="E153" s="14">
        <v>1</v>
      </c>
      <c r="F153" s="14">
        <v>1</v>
      </c>
      <c r="G153" s="14">
        <v>1</v>
      </c>
      <c r="H153" s="14"/>
      <c r="I153" s="8" t="s">
        <v>151</v>
      </c>
      <c r="J153" s="8" t="s">
        <v>38</v>
      </c>
      <c r="K153">
        <v>47.125</v>
      </c>
      <c r="L153">
        <v>79.125</v>
      </c>
      <c r="M153" s="14">
        <v>4.5</v>
      </c>
      <c r="N153" s="14">
        <v>3.875</v>
      </c>
      <c r="Q153" t="str">
        <f t="shared" si="11"/>
        <v xml:space="preserve">XX8X_PV_0195:    Front abuts stile:TRUE       Back abuts stile:TRUE          Panel Section: TOP           Stile in the back Width:            Cutout A: B-35715          Cutout B:      F.C.:4.5 in.         C.C.:3.875 in.   </v>
      </c>
      <c r="R153" t="str">
        <f t="shared" si="10"/>
        <v>TRUE</v>
      </c>
      <c r="S153" t="str">
        <f t="shared" si="12"/>
        <v>TRUE</v>
      </c>
    </row>
    <row r="154" spans="1:19" hidden="1">
      <c r="A154" t="s">
        <v>314</v>
      </c>
      <c r="B154" s="14" t="s">
        <v>144</v>
      </c>
      <c r="C154" s="14" t="s">
        <v>157</v>
      </c>
      <c r="D154" s="14">
        <v>0</v>
      </c>
      <c r="E154" s="14"/>
      <c r="F154" s="14">
        <v>0</v>
      </c>
      <c r="G154" s="14"/>
      <c r="H154" s="14"/>
      <c r="I154" s="8" t="s">
        <v>120</v>
      </c>
      <c r="J154" s="8" t="s">
        <v>119</v>
      </c>
      <c r="K154">
        <v>60</v>
      </c>
      <c r="L154">
        <v>63.4375</v>
      </c>
      <c r="M154" s="14">
        <v>5.0625</v>
      </c>
      <c r="N154" s="14">
        <v>4.8125</v>
      </c>
      <c r="Q154" t="str">
        <f t="shared" si="11"/>
        <v xml:space="preserve">XX8X_PV_0211:    Front abuts stile:FALSE       Back abuts stile:FALSE          Panel Section: BOTTOM           Stile in the back Width:            Cutout A: B-386          Cutout B:B-354      F.C.:5.0625 in.         C.C.:4.8125 in.   </v>
      </c>
      <c r="R154" t="str">
        <f t="shared" si="10"/>
        <v>FALSE</v>
      </c>
      <c r="S154" t="str">
        <f t="shared" si="12"/>
        <v>FALSE</v>
      </c>
    </row>
    <row r="155" spans="1:19">
      <c r="A155" t="s">
        <v>315</v>
      </c>
      <c r="B155" s="14" t="s">
        <v>143</v>
      </c>
      <c r="C155" s="14" t="s">
        <v>157</v>
      </c>
      <c r="D155" s="14">
        <v>0</v>
      </c>
      <c r="E155" s="14"/>
      <c r="F155" s="14">
        <v>1</v>
      </c>
      <c r="G155" s="14">
        <v>0</v>
      </c>
      <c r="H155" s="14">
        <v>12</v>
      </c>
      <c r="I155" s="8" t="s">
        <v>120</v>
      </c>
      <c r="J155" s="8" t="s">
        <v>38</v>
      </c>
      <c r="K155">
        <v>60</v>
      </c>
      <c r="L155">
        <v>24.5</v>
      </c>
      <c r="M155" s="14">
        <v>4.5</v>
      </c>
      <c r="N155" s="14">
        <v>1</v>
      </c>
      <c r="Q155" t="str">
        <f t="shared" si="11"/>
        <v xml:space="preserve">XX8X_PV_0212:    Front abuts stile:FALSE       Back abuts stile:TRUE          Panel Section: BOTTOM           Stile in the back Width: 12           Cutout A: B-386          Cutout B:      F.C.:4.5 in.         C.C.:1 in.   </v>
      </c>
      <c r="R155" t="str">
        <f t="shared" si="10"/>
        <v>FALSE</v>
      </c>
      <c r="S155" t="str">
        <f t="shared" si="12"/>
        <v>TRUE</v>
      </c>
    </row>
    <row r="156" spans="1:19" hidden="1">
      <c r="A156" t="s">
        <v>316</v>
      </c>
      <c r="B156" s="14" t="s">
        <v>144</v>
      </c>
      <c r="C156" s="14" t="s">
        <v>157</v>
      </c>
      <c r="D156" s="14">
        <v>0</v>
      </c>
      <c r="E156" s="14"/>
      <c r="F156" s="14">
        <v>1</v>
      </c>
      <c r="G156" s="14">
        <v>0</v>
      </c>
      <c r="H156" s="14">
        <v>24</v>
      </c>
      <c r="I156" s="8" t="s">
        <v>120</v>
      </c>
      <c r="J156" s="8" t="s">
        <v>38</v>
      </c>
      <c r="K156">
        <v>60</v>
      </c>
      <c r="L156">
        <v>38.875</v>
      </c>
      <c r="M156" s="14">
        <v>1</v>
      </c>
      <c r="N156" s="14">
        <v>1</v>
      </c>
      <c r="Q156" t="str">
        <f t="shared" si="11"/>
        <v xml:space="preserve">XX8X_PV_0213:    Front abuts stile:FALSE       Back abuts stile:TRUE          Panel Section: BOTTOM           Stile in the back Width: 24           Cutout A: B-386          Cutout B:      F.C.:1 in.         C.C.:1 in.   </v>
      </c>
      <c r="R156" t="str">
        <f t="shared" si="10"/>
        <v>FALSE</v>
      </c>
      <c r="S156" t="str">
        <f t="shared" si="12"/>
        <v>TRUE</v>
      </c>
    </row>
    <row r="157" spans="1:19">
      <c r="A157" t="s">
        <v>317</v>
      </c>
      <c r="B157" s="14" t="s">
        <v>143</v>
      </c>
      <c r="C157" s="14" t="s">
        <v>157</v>
      </c>
      <c r="D157" s="14">
        <v>0</v>
      </c>
      <c r="E157" s="14"/>
      <c r="F157" s="14">
        <v>1</v>
      </c>
      <c r="G157" s="14">
        <v>0</v>
      </c>
      <c r="H157" s="14"/>
      <c r="I157" s="8" t="s">
        <v>120</v>
      </c>
      <c r="J157" s="8" t="s">
        <v>119</v>
      </c>
      <c r="K157">
        <v>60</v>
      </c>
      <c r="L157">
        <v>21.75</v>
      </c>
      <c r="M157" s="14">
        <v>4.5</v>
      </c>
      <c r="N157" s="14">
        <v>3.4375</v>
      </c>
      <c r="Q157" t="str">
        <f t="shared" si="11"/>
        <v xml:space="preserve">XX8X_PV_0214:    Front abuts stile:FALSE       Back abuts stile:TRUE          Panel Section: BOTTOM           Stile in the back Width:            Cutout A: B-386          Cutout B:B-354      F.C.:4.5 in.         C.C.:3.4375 in.   </v>
      </c>
      <c r="R157" t="str">
        <f t="shared" si="10"/>
        <v>FALSE</v>
      </c>
      <c r="S157" t="str">
        <f t="shared" si="12"/>
        <v>TRUE</v>
      </c>
    </row>
    <row r="158" spans="1:19">
      <c r="A158" t="s">
        <v>318</v>
      </c>
      <c r="B158" s="14" t="s">
        <v>143</v>
      </c>
      <c r="C158" s="14" t="s">
        <v>157</v>
      </c>
      <c r="D158" s="14">
        <v>0</v>
      </c>
      <c r="E158" s="14"/>
      <c r="F158" s="14">
        <v>1</v>
      </c>
      <c r="G158" s="14">
        <v>1</v>
      </c>
      <c r="H158" s="14"/>
      <c r="I158" s="8" t="s">
        <v>120</v>
      </c>
      <c r="J158" s="8" t="s">
        <v>121</v>
      </c>
      <c r="K158">
        <v>60</v>
      </c>
      <c r="L158">
        <v>58.9375</v>
      </c>
      <c r="M158" s="14">
        <v>3.5</v>
      </c>
      <c r="N158" s="14">
        <v>3.5625</v>
      </c>
      <c r="Q158" t="str">
        <f t="shared" si="11"/>
        <v xml:space="preserve">XX8X_PV_0215:    Front abuts stile:FALSE       Back abuts stile:TRUE          Panel Section: BOTTOM           Stile in the back Width:            Cutout A: B-386          Cutout B:B-4354      F.C.:3.5 in.         C.C.:3.5625 in.   </v>
      </c>
      <c r="R158" t="str">
        <f t="shared" si="10"/>
        <v>FALSE</v>
      </c>
      <c r="S158" t="str">
        <f t="shared" si="12"/>
        <v>TRUE</v>
      </c>
    </row>
    <row r="159" spans="1:19" hidden="1">
      <c r="A159" t="s">
        <v>319</v>
      </c>
      <c r="B159" s="14" t="s">
        <v>144</v>
      </c>
      <c r="C159" s="14" t="s">
        <v>157</v>
      </c>
      <c r="D159" s="14">
        <v>1</v>
      </c>
      <c r="E159" s="14">
        <v>0</v>
      </c>
      <c r="F159" s="14">
        <v>0</v>
      </c>
      <c r="G159" s="14"/>
      <c r="H159" s="14"/>
      <c r="I159" s="8" t="s">
        <v>119</v>
      </c>
      <c r="J159" s="8" t="s">
        <v>120</v>
      </c>
      <c r="K159">
        <v>60</v>
      </c>
      <c r="L159">
        <v>55.75</v>
      </c>
      <c r="M159" s="14">
        <v>8.6875</v>
      </c>
      <c r="N159" s="14">
        <v>2.0625</v>
      </c>
      <c r="Q159" t="str">
        <f t="shared" si="11"/>
        <v xml:space="preserve">XX8X_PV_0216:    Front abuts stile:TRUE       Back abuts stile:FALSE          Panel Section: BOTTOM           Stile in the back Width:            Cutout A: B-354          Cutout B:B-386      F.C.:8.6875 in.         C.C.:2.0625 in.   </v>
      </c>
      <c r="R159" t="str">
        <f t="shared" si="10"/>
        <v>TRUE</v>
      </c>
      <c r="S159" t="str">
        <f t="shared" si="12"/>
        <v>FALSE</v>
      </c>
    </row>
    <row r="160" spans="1:19" hidden="1">
      <c r="A160" t="s">
        <v>320</v>
      </c>
      <c r="B160" s="14" t="s">
        <v>144</v>
      </c>
      <c r="C160" s="14" t="s">
        <v>157</v>
      </c>
      <c r="D160" s="14">
        <v>1</v>
      </c>
      <c r="E160" s="14">
        <v>0</v>
      </c>
      <c r="F160" s="14">
        <v>1</v>
      </c>
      <c r="G160" s="14">
        <v>0</v>
      </c>
      <c r="H160" s="14">
        <v>12</v>
      </c>
      <c r="I160" s="8" t="s">
        <v>38</v>
      </c>
      <c r="J160" s="8" t="s">
        <v>38</v>
      </c>
      <c r="K160">
        <v>60</v>
      </c>
      <c r="L160">
        <v>57.125</v>
      </c>
      <c r="M160" s="14">
        <v>9.375</v>
      </c>
      <c r="N160" s="14">
        <v>3.3125</v>
      </c>
      <c r="Q160" t="str">
        <f t="shared" si="11"/>
        <v xml:space="preserve">XX8X_PV_0217:    Front abuts stile:TRUE       Back abuts stile:TRUE          Panel Section: BOTTOM           Stile in the back Width: 12           Cutout A:           Cutout B:      F.C.:9.375 in.         C.C.:3.3125 in.   </v>
      </c>
      <c r="R160" t="str">
        <f t="shared" si="10"/>
        <v>TRUE</v>
      </c>
      <c r="S160" t="str">
        <f t="shared" si="12"/>
        <v>TRUE</v>
      </c>
    </row>
    <row r="161" spans="1:19" hidden="1">
      <c r="A161" t="s">
        <v>321</v>
      </c>
      <c r="B161" s="14" t="s">
        <v>144</v>
      </c>
      <c r="C161" s="14" t="s">
        <v>157</v>
      </c>
      <c r="D161" s="14">
        <v>1</v>
      </c>
      <c r="E161" s="14">
        <v>0</v>
      </c>
      <c r="F161" s="14">
        <v>1</v>
      </c>
      <c r="G161" s="14">
        <v>0</v>
      </c>
      <c r="H161" s="14">
        <v>24</v>
      </c>
      <c r="I161" s="8" t="s">
        <v>120</v>
      </c>
      <c r="J161" s="8" t="s">
        <v>38</v>
      </c>
      <c r="K161">
        <v>60</v>
      </c>
      <c r="L161">
        <v>66.4375</v>
      </c>
      <c r="M161" s="14">
        <v>1.3125</v>
      </c>
      <c r="N161" s="14">
        <v>7.625</v>
      </c>
      <c r="Q161" t="str">
        <f t="shared" si="11"/>
        <v xml:space="preserve">XX8X_PV_0218:    Front abuts stile:TRUE       Back abuts stile:TRUE          Panel Section: BOTTOM           Stile in the back Width: 24           Cutout A: B-386          Cutout B:      F.C.:1.3125 in.         C.C.:7.625 in.   </v>
      </c>
      <c r="R161" t="str">
        <f t="shared" si="10"/>
        <v>TRUE</v>
      </c>
      <c r="S161" t="str">
        <f t="shared" si="12"/>
        <v>TRUE</v>
      </c>
    </row>
    <row r="162" spans="1:19" hidden="1">
      <c r="A162" t="s">
        <v>322</v>
      </c>
      <c r="B162" s="14" t="s">
        <v>144</v>
      </c>
      <c r="C162" s="14" t="s">
        <v>157</v>
      </c>
      <c r="D162" s="14">
        <v>1</v>
      </c>
      <c r="E162" s="14">
        <v>0</v>
      </c>
      <c r="F162" s="14">
        <v>1</v>
      </c>
      <c r="G162" s="14">
        <v>0</v>
      </c>
      <c r="H162" s="14"/>
      <c r="I162" s="8" t="s">
        <v>38</v>
      </c>
      <c r="J162" s="8" t="s">
        <v>38</v>
      </c>
      <c r="K162">
        <v>60</v>
      </c>
      <c r="L162">
        <v>68.75</v>
      </c>
      <c r="M162" s="14">
        <v>9</v>
      </c>
      <c r="N162" s="14">
        <v>6</v>
      </c>
      <c r="Q162" t="str">
        <f t="shared" si="11"/>
        <v xml:space="preserve">XX8X_PV_0219:    Front abuts stile:TRUE       Back abuts stile:TRUE          Panel Section: BOTTOM           Stile in the back Width:            Cutout A:           Cutout B:      F.C.:9 in.         C.C.:6 in.   </v>
      </c>
      <c r="R162" t="str">
        <f t="shared" si="10"/>
        <v>TRUE</v>
      </c>
      <c r="S162" t="str">
        <f t="shared" si="12"/>
        <v>TRUE</v>
      </c>
    </row>
    <row r="163" spans="1:19" hidden="1">
      <c r="A163" t="s">
        <v>323</v>
      </c>
      <c r="B163" s="14" t="s">
        <v>144</v>
      </c>
      <c r="C163" s="14" t="s">
        <v>157</v>
      </c>
      <c r="D163" s="14">
        <v>1</v>
      </c>
      <c r="E163" s="14">
        <v>0</v>
      </c>
      <c r="F163" s="14">
        <v>1</v>
      </c>
      <c r="G163" s="14">
        <v>1</v>
      </c>
      <c r="H163" s="14"/>
      <c r="I163" s="8" t="s">
        <v>148</v>
      </c>
      <c r="J163" s="8" t="s">
        <v>38</v>
      </c>
      <c r="K163">
        <v>60</v>
      </c>
      <c r="L163">
        <v>40.0625</v>
      </c>
      <c r="M163" s="14">
        <v>3.625</v>
      </c>
      <c r="N163" s="14">
        <v>5.125</v>
      </c>
      <c r="Q163" t="str">
        <f t="shared" si="11"/>
        <v xml:space="preserve">XX8X_PV_0220:    Front abuts stile:TRUE       Back abuts stile:TRUE          Panel Section: BOTTOM           Stile in the back Width:            Cutout A: B-3471          Cutout B:      F.C.:3.625 in.         C.C.:5.125 in.   </v>
      </c>
      <c r="R163" t="str">
        <f t="shared" si="10"/>
        <v>TRUE</v>
      </c>
      <c r="S163" t="str">
        <f t="shared" si="12"/>
        <v>TRUE</v>
      </c>
    </row>
    <row r="164" spans="1:19" hidden="1">
      <c r="A164" t="s">
        <v>324</v>
      </c>
      <c r="B164" s="14" t="s">
        <v>144</v>
      </c>
      <c r="C164" s="14" t="s">
        <v>157</v>
      </c>
      <c r="D164" s="14">
        <v>1</v>
      </c>
      <c r="E164" s="14">
        <v>1</v>
      </c>
      <c r="F164" s="14">
        <v>0</v>
      </c>
      <c r="G164" s="14"/>
      <c r="H164" s="14"/>
      <c r="I164" s="8" t="s">
        <v>38</v>
      </c>
      <c r="J164" s="8" t="s">
        <v>38</v>
      </c>
      <c r="K164">
        <v>60</v>
      </c>
      <c r="L164">
        <v>67.375</v>
      </c>
      <c r="M164" s="14">
        <v>1</v>
      </c>
      <c r="N164" s="14">
        <v>7</v>
      </c>
      <c r="Q164" t="str">
        <f t="shared" si="11"/>
        <v xml:space="preserve">XX8X_PV_0221:    Front abuts stile:TRUE       Back abuts stile:FALSE          Panel Section: BOTTOM           Stile in the back Width:            Cutout A:           Cutout B:      F.C.:1 in.         C.C.:7 in.   </v>
      </c>
      <c r="R164" t="str">
        <f t="shared" si="10"/>
        <v>TRUE</v>
      </c>
      <c r="S164" t="str">
        <f t="shared" si="12"/>
        <v>FALSE</v>
      </c>
    </row>
    <row r="165" spans="1:19" hidden="1">
      <c r="A165" t="s">
        <v>325</v>
      </c>
      <c r="B165" s="14" t="s">
        <v>144</v>
      </c>
      <c r="C165" s="14" t="s">
        <v>157</v>
      </c>
      <c r="D165" s="14">
        <v>1</v>
      </c>
      <c r="E165" s="14">
        <v>1</v>
      </c>
      <c r="F165" s="14">
        <v>1</v>
      </c>
      <c r="G165" s="14">
        <v>0</v>
      </c>
      <c r="H165" s="14">
        <v>12</v>
      </c>
      <c r="I165" s="8" t="s">
        <v>38</v>
      </c>
      <c r="J165" s="8" t="s">
        <v>38</v>
      </c>
      <c r="K165">
        <v>60</v>
      </c>
      <c r="L165">
        <v>50.25</v>
      </c>
      <c r="M165" s="14">
        <v>3.375</v>
      </c>
      <c r="N165" s="14">
        <v>4.25</v>
      </c>
      <c r="Q165" t="str">
        <f t="shared" si="11"/>
        <v xml:space="preserve">XX8X_PV_0222:    Front abuts stile:TRUE       Back abuts stile:TRUE          Panel Section: BOTTOM           Stile in the back Width: 12           Cutout A:           Cutout B:      F.C.:3.375 in.         C.C.:4.25 in.   </v>
      </c>
      <c r="R165" t="str">
        <f t="shared" si="10"/>
        <v>TRUE</v>
      </c>
      <c r="S165" t="str">
        <f t="shared" si="12"/>
        <v>TRUE</v>
      </c>
    </row>
    <row r="166" spans="1:19" hidden="1">
      <c r="A166" t="s">
        <v>326</v>
      </c>
      <c r="B166" s="14" t="s">
        <v>144</v>
      </c>
      <c r="C166" s="14" t="s">
        <v>157</v>
      </c>
      <c r="D166" s="14">
        <v>1</v>
      </c>
      <c r="E166" s="14">
        <v>1</v>
      </c>
      <c r="F166" s="14">
        <v>1</v>
      </c>
      <c r="G166" s="14">
        <v>0</v>
      </c>
      <c r="H166" s="14">
        <v>24</v>
      </c>
      <c r="I166" s="8" t="s">
        <v>120</v>
      </c>
      <c r="J166" s="8" t="s">
        <v>38</v>
      </c>
      <c r="K166">
        <v>60</v>
      </c>
      <c r="L166">
        <v>38.6875</v>
      </c>
      <c r="M166" s="14">
        <v>3.4375</v>
      </c>
      <c r="N166" s="14">
        <v>2.75</v>
      </c>
      <c r="Q166" t="str">
        <f t="shared" si="11"/>
        <v xml:space="preserve">XX8X_PV_0223:    Front abuts stile:TRUE       Back abuts stile:TRUE          Panel Section: BOTTOM           Stile in the back Width: 24           Cutout A: B-386          Cutout B:      F.C.:3.4375 in.         C.C.:2.75 in.   </v>
      </c>
      <c r="R166" t="str">
        <f t="shared" si="10"/>
        <v>TRUE</v>
      </c>
      <c r="S166" t="str">
        <f t="shared" si="12"/>
        <v>TRUE</v>
      </c>
    </row>
    <row r="167" spans="1:19" hidden="1">
      <c r="A167" t="s">
        <v>327</v>
      </c>
      <c r="B167" s="14" t="s">
        <v>144</v>
      </c>
      <c r="C167" s="14" t="s">
        <v>157</v>
      </c>
      <c r="D167" s="14">
        <v>1</v>
      </c>
      <c r="E167" s="14">
        <v>1</v>
      </c>
      <c r="F167" s="14">
        <v>1</v>
      </c>
      <c r="G167" s="14">
        <v>0</v>
      </c>
      <c r="H167" s="14"/>
      <c r="I167" s="8" t="s">
        <v>38</v>
      </c>
      <c r="J167" s="8" t="s">
        <v>38</v>
      </c>
      <c r="K167">
        <v>60</v>
      </c>
      <c r="L167">
        <v>47.8125</v>
      </c>
      <c r="M167" s="14">
        <v>2.5625</v>
      </c>
      <c r="N167" s="14">
        <v>1</v>
      </c>
      <c r="Q167" t="str">
        <f t="shared" si="11"/>
        <v xml:space="preserve">XX8X_PV_0224:    Front abuts stile:TRUE       Back abuts stile:TRUE          Panel Section: BOTTOM           Stile in the back Width:            Cutout A:           Cutout B:      F.C.:2.5625 in.         C.C.:1 in.   </v>
      </c>
      <c r="R167" t="str">
        <f t="shared" si="10"/>
        <v>TRUE</v>
      </c>
      <c r="S167" t="str">
        <f t="shared" si="12"/>
        <v>TRUE</v>
      </c>
    </row>
    <row r="168" spans="1:19" hidden="1">
      <c r="A168" t="s">
        <v>328</v>
      </c>
      <c r="B168" s="14" t="s">
        <v>144</v>
      </c>
      <c r="C168" s="14" t="s">
        <v>157</v>
      </c>
      <c r="D168" s="14">
        <v>1</v>
      </c>
      <c r="E168" s="14">
        <v>1</v>
      </c>
      <c r="F168" s="14">
        <v>1</v>
      </c>
      <c r="G168" s="14">
        <v>1</v>
      </c>
      <c r="H168" s="14"/>
      <c r="I168" s="8" t="s">
        <v>151</v>
      </c>
      <c r="J168" s="8" t="s">
        <v>38</v>
      </c>
      <c r="K168">
        <v>60</v>
      </c>
      <c r="L168">
        <v>57.25</v>
      </c>
      <c r="M168" s="14">
        <v>4.5</v>
      </c>
      <c r="N168" s="14">
        <v>1</v>
      </c>
      <c r="Q168" t="str">
        <f t="shared" si="11"/>
        <v xml:space="preserve">XX8X_PV_0225:    Front abuts stile:TRUE       Back abuts stile:TRUE          Panel Section: BOTTOM           Stile in the back Width:            Cutout A: B-35715          Cutout B:      F.C.:4.5 in.         C.C.:1 in.   </v>
      </c>
      <c r="R168" t="str">
        <f t="shared" si="10"/>
        <v>TRUE</v>
      </c>
      <c r="S168" t="str">
        <f t="shared" si="12"/>
        <v>TRUE</v>
      </c>
    </row>
    <row r="169" spans="1:19" hidden="1">
      <c r="A169" t="s">
        <v>329</v>
      </c>
      <c r="B169" s="14" t="s">
        <v>144</v>
      </c>
      <c r="C169" s="14" t="s">
        <v>21</v>
      </c>
      <c r="D169" s="14">
        <v>0</v>
      </c>
      <c r="E169" s="14"/>
      <c r="F169" s="14">
        <v>0</v>
      </c>
      <c r="G169" s="14"/>
      <c r="H169" s="14"/>
      <c r="I169" s="8" t="s">
        <v>119</v>
      </c>
      <c r="J169" s="8" t="s">
        <v>120</v>
      </c>
      <c r="K169">
        <v>100.3125</v>
      </c>
      <c r="L169">
        <v>58.8125</v>
      </c>
      <c r="M169" s="14">
        <v>4.5</v>
      </c>
      <c r="N169" s="14">
        <v>1.9375</v>
      </c>
      <c r="Q169" t="str">
        <f t="shared" si="11"/>
        <v xml:space="preserve">XX8X_PV_0241:    Front abuts stile:FALSE       Back abuts stile:FALSE          Panel Section: WHOLE           Stile in the back Width:            Cutout A: B-354          Cutout B:B-386      F.C.:4.5 in.         C.C.:1.9375 in.   </v>
      </c>
      <c r="R169" t="str">
        <f t="shared" si="10"/>
        <v>FALSE</v>
      </c>
      <c r="S169" t="str">
        <f t="shared" si="12"/>
        <v>FALSE</v>
      </c>
    </row>
    <row r="170" spans="1:19" hidden="1">
      <c r="A170" t="s">
        <v>330</v>
      </c>
      <c r="B170" s="14" t="s">
        <v>144</v>
      </c>
      <c r="C170" s="14" t="s">
        <v>21</v>
      </c>
      <c r="D170" s="14">
        <v>0</v>
      </c>
      <c r="E170" s="14"/>
      <c r="F170" s="14">
        <v>1</v>
      </c>
      <c r="G170" s="14">
        <v>0</v>
      </c>
      <c r="H170" s="14">
        <v>12</v>
      </c>
      <c r="I170" s="8" t="s">
        <v>120</v>
      </c>
      <c r="J170" s="8" t="s">
        <v>38</v>
      </c>
      <c r="K170">
        <v>37.375</v>
      </c>
      <c r="L170">
        <v>19.5</v>
      </c>
      <c r="M170" s="14">
        <v>1.8125</v>
      </c>
      <c r="N170" s="14">
        <v>3.9375</v>
      </c>
      <c r="Q170" t="str">
        <f t="shared" si="11"/>
        <v xml:space="preserve">XX8X_PV_0242:    Front abuts stile:FALSE       Back abuts stile:TRUE          Panel Section: WHOLE           Stile in the back Width: 12           Cutout A: B-386          Cutout B:      F.C.:1.8125 in.         C.C.:3.9375 in.   </v>
      </c>
      <c r="R170" t="str">
        <f t="shared" si="10"/>
        <v>FALSE</v>
      </c>
      <c r="S170" t="str">
        <f t="shared" si="12"/>
        <v>TRUE</v>
      </c>
    </row>
    <row r="171" spans="1:19" hidden="1">
      <c r="A171" t="s">
        <v>331</v>
      </c>
      <c r="B171" s="14" t="s">
        <v>144</v>
      </c>
      <c r="C171" s="14" t="s">
        <v>21</v>
      </c>
      <c r="D171" s="14">
        <v>0</v>
      </c>
      <c r="E171" s="14"/>
      <c r="F171" s="14">
        <v>1</v>
      </c>
      <c r="G171" s="14">
        <v>0</v>
      </c>
      <c r="H171" s="14">
        <v>24</v>
      </c>
      <c r="I171" s="8" t="s">
        <v>120</v>
      </c>
      <c r="J171" s="8" t="s">
        <v>38</v>
      </c>
      <c r="K171">
        <v>88.625</v>
      </c>
      <c r="L171">
        <v>5.5625</v>
      </c>
      <c r="M171" s="14">
        <v>1</v>
      </c>
      <c r="N171" s="14">
        <v>6.3125</v>
      </c>
      <c r="Q171" t="str">
        <f t="shared" si="11"/>
        <v xml:space="preserve">XX8X_PV_0243:    Front abuts stile:FALSE       Back abuts stile:TRUE          Panel Section: WHOLE           Stile in the back Width: 24           Cutout A: B-386          Cutout B:      F.C.:1 in.         C.C.:6.3125 in.   </v>
      </c>
      <c r="R171" t="str">
        <f t="shared" si="10"/>
        <v>FALSE</v>
      </c>
      <c r="S171" t="str">
        <f t="shared" si="12"/>
        <v>TRUE</v>
      </c>
    </row>
    <row r="172" spans="1:19" hidden="1">
      <c r="A172" t="s">
        <v>332</v>
      </c>
      <c r="B172" s="14" t="s">
        <v>144</v>
      </c>
      <c r="C172" s="14" t="s">
        <v>21</v>
      </c>
      <c r="D172" s="14">
        <v>0</v>
      </c>
      <c r="E172" s="14"/>
      <c r="F172" s="14">
        <v>1</v>
      </c>
      <c r="G172" s="14">
        <v>0</v>
      </c>
      <c r="H172" s="14"/>
      <c r="I172" s="8" t="s">
        <v>151</v>
      </c>
      <c r="J172" s="8" t="s">
        <v>38</v>
      </c>
      <c r="K172">
        <v>71.625</v>
      </c>
      <c r="L172">
        <v>33.6875</v>
      </c>
      <c r="M172" s="14">
        <v>1</v>
      </c>
      <c r="N172" s="14">
        <v>1</v>
      </c>
      <c r="Q172" t="str">
        <f t="shared" si="11"/>
        <v xml:space="preserve">XX8X_PV_0244:    Front abuts stile:FALSE       Back abuts stile:TRUE          Panel Section: WHOLE           Stile in the back Width:            Cutout A: B-35715          Cutout B:      F.C.:1 in.         C.C.:1 in.   </v>
      </c>
      <c r="R172" t="str">
        <f t="shared" si="10"/>
        <v>FALSE</v>
      </c>
      <c r="S172" t="str">
        <f t="shared" si="12"/>
        <v>TRUE</v>
      </c>
    </row>
    <row r="173" spans="1:19" hidden="1">
      <c r="A173" t="s">
        <v>333</v>
      </c>
      <c r="B173" s="14" t="s">
        <v>144</v>
      </c>
      <c r="C173" s="14" t="s">
        <v>21</v>
      </c>
      <c r="D173" s="14">
        <v>0</v>
      </c>
      <c r="E173" s="14"/>
      <c r="F173" s="14">
        <v>1</v>
      </c>
      <c r="G173" s="14">
        <v>1</v>
      </c>
      <c r="H173" s="14"/>
      <c r="I173" s="8" t="s">
        <v>35</v>
      </c>
      <c r="J173" s="8" t="s">
        <v>38</v>
      </c>
      <c r="K173">
        <v>68</v>
      </c>
      <c r="L173">
        <v>19.0625</v>
      </c>
      <c r="M173" s="14">
        <v>9.1875</v>
      </c>
      <c r="N173" s="14">
        <v>4.5625</v>
      </c>
      <c r="Q173" t="str">
        <f t="shared" si="11"/>
        <v xml:space="preserve">XX8X_PV_0245:    Front abuts stile:FALSE       Back abuts stile:TRUE          Panel Section: WHOLE           Stile in the back Width:            Cutout A: B-357          Cutout B:      F.C.:9.1875 in.         C.C.:4.5625 in.   </v>
      </c>
      <c r="R173" t="str">
        <f t="shared" si="10"/>
        <v>FALSE</v>
      </c>
      <c r="S173" t="str">
        <f t="shared" si="12"/>
        <v>TRUE</v>
      </c>
    </row>
    <row r="174" spans="1:19">
      <c r="A174" t="s">
        <v>334</v>
      </c>
      <c r="B174" s="14" t="s">
        <v>143</v>
      </c>
      <c r="C174" s="14" t="s">
        <v>21</v>
      </c>
      <c r="D174" s="14">
        <v>1</v>
      </c>
      <c r="E174" s="14">
        <v>0</v>
      </c>
      <c r="F174" s="14">
        <v>0</v>
      </c>
      <c r="G174" s="14"/>
      <c r="H174" s="14"/>
      <c r="I174" s="8" t="s">
        <v>120</v>
      </c>
      <c r="J174" s="8" t="s">
        <v>121</v>
      </c>
      <c r="K174">
        <v>96</v>
      </c>
      <c r="L174">
        <v>51.5</v>
      </c>
      <c r="M174" s="14">
        <v>4.5</v>
      </c>
      <c r="N174" s="14">
        <v>1.6875</v>
      </c>
      <c r="Q174" t="str">
        <f t="shared" si="11"/>
        <v xml:space="preserve">XX8X_PV_0246:    Front abuts stile:TRUE       Back abuts stile:FALSE          Panel Section: WHOLE           Stile in the back Width:            Cutout A: B-386          Cutout B:B-4354      F.C.:4.5 in.         C.C.:1.6875 in.   </v>
      </c>
      <c r="R174" t="str">
        <f t="shared" si="10"/>
        <v>TRUE</v>
      </c>
      <c r="S174" t="str">
        <f t="shared" si="12"/>
        <v>FALSE</v>
      </c>
    </row>
    <row r="175" spans="1:19" hidden="1">
      <c r="A175" t="s">
        <v>335</v>
      </c>
      <c r="B175" s="14" t="s">
        <v>144</v>
      </c>
      <c r="C175" s="14" t="s">
        <v>21</v>
      </c>
      <c r="D175" s="14">
        <v>1</v>
      </c>
      <c r="E175" s="14">
        <v>0</v>
      </c>
      <c r="F175" s="14">
        <v>1</v>
      </c>
      <c r="G175" s="14">
        <v>0</v>
      </c>
      <c r="H175" s="14">
        <v>12</v>
      </c>
      <c r="I175" s="8" t="s">
        <v>120</v>
      </c>
      <c r="J175" s="8" t="s">
        <v>38</v>
      </c>
      <c r="K175">
        <v>78</v>
      </c>
      <c r="L175">
        <v>71.4375</v>
      </c>
      <c r="M175" s="14">
        <v>1.625</v>
      </c>
      <c r="N175" s="14">
        <v>1</v>
      </c>
      <c r="Q175" t="str">
        <f t="shared" si="11"/>
        <v xml:space="preserve">XX8X_PV_0247:    Front abuts stile:TRUE       Back abuts stile:TRUE          Panel Section: WHOLE           Stile in the back Width: 12           Cutout A: B-386          Cutout B:      F.C.:1.625 in.         C.C.:1 in.   </v>
      </c>
      <c r="R175" t="str">
        <f t="shared" si="10"/>
        <v>TRUE</v>
      </c>
      <c r="S175" t="str">
        <f t="shared" si="12"/>
        <v>TRUE</v>
      </c>
    </row>
    <row r="176" spans="1:19" hidden="1">
      <c r="A176" t="s">
        <v>336</v>
      </c>
      <c r="B176" s="14" t="s">
        <v>144</v>
      </c>
      <c r="C176" s="14" t="s">
        <v>21</v>
      </c>
      <c r="D176" s="14">
        <v>1</v>
      </c>
      <c r="E176" s="14">
        <v>0</v>
      </c>
      <c r="F176" s="14">
        <v>1</v>
      </c>
      <c r="G176" s="14">
        <v>0</v>
      </c>
      <c r="H176" s="14">
        <v>24</v>
      </c>
      <c r="I176" s="8" t="s">
        <v>120</v>
      </c>
      <c r="J176" s="8" t="s">
        <v>38</v>
      </c>
      <c r="K176">
        <v>96</v>
      </c>
      <c r="L176">
        <v>49.25</v>
      </c>
      <c r="M176" s="14">
        <v>1.125</v>
      </c>
      <c r="N176" s="14">
        <v>1</v>
      </c>
      <c r="Q176" t="str">
        <f t="shared" si="11"/>
        <v xml:space="preserve">XX8X_PV_0248:    Front abuts stile:TRUE       Back abuts stile:TRUE          Panel Section: WHOLE           Stile in the back Width: 24           Cutout A: B-386          Cutout B:      F.C.:1.125 in.         C.C.:1 in.   </v>
      </c>
      <c r="R176" t="str">
        <f t="shared" si="10"/>
        <v>TRUE</v>
      </c>
      <c r="S176" t="str">
        <f t="shared" si="12"/>
        <v>TRUE</v>
      </c>
    </row>
    <row r="177" spans="1:19" hidden="1">
      <c r="A177" t="s">
        <v>337</v>
      </c>
      <c r="B177" s="14" t="s">
        <v>144</v>
      </c>
      <c r="C177" s="14" t="s">
        <v>21</v>
      </c>
      <c r="D177" s="14">
        <v>1</v>
      </c>
      <c r="E177" s="14">
        <v>0</v>
      </c>
      <c r="F177" s="14">
        <v>1</v>
      </c>
      <c r="G177" s="14">
        <v>0</v>
      </c>
      <c r="H177" s="14"/>
      <c r="I177" s="8" t="s">
        <v>120</v>
      </c>
      <c r="J177" s="8" t="s">
        <v>38</v>
      </c>
      <c r="K177">
        <v>78.4375</v>
      </c>
      <c r="L177">
        <v>68.5</v>
      </c>
      <c r="M177" s="14">
        <v>12</v>
      </c>
      <c r="N177" s="14">
        <v>3.8125</v>
      </c>
      <c r="Q177" t="str">
        <f t="shared" si="11"/>
        <v xml:space="preserve">XX8X_PV_0249:    Front abuts stile:TRUE       Back abuts stile:TRUE          Panel Section: WHOLE           Stile in the back Width:            Cutout A: B-386          Cutout B:      F.C.:12 in.         C.C.:3.8125 in.   </v>
      </c>
      <c r="R177" t="str">
        <f t="shared" si="10"/>
        <v>TRUE</v>
      </c>
      <c r="S177" t="str">
        <f t="shared" si="12"/>
        <v>TRUE</v>
      </c>
    </row>
    <row r="178" spans="1:19" hidden="1">
      <c r="A178" t="s">
        <v>338</v>
      </c>
      <c r="B178" s="14" t="s">
        <v>144</v>
      </c>
      <c r="C178" s="14" t="s">
        <v>21</v>
      </c>
      <c r="D178" s="14">
        <v>1</v>
      </c>
      <c r="E178" s="14">
        <v>0</v>
      </c>
      <c r="F178" s="14">
        <v>1</v>
      </c>
      <c r="G178" s="14">
        <v>1</v>
      </c>
      <c r="H178" s="14"/>
      <c r="I178" s="8" t="s">
        <v>149</v>
      </c>
      <c r="J178" s="8" t="s">
        <v>38</v>
      </c>
      <c r="K178">
        <v>109</v>
      </c>
      <c r="L178">
        <v>29.4375</v>
      </c>
      <c r="M178" s="14">
        <v>2.0625</v>
      </c>
      <c r="N178" s="14">
        <v>4.5</v>
      </c>
      <c r="Q178" t="str">
        <f t="shared" si="11"/>
        <v xml:space="preserve">XX8X_PV_0250:    Front abuts stile:TRUE       Back abuts stile:TRUE          Panel Section: WHOLE           Stile in the back Width:            Cutout A: B-34715          Cutout B:      F.C.:2.0625 in.         C.C.:4.5 in.   </v>
      </c>
      <c r="R178" t="str">
        <f t="shared" si="10"/>
        <v>TRUE</v>
      </c>
      <c r="S178" t="str">
        <f t="shared" si="12"/>
        <v>TRUE</v>
      </c>
    </row>
    <row r="179" spans="1:19" hidden="1">
      <c r="A179" t="s">
        <v>339</v>
      </c>
      <c r="B179" s="14" t="s">
        <v>144</v>
      </c>
      <c r="C179" s="14" t="s">
        <v>21</v>
      </c>
      <c r="D179" s="14">
        <v>1</v>
      </c>
      <c r="E179" s="14">
        <v>1</v>
      </c>
      <c r="F179" s="14">
        <v>0</v>
      </c>
      <c r="G179" s="14"/>
      <c r="H179" s="14"/>
      <c r="I179" s="8" t="s">
        <v>145</v>
      </c>
      <c r="J179" s="8" t="s">
        <v>38</v>
      </c>
      <c r="K179">
        <v>57.375</v>
      </c>
      <c r="L179">
        <v>75.0625</v>
      </c>
      <c r="M179" s="14">
        <v>4.5</v>
      </c>
      <c r="N179" s="14">
        <v>4.9375</v>
      </c>
      <c r="Q179" t="str">
        <f t="shared" si="11"/>
        <v xml:space="preserve">XX8X_PV_0251:    Front abuts stile:TRUE       Back abuts stile:FALSE          Panel Section: WHOLE           Stile in the back Width:            Cutout A: B-347          Cutout B:      F.C.:4.5 in.         C.C.:4.9375 in.   </v>
      </c>
      <c r="R179" t="str">
        <f t="shared" si="10"/>
        <v>TRUE</v>
      </c>
      <c r="S179" t="str">
        <f t="shared" si="12"/>
        <v>FALSE</v>
      </c>
    </row>
    <row r="180" spans="1:19" hidden="1">
      <c r="A180" t="s">
        <v>340</v>
      </c>
      <c r="B180" s="14" t="s">
        <v>144</v>
      </c>
      <c r="C180" s="14" t="s">
        <v>21</v>
      </c>
      <c r="D180" s="14">
        <v>1</v>
      </c>
      <c r="E180" s="14">
        <v>1</v>
      </c>
      <c r="F180" s="14">
        <v>1</v>
      </c>
      <c r="G180" s="14">
        <v>0</v>
      </c>
      <c r="H180" s="14">
        <v>12</v>
      </c>
      <c r="I180" s="8" t="s">
        <v>38</v>
      </c>
      <c r="J180" s="8" t="s">
        <v>38</v>
      </c>
      <c r="K180">
        <v>103.3125</v>
      </c>
      <c r="L180">
        <v>58.25</v>
      </c>
      <c r="M180" s="14">
        <v>2.9375</v>
      </c>
      <c r="N180" s="14">
        <v>2.6875</v>
      </c>
      <c r="Q180" t="str">
        <f t="shared" si="11"/>
        <v xml:space="preserve">XX8X_PV_0252:    Front abuts stile:TRUE       Back abuts stile:TRUE          Panel Section: WHOLE           Stile in the back Width: 12           Cutout A:           Cutout B:      F.C.:2.9375 in.         C.C.:2.6875 in.   </v>
      </c>
      <c r="R180" t="str">
        <f t="shared" si="10"/>
        <v>TRUE</v>
      </c>
      <c r="S180" t="str">
        <f t="shared" si="12"/>
        <v>TRUE</v>
      </c>
    </row>
    <row r="181" spans="1:19" hidden="1">
      <c r="A181" t="s">
        <v>341</v>
      </c>
      <c r="B181" s="14" t="s">
        <v>144</v>
      </c>
      <c r="C181" s="14" t="s">
        <v>21</v>
      </c>
      <c r="D181" s="14">
        <v>1</v>
      </c>
      <c r="E181" s="14">
        <v>1</v>
      </c>
      <c r="F181" s="14">
        <v>1</v>
      </c>
      <c r="G181" s="14">
        <v>0</v>
      </c>
      <c r="H181" s="14">
        <v>24</v>
      </c>
      <c r="I181" s="8" t="s">
        <v>38</v>
      </c>
      <c r="J181" s="8" t="s">
        <v>38</v>
      </c>
      <c r="K181">
        <v>71.625</v>
      </c>
      <c r="L181">
        <v>69.0625</v>
      </c>
      <c r="M181" s="14">
        <v>1</v>
      </c>
      <c r="N181" s="14">
        <v>2.5625</v>
      </c>
      <c r="Q181" t="str">
        <f t="shared" si="11"/>
        <v xml:space="preserve">XX8X_PV_0253:    Front abuts stile:TRUE       Back abuts stile:TRUE          Panel Section: WHOLE           Stile in the back Width: 24           Cutout A:           Cutout B:      F.C.:1 in.         C.C.:2.5625 in.   </v>
      </c>
      <c r="R181" t="str">
        <f t="shared" si="10"/>
        <v>TRUE</v>
      </c>
      <c r="S181" t="str">
        <f t="shared" si="12"/>
        <v>TRUE</v>
      </c>
    </row>
    <row r="182" spans="1:19" hidden="1">
      <c r="A182" t="s">
        <v>342</v>
      </c>
      <c r="B182" s="14" t="s">
        <v>144</v>
      </c>
      <c r="C182" s="14" t="s">
        <v>21</v>
      </c>
      <c r="D182" s="14">
        <v>1</v>
      </c>
      <c r="E182" s="14">
        <v>1</v>
      </c>
      <c r="F182" s="14">
        <v>1</v>
      </c>
      <c r="G182" s="14">
        <v>0</v>
      </c>
      <c r="H182" s="14"/>
      <c r="I182" s="8" t="s">
        <v>35</v>
      </c>
      <c r="J182" s="8" t="s">
        <v>38</v>
      </c>
      <c r="K182">
        <v>96</v>
      </c>
      <c r="L182">
        <v>77.4375</v>
      </c>
      <c r="M182" s="14">
        <v>3.8125</v>
      </c>
      <c r="N182" s="14">
        <v>1</v>
      </c>
      <c r="Q182" t="str">
        <f t="shared" si="11"/>
        <v xml:space="preserve">XX8X_PV_0254:    Front abuts stile:TRUE       Back abuts stile:TRUE          Panel Section: WHOLE           Stile in the back Width:            Cutout A: B-357          Cutout B:      F.C.:3.8125 in.         C.C.:1 in.   </v>
      </c>
      <c r="R182" t="str">
        <f t="shared" si="10"/>
        <v>TRUE</v>
      </c>
      <c r="S182" t="str">
        <f t="shared" si="12"/>
        <v>TRUE</v>
      </c>
    </row>
    <row r="183" spans="1:19" hidden="1">
      <c r="A183" t="s">
        <v>343</v>
      </c>
      <c r="B183" s="14" t="s">
        <v>144</v>
      </c>
      <c r="C183" s="14" t="s">
        <v>21</v>
      </c>
      <c r="D183" s="14">
        <v>1</v>
      </c>
      <c r="E183" s="14">
        <v>1</v>
      </c>
      <c r="F183" s="14">
        <v>1</v>
      </c>
      <c r="G183" s="14">
        <v>1</v>
      </c>
      <c r="H183" s="14"/>
      <c r="I183" s="8" t="s">
        <v>35</v>
      </c>
      <c r="J183" s="8" t="s">
        <v>38</v>
      </c>
      <c r="K183">
        <v>105.875</v>
      </c>
      <c r="L183">
        <v>24.1875</v>
      </c>
      <c r="M183" s="14">
        <v>1</v>
      </c>
      <c r="N183" s="14">
        <v>1.75</v>
      </c>
      <c r="Q183" t="str">
        <f t="shared" si="11"/>
        <v xml:space="preserve">XX8X_PV_0255:    Front abuts stile:TRUE       Back abuts stile:TRUE          Panel Section: WHOLE           Stile in the back Width:            Cutout A: B-357          Cutout B:      F.C.:1 in.         C.C.:1.75 in.   </v>
      </c>
      <c r="R183" t="str">
        <f t="shared" si="10"/>
        <v>TRUE</v>
      </c>
      <c r="S183" t="str">
        <f t="shared" si="12"/>
        <v>TRUE</v>
      </c>
    </row>
    <row r="184" spans="1:19" hidden="1">
      <c r="A184" t="s">
        <v>344</v>
      </c>
      <c r="B184" s="14" t="s">
        <v>144</v>
      </c>
      <c r="C184" s="14" t="s">
        <v>156</v>
      </c>
      <c r="D184" s="19">
        <v>0</v>
      </c>
      <c r="E184" s="19"/>
      <c r="F184" s="19">
        <v>0</v>
      </c>
      <c r="G184" s="19"/>
      <c r="H184" s="14"/>
      <c r="I184" s="8" t="s">
        <v>119</v>
      </c>
      <c r="J184" s="8" t="s">
        <v>38</v>
      </c>
      <c r="K184">
        <v>33.8125</v>
      </c>
      <c r="L184">
        <v>14.875</v>
      </c>
      <c r="M184" s="14">
        <v>4.5</v>
      </c>
      <c r="N184" s="14">
        <v>2.375</v>
      </c>
      <c r="Q184" t="str">
        <f t="shared" si="11"/>
        <v xml:space="preserve">XX8X_PV_0271:    Front abuts stile:FALSE       Back abuts stile:FALSE          Panel Section: TOP           Stile in the back Width:            Cutout A: B-354          Cutout B:      F.C.:4.5 in.         C.C.:2.375 in.   </v>
      </c>
      <c r="R184" t="str">
        <f t="shared" si="10"/>
        <v>FALSE</v>
      </c>
      <c r="S184" t="str">
        <f t="shared" si="12"/>
        <v>FALSE</v>
      </c>
    </row>
    <row r="185" spans="1:19" hidden="1">
      <c r="A185" t="s">
        <v>345</v>
      </c>
      <c r="B185" s="14" t="s">
        <v>144</v>
      </c>
      <c r="C185" s="14" t="s">
        <v>156</v>
      </c>
      <c r="D185" s="14">
        <v>0</v>
      </c>
      <c r="E185" s="14"/>
      <c r="F185" s="14">
        <v>1</v>
      </c>
      <c r="G185" s="14">
        <v>0</v>
      </c>
      <c r="H185" s="14">
        <v>12</v>
      </c>
      <c r="I185" s="8" t="s">
        <v>38</v>
      </c>
      <c r="J185" s="8" t="s">
        <v>38</v>
      </c>
      <c r="K185">
        <v>5.0625</v>
      </c>
      <c r="L185">
        <v>14.25</v>
      </c>
      <c r="M185" s="14">
        <v>4.5</v>
      </c>
      <c r="N185" s="14">
        <v>1</v>
      </c>
      <c r="Q185" t="str">
        <f t="shared" si="11"/>
        <v xml:space="preserve">XX8X_PV_0272:    Front abuts stile:FALSE       Back abuts stile:TRUE          Panel Section: TOP           Stile in the back Width: 12           Cutout A:           Cutout B:      F.C.:4.5 in.         C.C.:1 in.   </v>
      </c>
      <c r="R185" t="str">
        <f t="shared" si="10"/>
        <v>FALSE</v>
      </c>
      <c r="S185" t="str">
        <f t="shared" si="12"/>
        <v>TRUE</v>
      </c>
    </row>
    <row r="186" spans="1:19" hidden="1">
      <c r="A186" t="s">
        <v>346</v>
      </c>
      <c r="B186" s="14" t="s">
        <v>144</v>
      </c>
      <c r="C186" s="14" t="s">
        <v>156</v>
      </c>
      <c r="D186" s="14">
        <v>0</v>
      </c>
      <c r="E186" s="14"/>
      <c r="F186" s="14">
        <v>1</v>
      </c>
      <c r="G186" s="14">
        <v>0</v>
      </c>
      <c r="H186" s="14">
        <v>24</v>
      </c>
      <c r="I186" s="8" t="s">
        <v>120</v>
      </c>
      <c r="J186" s="8" t="s">
        <v>38</v>
      </c>
      <c r="K186">
        <v>8.625</v>
      </c>
      <c r="L186">
        <v>37.375</v>
      </c>
      <c r="M186" s="14">
        <v>12</v>
      </c>
      <c r="N186" s="14">
        <v>2.4375</v>
      </c>
      <c r="Q186" t="str">
        <f t="shared" si="11"/>
        <v xml:space="preserve">XX8X_PV_0273:    Front abuts stile:FALSE       Back abuts stile:TRUE          Panel Section: TOP           Stile in the back Width: 24           Cutout A: B-386          Cutout B:      F.C.:12 in.         C.C.:2.4375 in.   </v>
      </c>
      <c r="R186" t="str">
        <f t="shared" si="10"/>
        <v>FALSE</v>
      </c>
      <c r="S186" t="str">
        <f t="shared" si="12"/>
        <v>TRUE</v>
      </c>
    </row>
    <row r="187" spans="1:19" hidden="1">
      <c r="A187" t="s">
        <v>347</v>
      </c>
      <c r="B187" s="14" t="s">
        <v>144</v>
      </c>
      <c r="C187" s="14" t="s">
        <v>156</v>
      </c>
      <c r="D187" s="14">
        <v>0</v>
      </c>
      <c r="E187" s="14"/>
      <c r="F187" s="14">
        <v>1</v>
      </c>
      <c r="G187" s="14">
        <v>0</v>
      </c>
      <c r="H187" s="14"/>
      <c r="I187" s="8" t="s">
        <v>120</v>
      </c>
      <c r="J187" s="8" t="s">
        <v>38</v>
      </c>
      <c r="K187">
        <v>6.75</v>
      </c>
      <c r="L187">
        <v>57.625</v>
      </c>
      <c r="M187" s="14">
        <v>4.5</v>
      </c>
      <c r="N187" s="14">
        <v>2.6875</v>
      </c>
      <c r="Q187" t="str">
        <f t="shared" si="11"/>
        <v xml:space="preserve">XX8X_PV_0274:    Front abuts stile:FALSE       Back abuts stile:TRUE          Panel Section: TOP           Stile in the back Width:            Cutout A: B-386          Cutout B:      F.C.:4.5 in.         C.C.:2.6875 in.   </v>
      </c>
      <c r="R187" t="str">
        <f t="shared" si="10"/>
        <v>FALSE</v>
      </c>
      <c r="S187" t="str">
        <f t="shared" si="12"/>
        <v>TRUE</v>
      </c>
    </row>
    <row r="188" spans="1:19" hidden="1">
      <c r="A188" t="s">
        <v>348</v>
      </c>
      <c r="B188" s="14" t="s">
        <v>144</v>
      </c>
      <c r="C188" s="14" t="s">
        <v>156</v>
      </c>
      <c r="D188" s="14">
        <v>0</v>
      </c>
      <c r="E188" s="14"/>
      <c r="F188" s="14">
        <v>1</v>
      </c>
      <c r="G188" s="14">
        <v>1</v>
      </c>
      <c r="H188" s="14"/>
      <c r="I188" s="8" t="s">
        <v>120</v>
      </c>
      <c r="J188" s="8" t="s">
        <v>38</v>
      </c>
      <c r="K188">
        <v>43.0625</v>
      </c>
      <c r="L188">
        <v>27.5</v>
      </c>
      <c r="M188" s="14">
        <v>12</v>
      </c>
      <c r="N188" s="14">
        <v>1</v>
      </c>
      <c r="Q188" t="str">
        <f t="shared" si="11"/>
        <v xml:space="preserve">XX8X_PV_0275:    Front abuts stile:FALSE       Back abuts stile:TRUE          Panel Section: TOP           Stile in the back Width:            Cutout A: B-386          Cutout B:      F.C.:12 in.         C.C.:1 in.   </v>
      </c>
      <c r="R188" t="str">
        <f t="shared" si="10"/>
        <v>FALSE</v>
      </c>
      <c r="S188" t="str">
        <f t="shared" si="12"/>
        <v>TRUE</v>
      </c>
    </row>
    <row r="189" spans="1:19" hidden="1">
      <c r="A189" t="s">
        <v>349</v>
      </c>
      <c r="B189" s="14" t="s">
        <v>144</v>
      </c>
      <c r="C189" s="14" t="s">
        <v>156</v>
      </c>
      <c r="D189" s="14">
        <v>1</v>
      </c>
      <c r="E189" s="14">
        <v>0</v>
      </c>
      <c r="F189" s="14">
        <v>0</v>
      </c>
      <c r="G189" s="14"/>
      <c r="H189" s="14"/>
      <c r="I189" s="8" t="s">
        <v>120</v>
      </c>
      <c r="J189" s="8" t="s">
        <v>38</v>
      </c>
      <c r="K189">
        <v>48.375</v>
      </c>
      <c r="L189">
        <v>16.0625</v>
      </c>
      <c r="M189" s="14">
        <v>4.5</v>
      </c>
      <c r="N189" s="14">
        <v>8.375</v>
      </c>
      <c r="Q189" t="str">
        <f t="shared" si="11"/>
        <v xml:space="preserve">XX8X_PV_0276:    Front abuts stile:TRUE       Back abuts stile:FALSE          Panel Section: TOP           Stile in the back Width:            Cutout A: B-386          Cutout B:      F.C.:4.5 in.         C.C.:8.375 in.   </v>
      </c>
      <c r="R189" t="str">
        <f t="shared" si="10"/>
        <v>TRUE</v>
      </c>
      <c r="S189" t="str">
        <f t="shared" si="12"/>
        <v>FALSE</v>
      </c>
    </row>
    <row r="190" spans="1:19" hidden="1">
      <c r="A190" t="s">
        <v>350</v>
      </c>
      <c r="B190" s="14" t="s">
        <v>144</v>
      </c>
      <c r="C190" s="14" t="s">
        <v>156</v>
      </c>
      <c r="D190" s="14">
        <v>1</v>
      </c>
      <c r="E190" s="14">
        <v>0</v>
      </c>
      <c r="F190" s="14">
        <v>1</v>
      </c>
      <c r="G190" s="14">
        <v>0</v>
      </c>
      <c r="H190" s="14">
        <v>12</v>
      </c>
      <c r="I190" s="8" t="s">
        <v>150</v>
      </c>
      <c r="J190" s="8" t="s">
        <v>38</v>
      </c>
      <c r="K190">
        <v>34.375</v>
      </c>
      <c r="L190">
        <v>7.0625</v>
      </c>
      <c r="M190" s="14">
        <v>9</v>
      </c>
      <c r="N190" s="14">
        <v>2.625</v>
      </c>
      <c r="Q190" t="str">
        <f t="shared" si="11"/>
        <v xml:space="preserve">XX8X_PV_0277:    Front abuts stile:TRUE       Back abuts stile:TRUE          Panel Section: TOP           Stile in the back Width: 12           Cutout A: B-3571          Cutout B:      F.C.:9 in.         C.C.:2.625 in.   </v>
      </c>
      <c r="R190" t="str">
        <f t="shared" si="10"/>
        <v>TRUE</v>
      </c>
      <c r="S190" t="str">
        <f t="shared" si="12"/>
        <v>TRUE</v>
      </c>
    </row>
    <row r="191" spans="1:19" hidden="1">
      <c r="A191" t="s">
        <v>351</v>
      </c>
      <c r="B191" s="14" t="s">
        <v>144</v>
      </c>
      <c r="C191" s="14" t="s">
        <v>156</v>
      </c>
      <c r="D191" s="14">
        <v>1</v>
      </c>
      <c r="E191" s="14">
        <v>0</v>
      </c>
      <c r="F191" s="14">
        <v>1</v>
      </c>
      <c r="G191" s="14">
        <v>0</v>
      </c>
      <c r="H191" s="14">
        <v>24</v>
      </c>
      <c r="I191" s="8" t="s">
        <v>38</v>
      </c>
      <c r="J191" s="8" t="s">
        <v>38</v>
      </c>
      <c r="K191">
        <v>23.5625</v>
      </c>
      <c r="L191">
        <v>14</v>
      </c>
      <c r="M191" s="14">
        <v>9</v>
      </c>
      <c r="N191" s="14">
        <v>3.5</v>
      </c>
      <c r="Q191" t="str">
        <f t="shared" si="11"/>
        <v xml:space="preserve">XX8X_PV_0278:    Front abuts stile:TRUE       Back abuts stile:TRUE          Panel Section: TOP           Stile in the back Width: 24           Cutout A:           Cutout B:      F.C.:9 in.         C.C.:3.5 in.   </v>
      </c>
      <c r="R191" t="str">
        <f t="shared" si="10"/>
        <v>TRUE</v>
      </c>
      <c r="S191" t="str">
        <f t="shared" si="12"/>
        <v>TRUE</v>
      </c>
    </row>
    <row r="192" spans="1:19" hidden="1">
      <c r="A192" t="s">
        <v>352</v>
      </c>
      <c r="B192" s="14" t="s">
        <v>144</v>
      </c>
      <c r="C192" s="14" t="s">
        <v>156</v>
      </c>
      <c r="D192" s="14">
        <v>1</v>
      </c>
      <c r="E192" s="14">
        <v>0</v>
      </c>
      <c r="F192" s="14">
        <v>1</v>
      </c>
      <c r="G192" s="14">
        <v>0</v>
      </c>
      <c r="H192" s="14"/>
      <c r="I192" s="8" t="s">
        <v>120</v>
      </c>
      <c r="J192" s="8" t="s">
        <v>38</v>
      </c>
      <c r="K192">
        <v>39.4375</v>
      </c>
      <c r="L192">
        <v>49.125</v>
      </c>
      <c r="M192" s="14">
        <v>9</v>
      </c>
      <c r="N192" s="14">
        <v>3.5625</v>
      </c>
      <c r="Q192" t="str">
        <f t="shared" si="11"/>
        <v xml:space="preserve">XX8X_PV_0279:    Front abuts stile:TRUE       Back abuts stile:TRUE          Panel Section: TOP           Stile in the back Width:            Cutout A: B-386          Cutout B:      F.C.:9 in.         C.C.:3.5625 in.   </v>
      </c>
      <c r="R192" t="str">
        <f t="shared" si="10"/>
        <v>TRUE</v>
      </c>
      <c r="S192" t="str">
        <f t="shared" si="12"/>
        <v>TRUE</v>
      </c>
    </row>
    <row r="193" spans="1:19" hidden="1">
      <c r="A193" t="s">
        <v>353</v>
      </c>
      <c r="B193" s="14" t="s">
        <v>144</v>
      </c>
      <c r="C193" s="14" t="s">
        <v>156</v>
      </c>
      <c r="D193" s="14">
        <v>1</v>
      </c>
      <c r="E193" s="14">
        <v>0</v>
      </c>
      <c r="F193" s="14">
        <v>1</v>
      </c>
      <c r="G193" s="14">
        <v>1</v>
      </c>
      <c r="H193" s="14"/>
      <c r="I193" s="8" t="s">
        <v>120</v>
      </c>
      <c r="J193" s="8" t="s">
        <v>38</v>
      </c>
      <c r="K193">
        <v>44</v>
      </c>
      <c r="L193">
        <v>77.4375</v>
      </c>
      <c r="M193" s="14">
        <v>1</v>
      </c>
      <c r="N193" s="14">
        <v>1.4375</v>
      </c>
      <c r="Q193" t="str">
        <f t="shared" si="11"/>
        <v xml:space="preserve">XX8X_PV_0280:    Front abuts stile:TRUE       Back abuts stile:TRUE          Panel Section: TOP           Stile in the back Width:            Cutout A: B-386          Cutout B:      F.C.:1 in.         C.C.:1.4375 in.   </v>
      </c>
      <c r="R193" t="str">
        <f t="shared" si="10"/>
        <v>TRUE</v>
      </c>
      <c r="S193" t="str">
        <f t="shared" si="12"/>
        <v>TRUE</v>
      </c>
    </row>
    <row r="194" spans="1:19" hidden="1">
      <c r="A194" t="s">
        <v>354</v>
      </c>
      <c r="B194" s="14" t="s">
        <v>144</v>
      </c>
      <c r="C194" s="14" t="s">
        <v>156</v>
      </c>
      <c r="D194" s="14">
        <v>1</v>
      </c>
      <c r="E194" s="14">
        <v>1</v>
      </c>
      <c r="F194" s="14">
        <v>0</v>
      </c>
      <c r="G194" s="14"/>
      <c r="H194" s="14"/>
      <c r="I194" s="8" t="s">
        <v>119</v>
      </c>
      <c r="J194" s="8" t="s">
        <v>38</v>
      </c>
      <c r="K194">
        <v>20.875</v>
      </c>
      <c r="L194">
        <v>76.4375</v>
      </c>
      <c r="M194" s="14">
        <v>12</v>
      </c>
      <c r="N194" s="14">
        <v>8.375</v>
      </c>
      <c r="Q194" t="str">
        <f t="shared" si="11"/>
        <v xml:space="preserve">XX8X_PV_0281:    Front abuts stile:TRUE       Back abuts stile:FALSE          Panel Section: TOP           Stile in the back Width:            Cutout A: B-354          Cutout B:      F.C.:12 in.         C.C.:8.375 in.   </v>
      </c>
      <c r="R194" t="str">
        <f t="shared" si="10"/>
        <v>TRUE</v>
      </c>
      <c r="S194" t="str">
        <f t="shared" si="12"/>
        <v>FALSE</v>
      </c>
    </row>
    <row r="195" spans="1:19" hidden="1">
      <c r="A195" t="s">
        <v>355</v>
      </c>
      <c r="B195" s="14" t="s">
        <v>144</v>
      </c>
      <c r="C195" s="14" t="s">
        <v>156</v>
      </c>
      <c r="D195" s="14">
        <v>1</v>
      </c>
      <c r="E195" s="14">
        <v>1</v>
      </c>
      <c r="F195" s="14">
        <v>1</v>
      </c>
      <c r="G195" s="14">
        <v>0</v>
      </c>
      <c r="H195" s="14">
        <v>12</v>
      </c>
      <c r="I195" s="8" t="s">
        <v>120</v>
      </c>
      <c r="J195" s="8" t="s">
        <v>38</v>
      </c>
      <c r="K195">
        <v>21.25</v>
      </c>
      <c r="L195">
        <v>76.25</v>
      </c>
      <c r="M195" s="14">
        <v>1</v>
      </c>
      <c r="N195" s="14">
        <v>1.3125</v>
      </c>
      <c r="Q195" t="str">
        <f t="shared" si="11"/>
        <v xml:space="preserve">XX8X_PV_0282:    Front abuts stile:TRUE       Back abuts stile:TRUE          Panel Section: TOP           Stile in the back Width: 12           Cutout A: B-386          Cutout B:      F.C.:1 in.         C.C.:1.3125 in.   </v>
      </c>
      <c r="R195" t="str">
        <f t="shared" si="10"/>
        <v>TRUE</v>
      </c>
      <c r="S195" t="str">
        <f t="shared" si="12"/>
        <v>TRUE</v>
      </c>
    </row>
    <row r="196" spans="1:19" hidden="1">
      <c r="A196" t="s">
        <v>356</v>
      </c>
      <c r="B196" s="14" t="s">
        <v>144</v>
      </c>
      <c r="C196" s="14" t="s">
        <v>156</v>
      </c>
      <c r="D196" s="14">
        <v>1</v>
      </c>
      <c r="E196" s="14">
        <v>1</v>
      </c>
      <c r="F196" s="14">
        <v>1</v>
      </c>
      <c r="G196" s="14">
        <v>0</v>
      </c>
      <c r="H196" s="14">
        <v>24</v>
      </c>
      <c r="I196" s="8" t="s">
        <v>120</v>
      </c>
      <c r="J196" s="8" t="s">
        <v>38</v>
      </c>
      <c r="K196">
        <v>11.9375</v>
      </c>
      <c r="L196">
        <v>70.5</v>
      </c>
      <c r="M196" s="14">
        <v>12</v>
      </c>
      <c r="N196" s="14">
        <v>8</v>
      </c>
      <c r="Q196" t="str">
        <f t="shared" si="11"/>
        <v xml:space="preserve">XX8X_PV_0283:    Front abuts stile:TRUE       Back abuts stile:TRUE          Panel Section: TOP           Stile in the back Width: 24           Cutout A: B-386          Cutout B:      F.C.:12 in.         C.C.:8 in.   </v>
      </c>
      <c r="R196" t="str">
        <f t="shared" ref="R196:R259" si="13">IF(D196=1, "TRUE", "FALSE")</f>
        <v>TRUE</v>
      </c>
      <c r="S196" t="str">
        <f t="shared" si="12"/>
        <v>TRUE</v>
      </c>
    </row>
    <row r="197" spans="1:19" hidden="1">
      <c r="A197" t="s">
        <v>357</v>
      </c>
      <c r="B197" s="14" t="s">
        <v>144</v>
      </c>
      <c r="C197" s="14" t="s">
        <v>156</v>
      </c>
      <c r="D197" s="14">
        <v>1</v>
      </c>
      <c r="E197" s="14">
        <v>1</v>
      </c>
      <c r="F197" s="14">
        <v>1</v>
      </c>
      <c r="G197" s="14">
        <v>0</v>
      </c>
      <c r="H197" s="14"/>
      <c r="I197" s="8" t="s">
        <v>38</v>
      </c>
      <c r="J197" s="8" t="s">
        <v>38</v>
      </c>
      <c r="K197">
        <v>32.1875</v>
      </c>
      <c r="L197">
        <v>17.9375</v>
      </c>
      <c r="M197" s="14">
        <v>1</v>
      </c>
      <c r="N197" s="14">
        <v>3.25</v>
      </c>
      <c r="Q197" t="str">
        <f t="shared" si="11"/>
        <v xml:space="preserve">XX8X_PV_0284:    Front abuts stile:TRUE       Back abuts stile:TRUE          Panel Section: TOP           Stile in the back Width:            Cutout A:           Cutout B:      F.C.:1 in.         C.C.:3.25 in.   </v>
      </c>
      <c r="R197" t="str">
        <f t="shared" si="13"/>
        <v>TRUE</v>
      </c>
      <c r="S197" t="str">
        <f t="shared" si="12"/>
        <v>TRUE</v>
      </c>
    </row>
    <row r="198" spans="1:19" hidden="1">
      <c r="A198" t="s">
        <v>358</v>
      </c>
      <c r="B198" s="14" t="s">
        <v>144</v>
      </c>
      <c r="C198" s="14" t="s">
        <v>156</v>
      </c>
      <c r="D198" s="14">
        <v>1</v>
      </c>
      <c r="E198" s="14">
        <v>1</v>
      </c>
      <c r="F198" s="14">
        <v>1</v>
      </c>
      <c r="G198" s="14">
        <v>1</v>
      </c>
      <c r="H198" s="14"/>
      <c r="I198" s="8" t="s">
        <v>120</v>
      </c>
      <c r="J198" s="8" t="s">
        <v>38</v>
      </c>
      <c r="K198">
        <v>42.9375</v>
      </c>
      <c r="L198">
        <v>38.1875</v>
      </c>
      <c r="M198" s="14">
        <v>6.75</v>
      </c>
      <c r="N198" s="14">
        <v>2.1875</v>
      </c>
      <c r="Q198" t="str">
        <f t="shared" si="11"/>
        <v xml:space="preserve">XX8X_PV_0285:    Front abuts stile:TRUE       Back abuts stile:TRUE          Panel Section: TOP           Stile in the back Width:            Cutout A: B-386          Cutout B:      F.C.:6.75 in.         C.C.:2.1875 in.   </v>
      </c>
      <c r="R198" t="str">
        <f t="shared" si="13"/>
        <v>TRUE</v>
      </c>
      <c r="S198" t="str">
        <f t="shared" si="12"/>
        <v>TRUE</v>
      </c>
    </row>
    <row r="199" spans="1:19">
      <c r="A199" t="s">
        <v>359</v>
      </c>
      <c r="B199" s="14" t="s">
        <v>143</v>
      </c>
      <c r="C199" s="14" t="s">
        <v>157</v>
      </c>
      <c r="D199" s="14">
        <v>0</v>
      </c>
      <c r="E199" s="14"/>
      <c r="F199" s="14">
        <v>0</v>
      </c>
      <c r="G199" s="14"/>
      <c r="H199" s="14"/>
      <c r="I199" s="8" t="s">
        <v>35</v>
      </c>
      <c r="J199" s="8" t="s">
        <v>38</v>
      </c>
      <c r="K199">
        <v>60</v>
      </c>
      <c r="L199">
        <v>19.75</v>
      </c>
      <c r="M199" s="14">
        <v>4.5</v>
      </c>
      <c r="N199" s="14">
        <v>2.25</v>
      </c>
      <c r="Q199" t="str">
        <f t="shared" ref="Q199:Q262" si="14">A199&amp;":    Front abuts stile:"&amp;R199&amp;"       Back abuts stile:"&amp;S199&amp;"          Panel Section: "&amp;C199&amp;"           Stile in the back Width: "&amp;H199&amp;"           Cutout A: "&amp;I199&amp;"          Cutout B:"&amp;J199&amp;"      F.C.:"&amp;M199&amp;" in. "&amp;"        C.C.:"&amp;N199&amp;" in. "&amp;"  "</f>
        <v xml:space="preserve">XX8X_PV_0301:    Front abuts stile:FALSE       Back abuts stile:FALSE          Panel Section: BOTTOM           Stile in the back Width:            Cutout A: B-357          Cutout B:      F.C.:4.5 in.         C.C.:2.25 in.   </v>
      </c>
      <c r="R199" t="str">
        <f t="shared" si="13"/>
        <v>FALSE</v>
      </c>
      <c r="S199" t="str">
        <f t="shared" si="12"/>
        <v>FALSE</v>
      </c>
    </row>
    <row r="200" spans="1:19" hidden="1">
      <c r="A200" t="s">
        <v>360</v>
      </c>
      <c r="B200" s="14" t="s">
        <v>144</v>
      </c>
      <c r="C200" s="14" t="s">
        <v>157</v>
      </c>
      <c r="D200" s="14">
        <v>0</v>
      </c>
      <c r="E200" s="14"/>
      <c r="F200" s="14">
        <v>1</v>
      </c>
      <c r="G200" s="14">
        <v>0</v>
      </c>
      <c r="H200" s="14">
        <v>12</v>
      </c>
      <c r="I200" s="8" t="s">
        <v>150</v>
      </c>
      <c r="J200" s="8" t="s">
        <v>38</v>
      </c>
      <c r="K200">
        <v>60</v>
      </c>
      <c r="L200">
        <v>18.5</v>
      </c>
      <c r="M200" s="14">
        <v>2.75</v>
      </c>
      <c r="N200" s="14">
        <v>8.25</v>
      </c>
      <c r="Q200" t="str">
        <f t="shared" si="14"/>
        <v xml:space="preserve">XX8X_PV_0302:    Front abuts stile:FALSE       Back abuts stile:TRUE          Panel Section: BOTTOM           Stile in the back Width: 12           Cutout A: B-3571          Cutout B:      F.C.:2.75 in.         C.C.:8.25 in.   </v>
      </c>
      <c r="R200" t="str">
        <f t="shared" si="13"/>
        <v>FALSE</v>
      </c>
      <c r="S200" t="str">
        <f t="shared" si="12"/>
        <v>TRUE</v>
      </c>
    </row>
    <row r="201" spans="1:19" hidden="1">
      <c r="A201" t="s">
        <v>361</v>
      </c>
      <c r="B201" s="14" t="s">
        <v>144</v>
      </c>
      <c r="C201" s="14" t="s">
        <v>157</v>
      </c>
      <c r="D201" s="14">
        <v>0</v>
      </c>
      <c r="E201" s="14"/>
      <c r="F201" s="14">
        <v>1</v>
      </c>
      <c r="G201" s="14">
        <v>0</v>
      </c>
      <c r="H201" s="14">
        <v>24</v>
      </c>
      <c r="I201" s="8" t="s">
        <v>120</v>
      </c>
      <c r="J201" s="8" t="s">
        <v>38</v>
      </c>
      <c r="K201">
        <v>60</v>
      </c>
      <c r="L201">
        <v>48.875</v>
      </c>
      <c r="M201" s="14">
        <v>1</v>
      </c>
      <c r="N201" s="14">
        <v>2.6875</v>
      </c>
      <c r="Q201" t="str">
        <f t="shared" si="14"/>
        <v xml:space="preserve">XX8X_PV_0303:    Front abuts stile:FALSE       Back abuts stile:TRUE          Panel Section: BOTTOM           Stile in the back Width: 24           Cutout A: B-386          Cutout B:      F.C.:1 in.         C.C.:2.6875 in.   </v>
      </c>
      <c r="R201" t="str">
        <f t="shared" si="13"/>
        <v>FALSE</v>
      </c>
      <c r="S201" t="str">
        <f t="shared" si="12"/>
        <v>TRUE</v>
      </c>
    </row>
    <row r="202" spans="1:19" hidden="1">
      <c r="A202" t="s">
        <v>362</v>
      </c>
      <c r="B202" s="14" t="s">
        <v>144</v>
      </c>
      <c r="C202" s="14" t="s">
        <v>157</v>
      </c>
      <c r="D202" s="14">
        <v>0</v>
      </c>
      <c r="E202" s="14"/>
      <c r="F202" s="14">
        <v>1</v>
      </c>
      <c r="G202" s="14">
        <v>0</v>
      </c>
      <c r="H202" s="14"/>
      <c r="I202" s="8" t="s">
        <v>38</v>
      </c>
      <c r="J202" s="8" t="s">
        <v>38</v>
      </c>
      <c r="K202">
        <v>60</v>
      </c>
      <c r="L202">
        <v>48.625</v>
      </c>
      <c r="M202" s="14">
        <v>12</v>
      </c>
      <c r="N202" s="14">
        <v>4.9375</v>
      </c>
      <c r="Q202" t="str">
        <f t="shared" si="14"/>
        <v xml:space="preserve">XX8X_PV_0304:    Front abuts stile:FALSE       Back abuts stile:TRUE          Panel Section: BOTTOM           Stile in the back Width:            Cutout A:           Cutout B:      F.C.:12 in.         C.C.:4.9375 in.   </v>
      </c>
      <c r="R202" t="str">
        <f t="shared" si="13"/>
        <v>FALSE</v>
      </c>
      <c r="S202" t="str">
        <f t="shared" si="12"/>
        <v>TRUE</v>
      </c>
    </row>
    <row r="203" spans="1:19" hidden="1">
      <c r="A203" t="s">
        <v>363</v>
      </c>
      <c r="B203" s="14" t="s">
        <v>144</v>
      </c>
      <c r="C203" s="14" t="s">
        <v>157</v>
      </c>
      <c r="D203" s="14">
        <v>0</v>
      </c>
      <c r="E203" s="14"/>
      <c r="F203" s="14">
        <v>1</v>
      </c>
      <c r="G203" s="14">
        <v>1</v>
      </c>
      <c r="H203" s="14"/>
      <c r="I203" s="8" t="s">
        <v>38</v>
      </c>
      <c r="J203" s="8" t="s">
        <v>38</v>
      </c>
      <c r="K203">
        <v>60</v>
      </c>
      <c r="L203">
        <v>56.8125</v>
      </c>
      <c r="M203" s="14">
        <v>1</v>
      </c>
      <c r="N203" s="14">
        <v>4.375</v>
      </c>
      <c r="Q203" t="str">
        <f t="shared" si="14"/>
        <v xml:space="preserve">XX8X_PV_0305:    Front abuts stile:FALSE       Back abuts stile:TRUE          Panel Section: BOTTOM           Stile in the back Width:            Cutout A:           Cutout B:      F.C.:1 in.         C.C.:4.375 in.   </v>
      </c>
      <c r="R203" t="str">
        <f t="shared" si="13"/>
        <v>FALSE</v>
      </c>
      <c r="S203" t="str">
        <f t="shared" si="12"/>
        <v>TRUE</v>
      </c>
    </row>
    <row r="204" spans="1:19" hidden="1">
      <c r="A204" t="s">
        <v>364</v>
      </c>
      <c r="B204" s="14" t="s">
        <v>144</v>
      </c>
      <c r="C204" s="14" t="s">
        <v>157</v>
      </c>
      <c r="D204" s="14">
        <v>1</v>
      </c>
      <c r="E204" s="14">
        <v>0</v>
      </c>
      <c r="F204" s="14">
        <v>0</v>
      </c>
      <c r="G204" s="14"/>
      <c r="H204" s="14"/>
      <c r="I204" s="8" t="s">
        <v>35</v>
      </c>
      <c r="J204" s="8" t="s">
        <v>38</v>
      </c>
      <c r="K204">
        <v>60</v>
      </c>
      <c r="L204">
        <v>39.1875</v>
      </c>
      <c r="M204" s="14">
        <v>9</v>
      </c>
      <c r="N204" s="14">
        <v>1</v>
      </c>
      <c r="Q204" t="str">
        <f t="shared" si="14"/>
        <v xml:space="preserve">XX8X_PV_0306:    Front abuts stile:TRUE       Back abuts stile:FALSE          Panel Section: BOTTOM           Stile in the back Width:            Cutout A: B-357          Cutout B:      F.C.:9 in.         C.C.:1 in.   </v>
      </c>
      <c r="R204" t="str">
        <f t="shared" si="13"/>
        <v>TRUE</v>
      </c>
      <c r="S204" t="str">
        <f t="shared" si="12"/>
        <v>FALSE</v>
      </c>
    </row>
    <row r="205" spans="1:19" hidden="1">
      <c r="A205" t="s">
        <v>365</v>
      </c>
      <c r="B205" s="14" t="s">
        <v>144</v>
      </c>
      <c r="C205" s="14" t="s">
        <v>157</v>
      </c>
      <c r="D205" s="14">
        <v>1</v>
      </c>
      <c r="E205" s="14">
        <v>0</v>
      </c>
      <c r="F205" s="14">
        <v>1</v>
      </c>
      <c r="G205" s="14">
        <v>0</v>
      </c>
      <c r="H205" s="14">
        <v>12</v>
      </c>
      <c r="I205" s="8" t="s">
        <v>35</v>
      </c>
      <c r="J205" s="8" t="s">
        <v>38</v>
      </c>
      <c r="K205">
        <v>60</v>
      </c>
      <c r="L205">
        <v>21.125</v>
      </c>
      <c r="M205" s="14">
        <v>9.4375</v>
      </c>
      <c r="N205" s="14">
        <v>2.1875</v>
      </c>
      <c r="Q205" t="str">
        <f t="shared" si="14"/>
        <v xml:space="preserve">XX8X_PV_0307:    Front abuts stile:TRUE       Back abuts stile:TRUE          Panel Section: BOTTOM           Stile in the back Width: 12           Cutout A: B-357          Cutout B:      F.C.:9.4375 in.         C.C.:2.1875 in.   </v>
      </c>
      <c r="R205" t="str">
        <f t="shared" si="13"/>
        <v>TRUE</v>
      </c>
      <c r="S205" t="str">
        <f t="shared" si="12"/>
        <v>TRUE</v>
      </c>
    </row>
    <row r="206" spans="1:19" hidden="1">
      <c r="A206" t="s">
        <v>366</v>
      </c>
      <c r="B206" s="14" t="s">
        <v>144</v>
      </c>
      <c r="C206" s="14" t="s">
        <v>157</v>
      </c>
      <c r="D206" s="14">
        <v>1</v>
      </c>
      <c r="E206" s="14">
        <v>0</v>
      </c>
      <c r="F206" s="14">
        <v>1</v>
      </c>
      <c r="G206" s="14">
        <v>0</v>
      </c>
      <c r="H206" s="14">
        <v>24</v>
      </c>
      <c r="I206" s="8" t="s">
        <v>120</v>
      </c>
      <c r="J206" s="8" t="s">
        <v>38</v>
      </c>
      <c r="K206">
        <v>60</v>
      </c>
      <c r="L206">
        <v>36.1875</v>
      </c>
      <c r="M206" s="14">
        <v>10.75</v>
      </c>
      <c r="N206" s="14">
        <v>4.375</v>
      </c>
      <c r="Q206" t="str">
        <f t="shared" si="14"/>
        <v xml:space="preserve">XX8X_PV_0308:    Front abuts stile:TRUE       Back abuts stile:TRUE          Panel Section: BOTTOM           Stile in the back Width: 24           Cutout A: B-386          Cutout B:      F.C.:10.75 in.         C.C.:4.375 in.   </v>
      </c>
      <c r="R206" t="str">
        <f t="shared" si="13"/>
        <v>TRUE</v>
      </c>
      <c r="S206" t="str">
        <f t="shared" si="12"/>
        <v>TRUE</v>
      </c>
    </row>
    <row r="207" spans="1:19" hidden="1">
      <c r="A207" t="s">
        <v>367</v>
      </c>
      <c r="B207" s="14" t="s">
        <v>144</v>
      </c>
      <c r="C207" s="14" t="s">
        <v>157</v>
      </c>
      <c r="D207" s="14">
        <v>1</v>
      </c>
      <c r="E207" s="14">
        <v>0</v>
      </c>
      <c r="F207" s="14">
        <v>1</v>
      </c>
      <c r="G207" s="14">
        <v>0</v>
      </c>
      <c r="H207" s="14"/>
      <c r="I207" s="8" t="s">
        <v>38</v>
      </c>
      <c r="J207" s="8" t="s">
        <v>38</v>
      </c>
      <c r="K207">
        <v>60</v>
      </c>
      <c r="L207">
        <v>19.625</v>
      </c>
      <c r="M207" s="14">
        <v>4.5</v>
      </c>
      <c r="N207" s="14">
        <v>1</v>
      </c>
      <c r="Q207" t="str">
        <f t="shared" si="14"/>
        <v xml:space="preserve">XX8X_PV_0309:    Front abuts stile:TRUE       Back abuts stile:TRUE          Panel Section: BOTTOM           Stile in the back Width:            Cutout A:           Cutout B:      F.C.:4.5 in.         C.C.:1 in.   </v>
      </c>
      <c r="R207" t="str">
        <f t="shared" si="13"/>
        <v>TRUE</v>
      </c>
      <c r="S207" t="str">
        <f t="shared" si="12"/>
        <v>TRUE</v>
      </c>
    </row>
    <row r="208" spans="1:19" hidden="1">
      <c r="A208" t="s">
        <v>368</v>
      </c>
      <c r="B208" s="14" t="s">
        <v>144</v>
      </c>
      <c r="C208" s="14" t="s">
        <v>157</v>
      </c>
      <c r="D208" s="14">
        <v>1</v>
      </c>
      <c r="E208" s="14">
        <v>0</v>
      </c>
      <c r="F208" s="14">
        <v>1</v>
      </c>
      <c r="G208" s="14">
        <v>1</v>
      </c>
      <c r="H208" s="14"/>
      <c r="I208" s="8" t="s">
        <v>150</v>
      </c>
      <c r="J208" s="8" t="s">
        <v>38</v>
      </c>
      <c r="K208">
        <v>60</v>
      </c>
      <c r="L208">
        <v>41.5</v>
      </c>
      <c r="M208" s="14">
        <v>1</v>
      </c>
      <c r="N208" s="14">
        <v>3.375</v>
      </c>
      <c r="Q208" t="str">
        <f t="shared" si="14"/>
        <v xml:space="preserve">XX8X_PV_0310:    Front abuts stile:TRUE       Back abuts stile:TRUE          Panel Section: BOTTOM           Stile in the back Width:            Cutout A: B-3571          Cutout B:      F.C.:1 in.         C.C.:3.375 in.   </v>
      </c>
      <c r="R208" t="str">
        <f t="shared" si="13"/>
        <v>TRUE</v>
      </c>
      <c r="S208" t="str">
        <f t="shared" si="12"/>
        <v>TRUE</v>
      </c>
    </row>
    <row r="209" spans="1:19" hidden="1">
      <c r="A209" t="s">
        <v>369</v>
      </c>
      <c r="B209" s="14" t="s">
        <v>144</v>
      </c>
      <c r="C209" s="14" t="s">
        <v>157</v>
      </c>
      <c r="D209" s="14">
        <v>1</v>
      </c>
      <c r="E209" s="14">
        <v>1</v>
      </c>
      <c r="F209" s="14">
        <v>0</v>
      </c>
      <c r="G209" s="14"/>
      <c r="H209" s="14"/>
      <c r="I209" s="8" t="s">
        <v>119</v>
      </c>
      <c r="J209" s="8" t="s">
        <v>38</v>
      </c>
      <c r="K209">
        <v>60</v>
      </c>
      <c r="L209">
        <v>8.875</v>
      </c>
      <c r="M209" s="14">
        <v>9</v>
      </c>
      <c r="N209" s="14">
        <v>1</v>
      </c>
      <c r="Q209" t="str">
        <f t="shared" si="14"/>
        <v xml:space="preserve">XX8X_PV_0311:    Front abuts stile:TRUE       Back abuts stile:FALSE          Panel Section: BOTTOM           Stile in the back Width:            Cutout A: B-354          Cutout B:      F.C.:9 in.         C.C.:1 in.   </v>
      </c>
      <c r="R209" t="str">
        <f t="shared" si="13"/>
        <v>TRUE</v>
      </c>
      <c r="S209" t="str">
        <f t="shared" si="12"/>
        <v>FALSE</v>
      </c>
    </row>
    <row r="210" spans="1:19" hidden="1">
      <c r="A210" t="s">
        <v>370</v>
      </c>
      <c r="B210" s="14" t="s">
        <v>144</v>
      </c>
      <c r="C210" s="14" t="s">
        <v>157</v>
      </c>
      <c r="D210" s="14">
        <v>1</v>
      </c>
      <c r="E210" s="14">
        <v>1</v>
      </c>
      <c r="F210" s="14">
        <v>1</v>
      </c>
      <c r="G210" s="14">
        <v>0</v>
      </c>
      <c r="H210" s="14">
        <v>12</v>
      </c>
      <c r="I210" s="8" t="s">
        <v>38</v>
      </c>
      <c r="J210" s="8" t="s">
        <v>38</v>
      </c>
      <c r="K210">
        <v>60</v>
      </c>
      <c r="L210">
        <v>7.9375</v>
      </c>
      <c r="M210" s="14">
        <v>3.5</v>
      </c>
      <c r="N210" s="14">
        <v>2.8125</v>
      </c>
      <c r="Q210" t="str">
        <f t="shared" si="14"/>
        <v xml:space="preserve">XX8X_PV_0312:    Front abuts stile:TRUE       Back abuts stile:TRUE          Panel Section: BOTTOM           Stile in the back Width: 12           Cutout A:           Cutout B:      F.C.:3.5 in.         C.C.:2.8125 in.   </v>
      </c>
      <c r="R210" t="str">
        <f t="shared" si="13"/>
        <v>TRUE</v>
      </c>
      <c r="S210" t="str">
        <f t="shared" ref="S210:S273" si="15">IF(F210=1, "TRUE", "FALSE")</f>
        <v>TRUE</v>
      </c>
    </row>
    <row r="211" spans="1:19" hidden="1">
      <c r="A211" t="s">
        <v>371</v>
      </c>
      <c r="B211" s="14" t="s">
        <v>144</v>
      </c>
      <c r="C211" s="14" t="s">
        <v>157</v>
      </c>
      <c r="D211" s="14">
        <v>1</v>
      </c>
      <c r="E211" s="14">
        <v>1</v>
      </c>
      <c r="F211" s="14">
        <v>1</v>
      </c>
      <c r="G211" s="14">
        <v>0</v>
      </c>
      <c r="H211" s="14">
        <v>24</v>
      </c>
      <c r="I211" s="8" t="s">
        <v>120</v>
      </c>
      <c r="J211" s="8" t="s">
        <v>38</v>
      </c>
      <c r="K211">
        <v>60</v>
      </c>
      <c r="L211">
        <v>47</v>
      </c>
      <c r="M211" s="14">
        <v>12</v>
      </c>
      <c r="N211" s="14">
        <v>3.4375</v>
      </c>
      <c r="Q211" t="str">
        <f t="shared" si="14"/>
        <v xml:space="preserve">XX8X_PV_0313:    Front abuts stile:TRUE       Back abuts stile:TRUE          Panel Section: BOTTOM           Stile in the back Width: 24           Cutout A: B-386          Cutout B:      F.C.:12 in.         C.C.:3.4375 in.   </v>
      </c>
      <c r="R211" t="str">
        <f t="shared" si="13"/>
        <v>TRUE</v>
      </c>
      <c r="S211" t="str">
        <f t="shared" si="15"/>
        <v>TRUE</v>
      </c>
    </row>
    <row r="212" spans="1:19" hidden="1">
      <c r="A212" t="s">
        <v>372</v>
      </c>
      <c r="B212" s="14" t="s">
        <v>144</v>
      </c>
      <c r="C212" s="14" t="s">
        <v>157</v>
      </c>
      <c r="D212" s="14">
        <v>1</v>
      </c>
      <c r="E212" s="14">
        <v>1</v>
      </c>
      <c r="F212" s="14">
        <v>1</v>
      </c>
      <c r="G212" s="14">
        <v>0</v>
      </c>
      <c r="H212" s="14"/>
      <c r="I212" s="8" t="s">
        <v>38</v>
      </c>
      <c r="J212" s="8" t="s">
        <v>38</v>
      </c>
      <c r="K212">
        <v>60</v>
      </c>
      <c r="L212">
        <v>53</v>
      </c>
      <c r="M212" s="14">
        <v>12</v>
      </c>
      <c r="N212" s="14">
        <v>4.4375</v>
      </c>
      <c r="Q212" t="str">
        <f t="shared" si="14"/>
        <v xml:space="preserve">XX8X_PV_0314:    Front abuts stile:TRUE       Back abuts stile:TRUE          Panel Section: BOTTOM           Stile in the back Width:            Cutout A:           Cutout B:      F.C.:12 in.         C.C.:4.4375 in.   </v>
      </c>
      <c r="R212" t="str">
        <f t="shared" si="13"/>
        <v>TRUE</v>
      </c>
      <c r="S212" t="str">
        <f t="shared" si="15"/>
        <v>TRUE</v>
      </c>
    </row>
    <row r="213" spans="1:19" hidden="1">
      <c r="A213" t="s">
        <v>373</v>
      </c>
      <c r="B213" s="14" t="s">
        <v>144</v>
      </c>
      <c r="C213" s="14" t="s">
        <v>157</v>
      </c>
      <c r="D213" s="14">
        <v>1</v>
      </c>
      <c r="E213" s="14">
        <v>1</v>
      </c>
      <c r="F213" s="14">
        <v>1</v>
      </c>
      <c r="G213" s="14">
        <v>1</v>
      </c>
      <c r="H213" s="14"/>
      <c r="I213" s="8" t="s">
        <v>35</v>
      </c>
      <c r="J213" s="8" t="s">
        <v>38</v>
      </c>
      <c r="K213">
        <v>60</v>
      </c>
      <c r="L213">
        <v>77.875</v>
      </c>
      <c r="M213" s="14">
        <v>4.5</v>
      </c>
      <c r="N213" s="14">
        <v>4.3125</v>
      </c>
      <c r="Q213" t="str">
        <f t="shared" si="14"/>
        <v xml:space="preserve">XX8X_PV_0315:    Front abuts stile:TRUE       Back abuts stile:TRUE          Panel Section: BOTTOM           Stile in the back Width:            Cutout A: B-357          Cutout B:      F.C.:4.5 in.         C.C.:4.3125 in.   </v>
      </c>
      <c r="R213" t="str">
        <f t="shared" si="13"/>
        <v>TRUE</v>
      </c>
      <c r="S213" t="str">
        <f t="shared" si="15"/>
        <v>TRUE</v>
      </c>
    </row>
    <row r="214" spans="1:19" hidden="1">
      <c r="A214" t="s">
        <v>374</v>
      </c>
      <c r="B214" s="14" t="s">
        <v>144</v>
      </c>
      <c r="C214" s="14" t="s">
        <v>21</v>
      </c>
      <c r="D214" s="14">
        <v>0</v>
      </c>
      <c r="E214" s="14"/>
      <c r="F214" s="14">
        <v>0</v>
      </c>
      <c r="G214" s="14"/>
      <c r="H214" s="14"/>
      <c r="I214" s="8" t="s">
        <v>38</v>
      </c>
      <c r="J214" s="8" t="s">
        <v>38</v>
      </c>
      <c r="K214">
        <v>38.625</v>
      </c>
      <c r="L214">
        <v>32.0625</v>
      </c>
      <c r="M214" s="14">
        <v>8.125</v>
      </c>
      <c r="N214" s="14">
        <v>7.25</v>
      </c>
      <c r="Q214" t="str">
        <f t="shared" si="14"/>
        <v xml:space="preserve">XX8X_PV_0331:    Front abuts stile:FALSE       Back abuts stile:FALSE          Panel Section: WHOLE           Stile in the back Width:            Cutout A:           Cutout B:      F.C.:8.125 in.         C.C.:7.25 in.   </v>
      </c>
      <c r="R214" t="str">
        <f t="shared" si="13"/>
        <v>FALSE</v>
      </c>
      <c r="S214" t="str">
        <f t="shared" si="15"/>
        <v>FALSE</v>
      </c>
    </row>
    <row r="215" spans="1:19" hidden="1">
      <c r="A215" t="s">
        <v>375</v>
      </c>
      <c r="B215" s="14" t="s">
        <v>144</v>
      </c>
      <c r="C215" s="14" t="s">
        <v>21</v>
      </c>
      <c r="D215" s="14">
        <v>0</v>
      </c>
      <c r="E215" s="14"/>
      <c r="F215" s="14">
        <v>1</v>
      </c>
      <c r="G215" s="14">
        <v>0</v>
      </c>
      <c r="H215" s="14">
        <v>12</v>
      </c>
      <c r="I215" s="8" t="s">
        <v>120</v>
      </c>
      <c r="J215" s="8" t="s">
        <v>38</v>
      </c>
      <c r="K215">
        <v>96</v>
      </c>
      <c r="L215">
        <v>39</v>
      </c>
      <c r="M215" s="14">
        <v>12</v>
      </c>
      <c r="N215" s="14">
        <v>1</v>
      </c>
      <c r="Q215" t="str">
        <f t="shared" si="14"/>
        <v xml:space="preserve">XX8X_PV_0332:    Front abuts stile:FALSE       Back abuts stile:TRUE          Panel Section: WHOLE           Stile in the back Width: 12           Cutout A: B-386          Cutout B:      F.C.:12 in.         C.C.:1 in.   </v>
      </c>
      <c r="R215" t="str">
        <f t="shared" si="13"/>
        <v>FALSE</v>
      </c>
      <c r="S215" t="str">
        <f t="shared" si="15"/>
        <v>TRUE</v>
      </c>
    </row>
    <row r="216" spans="1:19" hidden="1">
      <c r="A216" t="s">
        <v>376</v>
      </c>
      <c r="B216" s="14" t="s">
        <v>144</v>
      </c>
      <c r="C216" s="14" t="s">
        <v>21</v>
      </c>
      <c r="D216" s="14">
        <v>0</v>
      </c>
      <c r="E216" s="14"/>
      <c r="F216" s="14">
        <v>1</v>
      </c>
      <c r="G216" s="14">
        <v>0</v>
      </c>
      <c r="H216" s="14">
        <v>24</v>
      </c>
      <c r="I216" s="8" t="s">
        <v>120</v>
      </c>
      <c r="J216" s="8" t="s">
        <v>38</v>
      </c>
      <c r="K216">
        <v>64.625</v>
      </c>
      <c r="L216">
        <v>59.9375</v>
      </c>
      <c r="M216" s="14">
        <v>1</v>
      </c>
      <c r="N216" s="14">
        <v>3.0625</v>
      </c>
      <c r="Q216" t="str">
        <f t="shared" si="14"/>
        <v xml:space="preserve">XX8X_PV_0333:    Front abuts stile:FALSE       Back abuts stile:TRUE          Panel Section: WHOLE           Stile in the back Width: 24           Cutout A: B-386          Cutout B:      F.C.:1 in.         C.C.:3.0625 in.   </v>
      </c>
      <c r="R216" t="str">
        <f t="shared" si="13"/>
        <v>FALSE</v>
      </c>
      <c r="S216" t="str">
        <f t="shared" si="15"/>
        <v>TRUE</v>
      </c>
    </row>
    <row r="217" spans="1:19" hidden="1">
      <c r="A217" t="s">
        <v>377</v>
      </c>
      <c r="B217" s="14" t="s">
        <v>144</v>
      </c>
      <c r="C217" s="14" t="s">
        <v>21</v>
      </c>
      <c r="D217" s="14">
        <v>0</v>
      </c>
      <c r="E217" s="14"/>
      <c r="F217" s="14">
        <v>1</v>
      </c>
      <c r="G217" s="14">
        <v>0</v>
      </c>
      <c r="H217" s="14"/>
      <c r="I217" s="8" t="s">
        <v>120</v>
      </c>
      <c r="J217" s="8" t="s">
        <v>38</v>
      </c>
      <c r="K217">
        <v>96</v>
      </c>
      <c r="L217">
        <v>43.5625</v>
      </c>
      <c r="M217" s="14">
        <v>1</v>
      </c>
      <c r="N217" s="14">
        <v>4.875</v>
      </c>
      <c r="Q217" t="str">
        <f t="shared" si="14"/>
        <v xml:space="preserve">XX8X_PV_0334:    Front abuts stile:FALSE       Back abuts stile:TRUE          Panel Section: WHOLE           Stile in the back Width:            Cutout A: B-386          Cutout B:      F.C.:1 in.         C.C.:4.875 in.   </v>
      </c>
      <c r="R217" t="str">
        <f t="shared" si="13"/>
        <v>FALSE</v>
      </c>
      <c r="S217" t="str">
        <f t="shared" si="15"/>
        <v>TRUE</v>
      </c>
    </row>
    <row r="218" spans="1:19" hidden="1">
      <c r="A218" t="s">
        <v>378</v>
      </c>
      <c r="B218" s="14" t="s">
        <v>144</v>
      </c>
      <c r="C218" s="14" t="s">
        <v>21</v>
      </c>
      <c r="D218" s="14">
        <v>0</v>
      </c>
      <c r="E218" s="14"/>
      <c r="F218" s="14">
        <v>1</v>
      </c>
      <c r="G218" s="14">
        <v>1</v>
      </c>
      <c r="H218" s="14"/>
      <c r="I218" s="8" t="s">
        <v>38</v>
      </c>
      <c r="J218" s="8" t="s">
        <v>38</v>
      </c>
      <c r="K218">
        <v>91.875</v>
      </c>
      <c r="L218">
        <v>33.1875</v>
      </c>
      <c r="M218" s="14">
        <v>4.5</v>
      </c>
      <c r="N218" s="14">
        <v>2.25</v>
      </c>
      <c r="Q218" t="str">
        <f t="shared" si="14"/>
        <v xml:space="preserve">XX8X_PV_0335:    Front abuts stile:FALSE       Back abuts stile:TRUE          Panel Section: WHOLE           Stile in the back Width:            Cutout A:           Cutout B:      F.C.:4.5 in.         C.C.:2.25 in.   </v>
      </c>
      <c r="R218" t="str">
        <f t="shared" si="13"/>
        <v>FALSE</v>
      </c>
      <c r="S218" t="str">
        <f t="shared" si="15"/>
        <v>TRUE</v>
      </c>
    </row>
    <row r="219" spans="1:19" hidden="1">
      <c r="A219" t="s">
        <v>379</v>
      </c>
      <c r="B219" s="14" t="s">
        <v>144</v>
      </c>
      <c r="C219" s="14" t="s">
        <v>21</v>
      </c>
      <c r="D219" s="14">
        <v>1</v>
      </c>
      <c r="E219" s="14">
        <v>0</v>
      </c>
      <c r="F219" s="14">
        <v>0</v>
      </c>
      <c r="G219" s="14"/>
      <c r="H219" s="14"/>
      <c r="I219" s="8" t="s">
        <v>119</v>
      </c>
      <c r="J219" s="8" t="s">
        <v>120</v>
      </c>
      <c r="K219">
        <v>96</v>
      </c>
      <c r="L219">
        <v>12.4375</v>
      </c>
      <c r="M219" s="14">
        <v>12</v>
      </c>
      <c r="N219" s="14">
        <v>5.125</v>
      </c>
      <c r="Q219" t="str">
        <f t="shared" si="14"/>
        <v xml:space="preserve">XX8X_PV_0336:    Front abuts stile:TRUE       Back abuts stile:FALSE          Panel Section: WHOLE           Stile in the back Width:            Cutout A: B-354          Cutout B:B-386      F.C.:12 in.         C.C.:5.125 in.   </v>
      </c>
      <c r="R219" t="str">
        <f t="shared" si="13"/>
        <v>TRUE</v>
      </c>
      <c r="S219" t="str">
        <f t="shared" si="15"/>
        <v>FALSE</v>
      </c>
    </row>
    <row r="220" spans="1:19" hidden="1">
      <c r="A220" t="s">
        <v>380</v>
      </c>
      <c r="B220" s="14" t="s">
        <v>144</v>
      </c>
      <c r="C220" s="14" t="s">
        <v>21</v>
      </c>
      <c r="D220" s="14">
        <v>1</v>
      </c>
      <c r="E220" s="14">
        <v>0</v>
      </c>
      <c r="F220" s="14">
        <v>1</v>
      </c>
      <c r="G220" s="14">
        <v>0</v>
      </c>
      <c r="H220" s="14">
        <v>12</v>
      </c>
      <c r="I220" s="8" t="s">
        <v>38</v>
      </c>
      <c r="J220" s="8" t="s">
        <v>38</v>
      </c>
      <c r="K220">
        <v>96</v>
      </c>
      <c r="L220">
        <v>7</v>
      </c>
      <c r="M220" s="14">
        <v>1</v>
      </c>
      <c r="N220" s="14">
        <v>6.75</v>
      </c>
      <c r="Q220" t="str">
        <f t="shared" si="14"/>
        <v xml:space="preserve">XX8X_PV_0337:    Front abuts stile:TRUE       Back abuts stile:TRUE          Panel Section: WHOLE           Stile in the back Width: 12           Cutout A:           Cutout B:      F.C.:1 in.         C.C.:6.75 in.   </v>
      </c>
      <c r="R220" t="str">
        <f t="shared" si="13"/>
        <v>TRUE</v>
      </c>
      <c r="S220" t="str">
        <f t="shared" si="15"/>
        <v>TRUE</v>
      </c>
    </row>
    <row r="221" spans="1:19" hidden="1">
      <c r="A221" t="s">
        <v>381</v>
      </c>
      <c r="B221" s="14" t="s">
        <v>144</v>
      </c>
      <c r="C221" s="14" t="s">
        <v>21</v>
      </c>
      <c r="D221" s="14">
        <v>1</v>
      </c>
      <c r="E221" s="14">
        <v>0</v>
      </c>
      <c r="F221" s="14">
        <v>1</v>
      </c>
      <c r="G221" s="14">
        <v>0</v>
      </c>
      <c r="H221" s="14">
        <v>24</v>
      </c>
      <c r="I221" s="8" t="s">
        <v>120</v>
      </c>
      <c r="J221" s="8" t="s">
        <v>38</v>
      </c>
      <c r="K221">
        <v>98.3125</v>
      </c>
      <c r="L221">
        <v>19.375</v>
      </c>
      <c r="M221" s="14">
        <v>11.25</v>
      </c>
      <c r="N221" s="14">
        <v>3.8125</v>
      </c>
      <c r="Q221" t="str">
        <f t="shared" si="14"/>
        <v xml:space="preserve">XX8X_PV_0338:    Front abuts stile:TRUE       Back abuts stile:TRUE          Panel Section: WHOLE           Stile in the back Width: 24           Cutout A: B-386          Cutout B:      F.C.:11.25 in.         C.C.:3.8125 in.   </v>
      </c>
      <c r="R221" t="str">
        <f t="shared" si="13"/>
        <v>TRUE</v>
      </c>
      <c r="S221" t="str">
        <f t="shared" si="15"/>
        <v>TRUE</v>
      </c>
    </row>
    <row r="222" spans="1:19" hidden="1">
      <c r="A222" t="s">
        <v>382</v>
      </c>
      <c r="B222" s="14" t="s">
        <v>144</v>
      </c>
      <c r="C222" s="14" t="s">
        <v>21</v>
      </c>
      <c r="D222" s="14">
        <v>1</v>
      </c>
      <c r="E222" s="14">
        <v>0</v>
      </c>
      <c r="F222" s="14">
        <v>1</v>
      </c>
      <c r="G222" s="14">
        <v>0</v>
      </c>
      <c r="H222" s="14"/>
      <c r="I222" s="8" t="s">
        <v>35</v>
      </c>
      <c r="J222" s="8" t="s">
        <v>38</v>
      </c>
      <c r="K222">
        <v>96</v>
      </c>
      <c r="L222">
        <v>71.5625</v>
      </c>
      <c r="M222" s="14">
        <v>1</v>
      </c>
      <c r="N222" s="14">
        <v>3.125</v>
      </c>
      <c r="Q222" t="str">
        <f t="shared" si="14"/>
        <v xml:space="preserve">XX8X_PV_0339:    Front abuts stile:TRUE       Back abuts stile:TRUE          Panel Section: WHOLE           Stile in the back Width:            Cutout A: B-357          Cutout B:      F.C.:1 in.         C.C.:3.125 in.   </v>
      </c>
      <c r="R222" t="str">
        <f t="shared" si="13"/>
        <v>TRUE</v>
      </c>
      <c r="S222" t="str">
        <f t="shared" si="15"/>
        <v>TRUE</v>
      </c>
    </row>
    <row r="223" spans="1:19" hidden="1">
      <c r="A223" t="s">
        <v>383</v>
      </c>
      <c r="B223" s="14" t="s">
        <v>144</v>
      </c>
      <c r="C223" s="14" t="s">
        <v>21</v>
      </c>
      <c r="D223" s="14">
        <v>1</v>
      </c>
      <c r="E223" s="14">
        <v>0</v>
      </c>
      <c r="F223" s="14">
        <v>1</v>
      </c>
      <c r="G223" s="14">
        <v>1</v>
      </c>
      <c r="H223" s="14"/>
      <c r="I223" s="8" t="s">
        <v>120</v>
      </c>
      <c r="J223" s="8" t="s">
        <v>38</v>
      </c>
      <c r="K223">
        <v>107.75</v>
      </c>
      <c r="L223">
        <v>42.125</v>
      </c>
      <c r="M223" s="14">
        <v>1.75</v>
      </c>
      <c r="N223" s="14">
        <v>4.6875</v>
      </c>
      <c r="Q223" t="str">
        <f t="shared" si="14"/>
        <v xml:space="preserve">XX8X_PV_0340:    Front abuts stile:TRUE       Back abuts stile:TRUE          Panel Section: WHOLE           Stile in the back Width:            Cutout A: B-386          Cutout B:      F.C.:1.75 in.         C.C.:4.6875 in.   </v>
      </c>
      <c r="R223" t="str">
        <f t="shared" si="13"/>
        <v>TRUE</v>
      </c>
      <c r="S223" t="str">
        <f t="shared" si="15"/>
        <v>TRUE</v>
      </c>
    </row>
    <row r="224" spans="1:19" hidden="1">
      <c r="A224" t="s">
        <v>384</v>
      </c>
      <c r="B224" s="14" t="s">
        <v>144</v>
      </c>
      <c r="C224" s="14" t="s">
        <v>21</v>
      </c>
      <c r="D224" s="14">
        <v>1</v>
      </c>
      <c r="E224" s="14">
        <v>1</v>
      </c>
      <c r="F224" s="14">
        <v>0</v>
      </c>
      <c r="G224" s="14"/>
      <c r="H224" s="14"/>
      <c r="I224" s="8" t="s">
        <v>150</v>
      </c>
      <c r="J224" s="8" t="s">
        <v>38</v>
      </c>
      <c r="K224">
        <v>96</v>
      </c>
      <c r="L224">
        <v>77.875</v>
      </c>
      <c r="M224" s="14">
        <v>1</v>
      </c>
      <c r="N224" s="14">
        <v>3.75</v>
      </c>
      <c r="Q224" t="str">
        <f t="shared" si="14"/>
        <v xml:space="preserve">XX8X_PV_0341:    Front abuts stile:TRUE       Back abuts stile:FALSE          Panel Section: WHOLE           Stile in the back Width:            Cutout A: B-3571          Cutout B:      F.C.:1 in.         C.C.:3.75 in.   </v>
      </c>
      <c r="R224" t="str">
        <f t="shared" si="13"/>
        <v>TRUE</v>
      </c>
      <c r="S224" t="str">
        <f t="shared" si="15"/>
        <v>FALSE</v>
      </c>
    </row>
    <row r="225" spans="1:19" hidden="1">
      <c r="A225" t="s">
        <v>385</v>
      </c>
      <c r="B225" s="14" t="s">
        <v>144</v>
      </c>
      <c r="C225" s="14" t="s">
        <v>21</v>
      </c>
      <c r="D225" s="14">
        <v>1</v>
      </c>
      <c r="E225" s="14">
        <v>1</v>
      </c>
      <c r="F225" s="14">
        <v>1</v>
      </c>
      <c r="G225" s="14">
        <v>0</v>
      </c>
      <c r="H225" s="14">
        <v>12</v>
      </c>
      <c r="I225" s="8" t="s">
        <v>145</v>
      </c>
      <c r="J225" s="8" t="s">
        <v>38</v>
      </c>
      <c r="K225">
        <v>96</v>
      </c>
      <c r="L225">
        <v>12.4375</v>
      </c>
      <c r="M225" s="14">
        <v>12</v>
      </c>
      <c r="N225" s="14">
        <v>2.125</v>
      </c>
      <c r="Q225" t="str">
        <f t="shared" si="14"/>
        <v xml:space="preserve">XX8X_PV_0342:    Front abuts stile:TRUE       Back abuts stile:TRUE          Panel Section: WHOLE           Stile in the back Width: 12           Cutout A: B-347          Cutout B:      F.C.:12 in.         C.C.:2.125 in.   </v>
      </c>
      <c r="R225" t="str">
        <f t="shared" si="13"/>
        <v>TRUE</v>
      </c>
      <c r="S225" t="str">
        <f t="shared" si="15"/>
        <v>TRUE</v>
      </c>
    </row>
    <row r="226" spans="1:19" hidden="1">
      <c r="A226" t="s">
        <v>386</v>
      </c>
      <c r="B226" s="14" t="s">
        <v>144</v>
      </c>
      <c r="C226" s="14" t="s">
        <v>21</v>
      </c>
      <c r="D226" s="14">
        <v>1</v>
      </c>
      <c r="E226" s="14">
        <v>1</v>
      </c>
      <c r="F226" s="14">
        <v>1</v>
      </c>
      <c r="G226" s="14">
        <v>0</v>
      </c>
      <c r="H226" s="14">
        <v>24</v>
      </c>
      <c r="I226" s="8" t="s">
        <v>120</v>
      </c>
      <c r="J226" s="8" t="s">
        <v>38</v>
      </c>
      <c r="K226">
        <v>47.0625</v>
      </c>
      <c r="L226">
        <v>74.6875</v>
      </c>
      <c r="M226" s="14">
        <v>4.5</v>
      </c>
      <c r="N226" s="14">
        <v>3.8125</v>
      </c>
      <c r="Q226" t="str">
        <f t="shared" si="14"/>
        <v xml:space="preserve">XX8X_PV_0343:    Front abuts stile:TRUE       Back abuts stile:TRUE          Panel Section: WHOLE           Stile in the back Width: 24           Cutout A: B-386          Cutout B:      F.C.:4.5 in.         C.C.:3.8125 in.   </v>
      </c>
      <c r="R226" t="str">
        <f t="shared" si="13"/>
        <v>TRUE</v>
      </c>
      <c r="S226" t="str">
        <f t="shared" si="15"/>
        <v>TRUE</v>
      </c>
    </row>
    <row r="227" spans="1:19" hidden="1">
      <c r="A227" t="s">
        <v>387</v>
      </c>
      <c r="B227" s="14" t="s">
        <v>144</v>
      </c>
      <c r="C227" s="14" t="s">
        <v>21</v>
      </c>
      <c r="D227" s="14">
        <v>1</v>
      </c>
      <c r="E227" s="14">
        <v>1</v>
      </c>
      <c r="F227" s="14">
        <v>1</v>
      </c>
      <c r="G227" s="14">
        <v>0</v>
      </c>
      <c r="H227" s="14"/>
      <c r="I227" s="8" t="s">
        <v>38</v>
      </c>
      <c r="J227" s="8" t="s">
        <v>38</v>
      </c>
      <c r="K227">
        <v>96</v>
      </c>
      <c r="L227">
        <v>77.0625</v>
      </c>
      <c r="M227" s="14">
        <v>5.3125</v>
      </c>
      <c r="N227" s="14">
        <v>5.5</v>
      </c>
      <c r="Q227" t="str">
        <f t="shared" si="14"/>
        <v xml:space="preserve">XX8X_PV_0344:    Front abuts stile:TRUE       Back abuts stile:TRUE          Panel Section: WHOLE           Stile in the back Width:            Cutout A:           Cutout B:      F.C.:5.3125 in.         C.C.:5.5 in.   </v>
      </c>
      <c r="R227" t="str">
        <f t="shared" si="13"/>
        <v>TRUE</v>
      </c>
      <c r="S227" t="str">
        <f t="shared" si="15"/>
        <v>TRUE</v>
      </c>
    </row>
    <row r="228" spans="1:19" hidden="1">
      <c r="A228" t="s">
        <v>388</v>
      </c>
      <c r="B228" s="14" t="s">
        <v>144</v>
      </c>
      <c r="C228" s="14" t="s">
        <v>21</v>
      </c>
      <c r="D228" s="14">
        <v>1</v>
      </c>
      <c r="E228" s="14">
        <v>1</v>
      </c>
      <c r="F228" s="14">
        <v>1</v>
      </c>
      <c r="G228" s="14">
        <v>1</v>
      </c>
      <c r="H228" s="14"/>
      <c r="I228" s="8" t="s">
        <v>120</v>
      </c>
      <c r="J228" s="8" t="s">
        <v>38</v>
      </c>
      <c r="K228">
        <v>96</v>
      </c>
      <c r="L228">
        <v>65.0625</v>
      </c>
      <c r="M228" s="14">
        <v>1</v>
      </c>
      <c r="N228" s="14">
        <v>4.1875</v>
      </c>
      <c r="Q228" t="str">
        <f t="shared" si="14"/>
        <v xml:space="preserve">XX8X_PV_0345:    Front abuts stile:TRUE       Back abuts stile:TRUE          Panel Section: WHOLE           Stile in the back Width:            Cutout A: B-386          Cutout B:      F.C.:1 in.         C.C.:4.1875 in.   </v>
      </c>
      <c r="R228" t="str">
        <f t="shared" si="13"/>
        <v>TRUE</v>
      </c>
      <c r="S228" t="str">
        <f t="shared" si="15"/>
        <v>TRUE</v>
      </c>
    </row>
    <row r="229" spans="1:19" hidden="1">
      <c r="A229" t="s">
        <v>389</v>
      </c>
      <c r="B229" s="14" t="s">
        <v>144</v>
      </c>
      <c r="C229" s="14" t="s">
        <v>156</v>
      </c>
      <c r="D229" s="19">
        <v>0</v>
      </c>
      <c r="E229" s="19"/>
      <c r="F229" s="19">
        <v>0</v>
      </c>
      <c r="G229" s="19"/>
      <c r="H229" s="14"/>
      <c r="I229" s="8" t="s">
        <v>121</v>
      </c>
      <c r="J229" s="8" t="s">
        <v>120</v>
      </c>
      <c r="K229">
        <v>48.375</v>
      </c>
      <c r="L229">
        <v>51.6875</v>
      </c>
      <c r="M229" s="14">
        <v>4.5</v>
      </c>
      <c r="N229" s="14">
        <v>1</v>
      </c>
      <c r="Q229" t="str">
        <f t="shared" si="14"/>
        <v xml:space="preserve">XX8X_PV_0361:    Front abuts stile:FALSE       Back abuts stile:FALSE          Panel Section: TOP           Stile in the back Width:            Cutout A: B-4354          Cutout B:B-386      F.C.:4.5 in.         C.C.:1 in.   </v>
      </c>
      <c r="R229" t="str">
        <f t="shared" si="13"/>
        <v>FALSE</v>
      </c>
      <c r="S229" t="str">
        <f t="shared" si="15"/>
        <v>FALSE</v>
      </c>
    </row>
    <row r="230" spans="1:19" hidden="1">
      <c r="A230" t="s">
        <v>390</v>
      </c>
      <c r="B230" s="14" t="s">
        <v>144</v>
      </c>
      <c r="C230" s="14" t="s">
        <v>156</v>
      </c>
      <c r="D230" s="14">
        <v>0</v>
      </c>
      <c r="E230" s="14"/>
      <c r="F230" s="14">
        <v>1</v>
      </c>
      <c r="G230" s="14">
        <v>0</v>
      </c>
      <c r="H230" s="14">
        <v>12</v>
      </c>
      <c r="I230" s="8" t="s">
        <v>38</v>
      </c>
      <c r="J230" s="8" t="s">
        <v>38</v>
      </c>
      <c r="K230">
        <v>3.3125</v>
      </c>
      <c r="L230">
        <v>78.125</v>
      </c>
      <c r="M230" s="14">
        <v>3.625</v>
      </c>
      <c r="N230" s="14">
        <v>4.625</v>
      </c>
      <c r="Q230" t="str">
        <f t="shared" si="14"/>
        <v xml:space="preserve">XX8X_PV_0362:    Front abuts stile:FALSE       Back abuts stile:TRUE          Panel Section: TOP           Stile in the back Width: 12           Cutout A:           Cutout B:      F.C.:3.625 in.         C.C.:4.625 in.   </v>
      </c>
      <c r="R230" t="str">
        <f t="shared" si="13"/>
        <v>FALSE</v>
      </c>
      <c r="S230" t="str">
        <f t="shared" si="15"/>
        <v>TRUE</v>
      </c>
    </row>
    <row r="231" spans="1:19" hidden="1">
      <c r="A231" t="s">
        <v>391</v>
      </c>
      <c r="B231" s="14" t="s">
        <v>144</v>
      </c>
      <c r="C231" s="14" t="s">
        <v>156</v>
      </c>
      <c r="D231" s="14">
        <v>0</v>
      </c>
      <c r="E231" s="14"/>
      <c r="F231" s="14">
        <v>1</v>
      </c>
      <c r="G231" s="14">
        <v>0</v>
      </c>
      <c r="H231" s="14">
        <v>24</v>
      </c>
      <c r="I231" s="8" t="s">
        <v>120</v>
      </c>
      <c r="J231" s="8" t="s">
        <v>38</v>
      </c>
      <c r="K231">
        <v>42.1875</v>
      </c>
      <c r="L231">
        <v>41.625</v>
      </c>
      <c r="M231" s="14">
        <v>1</v>
      </c>
      <c r="N231" s="14">
        <v>1</v>
      </c>
      <c r="Q231" t="str">
        <f t="shared" si="14"/>
        <v xml:space="preserve">XX8X_PV_0363:    Front abuts stile:FALSE       Back abuts stile:TRUE          Panel Section: TOP           Stile in the back Width: 24           Cutout A: B-386          Cutout B:      F.C.:1 in.         C.C.:1 in.   </v>
      </c>
      <c r="R231" t="str">
        <f t="shared" si="13"/>
        <v>FALSE</v>
      </c>
      <c r="S231" t="str">
        <f t="shared" si="15"/>
        <v>TRUE</v>
      </c>
    </row>
    <row r="232" spans="1:19" hidden="1">
      <c r="A232" t="s">
        <v>392</v>
      </c>
      <c r="B232" s="14" t="s">
        <v>144</v>
      </c>
      <c r="C232" s="14" t="s">
        <v>156</v>
      </c>
      <c r="D232" s="14">
        <v>0</v>
      </c>
      <c r="E232" s="14"/>
      <c r="F232" s="14">
        <v>1</v>
      </c>
      <c r="G232" s="14">
        <v>0</v>
      </c>
      <c r="H232" s="14"/>
      <c r="I232" s="8" t="s">
        <v>120</v>
      </c>
      <c r="J232" s="8" t="s">
        <v>38</v>
      </c>
      <c r="K232">
        <v>29</v>
      </c>
      <c r="L232">
        <v>36.5</v>
      </c>
      <c r="M232" s="14">
        <v>1.875</v>
      </c>
      <c r="N232" s="14">
        <v>1.5</v>
      </c>
      <c r="Q232" t="str">
        <f t="shared" si="14"/>
        <v xml:space="preserve">XX8X_PV_0364:    Front abuts stile:FALSE       Back abuts stile:TRUE          Panel Section: TOP           Stile in the back Width:            Cutout A: B-386          Cutout B:      F.C.:1.875 in.         C.C.:1.5 in.   </v>
      </c>
      <c r="R232" t="str">
        <f t="shared" si="13"/>
        <v>FALSE</v>
      </c>
      <c r="S232" t="str">
        <f t="shared" si="15"/>
        <v>TRUE</v>
      </c>
    </row>
    <row r="233" spans="1:19" hidden="1">
      <c r="A233" t="s">
        <v>393</v>
      </c>
      <c r="B233" s="14" t="s">
        <v>144</v>
      </c>
      <c r="C233" s="14" t="s">
        <v>156</v>
      </c>
      <c r="D233" s="14">
        <v>0</v>
      </c>
      <c r="E233" s="14"/>
      <c r="F233" s="14">
        <v>1</v>
      </c>
      <c r="G233" s="14">
        <v>1</v>
      </c>
      <c r="H233" s="14"/>
      <c r="I233" s="8" t="s">
        <v>120</v>
      </c>
      <c r="J233" s="8" t="s">
        <v>38</v>
      </c>
      <c r="K233">
        <v>42.625</v>
      </c>
      <c r="L233">
        <v>26.625</v>
      </c>
      <c r="M233" s="14">
        <v>4.5</v>
      </c>
      <c r="N233" s="14">
        <v>6.875</v>
      </c>
      <c r="Q233" t="str">
        <f t="shared" si="14"/>
        <v xml:space="preserve">XX8X_PV_0365:    Front abuts stile:FALSE       Back abuts stile:TRUE          Panel Section: TOP           Stile in the back Width:            Cutout A: B-386          Cutout B:      F.C.:4.5 in.         C.C.:6.875 in.   </v>
      </c>
      <c r="R233" t="str">
        <f t="shared" si="13"/>
        <v>FALSE</v>
      </c>
      <c r="S233" t="str">
        <f t="shared" si="15"/>
        <v>TRUE</v>
      </c>
    </row>
    <row r="234" spans="1:19" hidden="1">
      <c r="A234" t="s">
        <v>394</v>
      </c>
      <c r="B234" s="14" t="s">
        <v>144</v>
      </c>
      <c r="C234" s="14" t="s">
        <v>156</v>
      </c>
      <c r="D234" s="14">
        <v>1</v>
      </c>
      <c r="E234" s="14">
        <v>0</v>
      </c>
      <c r="F234" s="14">
        <v>0</v>
      </c>
      <c r="G234" s="14"/>
      <c r="H234" s="14"/>
      <c r="I234" s="8" t="s">
        <v>145</v>
      </c>
      <c r="J234" s="8" t="s">
        <v>38</v>
      </c>
      <c r="K234">
        <v>37.0625</v>
      </c>
      <c r="L234">
        <v>74.125</v>
      </c>
      <c r="M234" s="14">
        <v>9</v>
      </c>
      <c r="N234" s="14">
        <v>1.5</v>
      </c>
      <c r="Q234" t="str">
        <f t="shared" si="14"/>
        <v xml:space="preserve">XX8X_PV_0366:    Front abuts stile:TRUE       Back abuts stile:FALSE          Panel Section: TOP           Stile in the back Width:            Cutout A: B-347          Cutout B:      F.C.:9 in.         C.C.:1.5 in.   </v>
      </c>
      <c r="R234" t="str">
        <f t="shared" si="13"/>
        <v>TRUE</v>
      </c>
      <c r="S234" t="str">
        <f t="shared" si="15"/>
        <v>FALSE</v>
      </c>
    </row>
    <row r="235" spans="1:19" hidden="1">
      <c r="A235" t="s">
        <v>395</v>
      </c>
      <c r="B235" s="14" t="s">
        <v>144</v>
      </c>
      <c r="C235" s="14" t="s">
        <v>156</v>
      </c>
      <c r="D235" s="14">
        <v>1</v>
      </c>
      <c r="E235" s="14">
        <v>0</v>
      </c>
      <c r="F235" s="14">
        <v>1</v>
      </c>
      <c r="G235" s="14">
        <v>0</v>
      </c>
      <c r="H235" s="14">
        <v>12</v>
      </c>
      <c r="I235" s="8" t="s">
        <v>150</v>
      </c>
      <c r="J235" s="8" t="s">
        <v>38</v>
      </c>
      <c r="K235">
        <v>48.375</v>
      </c>
      <c r="L235">
        <v>23.1875</v>
      </c>
      <c r="M235" s="14">
        <v>4.5</v>
      </c>
      <c r="N235" s="14">
        <v>6</v>
      </c>
      <c r="Q235" t="str">
        <f t="shared" si="14"/>
        <v xml:space="preserve">XX8X_PV_0367:    Front abuts stile:TRUE       Back abuts stile:TRUE          Panel Section: TOP           Stile in the back Width: 12           Cutout A: B-3571          Cutout B:      F.C.:4.5 in.         C.C.:6 in.   </v>
      </c>
      <c r="R235" t="str">
        <f t="shared" si="13"/>
        <v>TRUE</v>
      </c>
      <c r="S235" t="str">
        <f t="shared" si="15"/>
        <v>TRUE</v>
      </c>
    </row>
    <row r="236" spans="1:19" hidden="1">
      <c r="A236" t="s">
        <v>396</v>
      </c>
      <c r="B236" s="14" t="s">
        <v>144</v>
      </c>
      <c r="C236" s="14" t="s">
        <v>156</v>
      </c>
      <c r="D236" s="14">
        <v>1</v>
      </c>
      <c r="E236" s="14">
        <v>0</v>
      </c>
      <c r="F236" s="14">
        <v>1</v>
      </c>
      <c r="G236" s="14">
        <v>0</v>
      </c>
      <c r="H236" s="14">
        <v>24</v>
      </c>
      <c r="I236" s="8" t="s">
        <v>120</v>
      </c>
      <c r="J236" s="8" t="s">
        <v>38</v>
      </c>
      <c r="K236">
        <v>17.8125</v>
      </c>
      <c r="L236">
        <v>32.8125</v>
      </c>
      <c r="M236" s="14">
        <v>12</v>
      </c>
      <c r="N236" s="14">
        <v>3.6875</v>
      </c>
      <c r="Q236" t="str">
        <f t="shared" si="14"/>
        <v xml:space="preserve">XX8X_PV_0368:    Front abuts stile:TRUE       Back abuts stile:TRUE          Panel Section: TOP           Stile in the back Width: 24           Cutout A: B-386          Cutout B:      F.C.:12 in.         C.C.:3.6875 in.   </v>
      </c>
      <c r="R236" t="str">
        <f t="shared" si="13"/>
        <v>TRUE</v>
      </c>
      <c r="S236" t="str">
        <f t="shared" si="15"/>
        <v>TRUE</v>
      </c>
    </row>
    <row r="237" spans="1:19" hidden="1">
      <c r="A237" t="s">
        <v>397</v>
      </c>
      <c r="B237" s="14" t="s">
        <v>144</v>
      </c>
      <c r="C237" s="14" t="s">
        <v>156</v>
      </c>
      <c r="D237" s="14">
        <v>1</v>
      </c>
      <c r="E237" s="14">
        <v>0</v>
      </c>
      <c r="F237" s="14">
        <v>1</v>
      </c>
      <c r="G237" s="14">
        <v>0</v>
      </c>
      <c r="H237" s="14"/>
      <c r="I237" s="8" t="s">
        <v>149</v>
      </c>
      <c r="J237" s="8" t="s">
        <v>38</v>
      </c>
      <c r="K237">
        <v>15.375</v>
      </c>
      <c r="L237">
        <v>43.25</v>
      </c>
      <c r="M237" s="14">
        <v>2.125</v>
      </c>
      <c r="N237" s="14">
        <v>1</v>
      </c>
      <c r="Q237" t="str">
        <f t="shared" si="14"/>
        <v xml:space="preserve">XX8X_PV_0369:    Front abuts stile:TRUE       Back abuts stile:TRUE          Panel Section: TOP           Stile in the back Width:            Cutout A: B-34715          Cutout B:      F.C.:2.125 in.         C.C.:1 in.   </v>
      </c>
      <c r="R237" t="str">
        <f t="shared" si="13"/>
        <v>TRUE</v>
      </c>
      <c r="S237" t="str">
        <f t="shared" si="15"/>
        <v>TRUE</v>
      </c>
    </row>
    <row r="238" spans="1:19" hidden="1">
      <c r="A238" t="s">
        <v>398</v>
      </c>
      <c r="B238" s="14" t="s">
        <v>144</v>
      </c>
      <c r="C238" s="14" t="s">
        <v>156</v>
      </c>
      <c r="D238" s="14">
        <v>1</v>
      </c>
      <c r="E238" s="14">
        <v>0</v>
      </c>
      <c r="F238" s="14">
        <v>1</v>
      </c>
      <c r="G238" s="14">
        <v>1</v>
      </c>
      <c r="H238" s="14"/>
      <c r="I238" s="8" t="s">
        <v>120</v>
      </c>
      <c r="J238" s="8" t="s">
        <v>38</v>
      </c>
      <c r="K238">
        <v>12.375</v>
      </c>
      <c r="L238">
        <v>72.75</v>
      </c>
      <c r="M238" s="14">
        <v>7.1875</v>
      </c>
      <c r="N238" s="14">
        <v>6.8125</v>
      </c>
      <c r="Q238" t="str">
        <f t="shared" si="14"/>
        <v xml:space="preserve">XX8X_PV_0370:    Front abuts stile:TRUE       Back abuts stile:TRUE          Panel Section: TOP           Stile in the back Width:            Cutout A: B-386          Cutout B:      F.C.:7.1875 in.         C.C.:6.8125 in.   </v>
      </c>
      <c r="R238" t="str">
        <f t="shared" si="13"/>
        <v>TRUE</v>
      </c>
      <c r="S238" t="str">
        <f t="shared" si="15"/>
        <v>TRUE</v>
      </c>
    </row>
    <row r="239" spans="1:19" hidden="1">
      <c r="A239" t="s">
        <v>399</v>
      </c>
      <c r="B239" s="14" t="s">
        <v>144</v>
      </c>
      <c r="C239" s="14" t="s">
        <v>156</v>
      </c>
      <c r="D239" s="14">
        <v>1</v>
      </c>
      <c r="E239" s="14">
        <v>1</v>
      </c>
      <c r="F239" s="14">
        <v>0</v>
      </c>
      <c r="G239" s="14"/>
      <c r="H239" s="14"/>
      <c r="I239" s="8" t="s">
        <v>145</v>
      </c>
      <c r="J239" s="8" t="s">
        <v>38</v>
      </c>
      <c r="K239">
        <v>36.3125</v>
      </c>
      <c r="L239">
        <v>6.375</v>
      </c>
      <c r="M239" s="14">
        <v>4.5</v>
      </c>
      <c r="N239" s="14">
        <v>7.3125</v>
      </c>
      <c r="Q239" t="str">
        <f t="shared" si="14"/>
        <v xml:space="preserve">XX8X_PV_0371:    Front abuts stile:TRUE       Back abuts stile:FALSE          Panel Section: TOP           Stile in the back Width:            Cutout A: B-347          Cutout B:      F.C.:4.5 in.         C.C.:7.3125 in.   </v>
      </c>
      <c r="R239" t="str">
        <f t="shared" si="13"/>
        <v>TRUE</v>
      </c>
      <c r="S239" t="str">
        <f t="shared" si="15"/>
        <v>FALSE</v>
      </c>
    </row>
    <row r="240" spans="1:19" hidden="1">
      <c r="A240" t="s">
        <v>400</v>
      </c>
      <c r="B240" s="14" t="s">
        <v>144</v>
      </c>
      <c r="C240" s="14" t="s">
        <v>156</v>
      </c>
      <c r="D240" s="14">
        <v>1</v>
      </c>
      <c r="E240" s="14">
        <v>1</v>
      </c>
      <c r="F240" s="14">
        <v>1</v>
      </c>
      <c r="G240" s="14">
        <v>0</v>
      </c>
      <c r="H240" s="14">
        <v>12</v>
      </c>
      <c r="I240" s="8" t="s">
        <v>145</v>
      </c>
      <c r="J240" s="8" t="s">
        <v>38</v>
      </c>
      <c r="K240">
        <v>9.875</v>
      </c>
      <c r="L240">
        <v>67.5625</v>
      </c>
      <c r="M240" s="14">
        <v>12</v>
      </c>
      <c r="N240" s="14">
        <v>5.3125</v>
      </c>
      <c r="Q240" t="str">
        <f t="shared" si="14"/>
        <v xml:space="preserve">XX8X_PV_0372:    Front abuts stile:TRUE       Back abuts stile:TRUE          Panel Section: TOP           Stile in the back Width: 12           Cutout A: B-347          Cutout B:      F.C.:12 in.         C.C.:5.3125 in.   </v>
      </c>
      <c r="R240" t="str">
        <f t="shared" si="13"/>
        <v>TRUE</v>
      </c>
      <c r="S240" t="str">
        <f t="shared" si="15"/>
        <v>TRUE</v>
      </c>
    </row>
    <row r="241" spans="1:19" hidden="1">
      <c r="A241" t="s">
        <v>401</v>
      </c>
      <c r="B241" s="14" t="s">
        <v>144</v>
      </c>
      <c r="C241" s="14" t="s">
        <v>156</v>
      </c>
      <c r="D241" s="14">
        <v>1</v>
      </c>
      <c r="E241" s="14">
        <v>1</v>
      </c>
      <c r="F241" s="14">
        <v>1</v>
      </c>
      <c r="G241" s="14">
        <v>0</v>
      </c>
      <c r="H241" s="14">
        <v>24</v>
      </c>
      <c r="I241" s="8" t="s">
        <v>38</v>
      </c>
      <c r="J241" s="8" t="s">
        <v>38</v>
      </c>
      <c r="K241">
        <v>19.125</v>
      </c>
      <c r="L241">
        <v>23.3125</v>
      </c>
      <c r="M241" s="14">
        <v>4.1875</v>
      </c>
      <c r="N241" s="14">
        <v>1</v>
      </c>
      <c r="Q241" t="str">
        <f t="shared" si="14"/>
        <v xml:space="preserve">XX8X_PV_0373:    Front abuts stile:TRUE       Back abuts stile:TRUE          Panel Section: TOP           Stile in the back Width: 24           Cutout A:           Cutout B:      F.C.:4.1875 in.         C.C.:1 in.   </v>
      </c>
      <c r="R241" t="str">
        <f t="shared" si="13"/>
        <v>TRUE</v>
      </c>
      <c r="S241" t="str">
        <f t="shared" si="15"/>
        <v>TRUE</v>
      </c>
    </row>
    <row r="242" spans="1:19" hidden="1">
      <c r="A242" t="s">
        <v>402</v>
      </c>
      <c r="B242" s="14" t="s">
        <v>144</v>
      </c>
      <c r="C242" s="14" t="s">
        <v>156</v>
      </c>
      <c r="D242" s="14">
        <v>1</v>
      </c>
      <c r="E242" s="14">
        <v>1</v>
      </c>
      <c r="F242" s="14">
        <v>1</v>
      </c>
      <c r="G242" s="14">
        <v>0</v>
      </c>
      <c r="H242" s="14"/>
      <c r="I242" s="8" t="s">
        <v>120</v>
      </c>
      <c r="J242" s="8" t="s">
        <v>38</v>
      </c>
      <c r="K242">
        <v>18.6875</v>
      </c>
      <c r="L242">
        <v>38</v>
      </c>
      <c r="M242" s="14">
        <v>9</v>
      </c>
      <c r="N242" s="14">
        <v>2.0625</v>
      </c>
      <c r="Q242" t="str">
        <f t="shared" si="14"/>
        <v xml:space="preserve">XX8X_PV_0374:    Front abuts stile:TRUE       Back abuts stile:TRUE          Panel Section: TOP           Stile in the back Width:            Cutout A: B-386          Cutout B:      F.C.:9 in.         C.C.:2.0625 in.   </v>
      </c>
      <c r="R242" t="str">
        <f t="shared" si="13"/>
        <v>TRUE</v>
      </c>
      <c r="S242" t="str">
        <f t="shared" si="15"/>
        <v>TRUE</v>
      </c>
    </row>
    <row r="243" spans="1:19" hidden="1">
      <c r="A243" t="s">
        <v>403</v>
      </c>
      <c r="B243" s="14" t="s">
        <v>144</v>
      </c>
      <c r="C243" s="14" t="s">
        <v>156</v>
      </c>
      <c r="D243" s="14">
        <v>1</v>
      </c>
      <c r="E243" s="14">
        <v>1</v>
      </c>
      <c r="F243" s="14">
        <v>1</v>
      </c>
      <c r="G243" s="14">
        <v>1</v>
      </c>
      <c r="H243" s="14"/>
      <c r="I243" s="8" t="s">
        <v>151</v>
      </c>
      <c r="J243" s="8" t="s">
        <v>38</v>
      </c>
      <c r="K243">
        <v>4.8125</v>
      </c>
      <c r="L243">
        <v>29.3125</v>
      </c>
      <c r="M243" s="14">
        <v>1</v>
      </c>
      <c r="N243" s="14">
        <v>1</v>
      </c>
      <c r="Q243" t="str">
        <f t="shared" si="14"/>
        <v xml:space="preserve">XX8X_PV_0375:    Front abuts stile:TRUE       Back abuts stile:TRUE          Panel Section: TOP           Stile in the back Width:            Cutout A: B-35715          Cutout B:      F.C.:1 in.         C.C.:1 in.   </v>
      </c>
      <c r="R243" t="str">
        <f t="shared" si="13"/>
        <v>TRUE</v>
      </c>
      <c r="S243" t="str">
        <f t="shared" si="15"/>
        <v>TRUE</v>
      </c>
    </row>
    <row r="244" spans="1:19" hidden="1">
      <c r="A244" t="s">
        <v>404</v>
      </c>
      <c r="B244" s="14" t="s">
        <v>144</v>
      </c>
      <c r="C244" s="14" t="s">
        <v>157</v>
      </c>
      <c r="D244" s="14">
        <v>0</v>
      </c>
      <c r="E244" s="14"/>
      <c r="F244" s="14">
        <v>0</v>
      </c>
      <c r="G244" s="14"/>
      <c r="H244" s="14"/>
      <c r="I244" s="8" t="s">
        <v>38</v>
      </c>
      <c r="J244" s="8" t="s">
        <v>38</v>
      </c>
      <c r="K244">
        <v>60</v>
      </c>
      <c r="L244">
        <v>51.625</v>
      </c>
      <c r="M244" s="14">
        <v>9.875</v>
      </c>
      <c r="N244" s="14">
        <v>4.5</v>
      </c>
      <c r="Q244" t="str">
        <f t="shared" si="14"/>
        <v xml:space="preserve">XX8X_PV_0391:    Front abuts stile:FALSE       Back abuts stile:FALSE          Panel Section: BOTTOM           Stile in the back Width:            Cutout A:           Cutout B:      F.C.:9.875 in.         C.C.:4.5 in.   </v>
      </c>
      <c r="R244" t="str">
        <f t="shared" si="13"/>
        <v>FALSE</v>
      </c>
      <c r="S244" t="str">
        <f t="shared" si="15"/>
        <v>FALSE</v>
      </c>
    </row>
    <row r="245" spans="1:19" hidden="1">
      <c r="A245" t="s">
        <v>405</v>
      </c>
      <c r="B245" s="14" t="s">
        <v>144</v>
      </c>
      <c r="C245" s="14" t="s">
        <v>157</v>
      </c>
      <c r="D245" s="14">
        <v>0</v>
      </c>
      <c r="E245" s="14"/>
      <c r="F245" s="14">
        <v>1</v>
      </c>
      <c r="G245" s="14">
        <v>0</v>
      </c>
      <c r="H245" s="14">
        <v>12</v>
      </c>
      <c r="I245" s="8" t="s">
        <v>150</v>
      </c>
      <c r="J245" s="8" t="s">
        <v>38</v>
      </c>
      <c r="K245">
        <v>60</v>
      </c>
      <c r="L245">
        <v>34.5625</v>
      </c>
      <c r="M245" s="14">
        <v>12</v>
      </c>
      <c r="N245" s="14">
        <v>4</v>
      </c>
      <c r="Q245" t="str">
        <f t="shared" si="14"/>
        <v xml:space="preserve">XX8X_PV_0392:    Front abuts stile:FALSE       Back abuts stile:TRUE          Panel Section: BOTTOM           Stile in the back Width: 12           Cutout A: B-3571          Cutout B:      F.C.:12 in.         C.C.:4 in.   </v>
      </c>
      <c r="R245" t="str">
        <f t="shared" si="13"/>
        <v>FALSE</v>
      </c>
      <c r="S245" t="str">
        <f t="shared" si="15"/>
        <v>TRUE</v>
      </c>
    </row>
    <row r="246" spans="1:19" hidden="1">
      <c r="A246" t="s">
        <v>406</v>
      </c>
      <c r="B246" s="14" t="s">
        <v>144</v>
      </c>
      <c r="C246" s="14" t="s">
        <v>157</v>
      </c>
      <c r="D246" s="14">
        <v>0</v>
      </c>
      <c r="E246" s="14"/>
      <c r="F246" s="14">
        <v>1</v>
      </c>
      <c r="G246" s="14">
        <v>0</v>
      </c>
      <c r="H246" s="14">
        <v>24</v>
      </c>
      <c r="I246" s="8" t="s">
        <v>120</v>
      </c>
      <c r="J246" s="8" t="s">
        <v>38</v>
      </c>
      <c r="K246">
        <v>60</v>
      </c>
      <c r="L246">
        <v>50.875</v>
      </c>
      <c r="M246" s="14">
        <v>4.5</v>
      </c>
      <c r="N246" s="14">
        <v>4</v>
      </c>
      <c r="Q246" t="str">
        <f t="shared" si="14"/>
        <v xml:space="preserve">XX8X_PV_0393:    Front abuts stile:FALSE       Back abuts stile:TRUE          Panel Section: BOTTOM           Stile in the back Width: 24           Cutout A: B-386          Cutout B:      F.C.:4.5 in.         C.C.:4 in.   </v>
      </c>
      <c r="R246" t="str">
        <f t="shared" si="13"/>
        <v>FALSE</v>
      </c>
      <c r="S246" t="str">
        <f t="shared" si="15"/>
        <v>TRUE</v>
      </c>
    </row>
    <row r="247" spans="1:19" hidden="1">
      <c r="A247" t="s">
        <v>407</v>
      </c>
      <c r="B247" s="14" t="s">
        <v>144</v>
      </c>
      <c r="C247" s="14" t="s">
        <v>157</v>
      </c>
      <c r="D247" s="14">
        <v>0</v>
      </c>
      <c r="E247" s="14"/>
      <c r="F247" s="14">
        <v>1</v>
      </c>
      <c r="G247" s="14">
        <v>0</v>
      </c>
      <c r="H247" s="14"/>
      <c r="I247" s="8" t="s">
        <v>150</v>
      </c>
      <c r="J247" s="8" t="s">
        <v>38</v>
      </c>
      <c r="K247">
        <v>60</v>
      </c>
      <c r="L247">
        <v>46.8125</v>
      </c>
      <c r="M247" s="14">
        <v>12</v>
      </c>
      <c r="N247" s="14">
        <v>2.5625</v>
      </c>
      <c r="Q247" t="str">
        <f t="shared" si="14"/>
        <v xml:space="preserve">XX8X_PV_0394:    Front abuts stile:FALSE       Back abuts stile:TRUE          Panel Section: BOTTOM           Stile in the back Width:            Cutout A: B-3571          Cutout B:      F.C.:12 in.         C.C.:2.5625 in.   </v>
      </c>
      <c r="R247" t="str">
        <f t="shared" si="13"/>
        <v>FALSE</v>
      </c>
      <c r="S247" t="str">
        <f t="shared" si="15"/>
        <v>TRUE</v>
      </c>
    </row>
    <row r="248" spans="1:19" hidden="1">
      <c r="A248" t="s">
        <v>408</v>
      </c>
      <c r="B248" s="14" t="s">
        <v>144</v>
      </c>
      <c r="C248" s="14" t="s">
        <v>157</v>
      </c>
      <c r="D248" s="14">
        <v>0</v>
      </c>
      <c r="E248" s="14"/>
      <c r="F248" s="14">
        <v>1</v>
      </c>
      <c r="G248" s="14">
        <v>1</v>
      </c>
      <c r="H248" s="14"/>
      <c r="I248" s="8" t="s">
        <v>35</v>
      </c>
      <c r="J248" s="8" t="s">
        <v>38</v>
      </c>
      <c r="K248">
        <v>60</v>
      </c>
      <c r="L248">
        <v>47.125</v>
      </c>
      <c r="M248" s="14">
        <v>4.5</v>
      </c>
      <c r="N248" s="14">
        <v>7.3125</v>
      </c>
      <c r="Q248" t="str">
        <f t="shared" si="14"/>
        <v xml:space="preserve">XX8X_PV_0395:    Front abuts stile:FALSE       Back abuts stile:TRUE          Panel Section: BOTTOM           Stile in the back Width:            Cutout A: B-357          Cutout B:      F.C.:4.5 in.         C.C.:7.3125 in.   </v>
      </c>
      <c r="R248" t="str">
        <f t="shared" si="13"/>
        <v>FALSE</v>
      </c>
      <c r="S248" t="str">
        <f t="shared" si="15"/>
        <v>TRUE</v>
      </c>
    </row>
    <row r="249" spans="1:19" hidden="1">
      <c r="A249" t="s">
        <v>409</v>
      </c>
      <c r="B249" s="14" t="s">
        <v>144</v>
      </c>
      <c r="C249" s="14" t="s">
        <v>157</v>
      </c>
      <c r="D249" s="14">
        <v>1</v>
      </c>
      <c r="E249" s="14">
        <v>0</v>
      </c>
      <c r="F249" s="14">
        <v>0</v>
      </c>
      <c r="G249" s="14"/>
      <c r="H249" s="14"/>
      <c r="I249" s="8" t="s">
        <v>151</v>
      </c>
      <c r="J249" s="8" t="s">
        <v>38</v>
      </c>
      <c r="K249">
        <v>60</v>
      </c>
      <c r="L249">
        <v>18.9375</v>
      </c>
      <c r="M249" s="14">
        <v>1</v>
      </c>
      <c r="N249" s="14">
        <v>6.1875</v>
      </c>
      <c r="Q249" t="str">
        <f t="shared" si="14"/>
        <v xml:space="preserve">XX8X_PV_0396:    Front abuts stile:TRUE       Back abuts stile:FALSE          Panel Section: BOTTOM           Stile in the back Width:            Cutout A: B-35715          Cutout B:      F.C.:1 in.         C.C.:6.1875 in.   </v>
      </c>
      <c r="R249" t="str">
        <f t="shared" si="13"/>
        <v>TRUE</v>
      </c>
      <c r="S249" t="str">
        <f t="shared" si="15"/>
        <v>FALSE</v>
      </c>
    </row>
    <row r="250" spans="1:19" hidden="1">
      <c r="A250" t="s">
        <v>410</v>
      </c>
      <c r="B250" s="14" t="s">
        <v>144</v>
      </c>
      <c r="C250" s="14" t="s">
        <v>157</v>
      </c>
      <c r="D250" s="14">
        <v>1</v>
      </c>
      <c r="E250" s="14">
        <v>0</v>
      </c>
      <c r="F250" s="14">
        <v>1</v>
      </c>
      <c r="G250" s="14">
        <v>0</v>
      </c>
      <c r="H250" s="14">
        <v>12</v>
      </c>
      <c r="I250" s="8" t="s">
        <v>38</v>
      </c>
      <c r="J250" s="8" t="s">
        <v>38</v>
      </c>
      <c r="K250">
        <v>60</v>
      </c>
      <c r="L250">
        <v>57.9375</v>
      </c>
      <c r="M250" s="14">
        <v>1.25</v>
      </c>
      <c r="N250" s="14">
        <v>5.6875</v>
      </c>
      <c r="Q250" t="str">
        <f t="shared" si="14"/>
        <v xml:space="preserve">XX8X_PV_0397:    Front abuts stile:TRUE       Back abuts stile:TRUE          Panel Section: BOTTOM           Stile in the back Width: 12           Cutout A:           Cutout B:      F.C.:1.25 in.         C.C.:5.6875 in.   </v>
      </c>
      <c r="R250" t="str">
        <f t="shared" si="13"/>
        <v>TRUE</v>
      </c>
      <c r="S250" t="str">
        <f t="shared" si="15"/>
        <v>TRUE</v>
      </c>
    </row>
    <row r="251" spans="1:19" hidden="1">
      <c r="A251" t="s">
        <v>411</v>
      </c>
      <c r="B251" s="14" t="s">
        <v>144</v>
      </c>
      <c r="C251" s="14" t="s">
        <v>157</v>
      </c>
      <c r="D251" s="14">
        <v>1</v>
      </c>
      <c r="E251" s="14">
        <v>0</v>
      </c>
      <c r="F251" s="14">
        <v>1</v>
      </c>
      <c r="G251" s="14">
        <v>0</v>
      </c>
      <c r="H251" s="14">
        <v>24</v>
      </c>
      <c r="I251" s="8" t="s">
        <v>120</v>
      </c>
      <c r="J251" s="8" t="s">
        <v>38</v>
      </c>
      <c r="K251">
        <v>60</v>
      </c>
      <c r="L251">
        <v>24</v>
      </c>
      <c r="M251" s="14">
        <v>7.0625</v>
      </c>
      <c r="N251" s="14">
        <v>1</v>
      </c>
      <c r="Q251" t="str">
        <f t="shared" si="14"/>
        <v xml:space="preserve">XX8X_PV_0398:    Front abuts stile:TRUE       Back abuts stile:TRUE          Panel Section: BOTTOM           Stile in the back Width: 24           Cutout A: B-386          Cutout B:      F.C.:7.0625 in.         C.C.:1 in.   </v>
      </c>
      <c r="R251" t="str">
        <f t="shared" si="13"/>
        <v>TRUE</v>
      </c>
      <c r="S251" t="str">
        <f t="shared" si="15"/>
        <v>TRUE</v>
      </c>
    </row>
    <row r="252" spans="1:19" hidden="1">
      <c r="A252" t="s">
        <v>412</v>
      </c>
      <c r="B252" s="14" t="s">
        <v>144</v>
      </c>
      <c r="C252" s="14" t="s">
        <v>157</v>
      </c>
      <c r="D252" s="14">
        <v>1</v>
      </c>
      <c r="E252" s="14">
        <v>0</v>
      </c>
      <c r="F252" s="14">
        <v>1</v>
      </c>
      <c r="G252" s="14">
        <v>0</v>
      </c>
      <c r="H252" s="14"/>
      <c r="I252" s="8" t="s">
        <v>150</v>
      </c>
      <c r="J252" s="8" t="s">
        <v>38</v>
      </c>
      <c r="K252">
        <v>60</v>
      </c>
      <c r="L252">
        <v>43.25</v>
      </c>
      <c r="M252" s="14">
        <v>2.3125</v>
      </c>
      <c r="N252" s="14">
        <v>1</v>
      </c>
      <c r="Q252" t="str">
        <f t="shared" si="14"/>
        <v xml:space="preserve">XX8X_PV_0399:    Front abuts stile:TRUE       Back abuts stile:TRUE          Panel Section: BOTTOM           Stile in the back Width:            Cutout A: B-3571          Cutout B:      F.C.:2.3125 in.         C.C.:1 in.   </v>
      </c>
      <c r="R252" t="str">
        <f t="shared" si="13"/>
        <v>TRUE</v>
      </c>
      <c r="S252" t="str">
        <f t="shared" si="15"/>
        <v>TRUE</v>
      </c>
    </row>
    <row r="253" spans="1:19" hidden="1">
      <c r="A253" t="s">
        <v>413</v>
      </c>
      <c r="B253" s="14" t="s">
        <v>144</v>
      </c>
      <c r="C253" s="14" t="s">
        <v>157</v>
      </c>
      <c r="D253" s="14">
        <v>1</v>
      </c>
      <c r="E253" s="14">
        <v>0</v>
      </c>
      <c r="F253" s="14">
        <v>1</v>
      </c>
      <c r="G253" s="14">
        <v>1</v>
      </c>
      <c r="H253" s="14"/>
      <c r="I253" s="8" t="s">
        <v>150</v>
      </c>
      <c r="J253" s="8" t="s">
        <v>38</v>
      </c>
      <c r="K253">
        <v>60</v>
      </c>
      <c r="L253">
        <v>34.125</v>
      </c>
      <c r="M253" s="14">
        <v>9</v>
      </c>
      <c r="N253" s="14">
        <v>2.5</v>
      </c>
      <c r="Q253" t="str">
        <f t="shared" si="14"/>
        <v xml:space="preserve">XX8X_PV_0400:    Front abuts stile:TRUE       Back abuts stile:TRUE          Panel Section: BOTTOM           Stile in the back Width:            Cutout A: B-3571          Cutout B:      F.C.:9 in.         C.C.:2.5 in.   </v>
      </c>
      <c r="R253" t="str">
        <f t="shared" si="13"/>
        <v>TRUE</v>
      </c>
      <c r="S253" t="str">
        <f t="shared" si="15"/>
        <v>TRUE</v>
      </c>
    </row>
    <row r="254" spans="1:19">
      <c r="A254" t="s">
        <v>414</v>
      </c>
      <c r="B254" s="14" t="s">
        <v>143</v>
      </c>
      <c r="C254" s="14" t="s">
        <v>157</v>
      </c>
      <c r="D254" s="14">
        <v>1</v>
      </c>
      <c r="E254" s="14">
        <v>1</v>
      </c>
      <c r="F254" s="14">
        <v>0</v>
      </c>
      <c r="G254" s="14"/>
      <c r="H254" s="14"/>
      <c r="I254" s="8" t="s">
        <v>120</v>
      </c>
      <c r="J254" s="8" t="s">
        <v>38</v>
      </c>
      <c r="K254">
        <v>60</v>
      </c>
      <c r="L254">
        <v>31.25</v>
      </c>
      <c r="M254" s="14">
        <v>6.875</v>
      </c>
      <c r="N254" s="14">
        <v>4.875</v>
      </c>
      <c r="Q254" t="str">
        <f t="shared" si="14"/>
        <v xml:space="preserve">XX8X_PV_0401:    Front abuts stile:TRUE       Back abuts stile:FALSE          Panel Section: BOTTOM           Stile in the back Width:            Cutout A: B-386          Cutout B:      F.C.:6.875 in.         C.C.:4.875 in.   </v>
      </c>
      <c r="R254" t="str">
        <f t="shared" si="13"/>
        <v>TRUE</v>
      </c>
      <c r="S254" t="str">
        <f t="shared" si="15"/>
        <v>FALSE</v>
      </c>
    </row>
    <row r="255" spans="1:19">
      <c r="A255" t="s">
        <v>415</v>
      </c>
      <c r="B255" s="14" t="s">
        <v>143</v>
      </c>
      <c r="C255" s="14" t="s">
        <v>157</v>
      </c>
      <c r="D255" s="14">
        <v>1</v>
      </c>
      <c r="E255" s="14">
        <v>1</v>
      </c>
      <c r="F255" s="14">
        <v>1</v>
      </c>
      <c r="G255" s="14">
        <v>0</v>
      </c>
      <c r="H255" s="14">
        <v>12</v>
      </c>
      <c r="I255" s="8" t="s">
        <v>148</v>
      </c>
      <c r="J255" s="8" t="s">
        <v>38</v>
      </c>
      <c r="K255">
        <v>60</v>
      </c>
      <c r="L255">
        <v>59.1875</v>
      </c>
      <c r="M255" s="14">
        <v>12</v>
      </c>
      <c r="N255" s="14">
        <v>5.625</v>
      </c>
      <c r="Q255" t="str">
        <f t="shared" si="14"/>
        <v xml:space="preserve">XX8X_PV_0402:    Front abuts stile:TRUE       Back abuts stile:TRUE          Panel Section: BOTTOM           Stile in the back Width: 12           Cutout A: B-3471          Cutout B:      F.C.:12 in.         C.C.:5.625 in.   </v>
      </c>
      <c r="R255" t="str">
        <f t="shared" si="13"/>
        <v>TRUE</v>
      </c>
      <c r="S255" t="str">
        <f t="shared" si="15"/>
        <v>TRUE</v>
      </c>
    </row>
    <row r="256" spans="1:19" hidden="1">
      <c r="A256" t="s">
        <v>416</v>
      </c>
      <c r="B256" s="14" t="s">
        <v>144</v>
      </c>
      <c r="C256" s="14" t="s">
        <v>157</v>
      </c>
      <c r="D256" s="14">
        <v>1</v>
      </c>
      <c r="E256" s="14">
        <v>1</v>
      </c>
      <c r="F256" s="14">
        <v>1</v>
      </c>
      <c r="G256" s="14">
        <v>0</v>
      </c>
      <c r="H256" s="14">
        <v>24</v>
      </c>
      <c r="I256" s="8" t="s">
        <v>120</v>
      </c>
      <c r="J256" s="8" t="s">
        <v>38</v>
      </c>
      <c r="K256">
        <v>60</v>
      </c>
      <c r="L256">
        <v>47.75</v>
      </c>
      <c r="M256" s="14">
        <v>8.1875</v>
      </c>
      <c r="N256" s="14">
        <v>1</v>
      </c>
      <c r="Q256" t="str">
        <f t="shared" si="14"/>
        <v xml:space="preserve">XX8X_PV_0403:    Front abuts stile:TRUE       Back abuts stile:TRUE          Panel Section: BOTTOM           Stile in the back Width: 24           Cutout A: B-386          Cutout B:      F.C.:8.1875 in.         C.C.:1 in.   </v>
      </c>
      <c r="R256" t="str">
        <f t="shared" si="13"/>
        <v>TRUE</v>
      </c>
      <c r="S256" t="str">
        <f t="shared" si="15"/>
        <v>TRUE</v>
      </c>
    </row>
    <row r="257" spans="1:19" hidden="1">
      <c r="A257" t="s">
        <v>417</v>
      </c>
      <c r="B257" s="14" t="s">
        <v>144</v>
      </c>
      <c r="C257" s="14" t="s">
        <v>157</v>
      </c>
      <c r="D257" s="14">
        <v>1</v>
      </c>
      <c r="E257" s="14">
        <v>1</v>
      </c>
      <c r="F257" s="14">
        <v>1</v>
      </c>
      <c r="G257" s="14">
        <v>0</v>
      </c>
      <c r="H257" s="14"/>
      <c r="I257" s="8" t="s">
        <v>151</v>
      </c>
      <c r="J257" s="8" t="s">
        <v>38</v>
      </c>
      <c r="K257">
        <v>60</v>
      </c>
      <c r="L257">
        <v>5.4375</v>
      </c>
      <c r="M257" s="14">
        <v>10.0625</v>
      </c>
      <c r="N257" s="14">
        <v>1</v>
      </c>
      <c r="Q257" t="str">
        <f t="shared" si="14"/>
        <v xml:space="preserve">XX8X_PV_0404:    Front abuts stile:TRUE       Back abuts stile:TRUE          Panel Section: BOTTOM           Stile in the back Width:            Cutout A: B-35715          Cutout B:      F.C.:10.0625 in.         C.C.:1 in.   </v>
      </c>
      <c r="R257" t="str">
        <f t="shared" si="13"/>
        <v>TRUE</v>
      </c>
      <c r="S257" t="str">
        <f t="shared" si="15"/>
        <v>TRUE</v>
      </c>
    </row>
    <row r="258" spans="1:19" hidden="1">
      <c r="A258" t="s">
        <v>418</v>
      </c>
      <c r="B258" s="14" t="s">
        <v>144</v>
      </c>
      <c r="C258" s="14" t="s">
        <v>157</v>
      </c>
      <c r="D258" s="14">
        <v>1</v>
      </c>
      <c r="E258" s="14">
        <v>1</v>
      </c>
      <c r="F258" s="14">
        <v>1</v>
      </c>
      <c r="G258" s="14">
        <v>1</v>
      </c>
      <c r="H258" s="14"/>
      <c r="I258" s="8" t="s">
        <v>150</v>
      </c>
      <c r="J258" s="8" t="s">
        <v>38</v>
      </c>
      <c r="K258">
        <v>60</v>
      </c>
      <c r="L258">
        <v>37.0625</v>
      </c>
      <c r="M258" s="14">
        <v>2.5625</v>
      </c>
      <c r="N258" s="14">
        <v>7</v>
      </c>
      <c r="Q258" t="str">
        <f t="shared" si="14"/>
        <v xml:space="preserve">XX8X_PV_0405:    Front abuts stile:TRUE       Back abuts stile:TRUE          Panel Section: BOTTOM           Stile in the back Width:            Cutout A: B-3571          Cutout B:      F.C.:2.5625 in.         C.C.:7 in.   </v>
      </c>
      <c r="R258" t="str">
        <f t="shared" si="13"/>
        <v>TRUE</v>
      </c>
      <c r="S258" t="str">
        <f t="shared" si="15"/>
        <v>TRUE</v>
      </c>
    </row>
    <row r="259" spans="1:19" hidden="1">
      <c r="A259" t="s">
        <v>419</v>
      </c>
      <c r="B259" s="14" t="s">
        <v>144</v>
      </c>
      <c r="C259" s="14" t="s">
        <v>21</v>
      </c>
      <c r="D259" s="14">
        <v>0</v>
      </c>
      <c r="E259" s="14"/>
      <c r="F259" s="14">
        <v>0</v>
      </c>
      <c r="G259" s="14"/>
      <c r="H259" s="14"/>
      <c r="I259" s="8" t="s">
        <v>151</v>
      </c>
      <c r="J259" s="8" t="s">
        <v>38</v>
      </c>
      <c r="K259">
        <v>57.1875</v>
      </c>
      <c r="L259">
        <v>68.8125</v>
      </c>
      <c r="M259" s="14">
        <v>9</v>
      </c>
      <c r="N259" s="14">
        <v>1.375</v>
      </c>
      <c r="Q259" t="str">
        <f t="shared" si="14"/>
        <v xml:space="preserve">XX8X_PV_0421:    Front abuts stile:FALSE       Back abuts stile:FALSE          Panel Section: WHOLE           Stile in the back Width:            Cutout A: B-35715          Cutout B:      F.C.:9 in.         C.C.:1.375 in.   </v>
      </c>
      <c r="R259" t="str">
        <f t="shared" si="13"/>
        <v>FALSE</v>
      </c>
      <c r="S259" t="str">
        <f t="shared" si="15"/>
        <v>FALSE</v>
      </c>
    </row>
    <row r="260" spans="1:19" hidden="1">
      <c r="A260" t="s">
        <v>420</v>
      </c>
      <c r="B260" s="14" t="s">
        <v>144</v>
      </c>
      <c r="C260" s="14" t="s">
        <v>21</v>
      </c>
      <c r="D260" s="14">
        <v>0</v>
      </c>
      <c r="E260" s="14"/>
      <c r="F260" s="14">
        <v>1</v>
      </c>
      <c r="G260" s="14">
        <v>0</v>
      </c>
      <c r="H260" s="14">
        <v>12</v>
      </c>
      <c r="I260" s="8" t="s">
        <v>145</v>
      </c>
      <c r="J260" s="8" t="s">
        <v>38</v>
      </c>
      <c r="K260">
        <v>46.3125</v>
      </c>
      <c r="L260">
        <v>24.75</v>
      </c>
      <c r="M260" s="14">
        <v>2.4375</v>
      </c>
      <c r="N260" s="14">
        <v>2.5</v>
      </c>
      <c r="Q260" t="str">
        <f t="shared" si="14"/>
        <v xml:space="preserve">XX8X_PV_0422:    Front abuts stile:FALSE       Back abuts stile:TRUE          Panel Section: WHOLE           Stile in the back Width: 12           Cutout A: B-347          Cutout B:      F.C.:2.4375 in.         C.C.:2.5 in.   </v>
      </c>
      <c r="R260" t="str">
        <f t="shared" ref="R260:R323" si="16">IF(D260=1, "TRUE", "FALSE")</f>
        <v>FALSE</v>
      </c>
      <c r="S260" t="str">
        <f t="shared" si="15"/>
        <v>TRUE</v>
      </c>
    </row>
    <row r="261" spans="1:19" hidden="1">
      <c r="A261" t="s">
        <v>421</v>
      </c>
      <c r="B261" s="14" t="s">
        <v>144</v>
      </c>
      <c r="C261" s="14" t="s">
        <v>21</v>
      </c>
      <c r="D261" s="14">
        <v>0</v>
      </c>
      <c r="E261" s="14"/>
      <c r="F261" s="14">
        <v>1</v>
      </c>
      <c r="G261" s="14">
        <v>0</v>
      </c>
      <c r="H261" s="14">
        <v>24</v>
      </c>
      <c r="I261" s="8" t="s">
        <v>38</v>
      </c>
      <c r="J261" s="8" t="s">
        <v>38</v>
      </c>
      <c r="K261">
        <v>96.625</v>
      </c>
      <c r="L261">
        <v>57.5</v>
      </c>
      <c r="M261" s="14">
        <v>1</v>
      </c>
      <c r="N261" s="14">
        <v>2.125</v>
      </c>
      <c r="Q261" t="str">
        <f t="shared" si="14"/>
        <v xml:space="preserve">XX8X_PV_0423:    Front abuts stile:FALSE       Back abuts stile:TRUE          Panel Section: WHOLE           Stile in the back Width: 24           Cutout A:           Cutout B:      F.C.:1 in.         C.C.:2.125 in.   </v>
      </c>
      <c r="R261" t="str">
        <f t="shared" si="16"/>
        <v>FALSE</v>
      </c>
      <c r="S261" t="str">
        <f t="shared" si="15"/>
        <v>TRUE</v>
      </c>
    </row>
    <row r="262" spans="1:19" hidden="1">
      <c r="A262" t="s">
        <v>422</v>
      </c>
      <c r="B262" s="14" t="s">
        <v>144</v>
      </c>
      <c r="C262" s="14" t="s">
        <v>21</v>
      </c>
      <c r="D262" s="14">
        <v>0</v>
      </c>
      <c r="E262" s="14"/>
      <c r="F262" s="14">
        <v>1</v>
      </c>
      <c r="G262" s="14">
        <v>0</v>
      </c>
      <c r="H262" s="14"/>
      <c r="I262" s="8" t="s">
        <v>120</v>
      </c>
      <c r="J262" s="8" t="s">
        <v>38</v>
      </c>
      <c r="K262">
        <v>52.25</v>
      </c>
      <c r="L262">
        <v>14.1875</v>
      </c>
      <c r="M262" s="14">
        <v>3</v>
      </c>
      <c r="N262" s="14">
        <v>4.875</v>
      </c>
      <c r="Q262" t="str">
        <f t="shared" si="14"/>
        <v xml:space="preserve">XX8X_PV_0424:    Front abuts stile:FALSE       Back abuts stile:TRUE          Panel Section: WHOLE           Stile in the back Width:            Cutout A: B-386          Cutout B:      F.C.:3 in.         C.C.:4.875 in.   </v>
      </c>
      <c r="R262" t="str">
        <f t="shared" si="16"/>
        <v>FALSE</v>
      </c>
      <c r="S262" t="str">
        <f t="shared" si="15"/>
        <v>TRUE</v>
      </c>
    </row>
    <row r="263" spans="1:19" hidden="1">
      <c r="A263" t="s">
        <v>423</v>
      </c>
      <c r="B263" s="14" t="s">
        <v>144</v>
      </c>
      <c r="C263" s="14" t="s">
        <v>21</v>
      </c>
      <c r="D263" s="14">
        <v>0</v>
      </c>
      <c r="E263" s="14"/>
      <c r="F263" s="14">
        <v>1</v>
      </c>
      <c r="G263" s="14">
        <v>1</v>
      </c>
      <c r="H263" s="14"/>
      <c r="I263" s="8" t="s">
        <v>120</v>
      </c>
      <c r="J263" s="8" t="s">
        <v>38</v>
      </c>
      <c r="K263">
        <v>90.1875</v>
      </c>
      <c r="L263">
        <v>43.625</v>
      </c>
      <c r="M263" s="14">
        <v>3.1875</v>
      </c>
      <c r="N263" s="14">
        <v>1</v>
      </c>
      <c r="Q263" t="str">
        <f t="shared" ref="Q263:Q326" si="17">A263&amp;":    Front abuts stile:"&amp;R263&amp;"       Back abuts stile:"&amp;S263&amp;"          Panel Section: "&amp;C263&amp;"           Stile in the back Width: "&amp;H263&amp;"           Cutout A: "&amp;I263&amp;"          Cutout B:"&amp;J263&amp;"      F.C.:"&amp;M263&amp;" in. "&amp;"        C.C.:"&amp;N263&amp;" in. "&amp;"  "</f>
        <v xml:space="preserve">XX8X_PV_0425:    Front abuts stile:FALSE       Back abuts stile:TRUE          Panel Section: WHOLE           Stile in the back Width:            Cutout A: B-386          Cutout B:      F.C.:3.1875 in.         C.C.:1 in.   </v>
      </c>
      <c r="R263" t="str">
        <f t="shared" si="16"/>
        <v>FALSE</v>
      </c>
      <c r="S263" t="str">
        <f t="shared" si="15"/>
        <v>TRUE</v>
      </c>
    </row>
    <row r="264" spans="1:19" hidden="1">
      <c r="A264" t="s">
        <v>424</v>
      </c>
      <c r="B264" s="14" t="s">
        <v>144</v>
      </c>
      <c r="C264" s="14" t="s">
        <v>21</v>
      </c>
      <c r="D264" s="14">
        <v>1</v>
      </c>
      <c r="E264" s="14">
        <v>0</v>
      </c>
      <c r="F264" s="14">
        <v>0</v>
      </c>
      <c r="G264" s="14"/>
      <c r="H264" s="14"/>
      <c r="I264" s="8" t="s">
        <v>38</v>
      </c>
      <c r="J264" s="8" t="s">
        <v>38</v>
      </c>
      <c r="K264">
        <v>72.75</v>
      </c>
      <c r="L264">
        <v>49.25</v>
      </c>
      <c r="M264" s="14">
        <v>9.75</v>
      </c>
      <c r="N264" s="14">
        <v>2.875</v>
      </c>
      <c r="Q264" t="str">
        <f t="shared" si="17"/>
        <v xml:space="preserve">XX8X_PV_0426:    Front abuts stile:TRUE       Back abuts stile:FALSE          Panel Section: WHOLE           Stile in the back Width:            Cutout A:           Cutout B:      F.C.:9.75 in.         C.C.:2.875 in.   </v>
      </c>
      <c r="R264" t="str">
        <f t="shared" si="16"/>
        <v>TRUE</v>
      </c>
      <c r="S264" t="str">
        <f t="shared" si="15"/>
        <v>FALSE</v>
      </c>
    </row>
    <row r="265" spans="1:19" hidden="1">
      <c r="A265" t="s">
        <v>425</v>
      </c>
      <c r="B265" s="14" t="s">
        <v>144</v>
      </c>
      <c r="C265" s="14" t="s">
        <v>21</v>
      </c>
      <c r="D265" s="14">
        <v>1</v>
      </c>
      <c r="E265" s="14">
        <v>0</v>
      </c>
      <c r="F265" s="14">
        <v>1</v>
      </c>
      <c r="G265" s="14">
        <v>0</v>
      </c>
      <c r="H265" s="14">
        <v>12</v>
      </c>
      <c r="I265" s="8" t="s">
        <v>145</v>
      </c>
      <c r="J265" s="8" t="s">
        <v>38</v>
      </c>
      <c r="K265">
        <v>96</v>
      </c>
      <c r="L265">
        <v>51.3125</v>
      </c>
      <c r="M265" s="14">
        <v>8.75</v>
      </c>
      <c r="N265" s="14">
        <v>3.5625</v>
      </c>
      <c r="Q265" t="str">
        <f t="shared" si="17"/>
        <v xml:space="preserve">XX8X_PV_0427:    Front abuts stile:TRUE       Back abuts stile:TRUE          Panel Section: WHOLE           Stile in the back Width: 12           Cutout A: B-347          Cutout B:      F.C.:8.75 in.         C.C.:3.5625 in.   </v>
      </c>
      <c r="R265" t="str">
        <f t="shared" si="16"/>
        <v>TRUE</v>
      </c>
      <c r="S265" t="str">
        <f t="shared" si="15"/>
        <v>TRUE</v>
      </c>
    </row>
    <row r="266" spans="1:19" hidden="1">
      <c r="A266" t="s">
        <v>426</v>
      </c>
      <c r="B266" s="14" t="s">
        <v>144</v>
      </c>
      <c r="C266" s="14" t="s">
        <v>21</v>
      </c>
      <c r="D266" s="14">
        <v>1</v>
      </c>
      <c r="E266" s="14">
        <v>0</v>
      </c>
      <c r="F266" s="14">
        <v>1</v>
      </c>
      <c r="G266" s="14">
        <v>0</v>
      </c>
      <c r="H266" s="14">
        <v>24</v>
      </c>
      <c r="I266" s="8" t="s">
        <v>120</v>
      </c>
      <c r="J266" s="8" t="s">
        <v>38</v>
      </c>
      <c r="K266">
        <v>79</v>
      </c>
      <c r="L266">
        <v>78.4375</v>
      </c>
      <c r="M266" s="14">
        <v>9</v>
      </c>
      <c r="N266" s="14">
        <v>1</v>
      </c>
      <c r="Q266" t="str">
        <f t="shared" si="17"/>
        <v xml:space="preserve">XX8X_PV_0428:    Front abuts stile:TRUE       Back abuts stile:TRUE          Panel Section: WHOLE           Stile in the back Width: 24           Cutout A: B-386          Cutout B:      F.C.:9 in.         C.C.:1 in.   </v>
      </c>
      <c r="R266" t="str">
        <f t="shared" si="16"/>
        <v>TRUE</v>
      </c>
      <c r="S266" t="str">
        <f t="shared" si="15"/>
        <v>TRUE</v>
      </c>
    </row>
    <row r="267" spans="1:19" hidden="1">
      <c r="A267" t="s">
        <v>427</v>
      </c>
      <c r="B267" s="14" t="s">
        <v>144</v>
      </c>
      <c r="C267" s="14" t="s">
        <v>21</v>
      </c>
      <c r="D267" s="14">
        <v>1</v>
      </c>
      <c r="E267" s="14">
        <v>0</v>
      </c>
      <c r="F267" s="14">
        <v>1</v>
      </c>
      <c r="G267" s="14">
        <v>0</v>
      </c>
      <c r="H267" s="14"/>
      <c r="I267" s="8" t="s">
        <v>148</v>
      </c>
      <c r="J267" s="8" t="s">
        <v>38</v>
      </c>
      <c r="K267">
        <v>96</v>
      </c>
      <c r="L267">
        <v>69.4375</v>
      </c>
      <c r="M267" s="14">
        <v>12</v>
      </c>
      <c r="N267" s="14">
        <v>1</v>
      </c>
      <c r="Q267" t="str">
        <f t="shared" si="17"/>
        <v xml:space="preserve">XX8X_PV_0429:    Front abuts stile:TRUE       Back abuts stile:TRUE          Panel Section: WHOLE           Stile in the back Width:            Cutout A: B-3471          Cutout B:      F.C.:12 in.         C.C.:1 in.   </v>
      </c>
      <c r="R267" t="str">
        <f t="shared" si="16"/>
        <v>TRUE</v>
      </c>
      <c r="S267" t="str">
        <f t="shared" si="15"/>
        <v>TRUE</v>
      </c>
    </row>
    <row r="268" spans="1:19" hidden="1">
      <c r="A268" t="s">
        <v>428</v>
      </c>
      <c r="B268" s="14" t="s">
        <v>144</v>
      </c>
      <c r="C268" s="14" t="s">
        <v>21</v>
      </c>
      <c r="D268" s="14">
        <v>1</v>
      </c>
      <c r="E268" s="14">
        <v>0</v>
      </c>
      <c r="F268" s="14">
        <v>1</v>
      </c>
      <c r="G268" s="14">
        <v>1</v>
      </c>
      <c r="H268" s="14"/>
      <c r="I268" s="8" t="s">
        <v>38</v>
      </c>
      <c r="J268" s="8" t="s">
        <v>38</v>
      </c>
      <c r="K268">
        <v>96</v>
      </c>
      <c r="L268">
        <v>31.4375</v>
      </c>
      <c r="M268" s="14">
        <v>4.5</v>
      </c>
      <c r="N268" s="14">
        <v>4.3125</v>
      </c>
      <c r="Q268" t="str">
        <f t="shared" si="17"/>
        <v xml:space="preserve">XX8X_PV_0430:    Front abuts stile:TRUE       Back abuts stile:TRUE          Panel Section: WHOLE           Stile in the back Width:            Cutout A:           Cutout B:      F.C.:4.5 in.         C.C.:4.3125 in.   </v>
      </c>
      <c r="R268" t="str">
        <f t="shared" si="16"/>
        <v>TRUE</v>
      </c>
      <c r="S268" t="str">
        <f t="shared" si="15"/>
        <v>TRUE</v>
      </c>
    </row>
    <row r="269" spans="1:19" hidden="1">
      <c r="A269" t="s">
        <v>429</v>
      </c>
      <c r="B269" s="14" t="s">
        <v>144</v>
      </c>
      <c r="C269" s="14" t="s">
        <v>21</v>
      </c>
      <c r="D269" s="14">
        <v>1</v>
      </c>
      <c r="E269" s="14">
        <v>1</v>
      </c>
      <c r="F269" s="14">
        <v>0</v>
      </c>
      <c r="G269" s="14"/>
      <c r="H269" s="14"/>
      <c r="I269" s="8" t="s">
        <v>35</v>
      </c>
      <c r="J269" s="8" t="s">
        <v>38</v>
      </c>
      <c r="K269">
        <v>52.1875</v>
      </c>
      <c r="L269">
        <v>12.5625</v>
      </c>
      <c r="M269" s="14">
        <v>4.5</v>
      </c>
      <c r="N269" s="14">
        <v>1</v>
      </c>
      <c r="Q269" t="str">
        <f t="shared" si="17"/>
        <v xml:space="preserve">XX8X_PV_0431:    Front abuts stile:TRUE       Back abuts stile:FALSE          Panel Section: WHOLE           Stile in the back Width:            Cutout A: B-357          Cutout B:      F.C.:4.5 in.         C.C.:1 in.   </v>
      </c>
      <c r="R269" t="str">
        <f t="shared" si="16"/>
        <v>TRUE</v>
      </c>
      <c r="S269" t="str">
        <f t="shared" si="15"/>
        <v>FALSE</v>
      </c>
    </row>
    <row r="270" spans="1:19" hidden="1">
      <c r="A270" t="s">
        <v>430</v>
      </c>
      <c r="B270" s="14" t="s">
        <v>144</v>
      </c>
      <c r="C270" s="14" t="s">
        <v>21</v>
      </c>
      <c r="D270" s="14">
        <v>1</v>
      </c>
      <c r="E270" s="14">
        <v>1</v>
      </c>
      <c r="F270" s="14">
        <v>1</v>
      </c>
      <c r="G270" s="14">
        <v>0</v>
      </c>
      <c r="H270" s="14">
        <v>12</v>
      </c>
      <c r="I270" s="8" t="s">
        <v>148</v>
      </c>
      <c r="J270" s="8" t="s">
        <v>38</v>
      </c>
      <c r="K270">
        <v>68.3125</v>
      </c>
      <c r="L270">
        <v>59.625</v>
      </c>
      <c r="M270" s="14">
        <v>9</v>
      </c>
      <c r="N270" s="14">
        <v>5.8125</v>
      </c>
      <c r="Q270" t="str">
        <f t="shared" si="17"/>
        <v xml:space="preserve">XX8X_PV_0432:    Front abuts stile:TRUE       Back abuts stile:TRUE          Panel Section: WHOLE           Stile in the back Width: 12           Cutout A: B-3471          Cutout B:      F.C.:9 in.         C.C.:5.8125 in.   </v>
      </c>
      <c r="R270" t="str">
        <f t="shared" si="16"/>
        <v>TRUE</v>
      </c>
      <c r="S270" t="str">
        <f t="shared" si="15"/>
        <v>TRUE</v>
      </c>
    </row>
    <row r="271" spans="1:19" hidden="1">
      <c r="A271" t="s">
        <v>431</v>
      </c>
      <c r="B271" s="14" t="s">
        <v>144</v>
      </c>
      <c r="C271" s="14" t="s">
        <v>21</v>
      </c>
      <c r="D271" s="14">
        <v>1</v>
      </c>
      <c r="E271" s="14">
        <v>1</v>
      </c>
      <c r="F271" s="14">
        <v>1</v>
      </c>
      <c r="G271" s="14">
        <v>0</v>
      </c>
      <c r="H271" s="14">
        <v>24</v>
      </c>
      <c r="I271" s="8" t="s">
        <v>120</v>
      </c>
      <c r="J271" s="8" t="s">
        <v>38</v>
      </c>
      <c r="K271">
        <v>93.75</v>
      </c>
      <c r="L271">
        <v>44.0625</v>
      </c>
      <c r="M271" s="14">
        <v>1</v>
      </c>
      <c r="N271" s="14">
        <v>2.5625</v>
      </c>
      <c r="Q271" t="str">
        <f t="shared" si="17"/>
        <v xml:space="preserve">XX8X_PV_0433:    Front abuts stile:TRUE       Back abuts stile:TRUE          Panel Section: WHOLE           Stile in the back Width: 24           Cutout A: B-386          Cutout B:      F.C.:1 in.         C.C.:2.5625 in.   </v>
      </c>
      <c r="R271" t="str">
        <f t="shared" si="16"/>
        <v>TRUE</v>
      </c>
      <c r="S271" t="str">
        <f t="shared" si="15"/>
        <v>TRUE</v>
      </c>
    </row>
    <row r="272" spans="1:19" hidden="1">
      <c r="A272" t="s">
        <v>432</v>
      </c>
      <c r="B272" s="14" t="s">
        <v>144</v>
      </c>
      <c r="C272" s="14" t="s">
        <v>21</v>
      </c>
      <c r="D272" s="14">
        <v>1</v>
      </c>
      <c r="E272" s="14">
        <v>1</v>
      </c>
      <c r="F272" s="14">
        <v>1</v>
      </c>
      <c r="G272" s="14">
        <v>0</v>
      </c>
      <c r="H272" s="14"/>
      <c r="I272" s="8" t="s">
        <v>150</v>
      </c>
      <c r="J272" s="8" t="s">
        <v>38</v>
      </c>
      <c r="K272">
        <v>97.5625</v>
      </c>
      <c r="L272">
        <v>16.9375</v>
      </c>
      <c r="M272" s="14">
        <v>4.375</v>
      </c>
      <c r="N272" s="14">
        <v>3.25</v>
      </c>
      <c r="Q272" t="str">
        <f t="shared" si="17"/>
        <v xml:space="preserve">XX8X_PV_0434:    Front abuts stile:TRUE       Back abuts stile:TRUE          Panel Section: WHOLE           Stile in the back Width:            Cutout A: B-3571          Cutout B:      F.C.:4.375 in.         C.C.:3.25 in.   </v>
      </c>
      <c r="R272" t="str">
        <f t="shared" si="16"/>
        <v>TRUE</v>
      </c>
      <c r="S272" t="str">
        <f t="shared" si="15"/>
        <v>TRUE</v>
      </c>
    </row>
    <row r="273" spans="1:19" hidden="1">
      <c r="A273" t="s">
        <v>433</v>
      </c>
      <c r="B273" s="14" t="s">
        <v>144</v>
      </c>
      <c r="C273" s="14" t="s">
        <v>21</v>
      </c>
      <c r="D273" s="14">
        <v>1</v>
      </c>
      <c r="E273" s="14">
        <v>1</v>
      </c>
      <c r="F273" s="14">
        <v>1</v>
      </c>
      <c r="G273" s="14">
        <v>1</v>
      </c>
      <c r="H273" s="14"/>
      <c r="I273" s="8" t="s">
        <v>148</v>
      </c>
      <c r="J273" s="8" t="s">
        <v>38</v>
      </c>
      <c r="K273">
        <v>65.6875</v>
      </c>
      <c r="L273">
        <v>59.6875</v>
      </c>
      <c r="M273" s="14">
        <v>12</v>
      </c>
      <c r="N273" s="14">
        <v>4.0625</v>
      </c>
      <c r="Q273" t="str">
        <f t="shared" si="17"/>
        <v xml:space="preserve">XX8X_PV_0435:    Front abuts stile:TRUE       Back abuts stile:TRUE          Panel Section: WHOLE           Stile in the back Width:            Cutout A: B-3471          Cutout B:      F.C.:12 in.         C.C.:4.0625 in.   </v>
      </c>
      <c r="R273" t="str">
        <f t="shared" si="16"/>
        <v>TRUE</v>
      </c>
      <c r="S273" t="str">
        <f t="shared" si="15"/>
        <v>TRUE</v>
      </c>
    </row>
    <row r="274" spans="1:19" hidden="1">
      <c r="A274" t="s">
        <v>434</v>
      </c>
      <c r="B274" s="14" t="s">
        <v>144</v>
      </c>
      <c r="C274" s="14" t="s">
        <v>156</v>
      </c>
      <c r="D274" s="19">
        <v>0</v>
      </c>
      <c r="E274" s="19"/>
      <c r="F274" s="19">
        <v>0</v>
      </c>
      <c r="G274" s="19"/>
      <c r="H274" s="14"/>
      <c r="I274" s="8" t="s">
        <v>121</v>
      </c>
      <c r="J274" s="8" t="s">
        <v>120</v>
      </c>
      <c r="K274">
        <v>20.0625</v>
      </c>
      <c r="L274">
        <v>48.3125</v>
      </c>
      <c r="M274" s="14">
        <v>11.75</v>
      </c>
      <c r="N274" s="14">
        <v>1</v>
      </c>
      <c r="Q274" t="str">
        <f t="shared" si="17"/>
        <v xml:space="preserve">XX8X_PV_0451:    Front abuts stile:FALSE       Back abuts stile:FALSE          Panel Section: TOP           Stile in the back Width:            Cutout A: B-4354          Cutout B:B-386      F.C.:11.75 in.         C.C.:1 in.   </v>
      </c>
      <c r="R274" t="str">
        <f t="shared" si="16"/>
        <v>FALSE</v>
      </c>
      <c r="S274" t="str">
        <f t="shared" ref="S274:S337" si="18">IF(F274=1, "TRUE", "FALSE")</f>
        <v>FALSE</v>
      </c>
    </row>
    <row r="275" spans="1:19" hidden="1">
      <c r="A275" t="s">
        <v>435</v>
      </c>
      <c r="B275" s="14" t="s">
        <v>144</v>
      </c>
      <c r="C275" s="14" t="s">
        <v>156</v>
      </c>
      <c r="D275" s="14">
        <v>0</v>
      </c>
      <c r="E275" s="14"/>
      <c r="F275" s="14">
        <v>1</v>
      </c>
      <c r="G275" s="14">
        <v>0</v>
      </c>
      <c r="H275" s="14">
        <v>12</v>
      </c>
      <c r="I275" s="8" t="s">
        <v>151</v>
      </c>
      <c r="J275" s="8" t="s">
        <v>38</v>
      </c>
      <c r="K275">
        <v>16.4375</v>
      </c>
      <c r="L275">
        <v>14.9375</v>
      </c>
      <c r="M275" s="14">
        <v>9</v>
      </c>
      <c r="N275" s="14">
        <v>7.75</v>
      </c>
      <c r="Q275" t="str">
        <f t="shared" si="17"/>
        <v xml:space="preserve">XX8X_PV_0452:    Front abuts stile:FALSE       Back abuts stile:TRUE          Panel Section: TOP           Stile in the back Width: 12           Cutout A: B-35715          Cutout B:      F.C.:9 in.         C.C.:7.75 in.   </v>
      </c>
      <c r="R275" t="str">
        <f t="shared" si="16"/>
        <v>FALSE</v>
      </c>
      <c r="S275" t="str">
        <f t="shared" si="18"/>
        <v>TRUE</v>
      </c>
    </row>
    <row r="276" spans="1:19" hidden="1">
      <c r="A276" t="s">
        <v>436</v>
      </c>
      <c r="B276" s="14" t="s">
        <v>144</v>
      </c>
      <c r="C276" s="14" t="s">
        <v>156</v>
      </c>
      <c r="D276" s="14">
        <v>0</v>
      </c>
      <c r="E276" s="14"/>
      <c r="F276" s="14">
        <v>1</v>
      </c>
      <c r="G276" s="14">
        <v>0</v>
      </c>
      <c r="H276" s="14">
        <v>24</v>
      </c>
      <c r="I276" s="8" t="s">
        <v>38</v>
      </c>
      <c r="J276" s="8" t="s">
        <v>38</v>
      </c>
      <c r="K276">
        <v>13.625</v>
      </c>
      <c r="L276">
        <v>54.5</v>
      </c>
      <c r="M276" s="14">
        <v>12</v>
      </c>
      <c r="N276" s="14">
        <v>5.3125</v>
      </c>
      <c r="Q276" t="str">
        <f t="shared" si="17"/>
        <v xml:space="preserve">XX8X_PV_0453:    Front abuts stile:FALSE       Back abuts stile:TRUE          Panel Section: TOP           Stile in the back Width: 24           Cutout A:           Cutout B:      F.C.:12 in.         C.C.:5.3125 in.   </v>
      </c>
      <c r="R276" t="str">
        <f t="shared" si="16"/>
        <v>FALSE</v>
      </c>
      <c r="S276" t="str">
        <f t="shared" si="18"/>
        <v>TRUE</v>
      </c>
    </row>
    <row r="277" spans="1:19" hidden="1">
      <c r="A277" t="s">
        <v>437</v>
      </c>
      <c r="B277" s="14" t="s">
        <v>144</v>
      </c>
      <c r="C277" s="14" t="s">
        <v>156</v>
      </c>
      <c r="D277" s="14">
        <v>0</v>
      </c>
      <c r="E277" s="14"/>
      <c r="F277" s="14">
        <v>1</v>
      </c>
      <c r="G277" s="14">
        <v>0</v>
      </c>
      <c r="H277" s="14"/>
      <c r="I277" s="8" t="s">
        <v>150</v>
      </c>
      <c r="J277" s="8" t="s">
        <v>38</v>
      </c>
      <c r="K277">
        <v>11.1875</v>
      </c>
      <c r="L277">
        <v>47.4375</v>
      </c>
      <c r="M277" s="14">
        <v>9</v>
      </c>
      <c r="N277" s="14">
        <v>6.625</v>
      </c>
      <c r="Q277" t="str">
        <f t="shared" si="17"/>
        <v xml:space="preserve">XX8X_PV_0454:    Front abuts stile:FALSE       Back abuts stile:TRUE          Panel Section: TOP           Stile in the back Width:            Cutout A: B-3571          Cutout B:      F.C.:9 in.         C.C.:6.625 in.   </v>
      </c>
      <c r="R277" t="str">
        <f t="shared" si="16"/>
        <v>FALSE</v>
      </c>
      <c r="S277" t="str">
        <f t="shared" si="18"/>
        <v>TRUE</v>
      </c>
    </row>
    <row r="278" spans="1:19" hidden="1">
      <c r="A278" t="s">
        <v>438</v>
      </c>
      <c r="B278" s="14" t="s">
        <v>144</v>
      </c>
      <c r="C278" s="14" t="s">
        <v>156</v>
      </c>
      <c r="D278" s="14">
        <v>0</v>
      </c>
      <c r="E278" s="14"/>
      <c r="F278" s="14">
        <v>1</v>
      </c>
      <c r="G278" s="14">
        <v>1</v>
      </c>
      <c r="H278" s="14"/>
      <c r="I278" s="8" t="s">
        <v>145</v>
      </c>
      <c r="J278" s="8" t="s">
        <v>38</v>
      </c>
      <c r="K278">
        <v>15.375</v>
      </c>
      <c r="L278">
        <v>9.6875</v>
      </c>
      <c r="M278" s="14">
        <v>1</v>
      </c>
      <c r="N278" s="14">
        <v>1.875</v>
      </c>
      <c r="Q278" t="str">
        <f t="shared" si="17"/>
        <v xml:space="preserve">XX8X_PV_0455:    Front abuts stile:FALSE       Back abuts stile:TRUE          Panel Section: TOP           Stile in the back Width:            Cutout A: B-347          Cutout B:      F.C.:1 in.         C.C.:1.875 in.   </v>
      </c>
      <c r="R278" t="str">
        <f t="shared" si="16"/>
        <v>FALSE</v>
      </c>
      <c r="S278" t="str">
        <f t="shared" si="18"/>
        <v>TRUE</v>
      </c>
    </row>
    <row r="279" spans="1:19" hidden="1">
      <c r="A279" t="s">
        <v>439</v>
      </c>
      <c r="B279" s="14" t="s">
        <v>144</v>
      </c>
      <c r="C279" s="14" t="s">
        <v>156</v>
      </c>
      <c r="D279" s="14">
        <v>1</v>
      </c>
      <c r="E279" s="14">
        <v>0</v>
      </c>
      <c r="F279" s="14">
        <v>0</v>
      </c>
      <c r="G279" s="14"/>
      <c r="H279" s="14"/>
      <c r="I279" s="8" t="s">
        <v>38</v>
      </c>
      <c r="J279" s="8" t="s">
        <v>38</v>
      </c>
      <c r="K279">
        <v>11.5625</v>
      </c>
      <c r="L279">
        <v>72.5</v>
      </c>
      <c r="M279" s="14">
        <v>1</v>
      </c>
      <c r="N279" s="14">
        <v>1.125</v>
      </c>
      <c r="Q279" t="str">
        <f t="shared" si="17"/>
        <v xml:space="preserve">XX8X_PV_0456:    Front abuts stile:TRUE       Back abuts stile:FALSE          Panel Section: TOP           Stile in the back Width:            Cutout A:           Cutout B:      F.C.:1 in.         C.C.:1.125 in.   </v>
      </c>
      <c r="R279" t="str">
        <f t="shared" si="16"/>
        <v>TRUE</v>
      </c>
      <c r="S279" t="str">
        <f t="shared" si="18"/>
        <v>FALSE</v>
      </c>
    </row>
    <row r="280" spans="1:19" hidden="1">
      <c r="A280" t="s">
        <v>440</v>
      </c>
      <c r="B280" s="14" t="s">
        <v>144</v>
      </c>
      <c r="C280" s="14" t="s">
        <v>156</v>
      </c>
      <c r="D280" s="14">
        <v>1</v>
      </c>
      <c r="E280" s="14">
        <v>0</v>
      </c>
      <c r="F280" s="14">
        <v>1</v>
      </c>
      <c r="G280" s="14">
        <v>0</v>
      </c>
      <c r="H280" s="14">
        <v>12</v>
      </c>
      <c r="I280" s="8" t="s">
        <v>145</v>
      </c>
      <c r="J280" s="8" t="s">
        <v>38</v>
      </c>
      <c r="K280">
        <v>22.0625</v>
      </c>
      <c r="L280">
        <v>77.5</v>
      </c>
      <c r="M280" s="14">
        <v>1</v>
      </c>
      <c r="N280" s="14">
        <v>8.5</v>
      </c>
      <c r="Q280" t="str">
        <f t="shared" si="17"/>
        <v xml:space="preserve">XX8X_PV_0457:    Front abuts stile:TRUE       Back abuts stile:TRUE          Panel Section: TOP           Stile in the back Width: 12           Cutout A: B-347          Cutout B:      F.C.:1 in.         C.C.:8.5 in.   </v>
      </c>
      <c r="R280" t="str">
        <f t="shared" si="16"/>
        <v>TRUE</v>
      </c>
      <c r="S280" t="str">
        <f t="shared" si="18"/>
        <v>TRUE</v>
      </c>
    </row>
    <row r="281" spans="1:19" hidden="1">
      <c r="A281" t="s">
        <v>441</v>
      </c>
      <c r="B281" s="14" t="s">
        <v>144</v>
      </c>
      <c r="C281" s="14" t="s">
        <v>156</v>
      </c>
      <c r="D281" s="14">
        <v>1</v>
      </c>
      <c r="E281" s="14">
        <v>0</v>
      </c>
      <c r="F281" s="14">
        <v>1</v>
      </c>
      <c r="G281" s="14">
        <v>0</v>
      </c>
      <c r="H281" s="14">
        <v>24</v>
      </c>
      <c r="I281" s="8" t="s">
        <v>38</v>
      </c>
      <c r="J281" s="8" t="s">
        <v>38</v>
      </c>
      <c r="K281">
        <v>32.125</v>
      </c>
      <c r="L281">
        <v>9.8125</v>
      </c>
      <c r="M281" s="14">
        <v>9</v>
      </c>
      <c r="N281" s="14">
        <v>8.5</v>
      </c>
      <c r="Q281" t="str">
        <f t="shared" si="17"/>
        <v xml:space="preserve">XX8X_PV_0458:    Front abuts stile:TRUE       Back abuts stile:TRUE          Panel Section: TOP           Stile in the back Width: 24           Cutout A:           Cutout B:      F.C.:9 in.         C.C.:8.5 in.   </v>
      </c>
      <c r="R281" t="str">
        <f t="shared" si="16"/>
        <v>TRUE</v>
      </c>
      <c r="S281" t="str">
        <f t="shared" si="18"/>
        <v>TRUE</v>
      </c>
    </row>
    <row r="282" spans="1:19" hidden="1">
      <c r="A282" t="s">
        <v>442</v>
      </c>
      <c r="B282" s="14" t="s">
        <v>144</v>
      </c>
      <c r="C282" s="14" t="s">
        <v>156</v>
      </c>
      <c r="D282" s="14">
        <v>1</v>
      </c>
      <c r="E282" s="14">
        <v>0</v>
      </c>
      <c r="F282" s="14">
        <v>1</v>
      </c>
      <c r="G282" s="14">
        <v>0</v>
      </c>
      <c r="H282" s="14"/>
      <c r="I282" s="8" t="s">
        <v>151</v>
      </c>
      <c r="J282" s="8" t="s">
        <v>38</v>
      </c>
      <c r="K282">
        <v>9.75</v>
      </c>
      <c r="L282">
        <v>16.875</v>
      </c>
      <c r="M282" s="14">
        <v>3.75</v>
      </c>
      <c r="N282" s="14">
        <v>2.625</v>
      </c>
      <c r="Q282" t="str">
        <f t="shared" si="17"/>
        <v xml:space="preserve">XX8X_PV_0459:    Front abuts stile:TRUE       Back abuts stile:TRUE          Panel Section: TOP           Stile in the back Width:            Cutout A: B-35715          Cutout B:      F.C.:3.75 in.         C.C.:2.625 in.   </v>
      </c>
      <c r="R282" t="str">
        <f t="shared" si="16"/>
        <v>TRUE</v>
      </c>
      <c r="S282" t="str">
        <f t="shared" si="18"/>
        <v>TRUE</v>
      </c>
    </row>
    <row r="283" spans="1:19" hidden="1">
      <c r="A283" t="s">
        <v>443</v>
      </c>
      <c r="B283" s="14" t="s">
        <v>144</v>
      </c>
      <c r="C283" s="14" t="s">
        <v>156</v>
      </c>
      <c r="D283" s="14">
        <v>1</v>
      </c>
      <c r="E283" s="14">
        <v>0</v>
      </c>
      <c r="F283" s="14">
        <v>1</v>
      </c>
      <c r="G283" s="14">
        <v>1</v>
      </c>
      <c r="H283" s="14"/>
      <c r="I283" s="8" t="s">
        <v>120</v>
      </c>
      <c r="J283" s="8" t="s">
        <v>38</v>
      </c>
      <c r="K283">
        <v>35.6875</v>
      </c>
      <c r="L283">
        <v>7.4375</v>
      </c>
      <c r="M283" s="14">
        <v>9.75</v>
      </c>
      <c r="N283" s="14">
        <v>4.6875</v>
      </c>
      <c r="Q283" t="str">
        <f t="shared" si="17"/>
        <v xml:space="preserve">XX8X_PV_0460:    Front abuts stile:TRUE       Back abuts stile:TRUE          Panel Section: TOP           Stile in the back Width:            Cutout A: B-386          Cutout B:      F.C.:9.75 in.         C.C.:4.6875 in.   </v>
      </c>
      <c r="R283" t="str">
        <f t="shared" si="16"/>
        <v>TRUE</v>
      </c>
      <c r="S283" t="str">
        <f t="shared" si="18"/>
        <v>TRUE</v>
      </c>
    </row>
    <row r="284" spans="1:19" hidden="1">
      <c r="A284" t="s">
        <v>444</v>
      </c>
      <c r="B284" s="14" t="s">
        <v>144</v>
      </c>
      <c r="C284" s="14" t="s">
        <v>156</v>
      </c>
      <c r="D284" s="14">
        <v>1</v>
      </c>
      <c r="E284" s="14">
        <v>1</v>
      </c>
      <c r="F284" s="14">
        <v>0</v>
      </c>
      <c r="G284" s="14"/>
      <c r="H284" s="14"/>
      <c r="I284" s="8" t="s">
        <v>38</v>
      </c>
      <c r="J284" s="8" t="s">
        <v>38</v>
      </c>
      <c r="K284">
        <v>7.625</v>
      </c>
      <c r="L284">
        <v>51.5625</v>
      </c>
      <c r="M284" s="14">
        <v>1</v>
      </c>
      <c r="N284" s="14">
        <v>4.5625</v>
      </c>
      <c r="Q284" t="str">
        <f t="shared" si="17"/>
        <v xml:space="preserve">XX8X_PV_0461:    Front abuts stile:TRUE       Back abuts stile:FALSE          Panel Section: TOP           Stile in the back Width:            Cutout A:           Cutout B:      F.C.:1 in.         C.C.:4.5625 in.   </v>
      </c>
      <c r="R284" t="str">
        <f t="shared" si="16"/>
        <v>TRUE</v>
      </c>
      <c r="S284" t="str">
        <f t="shared" si="18"/>
        <v>FALSE</v>
      </c>
    </row>
    <row r="285" spans="1:19" hidden="1">
      <c r="A285" t="s">
        <v>445</v>
      </c>
      <c r="B285" s="14" t="s">
        <v>144</v>
      </c>
      <c r="C285" s="14" t="s">
        <v>156</v>
      </c>
      <c r="D285" s="14">
        <v>1</v>
      </c>
      <c r="E285" s="14">
        <v>1</v>
      </c>
      <c r="F285" s="14">
        <v>1</v>
      </c>
      <c r="G285" s="14">
        <v>0</v>
      </c>
      <c r="H285" s="14">
        <v>12</v>
      </c>
      <c r="I285" s="8" t="s">
        <v>38</v>
      </c>
      <c r="J285" s="8" t="s">
        <v>38</v>
      </c>
      <c r="K285">
        <v>36.75</v>
      </c>
      <c r="L285">
        <v>73.25</v>
      </c>
      <c r="M285" s="14">
        <v>1</v>
      </c>
      <c r="N285" s="14">
        <v>6.6875</v>
      </c>
      <c r="Q285" t="str">
        <f t="shared" si="17"/>
        <v xml:space="preserve">XX8X_PV_0462:    Front abuts stile:TRUE       Back abuts stile:TRUE          Panel Section: TOP           Stile in the back Width: 12           Cutout A:           Cutout B:      F.C.:1 in.         C.C.:6.6875 in.   </v>
      </c>
      <c r="R285" t="str">
        <f t="shared" si="16"/>
        <v>TRUE</v>
      </c>
      <c r="S285" t="str">
        <f t="shared" si="18"/>
        <v>TRUE</v>
      </c>
    </row>
    <row r="286" spans="1:19" hidden="1">
      <c r="A286" t="s">
        <v>446</v>
      </c>
      <c r="B286" s="14" t="s">
        <v>144</v>
      </c>
      <c r="C286" s="14" t="s">
        <v>156</v>
      </c>
      <c r="D286" s="14">
        <v>1</v>
      </c>
      <c r="E286" s="14">
        <v>1</v>
      </c>
      <c r="F286" s="14">
        <v>1</v>
      </c>
      <c r="G286" s="14">
        <v>0</v>
      </c>
      <c r="H286" s="14">
        <v>24</v>
      </c>
      <c r="I286" s="8" t="s">
        <v>38</v>
      </c>
      <c r="J286" s="8" t="s">
        <v>38</v>
      </c>
      <c r="K286">
        <v>15.625</v>
      </c>
      <c r="L286">
        <v>35.3125</v>
      </c>
      <c r="M286" s="14">
        <v>1</v>
      </c>
      <c r="N286" s="14">
        <v>5</v>
      </c>
      <c r="Q286" t="str">
        <f t="shared" si="17"/>
        <v xml:space="preserve">XX8X_PV_0463:    Front abuts stile:TRUE       Back abuts stile:TRUE          Panel Section: TOP           Stile in the back Width: 24           Cutout A:           Cutout B:      F.C.:1 in.         C.C.:5 in.   </v>
      </c>
      <c r="R286" t="str">
        <f t="shared" si="16"/>
        <v>TRUE</v>
      </c>
      <c r="S286" t="str">
        <f t="shared" si="18"/>
        <v>TRUE</v>
      </c>
    </row>
    <row r="287" spans="1:19" hidden="1">
      <c r="A287" t="s">
        <v>447</v>
      </c>
      <c r="B287" s="14" t="s">
        <v>144</v>
      </c>
      <c r="C287" s="14" t="s">
        <v>156</v>
      </c>
      <c r="D287" s="14">
        <v>1</v>
      </c>
      <c r="E287" s="14">
        <v>1</v>
      </c>
      <c r="F287" s="14">
        <v>1</v>
      </c>
      <c r="G287" s="14">
        <v>0</v>
      </c>
      <c r="H287" s="14"/>
      <c r="I287" s="8" t="s">
        <v>145</v>
      </c>
      <c r="J287" s="8" t="s">
        <v>38</v>
      </c>
      <c r="K287">
        <v>22.0625</v>
      </c>
      <c r="L287">
        <v>39.5625</v>
      </c>
      <c r="M287" s="14">
        <v>9</v>
      </c>
      <c r="N287" s="14">
        <v>5.1875</v>
      </c>
      <c r="Q287" t="str">
        <f t="shared" si="17"/>
        <v xml:space="preserve">XX8X_PV_0464:    Front abuts stile:TRUE       Back abuts stile:TRUE          Panel Section: TOP           Stile in the back Width:            Cutout A: B-347          Cutout B:      F.C.:9 in.         C.C.:5.1875 in.   </v>
      </c>
      <c r="R287" t="str">
        <f t="shared" si="16"/>
        <v>TRUE</v>
      </c>
      <c r="S287" t="str">
        <f t="shared" si="18"/>
        <v>TRUE</v>
      </c>
    </row>
    <row r="288" spans="1:19" hidden="1">
      <c r="A288" t="s">
        <v>448</v>
      </c>
      <c r="B288" s="14" t="s">
        <v>144</v>
      </c>
      <c r="C288" s="14" t="s">
        <v>156</v>
      </c>
      <c r="D288" s="14">
        <v>1</v>
      </c>
      <c r="E288" s="14">
        <v>1</v>
      </c>
      <c r="F288" s="14">
        <v>1</v>
      </c>
      <c r="G288" s="14">
        <v>1</v>
      </c>
      <c r="H288" s="14"/>
      <c r="I288" s="8" t="s">
        <v>148</v>
      </c>
      <c r="J288" s="8" t="s">
        <v>38</v>
      </c>
      <c r="K288">
        <v>21.125</v>
      </c>
      <c r="L288">
        <v>63.3125</v>
      </c>
      <c r="M288" s="14">
        <v>4.5</v>
      </c>
      <c r="N288" s="14">
        <v>1.25</v>
      </c>
      <c r="Q288" t="str">
        <f t="shared" si="17"/>
        <v xml:space="preserve">XX8X_PV_0465:    Front abuts stile:TRUE       Back abuts stile:TRUE          Panel Section: TOP           Stile in the back Width:            Cutout A: B-3471          Cutout B:      F.C.:4.5 in.         C.C.:1.25 in.   </v>
      </c>
      <c r="R288" t="str">
        <f t="shared" si="16"/>
        <v>TRUE</v>
      </c>
      <c r="S288" t="str">
        <f t="shared" si="18"/>
        <v>TRUE</v>
      </c>
    </row>
    <row r="289" spans="1:19" hidden="1">
      <c r="A289" t="s">
        <v>449</v>
      </c>
      <c r="B289" s="14" t="s">
        <v>144</v>
      </c>
      <c r="C289" s="14" t="s">
        <v>157</v>
      </c>
      <c r="D289" s="14">
        <v>0</v>
      </c>
      <c r="E289" s="14"/>
      <c r="F289" s="14">
        <v>0</v>
      </c>
      <c r="G289" s="14"/>
      <c r="H289" s="14"/>
      <c r="I289" s="8" t="s">
        <v>145</v>
      </c>
      <c r="J289" s="8" t="s">
        <v>38</v>
      </c>
      <c r="K289">
        <v>60</v>
      </c>
      <c r="L289">
        <v>15.5</v>
      </c>
      <c r="M289" s="14">
        <v>12</v>
      </c>
      <c r="N289" s="14">
        <v>1</v>
      </c>
      <c r="Q289" t="str">
        <f t="shared" si="17"/>
        <v xml:space="preserve">XX8X_PV_0481:    Front abuts stile:FALSE       Back abuts stile:FALSE          Panel Section: BOTTOM           Stile in the back Width:            Cutout A: B-347          Cutout B:      F.C.:12 in.         C.C.:1 in.   </v>
      </c>
      <c r="R289" t="str">
        <f t="shared" si="16"/>
        <v>FALSE</v>
      </c>
      <c r="S289" t="str">
        <f t="shared" si="18"/>
        <v>FALSE</v>
      </c>
    </row>
    <row r="290" spans="1:19" hidden="1">
      <c r="A290" t="s">
        <v>450</v>
      </c>
      <c r="B290" s="14" t="s">
        <v>144</v>
      </c>
      <c r="C290" s="14" t="s">
        <v>157</v>
      </c>
      <c r="D290" s="14">
        <v>0</v>
      </c>
      <c r="E290" s="14"/>
      <c r="F290" s="14">
        <v>1</v>
      </c>
      <c r="G290" s="14">
        <v>0</v>
      </c>
      <c r="H290" s="14">
        <v>12</v>
      </c>
      <c r="I290" s="8" t="s">
        <v>149</v>
      </c>
      <c r="J290" s="8" t="s">
        <v>38</v>
      </c>
      <c r="K290">
        <v>60</v>
      </c>
      <c r="L290">
        <v>17.75</v>
      </c>
      <c r="M290" s="14">
        <v>9</v>
      </c>
      <c r="N290" s="14">
        <v>3.25</v>
      </c>
      <c r="Q290" t="str">
        <f t="shared" si="17"/>
        <v xml:space="preserve">XX8X_PV_0482:    Front abuts stile:FALSE       Back abuts stile:TRUE          Panel Section: BOTTOM           Stile in the back Width: 12           Cutout A: B-34715          Cutout B:      F.C.:9 in.         C.C.:3.25 in.   </v>
      </c>
      <c r="R290" t="str">
        <f t="shared" si="16"/>
        <v>FALSE</v>
      </c>
      <c r="S290" t="str">
        <f t="shared" si="18"/>
        <v>TRUE</v>
      </c>
    </row>
    <row r="291" spans="1:19" hidden="1">
      <c r="A291" t="s">
        <v>451</v>
      </c>
      <c r="B291" s="14" t="s">
        <v>144</v>
      </c>
      <c r="C291" s="14" t="s">
        <v>157</v>
      </c>
      <c r="D291" s="14">
        <v>0</v>
      </c>
      <c r="E291" s="14"/>
      <c r="F291" s="14">
        <v>1</v>
      </c>
      <c r="G291" s="14">
        <v>0</v>
      </c>
      <c r="H291" s="14">
        <v>24</v>
      </c>
      <c r="I291" s="8" t="s">
        <v>120</v>
      </c>
      <c r="J291" s="8" t="s">
        <v>38</v>
      </c>
      <c r="K291">
        <v>60</v>
      </c>
      <c r="L291">
        <v>42</v>
      </c>
      <c r="M291" s="14">
        <v>9</v>
      </c>
      <c r="N291" s="14">
        <v>6.9375</v>
      </c>
      <c r="Q291" t="str">
        <f t="shared" si="17"/>
        <v xml:space="preserve">XX8X_PV_0483:    Front abuts stile:FALSE       Back abuts stile:TRUE          Panel Section: BOTTOM           Stile in the back Width: 24           Cutout A: B-386          Cutout B:      F.C.:9 in.         C.C.:6.9375 in.   </v>
      </c>
      <c r="R291" t="str">
        <f t="shared" si="16"/>
        <v>FALSE</v>
      </c>
      <c r="S291" t="str">
        <f t="shared" si="18"/>
        <v>TRUE</v>
      </c>
    </row>
    <row r="292" spans="1:19" hidden="1">
      <c r="A292" t="s">
        <v>452</v>
      </c>
      <c r="B292" s="14" t="s">
        <v>144</v>
      </c>
      <c r="C292" s="14" t="s">
        <v>157</v>
      </c>
      <c r="D292" s="14">
        <v>0</v>
      </c>
      <c r="E292" s="14"/>
      <c r="F292" s="14">
        <v>1</v>
      </c>
      <c r="G292" s="14">
        <v>0</v>
      </c>
      <c r="H292" s="14"/>
      <c r="I292" s="8" t="s">
        <v>35</v>
      </c>
      <c r="J292" s="8" t="s">
        <v>38</v>
      </c>
      <c r="K292">
        <v>60</v>
      </c>
      <c r="L292">
        <v>33.0625</v>
      </c>
      <c r="M292" s="14">
        <v>4.5</v>
      </c>
      <c r="N292" s="14">
        <v>2.3125</v>
      </c>
      <c r="Q292" t="str">
        <f t="shared" si="17"/>
        <v xml:space="preserve">XX8X_PV_0484:    Front abuts stile:FALSE       Back abuts stile:TRUE          Panel Section: BOTTOM           Stile in the back Width:            Cutout A: B-357          Cutout B:      F.C.:4.5 in.         C.C.:2.3125 in.   </v>
      </c>
      <c r="R292" t="str">
        <f t="shared" si="16"/>
        <v>FALSE</v>
      </c>
      <c r="S292" t="str">
        <f t="shared" si="18"/>
        <v>TRUE</v>
      </c>
    </row>
    <row r="293" spans="1:19" hidden="1">
      <c r="A293" t="s">
        <v>453</v>
      </c>
      <c r="B293" s="14" t="s">
        <v>144</v>
      </c>
      <c r="C293" s="14" t="s">
        <v>157</v>
      </c>
      <c r="D293" s="14">
        <v>0</v>
      </c>
      <c r="E293" s="14"/>
      <c r="F293" s="14">
        <v>1</v>
      </c>
      <c r="G293" s="14">
        <v>1</v>
      </c>
      <c r="H293" s="14"/>
      <c r="I293" s="8" t="s">
        <v>120</v>
      </c>
      <c r="J293" s="8" t="s">
        <v>38</v>
      </c>
      <c r="K293">
        <v>60</v>
      </c>
      <c r="L293">
        <v>24.8125</v>
      </c>
      <c r="M293" s="14">
        <v>2.4375</v>
      </c>
      <c r="N293" s="14">
        <v>3.9375</v>
      </c>
      <c r="Q293" t="str">
        <f t="shared" si="17"/>
        <v xml:space="preserve">XX8X_PV_0485:    Front abuts stile:FALSE       Back abuts stile:TRUE          Panel Section: BOTTOM           Stile in the back Width:            Cutout A: B-386          Cutout B:      F.C.:2.4375 in.         C.C.:3.9375 in.   </v>
      </c>
      <c r="R293" t="str">
        <f t="shared" si="16"/>
        <v>FALSE</v>
      </c>
      <c r="S293" t="str">
        <f t="shared" si="18"/>
        <v>TRUE</v>
      </c>
    </row>
    <row r="294" spans="1:19" hidden="1">
      <c r="A294" t="s">
        <v>454</v>
      </c>
      <c r="B294" s="14" t="s">
        <v>144</v>
      </c>
      <c r="C294" s="14" t="s">
        <v>157</v>
      </c>
      <c r="D294" s="14">
        <v>1</v>
      </c>
      <c r="E294" s="14">
        <v>0</v>
      </c>
      <c r="F294" s="14">
        <v>0</v>
      </c>
      <c r="G294" s="14"/>
      <c r="H294" s="14"/>
      <c r="I294" s="8" t="s">
        <v>120</v>
      </c>
      <c r="J294" s="8" t="s">
        <v>121</v>
      </c>
      <c r="K294">
        <v>60</v>
      </c>
      <c r="L294">
        <v>75.4375</v>
      </c>
      <c r="M294" s="14">
        <v>1</v>
      </c>
      <c r="N294" s="14">
        <v>4.125</v>
      </c>
      <c r="Q294" t="str">
        <f t="shared" si="17"/>
        <v xml:space="preserve">XX8X_PV_0486:    Front abuts stile:TRUE       Back abuts stile:FALSE          Panel Section: BOTTOM           Stile in the back Width:            Cutout A: B-386          Cutout B:B-4354      F.C.:1 in.         C.C.:4.125 in.   </v>
      </c>
      <c r="R294" t="str">
        <f t="shared" si="16"/>
        <v>TRUE</v>
      </c>
      <c r="S294" t="str">
        <f t="shared" si="18"/>
        <v>FALSE</v>
      </c>
    </row>
    <row r="295" spans="1:19" hidden="1">
      <c r="A295" t="s">
        <v>455</v>
      </c>
      <c r="B295" s="14" t="s">
        <v>144</v>
      </c>
      <c r="C295" s="14" t="s">
        <v>157</v>
      </c>
      <c r="D295" s="14">
        <v>1</v>
      </c>
      <c r="E295" s="14">
        <v>0</v>
      </c>
      <c r="F295" s="14">
        <v>1</v>
      </c>
      <c r="G295" s="14">
        <v>0</v>
      </c>
      <c r="H295" s="14">
        <v>12</v>
      </c>
      <c r="I295" s="8" t="s">
        <v>145</v>
      </c>
      <c r="J295" s="8" t="s">
        <v>38</v>
      </c>
      <c r="K295">
        <v>60</v>
      </c>
      <c r="L295">
        <v>45.9375</v>
      </c>
      <c r="M295" s="14">
        <v>4.5</v>
      </c>
      <c r="N295" s="14">
        <v>4.5625</v>
      </c>
      <c r="Q295" t="str">
        <f t="shared" si="17"/>
        <v xml:space="preserve">XX8X_PV_0487:    Front abuts stile:TRUE       Back abuts stile:TRUE          Panel Section: BOTTOM           Stile in the back Width: 12           Cutout A: B-347          Cutout B:      F.C.:4.5 in.         C.C.:4.5625 in.   </v>
      </c>
      <c r="R295" t="str">
        <f t="shared" si="16"/>
        <v>TRUE</v>
      </c>
      <c r="S295" t="str">
        <f t="shared" si="18"/>
        <v>TRUE</v>
      </c>
    </row>
    <row r="296" spans="1:19" hidden="1">
      <c r="A296" t="s">
        <v>456</v>
      </c>
      <c r="B296" s="14" t="s">
        <v>144</v>
      </c>
      <c r="C296" s="14" t="s">
        <v>157</v>
      </c>
      <c r="D296" s="14">
        <v>1</v>
      </c>
      <c r="E296" s="14">
        <v>0</v>
      </c>
      <c r="F296" s="14">
        <v>1</v>
      </c>
      <c r="G296" s="14">
        <v>0</v>
      </c>
      <c r="H296" s="14">
        <v>24</v>
      </c>
      <c r="I296" s="8" t="s">
        <v>120</v>
      </c>
      <c r="J296" s="8" t="s">
        <v>38</v>
      </c>
      <c r="K296">
        <v>60</v>
      </c>
      <c r="L296">
        <v>11.0625</v>
      </c>
      <c r="M296" s="14">
        <v>6.375</v>
      </c>
      <c r="N296" s="14">
        <v>6.875</v>
      </c>
      <c r="Q296" t="str">
        <f t="shared" si="17"/>
        <v xml:space="preserve">XX8X_PV_0488:    Front abuts stile:TRUE       Back abuts stile:TRUE          Panel Section: BOTTOM           Stile in the back Width: 24           Cutout A: B-386          Cutout B:      F.C.:6.375 in.         C.C.:6.875 in.   </v>
      </c>
      <c r="R296" t="str">
        <f t="shared" si="16"/>
        <v>TRUE</v>
      </c>
      <c r="S296" t="str">
        <f t="shared" si="18"/>
        <v>TRUE</v>
      </c>
    </row>
    <row r="297" spans="1:19" hidden="1">
      <c r="A297" t="s">
        <v>457</v>
      </c>
      <c r="B297" s="14" t="s">
        <v>144</v>
      </c>
      <c r="C297" s="14" t="s">
        <v>157</v>
      </c>
      <c r="D297" s="14">
        <v>1</v>
      </c>
      <c r="E297" s="14">
        <v>0</v>
      </c>
      <c r="F297" s="14">
        <v>1</v>
      </c>
      <c r="G297" s="14">
        <v>0</v>
      </c>
      <c r="H297" s="14"/>
      <c r="I297" s="8" t="s">
        <v>120</v>
      </c>
      <c r="J297" s="8" t="s">
        <v>38</v>
      </c>
      <c r="K297">
        <v>60</v>
      </c>
      <c r="L297">
        <v>74.75</v>
      </c>
      <c r="M297" s="14">
        <v>9</v>
      </c>
      <c r="N297" s="14">
        <v>8.3125</v>
      </c>
      <c r="Q297" t="str">
        <f t="shared" si="17"/>
        <v xml:space="preserve">XX8X_PV_0489:    Front abuts stile:TRUE       Back abuts stile:TRUE          Panel Section: BOTTOM           Stile in the back Width:            Cutout A: B-386          Cutout B:      F.C.:9 in.         C.C.:8.3125 in.   </v>
      </c>
      <c r="R297" t="str">
        <f t="shared" si="16"/>
        <v>TRUE</v>
      </c>
      <c r="S297" t="str">
        <f t="shared" si="18"/>
        <v>TRUE</v>
      </c>
    </row>
    <row r="298" spans="1:19" hidden="1">
      <c r="A298" t="s">
        <v>458</v>
      </c>
      <c r="B298" s="14" t="s">
        <v>144</v>
      </c>
      <c r="C298" s="14" t="s">
        <v>157</v>
      </c>
      <c r="D298" s="14">
        <v>1</v>
      </c>
      <c r="E298" s="14">
        <v>0</v>
      </c>
      <c r="F298" s="14">
        <v>1</v>
      </c>
      <c r="G298" s="14">
        <v>1</v>
      </c>
      <c r="H298" s="14"/>
      <c r="I298" s="8" t="s">
        <v>35</v>
      </c>
      <c r="J298" s="8" t="s">
        <v>38</v>
      </c>
      <c r="K298">
        <v>60</v>
      </c>
      <c r="L298">
        <v>67.375</v>
      </c>
      <c r="M298" s="14">
        <v>9</v>
      </c>
      <c r="N298" s="14">
        <v>1</v>
      </c>
      <c r="Q298" t="str">
        <f t="shared" si="17"/>
        <v xml:space="preserve">XX8X_PV_0490:    Front abuts stile:TRUE       Back abuts stile:TRUE          Panel Section: BOTTOM           Stile in the back Width:            Cutout A: B-357          Cutout B:      F.C.:9 in.         C.C.:1 in.   </v>
      </c>
      <c r="R298" t="str">
        <f t="shared" si="16"/>
        <v>TRUE</v>
      </c>
      <c r="S298" t="str">
        <f t="shared" si="18"/>
        <v>TRUE</v>
      </c>
    </row>
    <row r="299" spans="1:19" hidden="1">
      <c r="A299" t="s">
        <v>459</v>
      </c>
      <c r="B299" s="14" t="s">
        <v>144</v>
      </c>
      <c r="C299" s="14" t="s">
        <v>157</v>
      </c>
      <c r="D299" s="14">
        <v>1</v>
      </c>
      <c r="E299" s="14">
        <v>1</v>
      </c>
      <c r="F299" s="14">
        <v>0</v>
      </c>
      <c r="G299" s="14"/>
      <c r="H299" s="14"/>
      <c r="I299" s="8" t="s">
        <v>145</v>
      </c>
      <c r="J299" s="8" t="s">
        <v>38</v>
      </c>
      <c r="K299">
        <v>60</v>
      </c>
      <c r="L299">
        <v>25</v>
      </c>
      <c r="M299" s="14">
        <v>4</v>
      </c>
      <c r="N299" s="14">
        <v>2.4375</v>
      </c>
      <c r="Q299" t="str">
        <f t="shared" si="17"/>
        <v xml:space="preserve">XX8X_PV_0491:    Front abuts stile:TRUE       Back abuts stile:FALSE          Panel Section: BOTTOM           Stile in the back Width:            Cutout A: B-347          Cutout B:      F.C.:4 in.         C.C.:2.4375 in.   </v>
      </c>
      <c r="R299" t="str">
        <f t="shared" si="16"/>
        <v>TRUE</v>
      </c>
      <c r="S299" t="str">
        <f t="shared" si="18"/>
        <v>FALSE</v>
      </c>
    </row>
    <row r="300" spans="1:19" hidden="1">
      <c r="A300" t="s">
        <v>460</v>
      </c>
      <c r="B300" s="14" t="s">
        <v>144</v>
      </c>
      <c r="C300" s="14" t="s">
        <v>157</v>
      </c>
      <c r="D300" s="14">
        <v>1</v>
      </c>
      <c r="E300" s="14">
        <v>1</v>
      </c>
      <c r="F300" s="14">
        <v>1</v>
      </c>
      <c r="G300" s="14">
        <v>0</v>
      </c>
      <c r="H300" s="14">
        <v>12</v>
      </c>
      <c r="I300" s="8" t="s">
        <v>38</v>
      </c>
      <c r="J300" s="8" t="s">
        <v>38</v>
      </c>
      <c r="K300">
        <v>60</v>
      </c>
      <c r="L300">
        <v>52.5625</v>
      </c>
      <c r="M300" s="14">
        <v>8.9375</v>
      </c>
      <c r="N300" s="14">
        <v>3.25</v>
      </c>
      <c r="Q300" t="str">
        <f t="shared" si="17"/>
        <v xml:space="preserve">XX8X_PV_0492:    Front abuts stile:TRUE       Back abuts stile:TRUE          Panel Section: BOTTOM           Stile in the back Width: 12           Cutout A:           Cutout B:      F.C.:8.9375 in.         C.C.:3.25 in.   </v>
      </c>
      <c r="R300" t="str">
        <f t="shared" si="16"/>
        <v>TRUE</v>
      </c>
      <c r="S300" t="str">
        <f t="shared" si="18"/>
        <v>TRUE</v>
      </c>
    </row>
    <row r="301" spans="1:19" hidden="1">
      <c r="A301" t="s">
        <v>461</v>
      </c>
      <c r="B301" s="14" t="s">
        <v>144</v>
      </c>
      <c r="C301" s="14" t="s">
        <v>157</v>
      </c>
      <c r="D301" s="14">
        <v>1</v>
      </c>
      <c r="E301" s="14">
        <v>1</v>
      </c>
      <c r="F301" s="14">
        <v>1</v>
      </c>
      <c r="G301" s="14">
        <v>0</v>
      </c>
      <c r="H301" s="14">
        <v>24</v>
      </c>
      <c r="I301" s="8" t="s">
        <v>120</v>
      </c>
      <c r="J301" s="8" t="s">
        <v>38</v>
      </c>
      <c r="K301">
        <v>60</v>
      </c>
      <c r="L301">
        <v>66.25</v>
      </c>
      <c r="M301" s="14">
        <v>1</v>
      </c>
      <c r="N301" s="14">
        <v>1.25</v>
      </c>
      <c r="Q301" t="str">
        <f t="shared" si="17"/>
        <v xml:space="preserve">XX8X_PV_0493:    Front abuts stile:TRUE       Back abuts stile:TRUE          Panel Section: BOTTOM           Stile in the back Width: 24           Cutout A: B-386          Cutout B:      F.C.:1 in.         C.C.:1.25 in.   </v>
      </c>
      <c r="R301" t="str">
        <f t="shared" si="16"/>
        <v>TRUE</v>
      </c>
      <c r="S301" t="str">
        <f t="shared" si="18"/>
        <v>TRUE</v>
      </c>
    </row>
    <row r="302" spans="1:19" hidden="1">
      <c r="A302" t="s">
        <v>462</v>
      </c>
      <c r="B302" s="14" t="s">
        <v>144</v>
      </c>
      <c r="C302" s="14" t="s">
        <v>157</v>
      </c>
      <c r="D302" s="14">
        <v>1</v>
      </c>
      <c r="E302" s="14">
        <v>1</v>
      </c>
      <c r="F302" s="14">
        <v>1</v>
      </c>
      <c r="G302" s="14">
        <v>0</v>
      </c>
      <c r="H302" s="14"/>
      <c r="I302" s="8" t="s">
        <v>120</v>
      </c>
      <c r="J302" s="8" t="s">
        <v>38</v>
      </c>
      <c r="K302">
        <v>60</v>
      </c>
      <c r="L302">
        <v>64.1875</v>
      </c>
      <c r="M302" s="14">
        <v>12</v>
      </c>
      <c r="N302" s="14">
        <v>1.875</v>
      </c>
      <c r="Q302" t="str">
        <f t="shared" si="17"/>
        <v xml:space="preserve">XX8X_PV_0494:    Front abuts stile:TRUE       Back abuts stile:TRUE          Panel Section: BOTTOM           Stile in the back Width:            Cutout A: B-386          Cutout B:      F.C.:12 in.         C.C.:1.875 in.   </v>
      </c>
      <c r="R302" t="str">
        <f t="shared" si="16"/>
        <v>TRUE</v>
      </c>
      <c r="S302" t="str">
        <f t="shared" si="18"/>
        <v>TRUE</v>
      </c>
    </row>
    <row r="303" spans="1:19" hidden="1">
      <c r="A303" t="s">
        <v>463</v>
      </c>
      <c r="B303" s="14" t="s">
        <v>144</v>
      </c>
      <c r="C303" s="14" t="s">
        <v>157</v>
      </c>
      <c r="D303" s="14">
        <v>1</v>
      </c>
      <c r="E303" s="14">
        <v>1</v>
      </c>
      <c r="F303" s="14">
        <v>1</v>
      </c>
      <c r="G303" s="14">
        <v>1</v>
      </c>
      <c r="H303" s="14"/>
      <c r="I303" s="8" t="s">
        <v>120</v>
      </c>
      <c r="J303" s="8" t="s">
        <v>38</v>
      </c>
      <c r="K303">
        <v>60</v>
      </c>
      <c r="L303">
        <v>50.0625</v>
      </c>
      <c r="M303" s="14">
        <v>5.375</v>
      </c>
      <c r="N303" s="14">
        <v>1.375</v>
      </c>
      <c r="Q303" t="str">
        <f t="shared" si="17"/>
        <v xml:space="preserve">XX8X_PV_0495:    Front abuts stile:TRUE       Back abuts stile:TRUE          Panel Section: BOTTOM           Stile in the back Width:            Cutout A: B-386          Cutout B:      F.C.:5.375 in.         C.C.:1.375 in.   </v>
      </c>
      <c r="R303" t="str">
        <f t="shared" si="16"/>
        <v>TRUE</v>
      </c>
      <c r="S303" t="str">
        <f t="shared" si="18"/>
        <v>TRUE</v>
      </c>
    </row>
    <row r="304" spans="1:19" hidden="1">
      <c r="A304" t="s">
        <v>464</v>
      </c>
      <c r="B304" s="14" t="s">
        <v>144</v>
      </c>
      <c r="C304" s="14" t="s">
        <v>21</v>
      </c>
      <c r="D304" s="14">
        <v>0</v>
      </c>
      <c r="E304" s="14"/>
      <c r="F304" s="14">
        <v>0</v>
      </c>
      <c r="G304" s="14"/>
      <c r="H304" s="14"/>
      <c r="I304" s="8" t="s">
        <v>145</v>
      </c>
      <c r="J304" s="8" t="s">
        <v>38</v>
      </c>
      <c r="K304">
        <v>53.25</v>
      </c>
      <c r="L304">
        <v>48.5</v>
      </c>
      <c r="M304" s="14">
        <v>4.5</v>
      </c>
      <c r="N304" s="14">
        <v>6.875</v>
      </c>
      <c r="Q304" t="str">
        <f t="shared" si="17"/>
        <v xml:space="preserve">XX8X_PV_0511:    Front abuts stile:FALSE       Back abuts stile:FALSE          Panel Section: WHOLE           Stile in the back Width:            Cutout A: B-347          Cutout B:      F.C.:4.5 in.         C.C.:6.875 in.   </v>
      </c>
      <c r="R304" t="str">
        <f t="shared" si="16"/>
        <v>FALSE</v>
      </c>
      <c r="S304" t="str">
        <f t="shared" si="18"/>
        <v>FALSE</v>
      </c>
    </row>
    <row r="305" spans="1:19" hidden="1">
      <c r="A305" t="s">
        <v>465</v>
      </c>
      <c r="B305" s="14" t="s">
        <v>144</v>
      </c>
      <c r="C305" s="14" t="s">
        <v>21</v>
      </c>
      <c r="D305" s="14">
        <v>0</v>
      </c>
      <c r="E305" s="14"/>
      <c r="F305" s="14">
        <v>1</v>
      </c>
      <c r="G305" s="14">
        <v>0</v>
      </c>
      <c r="H305" s="14">
        <v>12</v>
      </c>
      <c r="I305" s="8" t="s">
        <v>150</v>
      </c>
      <c r="J305" s="8" t="s">
        <v>38</v>
      </c>
      <c r="K305">
        <v>86.4375</v>
      </c>
      <c r="L305">
        <v>54.4375</v>
      </c>
      <c r="M305" s="14">
        <v>11.125</v>
      </c>
      <c r="N305" s="14">
        <v>2</v>
      </c>
      <c r="Q305" t="str">
        <f t="shared" si="17"/>
        <v xml:space="preserve">XX8X_PV_0512:    Front abuts stile:FALSE       Back abuts stile:TRUE          Panel Section: WHOLE           Stile in the back Width: 12           Cutout A: B-3571          Cutout B:      F.C.:11.125 in.         C.C.:2 in.   </v>
      </c>
      <c r="R305" t="str">
        <f t="shared" si="16"/>
        <v>FALSE</v>
      </c>
      <c r="S305" t="str">
        <f t="shared" si="18"/>
        <v>TRUE</v>
      </c>
    </row>
    <row r="306" spans="1:19" hidden="1">
      <c r="A306" t="s">
        <v>466</v>
      </c>
      <c r="B306" s="14" t="s">
        <v>144</v>
      </c>
      <c r="C306" s="14" t="s">
        <v>21</v>
      </c>
      <c r="D306" s="14">
        <v>0</v>
      </c>
      <c r="E306" s="14"/>
      <c r="F306" s="14">
        <v>1</v>
      </c>
      <c r="G306" s="14">
        <v>0</v>
      </c>
      <c r="H306" s="14">
        <v>24</v>
      </c>
      <c r="I306" s="8" t="s">
        <v>120</v>
      </c>
      <c r="J306" s="8" t="s">
        <v>38</v>
      </c>
      <c r="K306">
        <v>97.5625</v>
      </c>
      <c r="L306">
        <v>12.5625</v>
      </c>
      <c r="M306" s="14">
        <v>4.5</v>
      </c>
      <c r="N306" s="14">
        <v>4.8125</v>
      </c>
      <c r="Q306" t="str">
        <f t="shared" si="17"/>
        <v xml:space="preserve">XX8X_PV_0513:    Front abuts stile:FALSE       Back abuts stile:TRUE          Panel Section: WHOLE           Stile in the back Width: 24           Cutout A: B-386          Cutout B:      F.C.:4.5 in.         C.C.:4.8125 in.   </v>
      </c>
      <c r="R306" t="str">
        <f t="shared" si="16"/>
        <v>FALSE</v>
      </c>
      <c r="S306" t="str">
        <f t="shared" si="18"/>
        <v>TRUE</v>
      </c>
    </row>
    <row r="307" spans="1:19" hidden="1">
      <c r="A307" t="s">
        <v>467</v>
      </c>
      <c r="B307" s="14" t="s">
        <v>144</v>
      </c>
      <c r="C307" s="14" t="s">
        <v>21</v>
      </c>
      <c r="D307" s="14">
        <v>0</v>
      </c>
      <c r="E307" s="14"/>
      <c r="F307" s="14">
        <v>1</v>
      </c>
      <c r="G307" s="14">
        <v>0</v>
      </c>
      <c r="H307" s="14"/>
      <c r="I307" s="8" t="s">
        <v>38</v>
      </c>
      <c r="J307" s="8" t="s">
        <v>38</v>
      </c>
      <c r="K307">
        <v>91.6875</v>
      </c>
      <c r="L307">
        <v>75.125</v>
      </c>
      <c r="M307" s="14">
        <v>3.125</v>
      </c>
      <c r="N307" s="14">
        <v>1.3125</v>
      </c>
      <c r="Q307" t="str">
        <f t="shared" si="17"/>
        <v xml:space="preserve">XX8X_PV_0514:    Front abuts stile:FALSE       Back abuts stile:TRUE          Panel Section: WHOLE           Stile in the back Width:            Cutout A:           Cutout B:      F.C.:3.125 in.         C.C.:1.3125 in.   </v>
      </c>
      <c r="R307" t="str">
        <f t="shared" si="16"/>
        <v>FALSE</v>
      </c>
      <c r="S307" t="str">
        <f t="shared" si="18"/>
        <v>TRUE</v>
      </c>
    </row>
    <row r="308" spans="1:19" hidden="1">
      <c r="A308" t="s">
        <v>468</v>
      </c>
      <c r="B308" s="14" t="s">
        <v>144</v>
      </c>
      <c r="C308" s="14" t="s">
        <v>21</v>
      </c>
      <c r="D308" s="14">
        <v>0</v>
      </c>
      <c r="E308" s="14"/>
      <c r="F308" s="14">
        <v>1</v>
      </c>
      <c r="G308" s="14">
        <v>1</v>
      </c>
      <c r="H308" s="14"/>
      <c r="I308" s="8" t="s">
        <v>148</v>
      </c>
      <c r="J308" s="8" t="s">
        <v>38</v>
      </c>
      <c r="K308">
        <v>96</v>
      </c>
      <c r="L308">
        <v>66.4375</v>
      </c>
      <c r="M308" s="14">
        <v>1</v>
      </c>
      <c r="N308" s="14">
        <v>1</v>
      </c>
      <c r="Q308" t="str">
        <f t="shared" si="17"/>
        <v xml:space="preserve">XX8X_PV_0515:    Front abuts stile:FALSE       Back abuts stile:TRUE          Panel Section: WHOLE           Stile in the back Width:            Cutout A: B-3471          Cutout B:      F.C.:1 in.         C.C.:1 in.   </v>
      </c>
      <c r="R308" t="str">
        <f t="shared" si="16"/>
        <v>FALSE</v>
      </c>
      <c r="S308" t="str">
        <f t="shared" si="18"/>
        <v>TRUE</v>
      </c>
    </row>
    <row r="309" spans="1:19" hidden="1">
      <c r="A309" t="s">
        <v>469</v>
      </c>
      <c r="B309" s="14" t="s">
        <v>144</v>
      </c>
      <c r="C309" s="14" t="s">
        <v>21</v>
      </c>
      <c r="D309" s="14">
        <v>1</v>
      </c>
      <c r="E309" s="14">
        <v>0</v>
      </c>
      <c r="F309" s="14">
        <v>0</v>
      </c>
      <c r="G309" s="14"/>
      <c r="H309" s="14"/>
      <c r="I309" s="8" t="s">
        <v>38</v>
      </c>
      <c r="J309" s="8" t="s">
        <v>38</v>
      </c>
      <c r="K309">
        <v>80.75</v>
      </c>
      <c r="L309">
        <v>64.75</v>
      </c>
      <c r="M309" s="14">
        <v>2.4375</v>
      </c>
      <c r="N309" s="14">
        <v>4.75</v>
      </c>
      <c r="Q309" t="str">
        <f t="shared" si="17"/>
        <v xml:space="preserve">XX8X_PV_0516:    Front abuts stile:TRUE       Back abuts stile:FALSE          Panel Section: WHOLE           Stile in the back Width:            Cutout A:           Cutout B:      F.C.:2.4375 in.         C.C.:4.75 in.   </v>
      </c>
      <c r="R309" t="str">
        <f t="shared" si="16"/>
        <v>TRUE</v>
      </c>
      <c r="S309" t="str">
        <f t="shared" si="18"/>
        <v>FALSE</v>
      </c>
    </row>
    <row r="310" spans="1:19" hidden="1">
      <c r="A310" t="s">
        <v>470</v>
      </c>
      <c r="B310" s="14" t="s">
        <v>144</v>
      </c>
      <c r="C310" s="14" t="s">
        <v>21</v>
      </c>
      <c r="D310" s="14">
        <v>1</v>
      </c>
      <c r="E310" s="14">
        <v>0</v>
      </c>
      <c r="F310" s="14">
        <v>1</v>
      </c>
      <c r="G310" s="14">
        <v>0</v>
      </c>
      <c r="H310" s="14">
        <v>12</v>
      </c>
      <c r="I310" s="8" t="s">
        <v>120</v>
      </c>
      <c r="J310" s="8" t="s">
        <v>38</v>
      </c>
      <c r="K310">
        <v>63.3125</v>
      </c>
      <c r="L310">
        <v>28.625</v>
      </c>
      <c r="M310" s="14">
        <v>12</v>
      </c>
      <c r="N310" s="14">
        <v>5.875</v>
      </c>
      <c r="Q310" t="str">
        <f t="shared" si="17"/>
        <v xml:space="preserve">XX8X_PV_0517:    Front abuts stile:TRUE       Back abuts stile:TRUE          Panel Section: WHOLE           Stile in the back Width: 12           Cutout A: B-386          Cutout B:      F.C.:12 in.         C.C.:5.875 in.   </v>
      </c>
      <c r="R310" t="str">
        <f t="shared" si="16"/>
        <v>TRUE</v>
      </c>
      <c r="S310" t="str">
        <f t="shared" si="18"/>
        <v>TRUE</v>
      </c>
    </row>
    <row r="311" spans="1:19" hidden="1">
      <c r="A311" t="s">
        <v>471</v>
      </c>
      <c r="B311" s="14" t="s">
        <v>144</v>
      </c>
      <c r="C311" s="14" t="s">
        <v>21</v>
      </c>
      <c r="D311" s="14">
        <v>1</v>
      </c>
      <c r="E311" s="14">
        <v>0</v>
      </c>
      <c r="F311" s="14">
        <v>1</v>
      </c>
      <c r="G311" s="14">
        <v>0</v>
      </c>
      <c r="H311" s="14">
        <v>24</v>
      </c>
      <c r="I311" s="8" t="s">
        <v>120</v>
      </c>
      <c r="J311" s="8" t="s">
        <v>38</v>
      </c>
      <c r="K311">
        <v>96</v>
      </c>
      <c r="L311">
        <v>61.9375</v>
      </c>
      <c r="M311" s="14">
        <v>12</v>
      </c>
      <c r="N311" s="14">
        <v>1</v>
      </c>
      <c r="Q311" t="str">
        <f t="shared" si="17"/>
        <v xml:space="preserve">XX8X_PV_0518:    Front abuts stile:TRUE       Back abuts stile:TRUE          Panel Section: WHOLE           Stile in the back Width: 24           Cutout A: B-386          Cutout B:      F.C.:12 in.         C.C.:1 in.   </v>
      </c>
      <c r="R311" t="str">
        <f t="shared" si="16"/>
        <v>TRUE</v>
      </c>
      <c r="S311" t="str">
        <f t="shared" si="18"/>
        <v>TRUE</v>
      </c>
    </row>
    <row r="312" spans="1:19" hidden="1">
      <c r="A312" t="s">
        <v>472</v>
      </c>
      <c r="B312" s="14" t="s">
        <v>144</v>
      </c>
      <c r="C312" s="14" t="s">
        <v>21</v>
      </c>
      <c r="D312" s="14">
        <v>1</v>
      </c>
      <c r="E312" s="14">
        <v>0</v>
      </c>
      <c r="F312" s="14">
        <v>1</v>
      </c>
      <c r="G312" s="14">
        <v>0</v>
      </c>
      <c r="H312" s="14"/>
      <c r="I312" s="8" t="s">
        <v>149</v>
      </c>
      <c r="J312" s="8" t="s">
        <v>38</v>
      </c>
      <c r="K312">
        <v>56.6875</v>
      </c>
      <c r="L312">
        <v>68.8125</v>
      </c>
      <c r="M312" s="14">
        <v>9</v>
      </c>
      <c r="N312" s="14">
        <v>1</v>
      </c>
      <c r="Q312" t="str">
        <f t="shared" si="17"/>
        <v xml:space="preserve">XX8X_PV_0519:    Front abuts stile:TRUE       Back abuts stile:TRUE          Panel Section: WHOLE           Stile in the back Width:            Cutout A: B-34715          Cutout B:      F.C.:9 in.         C.C.:1 in.   </v>
      </c>
      <c r="R312" t="str">
        <f t="shared" si="16"/>
        <v>TRUE</v>
      </c>
      <c r="S312" t="str">
        <f t="shared" si="18"/>
        <v>TRUE</v>
      </c>
    </row>
    <row r="313" spans="1:19" hidden="1">
      <c r="A313" t="s">
        <v>473</v>
      </c>
      <c r="B313" s="14" t="s">
        <v>144</v>
      </c>
      <c r="C313" s="14" t="s">
        <v>21</v>
      </c>
      <c r="D313" s="14">
        <v>1</v>
      </c>
      <c r="E313" s="14">
        <v>0</v>
      </c>
      <c r="F313" s="14">
        <v>1</v>
      </c>
      <c r="G313" s="14">
        <v>1</v>
      </c>
      <c r="H313" s="14"/>
      <c r="I313" s="8" t="s">
        <v>150</v>
      </c>
      <c r="J313" s="8" t="s">
        <v>38</v>
      </c>
      <c r="K313">
        <v>88.875</v>
      </c>
      <c r="L313">
        <v>68.25</v>
      </c>
      <c r="M313" s="14">
        <v>1</v>
      </c>
      <c r="N313" s="14">
        <v>4.625</v>
      </c>
      <c r="Q313" t="str">
        <f t="shared" si="17"/>
        <v xml:space="preserve">XX8X_PV_0520:    Front abuts stile:TRUE       Back abuts stile:TRUE          Panel Section: WHOLE           Stile in the back Width:            Cutout A: B-3571          Cutout B:      F.C.:1 in.         C.C.:4.625 in.   </v>
      </c>
      <c r="R313" t="str">
        <f t="shared" si="16"/>
        <v>TRUE</v>
      </c>
      <c r="S313" t="str">
        <f t="shared" si="18"/>
        <v>TRUE</v>
      </c>
    </row>
    <row r="314" spans="1:19">
      <c r="A314" t="s">
        <v>474</v>
      </c>
      <c r="B314" s="14" t="s">
        <v>143</v>
      </c>
      <c r="C314" s="14" t="s">
        <v>21</v>
      </c>
      <c r="D314" s="14">
        <v>1</v>
      </c>
      <c r="E314" s="14">
        <v>1</v>
      </c>
      <c r="F314" s="14">
        <v>0</v>
      </c>
      <c r="G314" s="14"/>
      <c r="H314" s="14"/>
      <c r="I314" s="8" t="s">
        <v>149</v>
      </c>
      <c r="J314" s="8" t="s">
        <v>38</v>
      </c>
      <c r="K314">
        <v>77.9375</v>
      </c>
      <c r="L314">
        <v>10.6875</v>
      </c>
      <c r="M314" s="14">
        <v>3.875</v>
      </c>
      <c r="N314" s="14">
        <v>5</v>
      </c>
      <c r="Q314" t="str">
        <f t="shared" si="17"/>
        <v xml:space="preserve">XX8X_PV_0521:    Front abuts stile:TRUE       Back abuts stile:FALSE          Panel Section: WHOLE           Stile in the back Width:            Cutout A: B-34715          Cutout B:      F.C.:3.875 in.         C.C.:5 in.   </v>
      </c>
      <c r="R314" t="str">
        <f t="shared" si="16"/>
        <v>TRUE</v>
      </c>
      <c r="S314" t="str">
        <f t="shared" si="18"/>
        <v>FALSE</v>
      </c>
    </row>
    <row r="315" spans="1:19" hidden="1">
      <c r="A315" t="s">
        <v>475</v>
      </c>
      <c r="B315" s="14" t="s">
        <v>144</v>
      </c>
      <c r="C315" s="14" t="s">
        <v>21</v>
      </c>
      <c r="D315" s="14">
        <v>1</v>
      </c>
      <c r="E315" s="14">
        <v>1</v>
      </c>
      <c r="F315" s="14">
        <v>1</v>
      </c>
      <c r="G315" s="14">
        <v>0</v>
      </c>
      <c r="H315" s="14">
        <v>12</v>
      </c>
      <c r="I315" s="8" t="s">
        <v>38</v>
      </c>
      <c r="J315" s="8" t="s">
        <v>38</v>
      </c>
      <c r="K315">
        <v>57.75</v>
      </c>
      <c r="L315">
        <v>51.3125</v>
      </c>
      <c r="M315" s="14">
        <v>9.3125</v>
      </c>
      <c r="N315" s="14">
        <v>1.3125</v>
      </c>
      <c r="Q315" t="str">
        <f t="shared" si="17"/>
        <v xml:space="preserve">XX8X_PV_0522:    Front abuts stile:TRUE       Back abuts stile:TRUE          Panel Section: WHOLE           Stile in the back Width: 12           Cutout A:           Cutout B:      F.C.:9.3125 in.         C.C.:1.3125 in.   </v>
      </c>
      <c r="R315" t="str">
        <f t="shared" si="16"/>
        <v>TRUE</v>
      </c>
      <c r="S315" t="str">
        <f t="shared" si="18"/>
        <v>TRUE</v>
      </c>
    </row>
    <row r="316" spans="1:19" hidden="1">
      <c r="A316" t="s">
        <v>476</v>
      </c>
      <c r="B316" s="14" t="s">
        <v>144</v>
      </c>
      <c r="C316" s="14" t="s">
        <v>21</v>
      </c>
      <c r="D316" s="14">
        <v>1</v>
      </c>
      <c r="E316" s="14">
        <v>1</v>
      </c>
      <c r="F316" s="14">
        <v>1</v>
      </c>
      <c r="G316" s="14">
        <v>0</v>
      </c>
      <c r="H316" s="14">
        <v>24</v>
      </c>
      <c r="I316" s="8" t="s">
        <v>120</v>
      </c>
      <c r="J316" s="8" t="s">
        <v>38</v>
      </c>
      <c r="K316">
        <v>96</v>
      </c>
      <c r="L316">
        <v>31.6875</v>
      </c>
      <c r="M316" s="14">
        <v>6.5</v>
      </c>
      <c r="N316" s="14">
        <v>3.9375</v>
      </c>
      <c r="Q316" t="str">
        <f t="shared" si="17"/>
        <v xml:space="preserve">XX8X_PV_0523:    Front abuts stile:TRUE       Back abuts stile:TRUE          Panel Section: WHOLE           Stile in the back Width: 24           Cutout A: B-386          Cutout B:      F.C.:6.5 in.         C.C.:3.9375 in.   </v>
      </c>
      <c r="R316" t="str">
        <f t="shared" si="16"/>
        <v>TRUE</v>
      </c>
      <c r="S316" t="str">
        <f t="shared" si="18"/>
        <v>TRUE</v>
      </c>
    </row>
    <row r="317" spans="1:19" hidden="1">
      <c r="A317" t="s">
        <v>477</v>
      </c>
      <c r="B317" s="14" t="s">
        <v>144</v>
      </c>
      <c r="C317" s="14" t="s">
        <v>21</v>
      </c>
      <c r="D317" s="14">
        <v>1</v>
      </c>
      <c r="E317" s="14">
        <v>1</v>
      </c>
      <c r="F317" s="14">
        <v>1</v>
      </c>
      <c r="G317" s="14">
        <v>0</v>
      </c>
      <c r="H317" s="14"/>
      <c r="I317" s="8" t="s">
        <v>151</v>
      </c>
      <c r="J317" s="8" t="s">
        <v>38</v>
      </c>
      <c r="K317">
        <v>96</v>
      </c>
      <c r="L317">
        <v>79.1875</v>
      </c>
      <c r="M317" s="14">
        <v>4.5</v>
      </c>
      <c r="N317" s="14">
        <v>4.875</v>
      </c>
      <c r="Q317" t="str">
        <f t="shared" si="17"/>
        <v xml:space="preserve">XX8X_PV_0524:    Front abuts stile:TRUE       Back abuts stile:TRUE          Panel Section: WHOLE           Stile in the back Width:            Cutout A: B-35715          Cutout B:      F.C.:4.5 in.         C.C.:4.875 in.   </v>
      </c>
      <c r="R317" t="str">
        <f t="shared" si="16"/>
        <v>TRUE</v>
      </c>
      <c r="S317" t="str">
        <f t="shared" si="18"/>
        <v>TRUE</v>
      </c>
    </row>
    <row r="318" spans="1:19" hidden="1">
      <c r="A318" t="s">
        <v>478</v>
      </c>
      <c r="B318" s="14" t="s">
        <v>144</v>
      </c>
      <c r="C318" s="14" t="s">
        <v>21</v>
      </c>
      <c r="D318" s="14">
        <v>1</v>
      </c>
      <c r="E318" s="14">
        <v>1</v>
      </c>
      <c r="F318" s="14">
        <v>1</v>
      </c>
      <c r="G318" s="14">
        <v>1</v>
      </c>
      <c r="H318" s="14"/>
      <c r="I318" s="8" t="s">
        <v>120</v>
      </c>
      <c r="J318" s="8" t="s">
        <v>38</v>
      </c>
      <c r="K318">
        <v>96</v>
      </c>
      <c r="L318">
        <v>28.4375</v>
      </c>
      <c r="M318" s="14">
        <v>2.5625</v>
      </c>
      <c r="N318" s="14">
        <v>3</v>
      </c>
      <c r="Q318" t="str">
        <f t="shared" si="17"/>
        <v xml:space="preserve">XX8X_PV_0525:    Front abuts stile:TRUE       Back abuts stile:TRUE          Panel Section: WHOLE           Stile in the back Width:            Cutout A: B-386          Cutout B:      F.C.:2.5625 in.         C.C.:3 in.   </v>
      </c>
      <c r="R318" t="str">
        <f t="shared" si="16"/>
        <v>TRUE</v>
      </c>
      <c r="S318" t="str">
        <f t="shared" si="18"/>
        <v>TRUE</v>
      </c>
    </row>
    <row r="319" spans="1:19" hidden="1">
      <c r="A319" t="s">
        <v>479</v>
      </c>
      <c r="B319" s="14" t="s">
        <v>144</v>
      </c>
      <c r="C319" s="14" t="s">
        <v>156</v>
      </c>
      <c r="D319" s="19">
        <v>0</v>
      </c>
      <c r="E319" s="19"/>
      <c r="F319" s="19">
        <v>0</v>
      </c>
      <c r="G319" s="19"/>
      <c r="H319" s="14"/>
      <c r="I319" s="8" t="s">
        <v>148</v>
      </c>
      <c r="J319" s="8" t="s">
        <v>38</v>
      </c>
      <c r="K319">
        <v>25.875</v>
      </c>
      <c r="L319">
        <v>27.3125</v>
      </c>
      <c r="M319" s="14">
        <v>10.375</v>
      </c>
      <c r="N319" s="14">
        <v>4.375</v>
      </c>
      <c r="Q319" t="str">
        <f t="shared" si="17"/>
        <v xml:space="preserve">XX8X_PV_0541:    Front abuts stile:FALSE       Back abuts stile:FALSE          Panel Section: TOP           Stile in the back Width:            Cutout A: B-3471          Cutout B:      F.C.:10.375 in.         C.C.:4.375 in.   </v>
      </c>
      <c r="R319" t="str">
        <f t="shared" si="16"/>
        <v>FALSE</v>
      </c>
      <c r="S319" t="str">
        <f t="shared" si="18"/>
        <v>FALSE</v>
      </c>
    </row>
    <row r="320" spans="1:19" hidden="1">
      <c r="A320" t="s">
        <v>480</v>
      </c>
      <c r="B320" s="14" t="s">
        <v>144</v>
      </c>
      <c r="C320" s="14" t="s">
        <v>156</v>
      </c>
      <c r="D320" s="14">
        <v>0</v>
      </c>
      <c r="E320" s="14"/>
      <c r="F320" s="14">
        <v>1</v>
      </c>
      <c r="G320" s="14">
        <v>0</v>
      </c>
      <c r="H320" s="14">
        <v>12</v>
      </c>
      <c r="I320" s="8" t="s">
        <v>145</v>
      </c>
      <c r="J320" s="8" t="s">
        <v>38</v>
      </c>
      <c r="K320">
        <v>24</v>
      </c>
      <c r="L320">
        <v>55.375</v>
      </c>
      <c r="M320" s="14">
        <v>4.5</v>
      </c>
      <c r="N320" s="14">
        <v>2.25</v>
      </c>
      <c r="Q320" t="str">
        <f t="shared" si="17"/>
        <v xml:space="preserve">XX8X_PV_0542:    Front abuts stile:FALSE       Back abuts stile:TRUE          Panel Section: TOP           Stile in the back Width: 12           Cutout A: B-347          Cutout B:      F.C.:4.5 in.         C.C.:2.25 in.   </v>
      </c>
      <c r="R320" t="str">
        <f t="shared" si="16"/>
        <v>FALSE</v>
      </c>
      <c r="S320" t="str">
        <f t="shared" si="18"/>
        <v>TRUE</v>
      </c>
    </row>
    <row r="321" spans="1:19" hidden="1">
      <c r="A321" t="s">
        <v>481</v>
      </c>
      <c r="B321" s="14" t="s">
        <v>144</v>
      </c>
      <c r="C321" s="14" t="s">
        <v>156</v>
      </c>
      <c r="D321" s="14">
        <v>0</v>
      </c>
      <c r="E321" s="14"/>
      <c r="F321" s="14">
        <v>1</v>
      </c>
      <c r="G321" s="14">
        <v>0</v>
      </c>
      <c r="H321" s="14">
        <v>24</v>
      </c>
      <c r="I321" s="8" t="s">
        <v>120</v>
      </c>
      <c r="J321" s="8" t="s">
        <v>38</v>
      </c>
      <c r="K321">
        <v>33</v>
      </c>
      <c r="L321">
        <v>69</v>
      </c>
      <c r="M321" s="14">
        <v>1</v>
      </c>
      <c r="N321" s="14">
        <v>2.875</v>
      </c>
      <c r="Q321" t="str">
        <f t="shared" si="17"/>
        <v xml:space="preserve">XX8X_PV_0543:    Front abuts stile:FALSE       Back abuts stile:TRUE          Panel Section: TOP           Stile in the back Width: 24           Cutout A: B-386          Cutout B:      F.C.:1 in.         C.C.:2.875 in.   </v>
      </c>
      <c r="R321" t="str">
        <f t="shared" si="16"/>
        <v>FALSE</v>
      </c>
      <c r="S321" t="str">
        <f t="shared" si="18"/>
        <v>TRUE</v>
      </c>
    </row>
    <row r="322" spans="1:19" hidden="1">
      <c r="A322" t="s">
        <v>482</v>
      </c>
      <c r="B322" s="14" t="s">
        <v>144</v>
      </c>
      <c r="C322" s="14" t="s">
        <v>156</v>
      </c>
      <c r="D322" s="14">
        <v>0</v>
      </c>
      <c r="E322" s="14"/>
      <c r="F322" s="14">
        <v>1</v>
      </c>
      <c r="G322" s="14">
        <v>0</v>
      </c>
      <c r="H322" s="14"/>
      <c r="I322" s="8" t="s">
        <v>35</v>
      </c>
      <c r="J322" s="8" t="s">
        <v>38</v>
      </c>
      <c r="K322">
        <v>31.125</v>
      </c>
      <c r="L322">
        <v>44.875</v>
      </c>
      <c r="M322" s="14">
        <v>1</v>
      </c>
      <c r="N322" s="14">
        <v>1</v>
      </c>
      <c r="Q322" t="str">
        <f t="shared" si="17"/>
        <v xml:space="preserve">XX8X_PV_0544:    Front abuts stile:FALSE       Back abuts stile:TRUE          Panel Section: TOP           Stile in the back Width:            Cutout A: B-357          Cutout B:      F.C.:1 in.         C.C.:1 in.   </v>
      </c>
      <c r="R322" t="str">
        <f t="shared" si="16"/>
        <v>FALSE</v>
      </c>
      <c r="S322" t="str">
        <f t="shared" si="18"/>
        <v>TRUE</v>
      </c>
    </row>
    <row r="323" spans="1:19" hidden="1">
      <c r="A323" t="s">
        <v>483</v>
      </c>
      <c r="B323" s="14" t="s">
        <v>144</v>
      </c>
      <c r="C323" s="14" t="s">
        <v>156</v>
      </c>
      <c r="D323" s="14">
        <v>0</v>
      </c>
      <c r="E323" s="14"/>
      <c r="F323" s="14">
        <v>1</v>
      </c>
      <c r="G323" s="14">
        <v>1</v>
      </c>
      <c r="H323" s="14"/>
      <c r="I323" s="8" t="s">
        <v>35</v>
      </c>
      <c r="J323" s="8" t="s">
        <v>38</v>
      </c>
      <c r="K323">
        <v>11.5</v>
      </c>
      <c r="L323">
        <v>57.5625</v>
      </c>
      <c r="M323" s="14">
        <v>4.75</v>
      </c>
      <c r="N323" s="14">
        <v>3.4375</v>
      </c>
      <c r="Q323" t="str">
        <f t="shared" si="17"/>
        <v xml:space="preserve">XX8X_PV_0545:    Front abuts stile:FALSE       Back abuts stile:TRUE          Panel Section: TOP           Stile in the back Width:            Cutout A: B-357          Cutout B:      F.C.:4.75 in.         C.C.:3.4375 in.   </v>
      </c>
      <c r="R323" t="str">
        <f t="shared" si="16"/>
        <v>FALSE</v>
      </c>
      <c r="S323" t="str">
        <f t="shared" si="18"/>
        <v>TRUE</v>
      </c>
    </row>
    <row r="324" spans="1:19" hidden="1">
      <c r="A324" t="s">
        <v>484</v>
      </c>
      <c r="B324" s="14" t="s">
        <v>144</v>
      </c>
      <c r="C324" s="14" t="s">
        <v>156</v>
      </c>
      <c r="D324" s="14">
        <v>1</v>
      </c>
      <c r="E324" s="14">
        <v>0</v>
      </c>
      <c r="F324" s="14">
        <v>0</v>
      </c>
      <c r="G324" s="14"/>
      <c r="H324" s="14"/>
      <c r="I324" s="8" t="s">
        <v>119</v>
      </c>
      <c r="J324" s="8" t="s">
        <v>38</v>
      </c>
      <c r="K324">
        <v>10.0625</v>
      </c>
      <c r="L324">
        <v>60.875</v>
      </c>
      <c r="M324" s="14">
        <v>9</v>
      </c>
      <c r="N324" s="14">
        <v>2.8125</v>
      </c>
      <c r="Q324" t="str">
        <f t="shared" si="17"/>
        <v xml:space="preserve">XX8X_PV_0546:    Front abuts stile:TRUE       Back abuts stile:FALSE          Panel Section: TOP           Stile in the back Width:            Cutout A: B-354          Cutout B:      F.C.:9 in.         C.C.:2.8125 in.   </v>
      </c>
      <c r="R324" t="str">
        <f t="shared" ref="R324:R387" si="19">IF(D324=1, "TRUE", "FALSE")</f>
        <v>TRUE</v>
      </c>
      <c r="S324" t="str">
        <f t="shared" si="18"/>
        <v>FALSE</v>
      </c>
    </row>
    <row r="325" spans="1:19" hidden="1">
      <c r="A325" t="s">
        <v>485</v>
      </c>
      <c r="B325" s="14" t="s">
        <v>144</v>
      </c>
      <c r="C325" s="14" t="s">
        <v>156</v>
      </c>
      <c r="D325" s="14">
        <v>1</v>
      </c>
      <c r="E325" s="14">
        <v>0</v>
      </c>
      <c r="F325" s="14">
        <v>1</v>
      </c>
      <c r="G325" s="14">
        <v>0</v>
      </c>
      <c r="H325" s="14">
        <v>12</v>
      </c>
      <c r="I325" s="8" t="s">
        <v>150</v>
      </c>
      <c r="J325" s="8" t="s">
        <v>38</v>
      </c>
      <c r="K325">
        <v>32.3125</v>
      </c>
      <c r="L325">
        <v>28.8125</v>
      </c>
      <c r="M325" s="14">
        <v>4.5</v>
      </c>
      <c r="N325" s="14">
        <v>1.25</v>
      </c>
      <c r="Q325" t="str">
        <f t="shared" si="17"/>
        <v xml:space="preserve">XX8X_PV_0547:    Front abuts stile:TRUE       Back abuts stile:TRUE          Panel Section: TOP           Stile in the back Width: 12           Cutout A: B-3571          Cutout B:      F.C.:4.5 in.         C.C.:1.25 in.   </v>
      </c>
      <c r="R325" t="str">
        <f t="shared" si="19"/>
        <v>TRUE</v>
      </c>
      <c r="S325" t="str">
        <f t="shared" si="18"/>
        <v>TRUE</v>
      </c>
    </row>
    <row r="326" spans="1:19" hidden="1">
      <c r="A326" t="s">
        <v>486</v>
      </c>
      <c r="B326" s="14" t="s">
        <v>144</v>
      </c>
      <c r="C326" s="14" t="s">
        <v>156</v>
      </c>
      <c r="D326" s="14">
        <v>1</v>
      </c>
      <c r="E326" s="14">
        <v>0</v>
      </c>
      <c r="F326" s="14">
        <v>1</v>
      </c>
      <c r="G326" s="14">
        <v>0</v>
      </c>
      <c r="H326" s="14">
        <v>24</v>
      </c>
      <c r="I326" s="8" t="s">
        <v>38</v>
      </c>
      <c r="J326" s="8" t="s">
        <v>38</v>
      </c>
      <c r="K326">
        <v>20.1875</v>
      </c>
      <c r="L326">
        <v>53.5625</v>
      </c>
      <c r="M326" s="14">
        <v>4.5</v>
      </c>
      <c r="N326" s="14">
        <v>4.8125</v>
      </c>
      <c r="Q326" t="str">
        <f t="shared" si="17"/>
        <v xml:space="preserve">XX8X_PV_0548:    Front abuts stile:TRUE       Back abuts stile:TRUE          Panel Section: TOP           Stile in the back Width: 24           Cutout A:           Cutout B:      F.C.:4.5 in.         C.C.:4.8125 in.   </v>
      </c>
      <c r="R326" t="str">
        <f t="shared" si="19"/>
        <v>TRUE</v>
      </c>
      <c r="S326" t="str">
        <f t="shared" si="18"/>
        <v>TRUE</v>
      </c>
    </row>
    <row r="327" spans="1:19" hidden="1">
      <c r="A327" t="s">
        <v>487</v>
      </c>
      <c r="B327" s="14" t="s">
        <v>144</v>
      </c>
      <c r="C327" s="14" t="s">
        <v>156</v>
      </c>
      <c r="D327" s="14">
        <v>1</v>
      </c>
      <c r="E327" s="14">
        <v>0</v>
      </c>
      <c r="F327" s="14">
        <v>1</v>
      </c>
      <c r="G327" s="14">
        <v>0</v>
      </c>
      <c r="H327" s="14"/>
      <c r="I327" s="8" t="s">
        <v>120</v>
      </c>
      <c r="J327" s="8" t="s">
        <v>38</v>
      </c>
      <c r="K327">
        <v>11.9375</v>
      </c>
      <c r="L327">
        <v>57.6875</v>
      </c>
      <c r="M327" s="14">
        <v>4.5</v>
      </c>
      <c r="N327" s="14">
        <v>4.875</v>
      </c>
      <c r="Q327" t="str">
        <f t="shared" ref="Q327:Q390" si="20">A327&amp;":    Front abuts stile:"&amp;R327&amp;"       Back abuts stile:"&amp;S327&amp;"          Panel Section: "&amp;C327&amp;"           Stile in the back Width: "&amp;H327&amp;"           Cutout A: "&amp;I327&amp;"          Cutout B:"&amp;J327&amp;"      F.C.:"&amp;M327&amp;" in. "&amp;"        C.C.:"&amp;N327&amp;" in. "&amp;"  "</f>
        <v xml:space="preserve">XX8X_PV_0549:    Front abuts stile:TRUE       Back abuts stile:TRUE          Panel Section: TOP           Stile in the back Width:            Cutout A: B-386          Cutout B:      F.C.:4.5 in.         C.C.:4.875 in.   </v>
      </c>
      <c r="R327" t="str">
        <f t="shared" si="19"/>
        <v>TRUE</v>
      </c>
      <c r="S327" t="str">
        <f t="shared" si="18"/>
        <v>TRUE</v>
      </c>
    </row>
    <row r="328" spans="1:19" hidden="1">
      <c r="A328" t="s">
        <v>488</v>
      </c>
      <c r="B328" s="14" t="s">
        <v>144</v>
      </c>
      <c r="C328" s="14" t="s">
        <v>156</v>
      </c>
      <c r="D328" s="14">
        <v>1</v>
      </c>
      <c r="E328" s="14">
        <v>0</v>
      </c>
      <c r="F328" s="14">
        <v>1</v>
      </c>
      <c r="G328" s="14">
        <v>1</v>
      </c>
      <c r="H328" s="14"/>
      <c r="I328" s="8" t="s">
        <v>35</v>
      </c>
      <c r="J328" s="8" t="s">
        <v>38</v>
      </c>
      <c r="K328">
        <v>25.75</v>
      </c>
      <c r="L328">
        <v>76.75</v>
      </c>
      <c r="M328" s="14">
        <v>3.875</v>
      </c>
      <c r="N328" s="14">
        <v>6.6875</v>
      </c>
      <c r="Q328" t="str">
        <f t="shared" si="20"/>
        <v xml:space="preserve">XX8X_PV_0550:    Front abuts stile:TRUE       Back abuts stile:TRUE          Panel Section: TOP           Stile in the back Width:            Cutout A: B-357          Cutout B:      F.C.:3.875 in.         C.C.:6.6875 in.   </v>
      </c>
      <c r="R328" t="str">
        <f t="shared" si="19"/>
        <v>TRUE</v>
      </c>
      <c r="S328" t="str">
        <f t="shared" si="18"/>
        <v>TRUE</v>
      </c>
    </row>
    <row r="329" spans="1:19" hidden="1">
      <c r="A329" t="s">
        <v>489</v>
      </c>
      <c r="B329" s="14" t="s">
        <v>144</v>
      </c>
      <c r="C329" s="14" t="s">
        <v>156</v>
      </c>
      <c r="D329" s="14">
        <v>1</v>
      </c>
      <c r="E329" s="14">
        <v>1</v>
      </c>
      <c r="F329" s="14">
        <v>0</v>
      </c>
      <c r="G329" s="14"/>
      <c r="H329" s="14"/>
      <c r="I329" s="8" t="s">
        <v>119</v>
      </c>
      <c r="J329" s="8" t="s">
        <v>38</v>
      </c>
      <c r="K329">
        <v>26.1875</v>
      </c>
      <c r="L329">
        <v>19.6875</v>
      </c>
      <c r="M329" s="14">
        <v>1</v>
      </c>
      <c r="N329" s="14">
        <v>2.9375</v>
      </c>
      <c r="Q329" t="str">
        <f t="shared" si="20"/>
        <v xml:space="preserve">XX8X_PV_0551:    Front abuts stile:TRUE       Back abuts stile:FALSE          Panel Section: TOP           Stile in the back Width:            Cutout A: B-354          Cutout B:      F.C.:1 in.         C.C.:2.9375 in.   </v>
      </c>
      <c r="R329" t="str">
        <f t="shared" si="19"/>
        <v>TRUE</v>
      </c>
      <c r="S329" t="str">
        <f t="shared" si="18"/>
        <v>FALSE</v>
      </c>
    </row>
    <row r="330" spans="1:19" hidden="1">
      <c r="A330" t="s">
        <v>490</v>
      </c>
      <c r="B330" s="14" t="s">
        <v>144</v>
      </c>
      <c r="C330" s="14" t="s">
        <v>156</v>
      </c>
      <c r="D330" s="14">
        <v>1</v>
      </c>
      <c r="E330" s="14">
        <v>1</v>
      </c>
      <c r="F330" s="14">
        <v>1</v>
      </c>
      <c r="G330" s="14">
        <v>0</v>
      </c>
      <c r="H330" s="14">
        <v>12</v>
      </c>
      <c r="I330" s="8" t="s">
        <v>151</v>
      </c>
      <c r="J330" s="8" t="s">
        <v>38</v>
      </c>
      <c r="K330">
        <v>47.625</v>
      </c>
      <c r="L330">
        <v>39.5</v>
      </c>
      <c r="M330" s="14">
        <v>1</v>
      </c>
      <c r="N330" s="14">
        <v>4.6875</v>
      </c>
      <c r="Q330" t="str">
        <f t="shared" si="20"/>
        <v xml:space="preserve">XX8X_PV_0552:    Front abuts stile:TRUE       Back abuts stile:TRUE          Panel Section: TOP           Stile in the back Width: 12           Cutout A: B-35715          Cutout B:      F.C.:1 in.         C.C.:4.6875 in.   </v>
      </c>
      <c r="R330" t="str">
        <f t="shared" si="19"/>
        <v>TRUE</v>
      </c>
      <c r="S330" t="str">
        <f t="shared" si="18"/>
        <v>TRUE</v>
      </c>
    </row>
    <row r="331" spans="1:19" hidden="1">
      <c r="A331" t="s">
        <v>491</v>
      </c>
      <c r="B331" s="14" t="s">
        <v>144</v>
      </c>
      <c r="C331" s="14" t="s">
        <v>156</v>
      </c>
      <c r="D331" s="14">
        <v>1</v>
      </c>
      <c r="E331" s="14">
        <v>1</v>
      </c>
      <c r="F331" s="14">
        <v>1</v>
      </c>
      <c r="G331" s="14">
        <v>0</v>
      </c>
      <c r="H331" s="14">
        <v>24</v>
      </c>
      <c r="I331" s="8" t="s">
        <v>38</v>
      </c>
      <c r="J331" s="8" t="s">
        <v>38</v>
      </c>
      <c r="K331">
        <v>46.5</v>
      </c>
      <c r="L331">
        <v>21.5625</v>
      </c>
      <c r="M331" s="14">
        <v>4.5</v>
      </c>
      <c r="N331" s="14">
        <v>5.6875</v>
      </c>
      <c r="Q331" t="str">
        <f t="shared" si="20"/>
        <v xml:space="preserve">XX8X_PV_0553:    Front abuts stile:TRUE       Back abuts stile:TRUE          Panel Section: TOP           Stile in the back Width: 24           Cutout A:           Cutout B:      F.C.:4.5 in.         C.C.:5.6875 in.   </v>
      </c>
      <c r="R331" t="str">
        <f t="shared" si="19"/>
        <v>TRUE</v>
      </c>
      <c r="S331" t="str">
        <f t="shared" si="18"/>
        <v>TRUE</v>
      </c>
    </row>
    <row r="332" spans="1:19" hidden="1">
      <c r="A332" t="s">
        <v>492</v>
      </c>
      <c r="B332" s="14" t="s">
        <v>144</v>
      </c>
      <c r="C332" s="14" t="s">
        <v>156</v>
      </c>
      <c r="D332" s="14">
        <v>1</v>
      </c>
      <c r="E332" s="14">
        <v>1</v>
      </c>
      <c r="F332" s="14">
        <v>1</v>
      </c>
      <c r="G332" s="14">
        <v>0</v>
      </c>
      <c r="H332" s="14"/>
      <c r="I332" s="8" t="s">
        <v>120</v>
      </c>
      <c r="J332" s="8" t="s">
        <v>38</v>
      </c>
      <c r="K332">
        <v>9.875</v>
      </c>
      <c r="L332">
        <v>64.6875</v>
      </c>
      <c r="M332" s="14">
        <v>9</v>
      </c>
      <c r="N332" s="14">
        <v>3.75</v>
      </c>
      <c r="Q332" t="str">
        <f t="shared" si="20"/>
        <v xml:space="preserve">XX8X_PV_0554:    Front abuts stile:TRUE       Back abuts stile:TRUE          Panel Section: TOP           Stile in the back Width:            Cutout A: B-386          Cutout B:      F.C.:9 in.         C.C.:3.75 in.   </v>
      </c>
      <c r="R332" t="str">
        <f t="shared" si="19"/>
        <v>TRUE</v>
      </c>
      <c r="S332" t="str">
        <f t="shared" si="18"/>
        <v>TRUE</v>
      </c>
    </row>
    <row r="333" spans="1:19" hidden="1">
      <c r="A333" t="s">
        <v>493</v>
      </c>
      <c r="B333" s="14" t="s">
        <v>144</v>
      </c>
      <c r="C333" s="14" t="s">
        <v>156</v>
      </c>
      <c r="D333" s="14">
        <v>1</v>
      </c>
      <c r="E333" s="14">
        <v>1</v>
      </c>
      <c r="F333" s="14">
        <v>1</v>
      </c>
      <c r="G333" s="14">
        <v>1</v>
      </c>
      <c r="H333" s="14"/>
      <c r="I333" s="8" t="s">
        <v>150</v>
      </c>
      <c r="J333" s="8" t="s">
        <v>38</v>
      </c>
      <c r="K333">
        <v>5.1875</v>
      </c>
      <c r="L333">
        <v>14.625</v>
      </c>
      <c r="M333" s="14">
        <v>2.9375</v>
      </c>
      <c r="N333" s="14">
        <v>3.625</v>
      </c>
      <c r="Q333" t="str">
        <f t="shared" si="20"/>
        <v xml:space="preserve">XX8X_PV_0555:    Front abuts stile:TRUE       Back abuts stile:TRUE          Panel Section: TOP           Stile in the back Width:            Cutout A: B-3571          Cutout B:      F.C.:2.9375 in.         C.C.:3.625 in.   </v>
      </c>
      <c r="R333" t="str">
        <f t="shared" si="19"/>
        <v>TRUE</v>
      </c>
      <c r="S333" t="str">
        <f t="shared" si="18"/>
        <v>TRUE</v>
      </c>
    </row>
    <row r="334" spans="1:19" hidden="1">
      <c r="A334" t="s">
        <v>494</v>
      </c>
      <c r="B334" s="14" t="s">
        <v>144</v>
      </c>
      <c r="C334" s="14" t="s">
        <v>157</v>
      </c>
      <c r="D334" s="14">
        <v>0</v>
      </c>
      <c r="E334" s="14"/>
      <c r="F334" s="14">
        <v>0</v>
      </c>
      <c r="G334" s="14"/>
      <c r="H334" s="14"/>
      <c r="I334" s="8" t="s">
        <v>38</v>
      </c>
      <c r="J334" s="8" t="s">
        <v>38</v>
      </c>
      <c r="K334">
        <v>60</v>
      </c>
      <c r="L334">
        <v>29</v>
      </c>
      <c r="M334" s="14">
        <v>8</v>
      </c>
      <c r="N334" s="14">
        <v>5.75</v>
      </c>
      <c r="Q334" t="str">
        <f t="shared" si="20"/>
        <v xml:space="preserve">XX8X_PV_0571:    Front abuts stile:FALSE       Back abuts stile:FALSE          Panel Section: BOTTOM           Stile in the back Width:            Cutout A:           Cutout B:      F.C.:8 in.         C.C.:5.75 in.   </v>
      </c>
      <c r="R334" t="str">
        <f t="shared" si="19"/>
        <v>FALSE</v>
      </c>
      <c r="S334" t="str">
        <f t="shared" si="18"/>
        <v>FALSE</v>
      </c>
    </row>
    <row r="335" spans="1:19" hidden="1">
      <c r="A335" t="s">
        <v>495</v>
      </c>
      <c r="B335" s="14" t="s">
        <v>144</v>
      </c>
      <c r="C335" s="14" t="s">
        <v>157</v>
      </c>
      <c r="D335" s="14">
        <v>0</v>
      </c>
      <c r="E335" s="14"/>
      <c r="F335" s="14">
        <v>1</v>
      </c>
      <c r="G335" s="14">
        <v>0</v>
      </c>
      <c r="H335" s="14">
        <v>12</v>
      </c>
      <c r="I335" s="8" t="s">
        <v>145</v>
      </c>
      <c r="J335" s="8" t="s">
        <v>38</v>
      </c>
      <c r="K335">
        <v>60</v>
      </c>
      <c r="L335">
        <v>49.5625</v>
      </c>
      <c r="M335" s="14">
        <v>2.1875</v>
      </c>
      <c r="N335" s="14">
        <v>1</v>
      </c>
      <c r="Q335" t="str">
        <f t="shared" si="20"/>
        <v xml:space="preserve">XX8X_PV_0572:    Front abuts stile:FALSE       Back abuts stile:TRUE          Panel Section: BOTTOM           Stile in the back Width: 12           Cutout A: B-347          Cutout B:      F.C.:2.1875 in.         C.C.:1 in.   </v>
      </c>
      <c r="R335" t="str">
        <f t="shared" si="19"/>
        <v>FALSE</v>
      </c>
      <c r="S335" t="str">
        <f t="shared" si="18"/>
        <v>TRUE</v>
      </c>
    </row>
    <row r="336" spans="1:19" hidden="1">
      <c r="A336" t="s">
        <v>496</v>
      </c>
      <c r="B336" s="14" t="s">
        <v>144</v>
      </c>
      <c r="C336" s="14" t="s">
        <v>157</v>
      </c>
      <c r="D336" s="14">
        <v>0</v>
      </c>
      <c r="E336" s="14"/>
      <c r="F336" s="14">
        <v>1</v>
      </c>
      <c r="G336" s="14">
        <v>0</v>
      </c>
      <c r="H336" s="14">
        <v>24</v>
      </c>
      <c r="I336" s="8" t="s">
        <v>120</v>
      </c>
      <c r="J336" s="8" t="s">
        <v>38</v>
      </c>
      <c r="K336">
        <v>60</v>
      </c>
      <c r="L336">
        <v>44.6875</v>
      </c>
      <c r="M336" s="14">
        <v>12</v>
      </c>
      <c r="N336" s="14">
        <v>7.375</v>
      </c>
      <c r="Q336" t="str">
        <f t="shared" si="20"/>
        <v xml:space="preserve">XX8X_PV_0573:    Front abuts stile:FALSE       Back abuts stile:TRUE          Panel Section: BOTTOM           Stile in the back Width: 24           Cutout A: B-386          Cutout B:      F.C.:12 in.         C.C.:7.375 in.   </v>
      </c>
      <c r="R336" t="str">
        <f t="shared" si="19"/>
        <v>FALSE</v>
      </c>
      <c r="S336" t="str">
        <f t="shared" si="18"/>
        <v>TRUE</v>
      </c>
    </row>
    <row r="337" spans="1:19" hidden="1">
      <c r="A337" t="s">
        <v>497</v>
      </c>
      <c r="B337" s="14" t="s">
        <v>144</v>
      </c>
      <c r="C337" s="14" t="s">
        <v>157</v>
      </c>
      <c r="D337" s="14">
        <v>0</v>
      </c>
      <c r="E337" s="14"/>
      <c r="F337" s="14">
        <v>1</v>
      </c>
      <c r="G337" s="14">
        <v>0</v>
      </c>
      <c r="H337" s="14"/>
      <c r="I337" s="8" t="s">
        <v>38</v>
      </c>
      <c r="J337" s="8" t="s">
        <v>38</v>
      </c>
      <c r="K337">
        <v>60</v>
      </c>
      <c r="L337">
        <v>24.4375</v>
      </c>
      <c r="M337" s="14">
        <v>9.125</v>
      </c>
      <c r="N337" s="14">
        <v>7</v>
      </c>
      <c r="Q337" t="str">
        <f t="shared" si="20"/>
        <v xml:space="preserve">XX8X_PV_0574:    Front abuts stile:FALSE       Back abuts stile:TRUE          Panel Section: BOTTOM           Stile in the back Width:            Cutout A:           Cutout B:      F.C.:9.125 in.         C.C.:7 in.   </v>
      </c>
      <c r="R337" t="str">
        <f t="shared" si="19"/>
        <v>FALSE</v>
      </c>
      <c r="S337" t="str">
        <f t="shared" si="18"/>
        <v>TRUE</v>
      </c>
    </row>
    <row r="338" spans="1:19" hidden="1">
      <c r="A338" t="s">
        <v>498</v>
      </c>
      <c r="B338" s="14" t="s">
        <v>144</v>
      </c>
      <c r="C338" s="14" t="s">
        <v>157</v>
      </c>
      <c r="D338" s="14">
        <v>0</v>
      </c>
      <c r="E338" s="14"/>
      <c r="F338" s="14">
        <v>1</v>
      </c>
      <c r="G338" s="14">
        <v>1</v>
      </c>
      <c r="H338" s="14"/>
      <c r="I338" s="8" t="s">
        <v>38</v>
      </c>
      <c r="J338" s="8" t="s">
        <v>38</v>
      </c>
      <c r="K338">
        <v>60</v>
      </c>
      <c r="L338">
        <v>16.875</v>
      </c>
      <c r="M338" s="14">
        <v>3.3125</v>
      </c>
      <c r="N338" s="14">
        <v>7.625</v>
      </c>
      <c r="Q338" t="str">
        <f t="shared" si="20"/>
        <v xml:space="preserve">XX8X_PV_0575:    Front abuts stile:FALSE       Back abuts stile:TRUE          Panel Section: BOTTOM           Stile in the back Width:            Cutout A:           Cutout B:      F.C.:3.3125 in.         C.C.:7.625 in.   </v>
      </c>
      <c r="R338" t="str">
        <f t="shared" si="19"/>
        <v>FALSE</v>
      </c>
      <c r="S338" t="str">
        <f t="shared" ref="S338:S401" si="21">IF(F338=1, "TRUE", "FALSE")</f>
        <v>TRUE</v>
      </c>
    </row>
    <row r="339" spans="1:19" hidden="1">
      <c r="A339" t="s">
        <v>499</v>
      </c>
      <c r="B339" s="14" t="s">
        <v>144</v>
      </c>
      <c r="C339" s="14" t="s">
        <v>157</v>
      </c>
      <c r="D339" s="14">
        <v>1</v>
      </c>
      <c r="E339" s="14">
        <v>0</v>
      </c>
      <c r="F339" s="14">
        <v>0</v>
      </c>
      <c r="G339" s="14"/>
      <c r="H339" s="14"/>
      <c r="I339" s="8" t="s">
        <v>121</v>
      </c>
      <c r="J339" s="8" t="s">
        <v>120</v>
      </c>
      <c r="K339">
        <v>60</v>
      </c>
      <c r="L339">
        <v>56.8125</v>
      </c>
      <c r="M339" s="14">
        <v>9</v>
      </c>
      <c r="N339" s="14">
        <v>3.6875</v>
      </c>
      <c r="Q339" t="str">
        <f t="shared" si="20"/>
        <v xml:space="preserve">XX8X_PV_0576:    Front abuts stile:TRUE       Back abuts stile:FALSE          Panel Section: BOTTOM           Stile in the back Width:            Cutout A: B-4354          Cutout B:B-386      F.C.:9 in.         C.C.:3.6875 in.   </v>
      </c>
      <c r="R339" t="str">
        <f t="shared" si="19"/>
        <v>TRUE</v>
      </c>
      <c r="S339" t="str">
        <f t="shared" si="21"/>
        <v>FALSE</v>
      </c>
    </row>
    <row r="340" spans="1:19" hidden="1">
      <c r="A340" t="s">
        <v>500</v>
      </c>
      <c r="B340" s="14" t="s">
        <v>144</v>
      </c>
      <c r="C340" s="14" t="s">
        <v>157</v>
      </c>
      <c r="D340" s="14">
        <v>1</v>
      </c>
      <c r="E340" s="14">
        <v>0</v>
      </c>
      <c r="F340" s="14">
        <v>1</v>
      </c>
      <c r="G340" s="14">
        <v>0</v>
      </c>
      <c r="H340" s="14">
        <v>12</v>
      </c>
      <c r="I340" s="8" t="s">
        <v>120</v>
      </c>
      <c r="J340" s="8" t="s">
        <v>38</v>
      </c>
      <c r="K340">
        <v>60</v>
      </c>
      <c r="L340">
        <v>51.5</v>
      </c>
      <c r="M340" s="14">
        <v>4.5</v>
      </c>
      <c r="N340" s="14">
        <v>1</v>
      </c>
      <c r="Q340" t="str">
        <f t="shared" si="20"/>
        <v xml:space="preserve">XX8X_PV_0577:    Front abuts stile:TRUE       Back abuts stile:TRUE          Panel Section: BOTTOM           Stile in the back Width: 12           Cutout A: B-386          Cutout B:      F.C.:4.5 in.         C.C.:1 in.   </v>
      </c>
      <c r="R340" t="str">
        <f t="shared" si="19"/>
        <v>TRUE</v>
      </c>
      <c r="S340" t="str">
        <f t="shared" si="21"/>
        <v>TRUE</v>
      </c>
    </row>
    <row r="341" spans="1:19" hidden="1">
      <c r="A341" t="s">
        <v>501</v>
      </c>
      <c r="B341" s="14" t="s">
        <v>144</v>
      </c>
      <c r="C341" s="14" t="s">
        <v>157</v>
      </c>
      <c r="D341" s="14">
        <v>1</v>
      </c>
      <c r="E341" s="14">
        <v>0</v>
      </c>
      <c r="F341" s="14">
        <v>1</v>
      </c>
      <c r="G341" s="14">
        <v>0</v>
      </c>
      <c r="H341" s="14">
        <v>24</v>
      </c>
      <c r="I341" s="8" t="s">
        <v>120</v>
      </c>
      <c r="J341" s="8" t="s">
        <v>38</v>
      </c>
      <c r="K341">
        <v>60</v>
      </c>
      <c r="L341">
        <v>32.5</v>
      </c>
      <c r="M341" s="14">
        <v>9</v>
      </c>
      <c r="N341" s="14">
        <v>3.375</v>
      </c>
      <c r="Q341" t="str">
        <f t="shared" si="20"/>
        <v xml:space="preserve">XX8X_PV_0578:    Front abuts stile:TRUE       Back abuts stile:TRUE          Panel Section: BOTTOM           Stile in the back Width: 24           Cutout A: B-386          Cutout B:      F.C.:9 in.         C.C.:3.375 in.   </v>
      </c>
      <c r="R341" t="str">
        <f t="shared" si="19"/>
        <v>TRUE</v>
      </c>
      <c r="S341" t="str">
        <f t="shared" si="21"/>
        <v>TRUE</v>
      </c>
    </row>
    <row r="342" spans="1:19" hidden="1">
      <c r="A342" t="s">
        <v>502</v>
      </c>
      <c r="B342" s="14" t="s">
        <v>144</v>
      </c>
      <c r="C342" s="14" t="s">
        <v>157</v>
      </c>
      <c r="D342" s="14">
        <v>1</v>
      </c>
      <c r="E342" s="14">
        <v>0</v>
      </c>
      <c r="F342" s="14">
        <v>1</v>
      </c>
      <c r="G342" s="14">
        <v>0</v>
      </c>
      <c r="H342" s="14"/>
      <c r="I342" s="8" t="s">
        <v>145</v>
      </c>
      <c r="J342" s="8" t="s">
        <v>38</v>
      </c>
      <c r="K342">
        <v>60</v>
      </c>
      <c r="L342">
        <v>76.0625</v>
      </c>
      <c r="M342" s="14">
        <v>4.8125</v>
      </c>
      <c r="N342" s="14">
        <v>3.5625</v>
      </c>
      <c r="Q342" t="str">
        <f t="shared" si="20"/>
        <v xml:space="preserve">XX8X_PV_0579:    Front abuts stile:TRUE       Back abuts stile:TRUE          Panel Section: BOTTOM           Stile in the back Width:            Cutout A: B-347          Cutout B:      F.C.:4.8125 in.         C.C.:3.5625 in.   </v>
      </c>
      <c r="R342" t="str">
        <f t="shared" si="19"/>
        <v>TRUE</v>
      </c>
      <c r="S342" t="str">
        <f t="shared" si="21"/>
        <v>TRUE</v>
      </c>
    </row>
    <row r="343" spans="1:19" hidden="1">
      <c r="A343" t="s">
        <v>503</v>
      </c>
      <c r="B343" s="14" t="s">
        <v>144</v>
      </c>
      <c r="C343" s="14" t="s">
        <v>157</v>
      </c>
      <c r="D343" s="14">
        <v>1</v>
      </c>
      <c r="E343" s="14">
        <v>0</v>
      </c>
      <c r="F343" s="14">
        <v>1</v>
      </c>
      <c r="G343" s="14">
        <v>1</v>
      </c>
      <c r="H343" s="14"/>
      <c r="I343" s="8" t="s">
        <v>38</v>
      </c>
      <c r="J343" s="8" t="s">
        <v>38</v>
      </c>
      <c r="K343">
        <v>60</v>
      </c>
      <c r="L343">
        <v>57.25</v>
      </c>
      <c r="M343" s="14">
        <v>10.9375</v>
      </c>
      <c r="N343" s="14">
        <v>1</v>
      </c>
      <c r="Q343" t="str">
        <f t="shared" si="20"/>
        <v xml:space="preserve">XX8X_PV_0580:    Front abuts stile:TRUE       Back abuts stile:TRUE          Panel Section: BOTTOM           Stile in the back Width:            Cutout A:           Cutout B:      F.C.:10.9375 in.         C.C.:1 in.   </v>
      </c>
      <c r="R343" t="str">
        <f t="shared" si="19"/>
        <v>TRUE</v>
      </c>
      <c r="S343" t="str">
        <f t="shared" si="21"/>
        <v>TRUE</v>
      </c>
    </row>
    <row r="344" spans="1:19" hidden="1">
      <c r="A344" t="s">
        <v>504</v>
      </c>
      <c r="B344" s="14" t="s">
        <v>144</v>
      </c>
      <c r="C344" s="14" t="s">
        <v>157</v>
      </c>
      <c r="D344" s="14">
        <v>1</v>
      </c>
      <c r="E344" s="14">
        <v>1</v>
      </c>
      <c r="F344" s="14">
        <v>0</v>
      </c>
      <c r="G344" s="14"/>
      <c r="H344" s="14"/>
      <c r="I344" s="8" t="s">
        <v>150</v>
      </c>
      <c r="J344" s="8" t="s">
        <v>38</v>
      </c>
      <c r="K344">
        <v>60</v>
      </c>
      <c r="L344">
        <v>59.3125</v>
      </c>
      <c r="M344" s="14">
        <v>11.125</v>
      </c>
      <c r="N344" s="14">
        <v>4.1875</v>
      </c>
      <c r="Q344" t="str">
        <f t="shared" si="20"/>
        <v xml:space="preserve">XX8X_PV_0581:    Front abuts stile:TRUE       Back abuts stile:FALSE          Panel Section: BOTTOM           Stile in the back Width:            Cutout A: B-3571          Cutout B:      F.C.:11.125 in.         C.C.:4.1875 in.   </v>
      </c>
      <c r="R344" t="str">
        <f t="shared" si="19"/>
        <v>TRUE</v>
      </c>
      <c r="S344" t="str">
        <f t="shared" si="21"/>
        <v>FALSE</v>
      </c>
    </row>
    <row r="345" spans="1:19" hidden="1">
      <c r="A345" t="s">
        <v>505</v>
      </c>
      <c r="B345" s="14" t="s">
        <v>144</v>
      </c>
      <c r="C345" s="14" t="s">
        <v>157</v>
      </c>
      <c r="D345" s="14">
        <v>1</v>
      </c>
      <c r="E345" s="14">
        <v>1</v>
      </c>
      <c r="F345" s="14">
        <v>1</v>
      </c>
      <c r="G345" s="14">
        <v>0</v>
      </c>
      <c r="H345" s="14">
        <v>12</v>
      </c>
      <c r="I345" s="8" t="s">
        <v>38</v>
      </c>
      <c r="J345" s="8" t="s">
        <v>38</v>
      </c>
      <c r="K345">
        <v>60</v>
      </c>
      <c r="L345">
        <v>77.625</v>
      </c>
      <c r="M345" s="14">
        <v>4.5</v>
      </c>
      <c r="N345" s="14">
        <v>3.0625</v>
      </c>
      <c r="Q345" t="str">
        <f t="shared" si="20"/>
        <v xml:space="preserve">XX8X_PV_0582:    Front abuts stile:TRUE       Back abuts stile:TRUE          Panel Section: BOTTOM           Stile in the back Width: 12           Cutout A:           Cutout B:      F.C.:4.5 in.         C.C.:3.0625 in.   </v>
      </c>
      <c r="R345" t="str">
        <f t="shared" si="19"/>
        <v>TRUE</v>
      </c>
      <c r="S345" t="str">
        <f t="shared" si="21"/>
        <v>TRUE</v>
      </c>
    </row>
    <row r="346" spans="1:19" hidden="1">
      <c r="A346" t="s">
        <v>506</v>
      </c>
      <c r="B346" s="14" t="s">
        <v>144</v>
      </c>
      <c r="C346" s="14" t="s">
        <v>157</v>
      </c>
      <c r="D346" s="14">
        <v>1</v>
      </c>
      <c r="E346" s="14">
        <v>1</v>
      </c>
      <c r="F346" s="14">
        <v>1</v>
      </c>
      <c r="G346" s="14">
        <v>0</v>
      </c>
      <c r="H346" s="14">
        <v>24</v>
      </c>
      <c r="I346" s="8" t="s">
        <v>120</v>
      </c>
      <c r="J346" s="8" t="s">
        <v>38</v>
      </c>
      <c r="K346">
        <v>60</v>
      </c>
      <c r="L346">
        <v>36.4375</v>
      </c>
      <c r="M346" s="14">
        <v>10.25</v>
      </c>
      <c r="N346" s="14">
        <v>5.5</v>
      </c>
      <c r="Q346" t="str">
        <f t="shared" si="20"/>
        <v xml:space="preserve">XX8X_PV_0583:    Front abuts stile:TRUE       Back abuts stile:TRUE          Panel Section: BOTTOM           Stile in the back Width: 24           Cutout A: B-386          Cutout B:      F.C.:10.25 in.         C.C.:5.5 in.   </v>
      </c>
      <c r="R346" t="str">
        <f t="shared" si="19"/>
        <v>TRUE</v>
      </c>
      <c r="S346" t="str">
        <f t="shared" si="21"/>
        <v>TRUE</v>
      </c>
    </row>
    <row r="347" spans="1:19" hidden="1">
      <c r="A347" t="s">
        <v>507</v>
      </c>
      <c r="B347" s="14" t="s">
        <v>144</v>
      </c>
      <c r="C347" s="14" t="s">
        <v>157</v>
      </c>
      <c r="D347" s="14">
        <v>1</v>
      </c>
      <c r="E347" s="14">
        <v>1</v>
      </c>
      <c r="F347" s="14">
        <v>1</v>
      </c>
      <c r="G347" s="14">
        <v>0</v>
      </c>
      <c r="H347" s="14"/>
      <c r="I347" s="8" t="s">
        <v>120</v>
      </c>
      <c r="J347" s="8" t="s">
        <v>38</v>
      </c>
      <c r="K347">
        <v>60</v>
      </c>
      <c r="L347">
        <v>66.1875</v>
      </c>
      <c r="M347" s="14">
        <v>9</v>
      </c>
      <c r="N347" s="14">
        <v>1</v>
      </c>
      <c r="Q347" t="str">
        <f t="shared" si="20"/>
        <v xml:space="preserve">XX8X_PV_0584:    Front abuts stile:TRUE       Back abuts stile:TRUE          Panel Section: BOTTOM           Stile in the back Width:            Cutout A: B-386          Cutout B:      F.C.:9 in.         C.C.:1 in.   </v>
      </c>
      <c r="R347" t="str">
        <f t="shared" si="19"/>
        <v>TRUE</v>
      </c>
      <c r="S347" t="str">
        <f t="shared" si="21"/>
        <v>TRUE</v>
      </c>
    </row>
    <row r="348" spans="1:19" hidden="1">
      <c r="A348" t="s">
        <v>508</v>
      </c>
      <c r="B348" s="14" t="s">
        <v>144</v>
      </c>
      <c r="C348" s="14" t="s">
        <v>157</v>
      </c>
      <c r="D348" s="14">
        <v>1</v>
      </c>
      <c r="E348" s="14">
        <v>1</v>
      </c>
      <c r="F348" s="14">
        <v>1</v>
      </c>
      <c r="G348" s="14">
        <v>1</v>
      </c>
      <c r="H348" s="14"/>
      <c r="I348" s="8" t="s">
        <v>38</v>
      </c>
      <c r="J348" s="8" t="s">
        <v>38</v>
      </c>
      <c r="K348">
        <v>60</v>
      </c>
      <c r="L348">
        <v>54.5625</v>
      </c>
      <c r="M348" s="14">
        <v>12</v>
      </c>
      <c r="N348" s="14">
        <v>7.5625</v>
      </c>
      <c r="Q348" t="str">
        <f t="shared" si="20"/>
        <v xml:space="preserve">XX8X_PV_0585:    Front abuts stile:TRUE       Back abuts stile:TRUE          Panel Section: BOTTOM           Stile in the back Width:            Cutout A:           Cutout B:      F.C.:12 in.         C.C.:7.5625 in.   </v>
      </c>
      <c r="R348" t="str">
        <f t="shared" si="19"/>
        <v>TRUE</v>
      </c>
      <c r="S348" t="str">
        <f t="shared" si="21"/>
        <v>TRUE</v>
      </c>
    </row>
    <row r="349" spans="1:19" hidden="1">
      <c r="A349" t="s">
        <v>509</v>
      </c>
      <c r="B349" s="14" t="s">
        <v>144</v>
      </c>
      <c r="C349" s="14" t="s">
        <v>21</v>
      </c>
      <c r="D349" s="14">
        <v>0</v>
      </c>
      <c r="E349" s="14"/>
      <c r="F349" s="14">
        <v>0</v>
      </c>
      <c r="G349" s="14"/>
      <c r="H349" s="14"/>
      <c r="I349" s="8" t="s">
        <v>119</v>
      </c>
      <c r="J349" s="8" t="s">
        <v>120</v>
      </c>
      <c r="K349">
        <v>96</v>
      </c>
      <c r="L349">
        <v>15.9375</v>
      </c>
      <c r="M349" s="14">
        <v>9</v>
      </c>
      <c r="N349" s="14">
        <v>1.1875</v>
      </c>
      <c r="Q349" t="str">
        <f t="shared" si="20"/>
        <v xml:space="preserve">XX8X_PV_0601:    Front abuts stile:FALSE       Back abuts stile:FALSE          Panel Section: WHOLE           Stile in the back Width:            Cutout A: B-354          Cutout B:B-386      F.C.:9 in.         C.C.:1.1875 in.   </v>
      </c>
      <c r="R349" t="str">
        <f t="shared" si="19"/>
        <v>FALSE</v>
      </c>
      <c r="S349" t="str">
        <f t="shared" si="21"/>
        <v>FALSE</v>
      </c>
    </row>
    <row r="350" spans="1:19" hidden="1">
      <c r="A350" t="s">
        <v>510</v>
      </c>
      <c r="B350" s="14" t="s">
        <v>144</v>
      </c>
      <c r="C350" s="14" t="s">
        <v>21</v>
      </c>
      <c r="D350" s="14">
        <v>0</v>
      </c>
      <c r="E350" s="14"/>
      <c r="F350" s="14">
        <v>1</v>
      </c>
      <c r="G350" s="14">
        <v>0</v>
      </c>
      <c r="H350" s="14">
        <v>12</v>
      </c>
      <c r="I350" s="8" t="s">
        <v>120</v>
      </c>
      <c r="J350" s="8" t="s">
        <v>38</v>
      </c>
      <c r="K350">
        <v>45.5</v>
      </c>
      <c r="L350">
        <v>16.375</v>
      </c>
      <c r="M350" s="14">
        <v>5.5625</v>
      </c>
      <c r="N350" s="14">
        <v>3</v>
      </c>
      <c r="Q350" t="str">
        <f t="shared" si="20"/>
        <v xml:space="preserve">XX8X_PV_0602:    Front abuts stile:FALSE       Back abuts stile:TRUE          Panel Section: WHOLE           Stile in the back Width: 12           Cutout A: B-386          Cutout B:      F.C.:5.5625 in.         C.C.:3 in.   </v>
      </c>
      <c r="R350" t="str">
        <f t="shared" si="19"/>
        <v>FALSE</v>
      </c>
      <c r="S350" t="str">
        <f t="shared" si="21"/>
        <v>TRUE</v>
      </c>
    </row>
    <row r="351" spans="1:19" hidden="1">
      <c r="A351" t="s">
        <v>511</v>
      </c>
      <c r="B351" s="14" t="s">
        <v>144</v>
      </c>
      <c r="C351" s="14" t="s">
        <v>21</v>
      </c>
      <c r="D351" s="14">
        <v>0</v>
      </c>
      <c r="E351" s="14"/>
      <c r="F351" s="14">
        <v>1</v>
      </c>
      <c r="G351" s="14">
        <v>0</v>
      </c>
      <c r="H351" s="14">
        <v>24</v>
      </c>
      <c r="I351" s="8" t="s">
        <v>120</v>
      </c>
      <c r="J351" s="8" t="s">
        <v>38</v>
      </c>
      <c r="K351">
        <v>96</v>
      </c>
      <c r="L351">
        <v>38.375</v>
      </c>
      <c r="M351" s="14">
        <v>12</v>
      </c>
      <c r="N351" s="14">
        <v>1</v>
      </c>
      <c r="Q351" t="str">
        <f t="shared" si="20"/>
        <v xml:space="preserve">XX8X_PV_0603:    Front abuts stile:FALSE       Back abuts stile:TRUE          Panel Section: WHOLE           Stile in the back Width: 24           Cutout A: B-386          Cutout B:      F.C.:12 in.         C.C.:1 in.   </v>
      </c>
      <c r="R351" t="str">
        <f t="shared" si="19"/>
        <v>FALSE</v>
      </c>
      <c r="S351" t="str">
        <f t="shared" si="21"/>
        <v>TRUE</v>
      </c>
    </row>
    <row r="352" spans="1:19" hidden="1">
      <c r="A352" t="s">
        <v>512</v>
      </c>
      <c r="B352" s="14" t="s">
        <v>144</v>
      </c>
      <c r="C352" s="14" t="s">
        <v>21</v>
      </c>
      <c r="D352" s="14">
        <v>0</v>
      </c>
      <c r="E352" s="14"/>
      <c r="F352" s="14">
        <v>1</v>
      </c>
      <c r="G352" s="14">
        <v>0</v>
      </c>
      <c r="H352" s="14"/>
      <c r="I352" s="8" t="s">
        <v>150</v>
      </c>
      <c r="J352" s="8" t="s">
        <v>38</v>
      </c>
      <c r="K352">
        <v>96</v>
      </c>
      <c r="L352">
        <v>54.375</v>
      </c>
      <c r="M352" s="14">
        <v>12</v>
      </c>
      <c r="N352" s="14">
        <v>2.5625</v>
      </c>
      <c r="Q352" t="str">
        <f t="shared" si="20"/>
        <v xml:space="preserve">XX8X_PV_0604:    Front abuts stile:FALSE       Back abuts stile:TRUE          Panel Section: WHOLE           Stile in the back Width:            Cutout A: B-3571          Cutout B:      F.C.:12 in.         C.C.:2.5625 in.   </v>
      </c>
      <c r="R352" t="str">
        <f t="shared" si="19"/>
        <v>FALSE</v>
      </c>
      <c r="S352" t="str">
        <f t="shared" si="21"/>
        <v>TRUE</v>
      </c>
    </row>
    <row r="353" spans="1:19" hidden="1">
      <c r="A353" t="s">
        <v>513</v>
      </c>
      <c r="B353" s="14" t="s">
        <v>144</v>
      </c>
      <c r="C353" s="14" t="s">
        <v>21</v>
      </c>
      <c r="D353" s="14">
        <v>0</v>
      </c>
      <c r="E353" s="14"/>
      <c r="F353" s="14">
        <v>1</v>
      </c>
      <c r="G353" s="14">
        <v>1</v>
      </c>
      <c r="H353" s="14"/>
      <c r="I353" s="8" t="s">
        <v>38</v>
      </c>
      <c r="J353" s="8" t="s">
        <v>38</v>
      </c>
      <c r="K353">
        <v>102.375</v>
      </c>
      <c r="L353">
        <v>13.0625</v>
      </c>
      <c r="M353" s="14">
        <v>3.0625</v>
      </c>
      <c r="N353" s="14">
        <v>8.3125</v>
      </c>
      <c r="Q353" t="str">
        <f t="shared" si="20"/>
        <v xml:space="preserve">XX8X_PV_0605:    Front abuts stile:FALSE       Back abuts stile:TRUE          Panel Section: WHOLE           Stile in the back Width:            Cutout A:           Cutout B:      F.C.:3.0625 in.         C.C.:8.3125 in.   </v>
      </c>
      <c r="R353" t="str">
        <f t="shared" si="19"/>
        <v>FALSE</v>
      </c>
      <c r="S353" t="str">
        <f t="shared" si="21"/>
        <v>TRUE</v>
      </c>
    </row>
    <row r="354" spans="1:19">
      <c r="A354" t="s">
        <v>514</v>
      </c>
      <c r="B354" s="14" t="s">
        <v>143</v>
      </c>
      <c r="C354" s="14" t="s">
        <v>21</v>
      </c>
      <c r="D354" s="14">
        <v>1</v>
      </c>
      <c r="E354" s="14">
        <v>0</v>
      </c>
      <c r="F354" s="14">
        <v>0</v>
      </c>
      <c r="G354" s="14"/>
      <c r="H354" s="14"/>
      <c r="I354" s="8" t="s">
        <v>148</v>
      </c>
      <c r="J354" s="8" t="s">
        <v>38</v>
      </c>
      <c r="K354">
        <v>80.1875</v>
      </c>
      <c r="L354">
        <v>45.375</v>
      </c>
      <c r="M354" s="14">
        <v>9</v>
      </c>
      <c r="N354" s="14">
        <v>1</v>
      </c>
      <c r="Q354" t="str">
        <f t="shared" si="20"/>
        <v xml:space="preserve">XX8X_PV_0606:    Front abuts stile:TRUE       Back abuts stile:FALSE          Panel Section: WHOLE           Stile in the back Width:            Cutout A: B-3471          Cutout B:      F.C.:9 in.         C.C.:1 in.   </v>
      </c>
      <c r="R354" t="str">
        <f t="shared" si="19"/>
        <v>TRUE</v>
      </c>
      <c r="S354" t="str">
        <f t="shared" si="21"/>
        <v>FALSE</v>
      </c>
    </row>
    <row r="355" spans="1:19" hidden="1">
      <c r="A355" t="s">
        <v>515</v>
      </c>
      <c r="B355" s="14" t="s">
        <v>144</v>
      </c>
      <c r="C355" s="14" t="s">
        <v>21</v>
      </c>
      <c r="D355" s="14">
        <v>1</v>
      </c>
      <c r="E355" s="14">
        <v>0</v>
      </c>
      <c r="F355" s="14">
        <v>1</v>
      </c>
      <c r="G355" s="14">
        <v>0</v>
      </c>
      <c r="H355" s="14">
        <v>12</v>
      </c>
      <c r="I355" s="8" t="s">
        <v>145</v>
      </c>
      <c r="J355" s="8" t="s">
        <v>38</v>
      </c>
      <c r="K355">
        <v>76.3125</v>
      </c>
      <c r="L355">
        <v>17.8125</v>
      </c>
      <c r="M355" s="14">
        <v>4.8125</v>
      </c>
      <c r="N355" s="14">
        <v>5.125</v>
      </c>
      <c r="Q355" t="str">
        <f t="shared" si="20"/>
        <v xml:space="preserve">XX8X_PV_0607:    Front abuts stile:TRUE       Back abuts stile:TRUE          Panel Section: WHOLE           Stile in the back Width: 12           Cutout A: B-347          Cutout B:      F.C.:4.8125 in.         C.C.:5.125 in.   </v>
      </c>
      <c r="R355" t="str">
        <f t="shared" si="19"/>
        <v>TRUE</v>
      </c>
      <c r="S355" t="str">
        <f t="shared" si="21"/>
        <v>TRUE</v>
      </c>
    </row>
    <row r="356" spans="1:19" hidden="1">
      <c r="A356" t="s">
        <v>516</v>
      </c>
      <c r="B356" s="14" t="s">
        <v>144</v>
      </c>
      <c r="C356" s="14" t="s">
        <v>21</v>
      </c>
      <c r="D356" s="14">
        <v>1</v>
      </c>
      <c r="E356" s="14">
        <v>0</v>
      </c>
      <c r="F356" s="14">
        <v>1</v>
      </c>
      <c r="G356" s="14">
        <v>0</v>
      </c>
      <c r="H356" s="14">
        <v>24</v>
      </c>
      <c r="I356" s="8" t="s">
        <v>120</v>
      </c>
      <c r="J356" s="8" t="s">
        <v>38</v>
      </c>
      <c r="K356">
        <v>98.0625</v>
      </c>
      <c r="L356">
        <v>67.5</v>
      </c>
      <c r="M356" s="14">
        <v>1</v>
      </c>
      <c r="N356" s="14">
        <v>1</v>
      </c>
      <c r="Q356" t="str">
        <f t="shared" si="20"/>
        <v xml:space="preserve">XX8X_PV_0608:    Front abuts stile:TRUE       Back abuts stile:TRUE          Panel Section: WHOLE           Stile in the back Width: 24           Cutout A: B-386          Cutout B:      F.C.:1 in.         C.C.:1 in.   </v>
      </c>
      <c r="R356" t="str">
        <f t="shared" si="19"/>
        <v>TRUE</v>
      </c>
      <c r="S356" t="str">
        <f t="shared" si="21"/>
        <v>TRUE</v>
      </c>
    </row>
    <row r="357" spans="1:19" hidden="1">
      <c r="A357" t="s">
        <v>517</v>
      </c>
      <c r="B357" s="14" t="s">
        <v>144</v>
      </c>
      <c r="C357" s="14" t="s">
        <v>21</v>
      </c>
      <c r="D357" s="14">
        <v>1</v>
      </c>
      <c r="E357" s="14">
        <v>0</v>
      </c>
      <c r="F357" s="14">
        <v>1</v>
      </c>
      <c r="G357" s="14">
        <v>0</v>
      </c>
      <c r="H357" s="14"/>
      <c r="I357" s="8" t="s">
        <v>145</v>
      </c>
      <c r="J357" s="8" t="s">
        <v>38</v>
      </c>
      <c r="K357">
        <v>43</v>
      </c>
      <c r="L357">
        <v>8.8125</v>
      </c>
      <c r="M357" s="14">
        <v>3.4375</v>
      </c>
      <c r="N357" s="14">
        <v>1</v>
      </c>
      <c r="Q357" t="str">
        <f t="shared" si="20"/>
        <v xml:space="preserve">XX8X_PV_0609:    Front abuts stile:TRUE       Back abuts stile:TRUE          Panel Section: WHOLE           Stile in the back Width:            Cutout A: B-347          Cutout B:      F.C.:3.4375 in.         C.C.:1 in.   </v>
      </c>
      <c r="R357" t="str">
        <f t="shared" si="19"/>
        <v>TRUE</v>
      </c>
      <c r="S357" t="str">
        <f t="shared" si="21"/>
        <v>TRUE</v>
      </c>
    </row>
    <row r="358" spans="1:19" hidden="1">
      <c r="A358" t="s">
        <v>518</v>
      </c>
      <c r="B358" s="14" t="s">
        <v>144</v>
      </c>
      <c r="C358" s="14" t="s">
        <v>21</v>
      </c>
      <c r="D358" s="14">
        <v>1</v>
      </c>
      <c r="E358" s="14">
        <v>0</v>
      </c>
      <c r="F358" s="14">
        <v>1</v>
      </c>
      <c r="G358" s="14">
        <v>1</v>
      </c>
      <c r="H358" s="14"/>
      <c r="I358" s="8" t="s">
        <v>150</v>
      </c>
      <c r="J358" s="8" t="s">
        <v>38</v>
      </c>
      <c r="K358">
        <v>83.25</v>
      </c>
      <c r="L358">
        <v>5.75</v>
      </c>
      <c r="M358" s="14">
        <v>7.4375</v>
      </c>
      <c r="N358" s="14">
        <v>6.5</v>
      </c>
      <c r="Q358" t="str">
        <f t="shared" si="20"/>
        <v xml:space="preserve">XX8X_PV_0610:    Front abuts stile:TRUE       Back abuts stile:TRUE          Panel Section: WHOLE           Stile in the back Width:            Cutout A: B-3571          Cutout B:      F.C.:7.4375 in.         C.C.:6.5 in.   </v>
      </c>
      <c r="R358" t="str">
        <f t="shared" si="19"/>
        <v>TRUE</v>
      </c>
      <c r="S358" t="str">
        <f t="shared" si="21"/>
        <v>TRUE</v>
      </c>
    </row>
    <row r="359" spans="1:19" hidden="1">
      <c r="A359" t="s">
        <v>519</v>
      </c>
      <c r="B359" s="14" t="s">
        <v>144</v>
      </c>
      <c r="C359" s="14" t="s">
        <v>21</v>
      </c>
      <c r="D359" s="14">
        <v>1</v>
      </c>
      <c r="E359" s="14">
        <v>1</v>
      </c>
      <c r="F359" s="14">
        <v>0</v>
      </c>
      <c r="G359" s="14"/>
      <c r="H359" s="14"/>
      <c r="I359" s="8" t="s">
        <v>38</v>
      </c>
      <c r="J359" s="8" t="s">
        <v>38</v>
      </c>
      <c r="K359">
        <v>62.125</v>
      </c>
      <c r="L359">
        <v>51.9375</v>
      </c>
      <c r="M359" s="14">
        <v>8.8125</v>
      </c>
      <c r="N359" s="14">
        <v>7.125</v>
      </c>
      <c r="Q359" t="str">
        <f t="shared" si="20"/>
        <v xml:space="preserve">XX8X_PV_0611:    Front abuts stile:TRUE       Back abuts stile:FALSE          Panel Section: WHOLE           Stile in the back Width:            Cutout A:           Cutout B:      F.C.:8.8125 in.         C.C.:7.125 in.   </v>
      </c>
      <c r="R359" t="str">
        <f t="shared" si="19"/>
        <v>TRUE</v>
      </c>
      <c r="S359" t="str">
        <f t="shared" si="21"/>
        <v>FALSE</v>
      </c>
    </row>
    <row r="360" spans="1:19" hidden="1">
      <c r="A360" t="s">
        <v>520</v>
      </c>
      <c r="B360" s="14" t="s">
        <v>144</v>
      </c>
      <c r="C360" s="14" t="s">
        <v>21</v>
      </c>
      <c r="D360" s="14">
        <v>1</v>
      </c>
      <c r="E360" s="14">
        <v>1</v>
      </c>
      <c r="F360" s="14">
        <v>1</v>
      </c>
      <c r="G360" s="14">
        <v>0</v>
      </c>
      <c r="H360" s="14">
        <v>12</v>
      </c>
      <c r="I360" s="8" t="s">
        <v>120</v>
      </c>
      <c r="J360" s="8" t="s">
        <v>38</v>
      </c>
      <c r="K360">
        <v>82.375</v>
      </c>
      <c r="L360">
        <v>15.125</v>
      </c>
      <c r="M360" s="14">
        <v>9</v>
      </c>
      <c r="N360" s="14">
        <v>1</v>
      </c>
      <c r="Q360" t="str">
        <f t="shared" si="20"/>
        <v xml:space="preserve">XX8X_PV_0612:    Front abuts stile:TRUE       Back abuts stile:TRUE          Panel Section: WHOLE           Stile in the back Width: 12           Cutout A: B-386          Cutout B:      F.C.:9 in.         C.C.:1 in.   </v>
      </c>
      <c r="R360" t="str">
        <f t="shared" si="19"/>
        <v>TRUE</v>
      </c>
      <c r="S360" t="str">
        <f t="shared" si="21"/>
        <v>TRUE</v>
      </c>
    </row>
    <row r="361" spans="1:19" hidden="1">
      <c r="A361" t="s">
        <v>521</v>
      </c>
      <c r="B361" s="14" t="s">
        <v>144</v>
      </c>
      <c r="C361" s="14" t="s">
        <v>21</v>
      </c>
      <c r="D361" s="14">
        <v>1</v>
      </c>
      <c r="E361" s="14">
        <v>1</v>
      </c>
      <c r="F361" s="14">
        <v>1</v>
      </c>
      <c r="G361" s="14">
        <v>0</v>
      </c>
      <c r="H361" s="14">
        <v>24</v>
      </c>
      <c r="I361" s="8" t="s">
        <v>38</v>
      </c>
      <c r="J361" s="8" t="s">
        <v>38</v>
      </c>
      <c r="K361">
        <v>84.875</v>
      </c>
      <c r="L361">
        <v>75.375</v>
      </c>
      <c r="M361" s="14">
        <v>10.1875</v>
      </c>
      <c r="N361" s="14">
        <v>7.8125</v>
      </c>
      <c r="Q361" t="str">
        <f t="shared" si="20"/>
        <v xml:space="preserve">XX8X_PV_0613:    Front abuts stile:TRUE       Back abuts stile:TRUE          Panel Section: WHOLE           Stile in the back Width: 24           Cutout A:           Cutout B:      F.C.:10.1875 in.         C.C.:7.8125 in.   </v>
      </c>
      <c r="R361" t="str">
        <f t="shared" si="19"/>
        <v>TRUE</v>
      </c>
      <c r="S361" t="str">
        <f t="shared" si="21"/>
        <v>TRUE</v>
      </c>
    </row>
    <row r="362" spans="1:19" hidden="1">
      <c r="A362" t="s">
        <v>522</v>
      </c>
      <c r="B362" s="14" t="s">
        <v>144</v>
      </c>
      <c r="C362" s="14" t="s">
        <v>21</v>
      </c>
      <c r="D362" s="14">
        <v>1</v>
      </c>
      <c r="E362" s="14">
        <v>1</v>
      </c>
      <c r="F362" s="14">
        <v>1</v>
      </c>
      <c r="G362" s="14">
        <v>0</v>
      </c>
      <c r="H362" s="14"/>
      <c r="I362" s="8" t="s">
        <v>145</v>
      </c>
      <c r="J362" s="8" t="s">
        <v>38</v>
      </c>
      <c r="K362">
        <v>93.4375</v>
      </c>
      <c r="L362">
        <v>74.0625</v>
      </c>
      <c r="M362" s="14">
        <v>9</v>
      </c>
      <c r="N362" s="14">
        <v>8</v>
      </c>
      <c r="Q362" t="str">
        <f t="shared" si="20"/>
        <v xml:space="preserve">XX8X_PV_0614:    Front abuts stile:TRUE       Back abuts stile:TRUE          Panel Section: WHOLE           Stile in the back Width:            Cutout A: B-347          Cutout B:      F.C.:9 in.         C.C.:8 in.   </v>
      </c>
      <c r="R362" t="str">
        <f t="shared" si="19"/>
        <v>TRUE</v>
      </c>
      <c r="S362" t="str">
        <f t="shared" si="21"/>
        <v>TRUE</v>
      </c>
    </row>
    <row r="363" spans="1:19" hidden="1">
      <c r="A363" t="s">
        <v>523</v>
      </c>
      <c r="B363" s="14" t="s">
        <v>144</v>
      </c>
      <c r="C363" s="14" t="s">
        <v>21</v>
      </c>
      <c r="D363" s="14">
        <v>1</v>
      </c>
      <c r="E363" s="14">
        <v>1</v>
      </c>
      <c r="F363" s="14">
        <v>1</v>
      </c>
      <c r="G363" s="14">
        <v>1</v>
      </c>
      <c r="H363" s="14"/>
      <c r="I363" s="8" t="s">
        <v>38</v>
      </c>
      <c r="J363" s="8" t="s">
        <v>38</v>
      </c>
      <c r="K363">
        <v>101.625</v>
      </c>
      <c r="L363">
        <v>8.875</v>
      </c>
      <c r="M363" s="14">
        <v>2.75</v>
      </c>
      <c r="N363" s="14">
        <v>3.5625</v>
      </c>
      <c r="Q363" t="str">
        <f t="shared" si="20"/>
        <v xml:space="preserve">XX8X_PV_0615:    Front abuts stile:TRUE       Back abuts stile:TRUE          Panel Section: WHOLE           Stile in the back Width:            Cutout A:           Cutout B:      F.C.:2.75 in.         C.C.:3.5625 in.   </v>
      </c>
      <c r="R363" t="str">
        <f t="shared" si="19"/>
        <v>TRUE</v>
      </c>
      <c r="S363" t="str">
        <f t="shared" si="21"/>
        <v>TRUE</v>
      </c>
    </row>
    <row r="364" spans="1:19" hidden="1">
      <c r="A364" t="s">
        <v>524</v>
      </c>
      <c r="B364" s="14" t="s">
        <v>144</v>
      </c>
      <c r="C364" s="14" t="s">
        <v>156</v>
      </c>
      <c r="D364" s="19">
        <v>0</v>
      </c>
      <c r="E364" s="19"/>
      <c r="F364" s="19">
        <v>0</v>
      </c>
      <c r="G364" s="19"/>
      <c r="H364" s="14"/>
      <c r="I364" s="8" t="s">
        <v>35</v>
      </c>
      <c r="J364" s="8" t="s">
        <v>38</v>
      </c>
      <c r="K364">
        <v>33.4375</v>
      </c>
      <c r="L364">
        <v>50.5</v>
      </c>
      <c r="M364" s="14">
        <v>2.6875</v>
      </c>
      <c r="N364" s="14">
        <v>2.625</v>
      </c>
      <c r="Q364" t="str">
        <f t="shared" si="20"/>
        <v xml:space="preserve">XX8X_PV_0631:    Front abuts stile:FALSE       Back abuts stile:FALSE          Panel Section: TOP           Stile in the back Width:            Cutout A: B-357          Cutout B:      F.C.:2.6875 in.         C.C.:2.625 in.   </v>
      </c>
      <c r="R364" t="str">
        <f t="shared" si="19"/>
        <v>FALSE</v>
      </c>
      <c r="S364" t="str">
        <f t="shared" si="21"/>
        <v>FALSE</v>
      </c>
    </row>
    <row r="365" spans="1:19" hidden="1">
      <c r="A365" t="s">
        <v>525</v>
      </c>
      <c r="B365" s="14" t="s">
        <v>144</v>
      </c>
      <c r="C365" s="14" t="s">
        <v>156</v>
      </c>
      <c r="D365" s="14">
        <v>0</v>
      </c>
      <c r="E365" s="14"/>
      <c r="F365" s="14">
        <v>1</v>
      </c>
      <c r="G365" s="14">
        <v>0</v>
      </c>
      <c r="H365" s="14">
        <v>12</v>
      </c>
      <c r="I365" s="8" t="s">
        <v>120</v>
      </c>
      <c r="J365" s="8" t="s">
        <v>38</v>
      </c>
      <c r="K365">
        <v>27</v>
      </c>
      <c r="L365">
        <v>31.25</v>
      </c>
      <c r="M365" s="14">
        <v>9</v>
      </c>
      <c r="N365" s="14">
        <v>4.625</v>
      </c>
      <c r="Q365" t="str">
        <f t="shared" si="20"/>
        <v xml:space="preserve">XX8X_PV_0632:    Front abuts stile:FALSE       Back abuts stile:TRUE          Panel Section: TOP           Stile in the back Width: 12           Cutout A: B-386          Cutout B:      F.C.:9 in.         C.C.:4.625 in.   </v>
      </c>
      <c r="R365" t="str">
        <f t="shared" si="19"/>
        <v>FALSE</v>
      </c>
      <c r="S365" t="str">
        <f t="shared" si="21"/>
        <v>TRUE</v>
      </c>
    </row>
    <row r="366" spans="1:19" hidden="1">
      <c r="A366" t="s">
        <v>526</v>
      </c>
      <c r="B366" s="14" t="s">
        <v>144</v>
      </c>
      <c r="C366" s="14" t="s">
        <v>156</v>
      </c>
      <c r="D366" s="14">
        <v>0</v>
      </c>
      <c r="E366" s="14"/>
      <c r="F366" s="14">
        <v>1</v>
      </c>
      <c r="G366" s="14">
        <v>0</v>
      </c>
      <c r="H366" s="14">
        <v>24</v>
      </c>
      <c r="I366" s="8" t="s">
        <v>120</v>
      </c>
      <c r="J366" s="8" t="s">
        <v>38</v>
      </c>
      <c r="K366">
        <v>40.9375</v>
      </c>
      <c r="L366">
        <v>61.875</v>
      </c>
      <c r="M366" s="14">
        <v>5.5</v>
      </c>
      <c r="N366" s="14">
        <v>1</v>
      </c>
      <c r="Q366" t="str">
        <f t="shared" si="20"/>
        <v xml:space="preserve">XX8X_PV_0633:    Front abuts stile:FALSE       Back abuts stile:TRUE          Panel Section: TOP           Stile in the back Width: 24           Cutout A: B-386          Cutout B:      F.C.:5.5 in.         C.C.:1 in.   </v>
      </c>
      <c r="R366" t="str">
        <f t="shared" si="19"/>
        <v>FALSE</v>
      </c>
      <c r="S366" t="str">
        <f t="shared" si="21"/>
        <v>TRUE</v>
      </c>
    </row>
    <row r="367" spans="1:19" hidden="1">
      <c r="A367" t="s">
        <v>527</v>
      </c>
      <c r="B367" s="14" t="s">
        <v>144</v>
      </c>
      <c r="C367" s="14" t="s">
        <v>156</v>
      </c>
      <c r="D367" s="14">
        <v>0</v>
      </c>
      <c r="E367" s="14"/>
      <c r="F367" s="14">
        <v>1</v>
      </c>
      <c r="G367" s="14">
        <v>0</v>
      </c>
      <c r="H367" s="14"/>
      <c r="I367" s="8" t="s">
        <v>149</v>
      </c>
      <c r="J367" s="8" t="s">
        <v>38</v>
      </c>
      <c r="K367">
        <v>23.6875</v>
      </c>
      <c r="L367">
        <v>29.0625</v>
      </c>
      <c r="M367" s="14">
        <v>4.5</v>
      </c>
      <c r="N367" s="14">
        <v>3.875</v>
      </c>
      <c r="Q367" t="str">
        <f t="shared" si="20"/>
        <v xml:space="preserve">XX8X_PV_0634:    Front abuts stile:FALSE       Back abuts stile:TRUE          Panel Section: TOP           Stile in the back Width:            Cutout A: B-34715          Cutout B:      F.C.:4.5 in.         C.C.:3.875 in.   </v>
      </c>
      <c r="R367" t="str">
        <f t="shared" si="19"/>
        <v>FALSE</v>
      </c>
      <c r="S367" t="str">
        <f t="shared" si="21"/>
        <v>TRUE</v>
      </c>
    </row>
    <row r="368" spans="1:19" hidden="1">
      <c r="A368" t="s">
        <v>528</v>
      </c>
      <c r="B368" s="14" t="s">
        <v>144</v>
      </c>
      <c r="C368" s="14" t="s">
        <v>156</v>
      </c>
      <c r="D368" s="14">
        <v>0</v>
      </c>
      <c r="E368" s="14"/>
      <c r="F368" s="14">
        <v>1</v>
      </c>
      <c r="G368" s="14">
        <v>1</v>
      </c>
      <c r="H368" s="14"/>
      <c r="I368" s="8" t="s">
        <v>120</v>
      </c>
      <c r="J368" s="8" t="s">
        <v>38</v>
      </c>
      <c r="K368">
        <v>14.9375</v>
      </c>
      <c r="L368">
        <v>38.75</v>
      </c>
      <c r="M368" s="14">
        <v>11.375</v>
      </c>
      <c r="N368" s="14">
        <v>1.5625</v>
      </c>
      <c r="Q368" t="str">
        <f t="shared" si="20"/>
        <v xml:space="preserve">XX8X_PV_0635:    Front abuts stile:FALSE       Back abuts stile:TRUE          Panel Section: TOP           Stile in the back Width:            Cutout A: B-386          Cutout B:      F.C.:11.375 in.         C.C.:1.5625 in.   </v>
      </c>
      <c r="R368" t="str">
        <f t="shared" si="19"/>
        <v>FALSE</v>
      </c>
      <c r="S368" t="str">
        <f t="shared" si="21"/>
        <v>TRUE</v>
      </c>
    </row>
    <row r="369" spans="1:19" hidden="1">
      <c r="A369" t="s">
        <v>529</v>
      </c>
      <c r="B369" s="14" t="s">
        <v>144</v>
      </c>
      <c r="C369" s="14" t="s">
        <v>156</v>
      </c>
      <c r="D369" s="14">
        <v>1</v>
      </c>
      <c r="E369" s="14">
        <v>0</v>
      </c>
      <c r="F369" s="14">
        <v>0</v>
      </c>
      <c r="G369" s="14"/>
      <c r="H369" s="14"/>
      <c r="I369" s="8" t="s">
        <v>38</v>
      </c>
      <c r="J369" s="8" t="s">
        <v>38</v>
      </c>
      <c r="K369">
        <v>49.3125</v>
      </c>
      <c r="L369">
        <v>7.875</v>
      </c>
      <c r="M369" s="14">
        <v>9</v>
      </c>
      <c r="N369" s="14">
        <v>3.625</v>
      </c>
      <c r="Q369" t="str">
        <f t="shared" si="20"/>
        <v xml:space="preserve">XX8X_PV_0636:    Front abuts stile:TRUE       Back abuts stile:FALSE          Panel Section: TOP           Stile in the back Width:            Cutout A:           Cutout B:      F.C.:9 in.         C.C.:3.625 in.   </v>
      </c>
      <c r="R369" t="str">
        <f t="shared" si="19"/>
        <v>TRUE</v>
      </c>
      <c r="S369" t="str">
        <f t="shared" si="21"/>
        <v>FALSE</v>
      </c>
    </row>
    <row r="370" spans="1:19" hidden="1">
      <c r="A370" t="s">
        <v>530</v>
      </c>
      <c r="B370" s="14" t="s">
        <v>144</v>
      </c>
      <c r="C370" s="14" t="s">
        <v>156</v>
      </c>
      <c r="D370" s="14">
        <v>1</v>
      </c>
      <c r="E370" s="14">
        <v>0</v>
      </c>
      <c r="F370" s="14">
        <v>1</v>
      </c>
      <c r="G370" s="14">
        <v>0</v>
      </c>
      <c r="H370" s="14">
        <v>12</v>
      </c>
      <c r="I370" s="8" t="s">
        <v>38</v>
      </c>
      <c r="J370" s="8" t="s">
        <v>38</v>
      </c>
      <c r="K370">
        <v>16.8125</v>
      </c>
      <c r="L370">
        <v>31.3125</v>
      </c>
      <c r="M370" s="14">
        <v>3.1875</v>
      </c>
      <c r="N370" s="14">
        <v>4</v>
      </c>
      <c r="Q370" t="str">
        <f t="shared" si="20"/>
        <v xml:space="preserve">XX8X_PV_0637:    Front abuts stile:TRUE       Back abuts stile:TRUE          Panel Section: TOP           Stile in the back Width: 12           Cutout A:           Cutout B:      F.C.:3.1875 in.         C.C.:4 in.   </v>
      </c>
      <c r="R370" t="str">
        <f t="shared" si="19"/>
        <v>TRUE</v>
      </c>
      <c r="S370" t="str">
        <f t="shared" si="21"/>
        <v>TRUE</v>
      </c>
    </row>
    <row r="371" spans="1:19" hidden="1">
      <c r="A371" t="s">
        <v>531</v>
      </c>
      <c r="B371" s="14" t="s">
        <v>144</v>
      </c>
      <c r="C371" s="14" t="s">
        <v>156</v>
      </c>
      <c r="D371" s="14">
        <v>1</v>
      </c>
      <c r="E371" s="14">
        <v>0</v>
      </c>
      <c r="F371" s="14">
        <v>1</v>
      </c>
      <c r="G371" s="14">
        <v>0</v>
      </c>
      <c r="H371" s="14">
        <v>24</v>
      </c>
      <c r="I371" s="8" t="s">
        <v>120</v>
      </c>
      <c r="J371" s="8" t="s">
        <v>38</v>
      </c>
      <c r="K371">
        <v>12.25</v>
      </c>
      <c r="L371">
        <v>10.3125</v>
      </c>
      <c r="M371" s="14">
        <v>9</v>
      </c>
      <c r="N371" s="14">
        <v>4.5</v>
      </c>
      <c r="Q371" t="str">
        <f t="shared" si="20"/>
        <v xml:space="preserve">XX8X_PV_0638:    Front abuts stile:TRUE       Back abuts stile:TRUE          Panel Section: TOP           Stile in the back Width: 24           Cutout A: B-386          Cutout B:      F.C.:9 in.         C.C.:4.5 in.   </v>
      </c>
      <c r="R371" t="str">
        <f t="shared" si="19"/>
        <v>TRUE</v>
      </c>
      <c r="S371" t="str">
        <f t="shared" si="21"/>
        <v>TRUE</v>
      </c>
    </row>
    <row r="372" spans="1:19" hidden="1">
      <c r="A372" t="s">
        <v>532</v>
      </c>
      <c r="B372" s="14" t="s">
        <v>144</v>
      </c>
      <c r="C372" s="14" t="s">
        <v>156</v>
      </c>
      <c r="D372" s="14">
        <v>1</v>
      </c>
      <c r="E372" s="14">
        <v>0</v>
      </c>
      <c r="F372" s="14">
        <v>1</v>
      </c>
      <c r="G372" s="14">
        <v>0</v>
      </c>
      <c r="H372" s="14"/>
      <c r="I372" s="8" t="s">
        <v>120</v>
      </c>
      <c r="J372" s="8" t="s">
        <v>38</v>
      </c>
      <c r="K372">
        <v>36.25</v>
      </c>
      <c r="L372">
        <v>69.3125</v>
      </c>
      <c r="M372" s="14">
        <v>7.625</v>
      </c>
      <c r="N372" s="14">
        <v>6.125</v>
      </c>
      <c r="Q372" t="str">
        <f t="shared" si="20"/>
        <v xml:space="preserve">XX8X_PV_0639:    Front abuts stile:TRUE       Back abuts stile:TRUE          Panel Section: TOP           Stile in the back Width:            Cutout A: B-386          Cutout B:      F.C.:7.625 in.         C.C.:6.125 in.   </v>
      </c>
      <c r="R372" t="str">
        <f t="shared" si="19"/>
        <v>TRUE</v>
      </c>
      <c r="S372" t="str">
        <f t="shared" si="21"/>
        <v>TRUE</v>
      </c>
    </row>
    <row r="373" spans="1:19" hidden="1">
      <c r="A373" t="s">
        <v>533</v>
      </c>
      <c r="B373" s="14" t="s">
        <v>144</v>
      </c>
      <c r="C373" s="14" t="s">
        <v>156</v>
      </c>
      <c r="D373" s="14">
        <v>1</v>
      </c>
      <c r="E373" s="14">
        <v>0</v>
      </c>
      <c r="F373" s="14">
        <v>1</v>
      </c>
      <c r="G373" s="14">
        <v>1</v>
      </c>
      <c r="H373" s="14"/>
      <c r="I373" s="8" t="s">
        <v>150</v>
      </c>
      <c r="J373" s="8" t="s">
        <v>38</v>
      </c>
      <c r="K373">
        <v>31.75</v>
      </c>
      <c r="L373">
        <v>10.5</v>
      </c>
      <c r="M373" s="14">
        <v>12</v>
      </c>
      <c r="N373" s="14">
        <v>4.75</v>
      </c>
      <c r="Q373" t="str">
        <f t="shared" si="20"/>
        <v xml:space="preserve">XX8X_PV_0640:    Front abuts stile:TRUE       Back abuts stile:TRUE          Panel Section: TOP           Stile in the back Width:            Cutout A: B-3571          Cutout B:      F.C.:12 in.         C.C.:4.75 in.   </v>
      </c>
      <c r="R373" t="str">
        <f t="shared" si="19"/>
        <v>TRUE</v>
      </c>
      <c r="S373" t="str">
        <f t="shared" si="21"/>
        <v>TRUE</v>
      </c>
    </row>
    <row r="374" spans="1:19" hidden="1">
      <c r="A374" t="s">
        <v>534</v>
      </c>
      <c r="B374" s="14" t="s">
        <v>144</v>
      </c>
      <c r="C374" s="14" t="s">
        <v>156</v>
      </c>
      <c r="D374" s="14">
        <v>1</v>
      </c>
      <c r="E374" s="14">
        <v>1</v>
      </c>
      <c r="F374" s="14">
        <v>0</v>
      </c>
      <c r="G374" s="14"/>
      <c r="H374" s="14"/>
      <c r="I374" s="8" t="s">
        <v>38</v>
      </c>
      <c r="J374" s="8" t="s">
        <v>38</v>
      </c>
      <c r="K374">
        <v>26.5</v>
      </c>
      <c r="L374">
        <v>64.5625</v>
      </c>
      <c r="M374" s="14">
        <v>4.5</v>
      </c>
      <c r="N374" s="14">
        <v>1.5</v>
      </c>
      <c r="Q374" t="str">
        <f t="shared" si="20"/>
        <v xml:space="preserve">XX8X_PV_0641:    Front abuts stile:TRUE       Back abuts stile:FALSE          Panel Section: TOP           Stile in the back Width:            Cutout A:           Cutout B:      F.C.:4.5 in.         C.C.:1.5 in.   </v>
      </c>
      <c r="R374" t="str">
        <f t="shared" si="19"/>
        <v>TRUE</v>
      </c>
      <c r="S374" t="str">
        <f t="shared" si="21"/>
        <v>FALSE</v>
      </c>
    </row>
    <row r="375" spans="1:19" hidden="1">
      <c r="A375" t="s">
        <v>535</v>
      </c>
      <c r="B375" s="14" t="s">
        <v>144</v>
      </c>
      <c r="C375" s="14" t="s">
        <v>156</v>
      </c>
      <c r="D375" s="14">
        <v>1</v>
      </c>
      <c r="E375" s="14">
        <v>1</v>
      </c>
      <c r="F375" s="14">
        <v>1</v>
      </c>
      <c r="G375" s="14">
        <v>0</v>
      </c>
      <c r="H375" s="14">
        <v>12</v>
      </c>
      <c r="I375" s="8" t="s">
        <v>148</v>
      </c>
      <c r="J375" s="8" t="s">
        <v>38</v>
      </c>
      <c r="K375">
        <v>46.5625</v>
      </c>
      <c r="L375">
        <v>21.75</v>
      </c>
      <c r="M375" s="14">
        <v>12</v>
      </c>
      <c r="N375" s="14">
        <v>7.375</v>
      </c>
      <c r="Q375" t="str">
        <f t="shared" si="20"/>
        <v xml:space="preserve">XX8X_PV_0642:    Front abuts stile:TRUE       Back abuts stile:TRUE          Panel Section: TOP           Stile in the back Width: 12           Cutout A: B-3471          Cutout B:      F.C.:12 in.         C.C.:7.375 in.   </v>
      </c>
      <c r="R375" t="str">
        <f t="shared" si="19"/>
        <v>TRUE</v>
      </c>
      <c r="S375" t="str">
        <f t="shared" si="21"/>
        <v>TRUE</v>
      </c>
    </row>
    <row r="376" spans="1:19" hidden="1">
      <c r="A376" t="s">
        <v>536</v>
      </c>
      <c r="B376" s="14" t="s">
        <v>144</v>
      </c>
      <c r="C376" s="14" t="s">
        <v>156</v>
      </c>
      <c r="D376" s="14">
        <v>1</v>
      </c>
      <c r="E376" s="14">
        <v>1</v>
      </c>
      <c r="F376" s="14">
        <v>1</v>
      </c>
      <c r="G376" s="14">
        <v>0</v>
      </c>
      <c r="H376" s="14">
        <v>24</v>
      </c>
      <c r="I376" s="8" t="s">
        <v>120</v>
      </c>
      <c r="J376" s="8" t="s">
        <v>38</v>
      </c>
      <c r="K376">
        <v>3.75</v>
      </c>
      <c r="L376">
        <v>62.625</v>
      </c>
      <c r="M376" s="14">
        <v>2</v>
      </c>
      <c r="N376" s="14">
        <v>1</v>
      </c>
      <c r="Q376" t="str">
        <f t="shared" si="20"/>
        <v xml:space="preserve">XX8X_PV_0643:    Front abuts stile:TRUE       Back abuts stile:TRUE          Panel Section: TOP           Stile in the back Width: 24           Cutout A: B-386          Cutout B:      F.C.:2 in.         C.C.:1 in.   </v>
      </c>
      <c r="R376" t="str">
        <f t="shared" si="19"/>
        <v>TRUE</v>
      </c>
      <c r="S376" t="str">
        <f t="shared" si="21"/>
        <v>TRUE</v>
      </c>
    </row>
    <row r="377" spans="1:19" hidden="1">
      <c r="A377" t="s">
        <v>537</v>
      </c>
      <c r="B377" s="14" t="s">
        <v>144</v>
      </c>
      <c r="C377" s="14" t="s">
        <v>156</v>
      </c>
      <c r="D377" s="14">
        <v>1</v>
      </c>
      <c r="E377" s="14">
        <v>1</v>
      </c>
      <c r="F377" s="14">
        <v>1</v>
      </c>
      <c r="G377" s="14">
        <v>0</v>
      </c>
      <c r="H377" s="14"/>
      <c r="I377" s="8" t="s">
        <v>120</v>
      </c>
      <c r="J377" s="8" t="s">
        <v>38</v>
      </c>
      <c r="K377">
        <v>18.25</v>
      </c>
      <c r="L377">
        <v>26.4375</v>
      </c>
      <c r="M377" s="14">
        <v>11.625</v>
      </c>
      <c r="N377" s="14">
        <v>3.8125</v>
      </c>
      <c r="Q377" t="str">
        <f t="shared" si="20"/>
        <v xml:space="preserve">XX8X_PV_0644:    Front abuts stile:TRUE       Back abuts stile:TRUE          Panel Section: TOP           Stile in the back Width:            Cutout A: B-386          Cutout B:      F.C.:11.625 in.         C.C.:3.8125 in.   </v>
      </c>
      <c r="R377" t="str">
        <f t="shared" si="19"/>
        <v>TRUE</v>
      </c>
      <c r="S377" t="str">
        <f t="shared" si="21"/>
        <v>TRUE</v>
      </c>
    </row>
    <row r="378" spans="1:19" hidden="1">
      <c r="A378" t="s">
        <v>538</v>
      </c>
      <c r="B378" s="14" t="s">
        <v>144</v>
      </c>
      <c r="C378" s="14" t="s">
        <v>156</v>
      </c>
      <c r="D378" s="14">
        <v>1</v>
      </c>
      <c r="E378" s="14">
        <v>1</v>
      </c>
      <c r="F378" s="14">
        <v>1</v>
      </c>
      <c r="G378" s="14">
        <v>1</v>
      </c>
      <c r="H378" s="14"/>
      <c r="I378" s="8" t="s">
        <v>120</v>
      </c>
      <c r="J378" s="8" t="s">
        <v>38</v>
      </c>
      <c r="K378">
        <v>37.5</v>
      </c>
      <c r="L378">
        <v>58.8125</v>
      </c>
      <c r="M378" s="14">
        <v>2.0625</v>
      </c>
      <c r="N378" s="14">
        <v>4.4375</v>
      </c>
      <c r="Q378" t="str">
        <f t="shared" si="20"/>
        <v xml:space="preserve">XX8X_PV_0645:    Front abuts stile:TRUE       Back abuts stile:TRUE          Panel Section: TOP           Stile in the back Width:            Cutout A: B-386          Cutout B:      F.C.:2.0625 in.         C.C.:4.4375 in.   </v>
      </c>
      <c r="R378" t="str">
        <f t="shared" si="19"/>
        <v>TRUE</v>
      </c>
      <c r="S378" t="str">
        <f t="shared" si="21"/>
        <v>TRUE</v>
      </c>
    </row>
    <row r="379" spans="1:19" hidden="1">
      <c r="A379" t="s">
        <v>539</v>
      </c>
      <c r="B379" s="14" t="s">
        <v>144</v>
      </c>
      <c r="C379" s="14" t="s">
        <v>157</v>
      </c>
      <c r="D379" s="14">
        <v>0</v>
      </c>
      <c r="E379" s="14"/>
      <c r="F379" s="14">
        <v>0</v>
      </c>
      <c r="G379" s="14"/>
      <c r="H379" s="14"/>
      <c r="I379" s="8" t="s">
        <v>121</v>
      </c>
      <c r="J379" s="8" t="s">
        <v>38</v>
      </c>
      <c r="K379">
        <v>60</v>
      </c>
      <c r="L379">
        <v>72.5625</v>
      </c>
      <c r="M379" s="14">
        <v>3.3125</v>
      </c>
      <c r="N379" s="14">
        <v>1</v>
      </c>
      <c r="Q379" t="str">
        <f t="shared" si="20"/>
        <v xml:space="preserve">XX8X_PV_0661:    Front abuts stile:FALSE       Back abuts stile:FALSE          Panel Section: BOTTOM           Stile in the back Width:            Cutout A: B-4354          Cutout B:      F.C.:3.3125 in.         C.C.:1 in.   </v>
      </c>
      <c r="R379" t="str">
        <f t="shared" si="19"/>
        <v>FALSE</v>
      </c>
      <c r="S379" t="str">
        <f t="shared" si="21"/>
        <v>FALSE</v>
      </c>
    </row>
    <row r="380" spans="1:19" hidden="1">
      <c r="A380" t="s">
        <v>540</v>
      </c>
      <c r="B380" s="14" t="s">
        <v>144</v>
      </c>
      <c r="C380" s="14" t="s">
        <v>157</v>
      </c>
      <c r="D380" s="14">
        <v>0</v>
      </c>
      <c r="E380" s="14"/>
      <c r="F380" s="14">
        <v>1</v>
      </c>
      <c r="G380" s="14">
        <v>0</v>
      </c>
      <c r="H380" s="14">
        <v>12</v>
      </c>
      <c r="I380" s="8" t="s">
        <v>120</v>
      </c>
      <c r="J380" s="8" t="s">
        <v>38</v>
      </c>
      <c r="K380">
        <v>60</v>
      </c>
      <c r="L380">
        <v>53.6875</v>
      </c>
      <c r="M380" s="14">
        <v>9</v>
      </c>
      <c r="N380" s="14">
        <v>1.375</v>
      </c>
      <c r="Q380" t="str">
        <f t="shared" si="20"/>
        <v xml:space="preserve">XX8X_PV_0662:    Front abuts stile:FALSE       Back abuts stile:TRUE          Panel Section: BOTTOM           Stile in the back Width: 12           Cutout A: B-386          Cutout B:      F.C.:9 in.         C.C.:1.375 in.   </v>
      </c>
      <c r="R380" t="str">
        <f t="shared" si="19"/>
        <v>FALSE</v>
      </c>
      <c r="S380" t="str">
        <f t="shared" si="21"/>
        <v>TRUE</v>
      </c>
    </row>
    <row r="381" spans="1:19" hidden="1">
      <c r="A381" t="s">
        <v>541</v>
      </c>
      <c r="B381" s="14" t="s">
        <v>144</v>
      </c>
      <c r="C381" s="14" t="s">
        <v>157</v>
      </c>
      <c r="D381" s="14">
        <v>0</v>
      </c>
      <c r="E381" s="14"/>
      <c r="F381" s="14">
        <v>1</v>
      </c>
      <c r="G381" s="14">
        <v>0</v>
      </c>
      <c r="H381" s="14">
        <v>24</v>
      </c>
      <c r="I381" s="8" t="s">
        <v>38</v>
      </c>
      <c r="J381" s="8" t="s">
        <v>38</v>
      </c>
      <c r="K381">
        <v>60</v>
      </c>
      <c r="L381">
        <v>8.875</v>
      </c>
      <c r="M381" s="14">
        <v>9</v>
      </c>
      <c r="N381" s="14">
        <v>1</v>
      </c>
      <c r="Q381" t="str">
        <f t="shared" si="20"/>
        <v xml:space="preserve">XX8X_PV_0663:    Front abuts stile:FALSE       Back abuts stile:TRUE          Panel Section: BOTTOM           Stile in the back Width: 24           Cutout A:           Cutout B:      F.C.:9 in.         C.C.:1 in.   </v>
      </c>
      <c r="R381" t="str">
        <f t="shared" si="19"/>
        <v>FALSE</v>
      </c>
      <c r="S381" t="str">
        <f t="shared" si="21"/>
        <v>TRUE</v>
      </c>
    </row>
    <row r="382" spans="1:19" hidden="1">
      <c r="A382" t="s">
        <v>542</v>
      </c>
      <c r="B382" s="14" t="s">
        <v>144</v>
      </c>
      <c r="C382" s="14" t="s">
        <v>157</v>
      </c>
      <c r="D382" s="14">
        <v>0</v>
      </c>
      <c r="E382" s="14"/>
      <c r="F382" s="14">
        <v>1</v>
      </c>
      <c r="G382" s="14">
        <v>0</v>
      </c>
      <c r="H382" s="14"/>
      <c r="I382" s="8" t="s">
        <v>148</v>
      </c>
      <c r="J382" s="8" t="s">
        <v>38</v>
      </c>
      <c r="K382">
        <v>60</v>
      </c>
      <c r="L382">
        <v>17.125</v>
      </c>
      <c r="M382" s="14">
        <v>3.375</v>
      </c>
      <c r="N382" s="14">
        <v>1</v>
      </c>
      <c r="Q382" t="str">
        <f t="shared" si="20"/>
        <v xml:space="preserve">XX8X_PV_0664:    Front abuts stile:FALSE       Back abuts stile:TRUE          Panel Section: BOTTOM           Stile in the back Width:            Cutout A: B-3471          Cutout B:      F.C.:3.375 in.         C.C.:1 in.   </v>
      </c>
      <c r="R382" t="str">
        <f t="shared" si="19"/>
        <v>FALSE</v>
      </c>
      <c r="S382" t="str">
        <f t="shared" si="21"/>
        <v>TRUE</v>
      </c>
    </row>
    <row r="383" spans="1:19" hidden="1">
      <c r="A383" t="s">
        <v>543</v>
      </c>
      <c r="B383" s="14" t="s">
        <v>144</v>
      </c>
      <c r="C383" s="14" t="s">
        <v>157</v>
      </c>
      <c r="D383" s="14">
        <v>0</v>
      </c>
      <c r="E383" s="14"/>
      <c r="F383" s="14">
        <v>1</v>
      </c>
      <c r="G383" s="14">
        <v>1</v>
      </c>
      <c r="H383" s="14"/>
      <c r="I383" s="8" t="s">
        <v>38</v>
      </c>
      <c r="J383" s="8" t="s">
        <v>38</v>
      </c>
      <c r="K383">
        <v>60</v>
      </c>
      <c r="L383">
        <v>60.25</v>
      </c>
      <c r="M383" s="14">
        <v>3.0625</v>
      </c>
      <c r="N383" s="14">
        <v>1</v>
      </c>
      <c r="Q383" t="str">
        <f t="shared" si="20"/>
        <v xml:space="preserve">XX8X_PV_0665:    Front abuts stile:FALSE       Back abuts stile:TRUE          Panel Section: BOTTOM           Stile in the back Width:            Cutout A:           Cutout B:      F.C.:3.0625 in.         C.C.:1 in.   </v>
      </c>
      <c r="R383" t="str">
        <f t="shared" si="19"/>
        <v>FALSE</v>
      </c>
      <c r="S383" t="str">
        <f t="shared" si="21"/>
        <v>TRUE</v>
      </c>
    </row>
    <row r="384" spans="1:19" hidden="1">
      <c r="A384" t="s">
        <v>544</v>
      </c>
      <c r="B384" s="14" t="s">
        <v>144</v>
      </c>
      <c r="C384" s="14" t="s">
        <v>157</v>
      </c>
      <c r="D384" s="14">
        <v>1</v>
      </c>
      <c r="E384" s="14">
        <v>0</v>
      </c>
      <c r="F384" s="14">
        <v>0</v>
      </c>
      <c r="G384" s="14"/>
      <c r="H384" s="14"/>
      <c r="I384" s="8" t="s">
        <v>151</v>
      </c>
      <c r="J384" s="8" t="s">
        <v>38</v>
      </c>
      <c r="K384">
        <v>60</v>
      </c>
      <c r="L384">
        <v>20.8125</v>
      </c>
      <c r="M384" s="14">
        <v>12</v>
      </c>
      <c r="N384" s="14">
        <v>1</v>
      </c>
      <c r="Q384" t="str">
        <f t="shared" si="20"/>
        <v xml:space="preserve">XX8X_PV_0666:    Front abuts stile:TRUE       Back abuts stile:FALSE          Panel Section: BOTTOM           Stile in the back Width:            Cutout A: B-35715          Cutout B:      F.C.:12 in.         C.C.:1 in.   </v>
      </c>
      <c r="R384" t="str">
        <f t="shared" si="19"/>
        <v>TRUE</v>
      </c>
      <c r="S384" t="str">
        <f t="shared" si="21"/>
        <v>FALSE</v>
      </c>
    </row>
    <row r="385" spans="1:19" hidden="1">
      <c r="A385" t="s">
        <v>545</v>
      </c>
      <c r="B385" s="14" t="s">
        <v>144</v>
      </c>
      <c r="C385" s="14" t="s">
        <v>157</v>
      </c>
      <c r="D385" s="14">
        <v>1</v>
      </c>
      <c r="E385" s="14">
        <v>0</v>
      </c>
      <c r="F385" s="14">
        <v>1</v>
      </c>
      <c r="G385" s="14">
        <v>0</v>
      </c>
      <c r="H385" s="14">
        <v>12</v>
      </c>
      <c r="I385" s="8" t="s">
        <v>150</v>
      </c>
      <c r="J385" s="8" t="s">
        <v>38</v>
      </c>
      <c r="K385">
        <v>60</v>
      </c>
      <c r="L385">
        <v>53.375</v>
      </c>
      <c r="M385" s="14">
        <v>2.4375</v>
      </c>
      <c r="N385" s="14">
        <v>2.4375</v>
      </c>
      <c r="Q385" t="str">
        <f t="shared" si="20"/>
        <v xml:space="preserve">XX8X_PV_0667:    Front abuts stile:TRUE       Back abuts stile:TRUE          Panel Section: BOTTOM           Stile in the back Width: 12           Cutout A: B-3571          Cutout B:      F.C.:2.4375 in.         C.C.:2.4375 in.   </v>
      </c>
      <c r="R385" t="str">
        <f t="shared" si="19"/>
        <v>TRUE</v>
      </c>
      <c r="S385" t="str">
        <f t="shared" si="21"/>
        <v>TRUE</v>
      </c>
    </row>
    <row r="386" spans="1:19" hidden="1">
      <c r="A386" t="s">
        <v>546</v>
      </c>
      <c r="B386" s="14" t="s">
        <v>144</v>
      </c>
      <c r="C386" s="14" t="s">
        <v>157</v>
      </c>
      <c r="D386" s="14">
        <v>1</v>
      </c>
      <c r="E386" s="14">
        <v>0</v>
      </c>
      <c r="F386" s="14">
        <v>1</v>
      </c>
      <c r="G386" s="14">
        <v>0</v>
      </c>
      <c r="H386" s="14">
        <v>24</v>
      </c>
      <c r="I386" s="8" t="s">
        <v>120</v>
      </c>
      <c r="J386" s="8" t="s">
        <v>38</v>
      </c>
      <c r="K386">
        <v>60</v>
      </c>
      <c r="L386">
        <v>6.8125</v>
      </c>
      <c r="M386" s="14">
        <v>2.0625</v>
      </c>
      <c r="N386" s="14">
        <v>1.0625</v>
      </c>
      <c r="Q386" t="str">
        <f t="shared" si="20"/>
        <v xml:space="preserve">XX8X_PV_0668:    Front abuts stile:TRUE       Back abuts stile:TRUE          Panel Section: BOTTOM           Stile in the back Width: 24           Cutout A: B-386          Cutout B:      F.C.:2.0625 in.         C.C.:1.0625 in.   </v>
      </c>
      <c r="R386" t="str">
        <f t="shared" si="19"/>
        <v>TRUE</v>
      </c>
      <c r="S386" t="str">
        <f t="shared" si="21"/>
        <v>TRUE</v>
      </c>
    </row>
    <row r="387" spans="1:19" hidden="1">
      <c r="A387" t="s">
        <v>547</v>
      </c>
      <c r="B387" s="14" t="s">
        <v>144</v>
      </c>
      <c r="C387" s="14" t="s">
        <v>157</v>
      </c>
      <c r="D387" s="14">
        <v>1</v>
      </c>
      <c r="E387" s="14">
        <v>0</v>
      </c>
      <c r="F387" s="14">
        <v>1</v>
      </c>
      <c r="G387" s="14">
        <v>0</v>
      </c>
      <c r="H387" s="14"/>
      <c r="I387" s="8" t="s">
        <v>150</v>
      </c>
      <c r="J387" s="8" t="s">
        <v>38</v>
      </c>
      <c r="K387">
        <v>60</v>
      </c>
      <c r="L387">
        <v>77.375</v>
      </c>
      <c r="M387" s="14">
        <v>6.5625</v>
      </c>
      <c r="N387" s="14">
        <v>6.9375</v>
      </c>
      <c r="Q387" t="str">
        <f t="shared" si="20"/>
        <v xml:space="preserve">XX8X_PV_0669:    Front abuts stile:TRUE       Back abuts stile:TRUE          Panel Section: BOTTOM           Stile in the back Width:            Cutout A: B-3571          Cutout B:      F.C.:6.5625 in.         C.C.:6.9375 in.   </v>
      </c>
      <c r="R387" t="str">
        <f t="shared" si="19"/>
        <v>TRUE</v>
      </c>
      <c r="S387" t="str">
        <f t="shared" si="21"/>
        <v>TRUE</v>
      </c>
    </row>
    <row r="388" spans="1:19" hidden="1">
      <c r="A388" t="s">
        <v>548</v>
      </c>
      <c r="B388" s="14" t="s">
        <v>144</v>
      </c>
      <c r="C388" s="14" t="s">
        <v>157</v>
      </c>
      <c r="D388" s="14">
        <v>1</v>
      </c>
      <c r="E388" s="14">
        <v>0</v>
      </c>
      <c r="F388" s="14">
        <v>1</v>
      </c>
      <c r="G388" s="14">
        <v>1</v>
      </c>
      <c r="H388" s="14"/>
      <c r="I388" s="8" t="s">
        <v>35</v>
      </c>
      <c r="J388" s="8" t="s">
        <v>38</v>
      </c>
      <c r="K388">
        <v>60</v>
      </c>
      <c r="L388">
        <v>28.125</v>
      </c>
      <c r="M388" s="14">
        <v>3.25</v>
      </c>
      <c r="N388" s="14">
        <v>7.9375</v>
      </c>
      <c r="Q388" t="str">
        <f t="shared" si="20"/>
        <v xml:space="preserve">XX8X_PV_0670:    Front abuts stile:TRUE       Back abuts stile:TRUE          Panel Section: BOTTOM           Stile in the back Width:            Cutout A: B-357          Cutout B:      F.C.:3.25 in.         C.C.:7.9375 in.   </v>
      </c>
      <c r="R388" t="str">
        <f t="shared" ref="R388:R451" si="22">IF(D388=1, "TRUE", "FALSE")</f>
        <v>TRUE</v>
      </c>
      <c r="S388" t="str">
        <f t="shared" si="21"/>
        <v>TRUE</v>
      </c>
    </row>
    <row r="389" spans="1:19" hidden="1">
      <c r="A389" t="s">
        <v>549</v>
      </c>
      <c r="B389" s="14" t="s">
        <v>144</v>
      </c>
      <c r="C389" s="14" t="s">
        <v>157</v>
      </c>
      <c r="D389" s="14">
        <v>1</v>
      </c>
      <c r="E389" s="14">
        <v>1</v>
      </c>
      <c r="F389" s="14">
        <v>0</v>
      </c>
      <c r="G389" s="14"/>
      <c r="H389" s="14"/>
      <c r="I389" s="8" t="s">
        <v>35</v>
      </c>
      <c r="J389" s="8" t="s">
        <v>38</v>
      </c>
      <c r="K389">
        <v>60</v>
      </c>
      <c r="L389">
        <v>65.875</v>
      </c>
      <c r="M389" s="14">
        <v>2.6875</v>
      </c>
      <c r="N389" s="14">
        <v>2.1875</v>
      </c>
      <c r="Q389" t="str">
        <f t="shared" si="20"/>
        <v xml:space="preserve">XX8X_PV_0671:    Front abuts stile:TRUE       Back abuts stile:FALSE          Panel Section: BOTTOM           Stile in the back Width:            Cutout A: B-357          Cutout B:      F.C.:2.6875 in.         C.C.:2.1875 in.   </v>
      </c>
      <c r="R389" t="str">
        <f t="shared" si="22"/>
        <v>TRUE</v>
      </c>
      <c r="S389" t="str">
        <f t="shared" si="21"/>
        <v>FALSE</v>
      </c>
    </row>
    <row r="390" spans="1:19" hidden="1">
      <c r="A390" t="s">
        <v>550</v>
      </c>
      <c r="B390" s="14" t="s">
        <v>144</v>
      </c>
      <c r="C390" s="14" t="s">
        <v>157</v>
      </c>
      <c r="D390" s="14">
        <v>1</v>
      </c>
      <c r="E390" s="14">
        <v>1</v>
      </c>
      <c r="F390" s="14">
        <v>1</v>
      </c>
      <c r="G390" s="14">
        <v>0</v>
      </c>
      <c r="H390" s="14">
        <v>12</v>
      </c>
      <c r="I390" s="8" t="s">
        <v>149</v>
      </c>
      <c r="J390" s="8" t="s">
        <v>38</v>
      </c>
      <c r="K390">
        <v>60</v>
      </c>
      <c r="L390">
        <v>17.5625</v>
      </c>
      <c r="M390" s="14">
        <v>1</v>
      </c>
      <c r="N390" s="14">
        <v>1</v>
      </c>
      <c r="Q390" t="str">
        <f t="shared" si="20"/>
        <v xml:space="preserve">XX8X_PV_0672:    Front abuts stile:TRUE       Back abuts stile:TRUE          Panel Section: BOTTOM           Stile in the back Width: 12           Cutout A: B-34715          Cutout B:      F.C.:1 in.         C.C.:1 in.   </v>
      </c>
      <c r="R390" t="str">
        <f t="shared" si="22"/>
        <v>TRUE</v>
      </c>
      <c r="S390" t="str">
        <f t="shared" si="21"/>
        <v>TRUE</v>
      </c>
    </row>
    <row r="391" spans="1:19" hidden="1">
      <c r="A391" t="s">
        <v>551</v>
      </c>
      <c r="B391" s="14" t="s">
        <v>144</v>
      </c>
      <c r="C391" s="14" t="s">
        <v>157</v>
      </c>
      <c r="D391" s="14">
        <v>1</v>
      </c>
      <c r="E391" s="14">
        <v>1</v>
      </c>
      <c r="F391" s="14">
        <v>1</v>
      </c>
      <c r="G391" s="14">
        <v>0</v>
      </c>
      <c r="H391" s="14">
        <v>24</v>
      </c>
      <c r="I391" s="8" t="s">
        <v>38</v>
      </c>
      <c r="J391" s="8" t="s">
        <v>38</v>
      </c>
      <c r="K391">
        <v>60</v>
      </c>
      <c r="L391">
        <v>59.5</v>
      </c>
      <c r="M391" s="14">
        <v>1.5625</v>
      </c>
      <c r="N391" s="14">
        <v>3.6875</v>
      </c>
      <c r="Q391" t="str">
        <f t="shared" ref="Q391:Q454" si="23">A391&amp;":    Front abuts stile:"&amp;R391&amp;"       Back abuts stile:"&amp;S391&amp;"          Panel Section: "&amp;C391&amp;"           Stile in the back Width: "&amp;H391&amp;"           Cutout A: "&amp;I391&amp;"          Cutout B:"&amp;J391&amp;"      F.C.:"&amp;M391&amp;" in. "&amp;"        C.C.:"&amp;N391&amp;" in. "&amp;"  "</f>
        <v xml:space="preserve">XX8X_PV_0673:    Front abuts stile:TRUE       Back abuts stile:TRUE          Panel Section: BOTTOM           Stile in the back Width: 24           Cutout A:           Cutout B:      F.C.:1.5625 in.         C.C.:3.6875 in.   </v>
      </c>
      <c r="R391" t="str">
        <f t="shared" si="22"/>
        <v>TRUE</v>
      </c>
      <c r="S391" t="str">
        <f t="shared" si="21"/>
        <v>TRUE</v>
      </c>
    </row>
    <row r="392" spans="1:19" hidden="1">
      <c r="A392" t="s">
        <v>552</v>
      </c>
      <c r="B392" s="14" t="s">
        <v>144</v>
      </c>
      <c r="C392" s="14" t="s">
        <v>157</v>
      </c>
      <c r="D392" s="14">
        <v>1</v>
      </c>
      <c r="E392" s="14">
        <v>1</v>
      </c>
      <c r="F392" s="14">
        <v>1</v>
      </c>
      <c r="G392" s="14">
        <v>0</v>
      </c>
      <c r="H392" s="14"/>
      <c r="I392" s="8" t="s">
        <v>38</v>
      </c>
      <c r="J392" s="8" t="s">
        <v>38</v>
      </c>
      <c r="K392">
        <v>60</v>
      </c>
      <c r="L392">
        <v>36.3125</v>
      </c>
      <c r="M392" s="14">
        <v>1</v>
      </c>
      <c r="N392" s="14">
        <v>1</v>
      </c>
      <c r="Q392" t="str">
        <f t="shared" si="23"/>
        <v xml:space="preserve">XX8X_PV_0674:    Front abuts stile:TRUE       Back abuts stile:TRUE          Panel Section: BOTTOM           Stile in the back Width:            Cutout A:           Cutout B:      F.C.:1 in.         C.C.:1 in.   </v>
      </c>
      <c r="R392" t="str">
        <f t="shared" si="22"/>
        <v>TRUE</v>
      </c>
      <c r="S392" t="str">
        <f t="shared" si="21"/>
        <v>TRUE</v>
      </c>
    </row>
    <row r="393" spans="1:19" hidden="1">
      <c r="A393" t="s">
        <v>553</v>
      </c>
      <c r="B393" s="14" t="s">
        <v>144</v>
      </c>
      <c r="C393" s="14" t="s">
        <v>157</v>
      </c>
      <c r="D393" s="14">
        <v>1</v>
      </c>
      <c r="E393" s="14">
        <v>1</v>
      </c>
      <c r="F393" s="14">
        <v>1</v>
      </c>
      <c r="G393" s="14">
        <v>1</v>
      </c>
      <c r="H393" s="14"/>
      <c r="I393" s="8" t="s">
        <v>38</v>
      </c>
      <c r="J393" s="8" t="s">
        <v>38</v>
      </c>
      <c r="K393">
        <v>60</v>
      </c>
      <c r="L393">
        <v>30.125</v>
      </c>
      <c r="M393" s="14">
        <v>9</v>
      </c>
      <c r="N393" s="14">
        <v>6.125</v>
      </c>
      <c r="Q393" t="str">
        <f t="shared" si="23"/>
        <v xml:space="preserve">XX8X_PV_0675:    Front abuts stile:TRUE       Back abuts stile:TRUE          Panel Section: BOTTOM           Stile in the back Width:            Cutout A:           Cutout B:      F.C.:9 in.         C.C.:6.125 in.   </v>
      </c>
      <c r="R393" t="str">
        <f t="shared" si="22"/>
        <v>TRUE</v>
      </c>
      <c r="S393" t="str">
        <f t="shared" si="21"/>
        <v>TRUE</v>
      </c>
    </row>
    <row r="394" spans="1:19" hidden="1">
      <c r="A394" t="s">
        <v>554</v>
      </c>
      <c r="B394" s="14" t="s">
        <v>144</v>
      </c>
      <c r="C394" s="14" t="s">
        <v>21</v>
      </c>
      <c r="D394" s="14">
        <v>0</v>
      </c>
      <c r="E394" s="14"/>
      <c r="F394" s="14">
        <v>0</v>
      </c>
      <c r="G394" s="14"/>
      <c r="H394" s="14"/>
      <c r="I394" s="8" t="s">
        <v>38</v>
      </c>
      <c r="J394" s="8" t="s">
        <v>38</v>
      </c>
      <c r="K394">
        <v>37.5</v>
      </c>
      <c r="L394">
        <v>66.5</v>
      </c>
      <c r="M394" s="14">
        <v>9</v>
      </c>
      <c r="N394" s="14">
        <v>2.5</v>
      </c>
      <c r="Q394" t="str">
        <f t="shared" si="23"/>
        <v xml:space="preserve">XX8X_PV_0691:    Front abuts stile:FALSE       Back abuts stile:FALSE          Panel Section: WHOLE           Stile in the back Width:            Cutout A:           Cutout B:      F.C.:9 in.         C.C.:2.5 in.   </v>
      </c>
      <c r="R394" t="str">
        <f t="shared" si="22"/>
        <v>FALSE</v>
      </c>
      <c r="S394" t="str">
        <f t="shared" si="21"/>
        <v>FALSE</v>
      </c>
    </row>
    <row r="395" spans="1:19" hidden="1">
      <c r="A395" t="s">
        <v>555</v>
      </c>
      <c r="B395" s="14" t="s">
        <v>144</v>
      </c>
      <c r="C395" s="14" t="s">
        <v>21</v>
      </c>
      <c r="D395" s="14">
        <v>0</v>
      </c>
      <c r="E395" s="14"/>
      <c r="F395" s="14">
        <v>1</v>
      </c>
      <c r="G395" s="14">
        <v>0</v>
      </c>
      <c r="H395" s="14">
        <v>12</v>
      </c>
      <c r="I395" s="8" t="s">
        <v>38</v>
      </c>
      <c r="J395" s="8" t="s">
        <v>38</v>
      </c>
      <c r="K395">
        <v>77.0625</v>
      </c>
      <c r="L395">
        <v>31.6875</v>
      </c>
      <c r="M395" s="14">
        <v>4.5</v>
      </c>
      <c r="N395" s="14">
        <v>3.6875</v>
      </c>
      <c r="Q395" t="str">
        <f t="shared" si="23"/>
        <v xml:space="preserve">XX8X_PV_0692:    Front abuts stile:FALSE       Back abuts stile:TRUE          Panel Section: WHOLE           Stile in the back Width: 12           Cutout A:           Cutout B:      F.C.:4.5 in.         C.C.:3.6875 in.   </v>
      </c>
      <c r="R395" t="str">
        <f t="shared" si="22"/>
        <v>FALSE</v>
      </c>
      <c r="S395" t="str">
        <f t="shared" si="21"/>
        <v>TRUE</v>
      </c>
    </row>
    <row r="396" spans="1:19" hidden="1">
      <c r="A396" t="s">
        <v>556</v>
      </c>
      <c r="B396" s="14" t="s">
        <v>144</v>
      </c>
      <c r="C396" s="14" t="s">
        <v>21</v>
      </c>
      <c r="D396" s="14">
        <v>0</v>
      </c>
      <c r="E396" s="14"/>
      <c r="F396" s="14">
        <v>1</v>
      </c>
      <c r="G396" s="14">
        <v>0</v>
      </c>
      <c r="H396" s="14">
        <v>24</v>
      </c>
      <c r="I396" s="8" t="s">
        <v>120</v>
      </c>
      <c r="J396" s="8" t="s">
        <v>38</v>
      </c>
      <c r="K396">
        <v>109.1875</v>
      </c>
      <c r="L396">
        <v>38.375</v>
      </c>
      <c r="M396" s="14">
        <v>4.5</v>
      </c>
      <c r="N396" s="14">
        <v>1.5625</v>
      </c>
      <c r="Q396" t="str">
        <f t="shared" si="23"/>
        <v xml:space="preserve">XX8X_PV_0693:    Front abuts stile:FALSE       Back abuts stile:TRUE          Panel Section: WHOLE           Stile in the back Width: 24           Cutout A: B-386          Cutout B:      F.C.:4.5 in.         C.C.:1.5625 in.   </v>
      </c>
      <c r="R396" t="str">
        <f t="shared" si="22"/>
        <v>FALSE</v>
      </c>
      <c r="S396" t="str">
        <f t="shared" si="21"/>
        <v>TRUE</v>
      </c>
    </row>
    <row r="397" spans="1:19" hidden="1">
      <c r="A397" t="s">
        <v>557</v>
      </c>
      <c r="B397" s="14" t="s">
        <v>144</v>
      </c>
      <c r="C397" s="14" t="s">
        <v>21</v>
      </c>
      <c r="D397" s="14">
        <v>0</v>
      </c>
      <c r="E397" s="14"/>
      <c r="F397" s="14">
        <v>1</v>
      </c>
      <c r="G397" s="14">
        <v>0</v>
      </c>
      <c r="H397" s="14"/>
      <c r="I397" s="8" t="s">
        <v>38</v>
      </c>
      <c r="J397" s="8" t="s">
        <v>38</v>
      </c>
      <c r="K397">
        <v>88.25</v>
      </c>
      <c r="L397">
        <v>18.3125</v>
      </c>
      <c r="M397" s="14">
        <v>1</v>
      </c>
      <c r="N397" s="14">
        <v>2.5</v>
      </c>
      <c r="Q397" t="str">
        <f t="shared" si="23"/>
        <v xml:space="preserve">XX8X_PV_0694:    Front abuts stile:FALSE       Back abuts stile:TRUE          Panel Section: WHOLE           Stile in the back Width:            Cutout A:           Cutout B:      F.C.:1 in.         C.C.:2.5 in.   </v>
      </c>
      <c r="R397" t="str">
        <f t="shared" si="22"/>
        <v>FALSE</v>
      </c>
      <c r="S397" t="str">
        <f t="shared" si="21"/>
        <v>TRUE</v>
      </c>
    </row>
    <row r="398" spans="1:19" hidden="1">
      <c r="A398" t="s">
        <v>558</v>
      </c>
      <c r="B398" s="14" t="s">
        <v>144</v>
      </c>
      <c r="C398" s="14" t="s">
        <v>21</v>
      </c>
      <c r="D398" s="14">
        <v>0</v>
      </c>
      <c r="E398" s="14"/>
      <c r="F398" s="14">
        <v>1</v>
      </c>
      <c r="G398" s="14">
        <v>1</v>
      </c>
      <c r="H398" s="14"/>
      <c r="I398" s="8" t="s">
        <v>38</v>
      </c>
      <c r="J398" s="8" t="s">
        <v>38</v>
      </c>
      <c r="K398">
        <v>75.0625</v>
      </c>
      <c r="L398">
        <v>50.9375</v>
      </c>
      <c r="M398" s="14">
        <v>2.625</v>
      </c>
      <c r="N398" s="14">
        <v>8.0625</v>
      </c>
      <c r="Q398" t="str">
        <f t="shared" si="23"/>
        <v xml:space="preserve">XX8X_PV_0695:    Front abuts stile:FALSE       Back abuts stile:TRUE          Panel Section: WHOLE           Stile in the back Width:            Cutout A:           Cutout B:      F.C.:2.625 in.         C.C.:8.0625 in.   </v>
      </c>
      <c r="R398" t="str">
        <f t="shared" si="22"/>
        <v>FALSE</v>
      </c>
      <c r="S398" t="str">
        <f t="shared" si="21"/>
        <v>TRUE</v>
      </c>
    </row>
    <row r="399" spans="1:19" hidden="1">
      <c r="A399" t="s">
        <v>559</v>
      </c>
      <c r="B399" s="14" t="s">
        <v>144</v>
      </c>
      <c r="C399" s="14" t="s">
        <v>21</v>
      </c>
      <c r="D399" s="14">
        <v>1</v>
      </c>
      <c r="E399" s="14">
        <v>0</v>
      </c>
      <c r="F399" s="14">
        <v>0</v>
      </c>
      <c r="G399" s="14"/>
      <c r="H399" s="14"/>
      <c r="I399" s="8" t="s">
        <v>149</v>
      </c>
      <c r="J399" s="8" t="s">
        <v>38</v>
      </c>
      <c r="K399">
        <v>103.875</v>
      </c>
      <c r="L399">
        <v>5.3125</v>
      </c>
      <c r="M399" s="14">
        <v>8.0625</v>
      </c>
      <c r="N399" s="14">
        <v>1.3125</v>
      </c>
      <c r="Q399" t="str">
        <f t="shared" si="23"/>
        <v xml:space="preserve">XX8X_PV_0696:    Front abuts stile:TRUE       Back abuts stile:FALSE          Panel Section: WHOLE           Stile in the back Width:            Cutout A: B-34715          Cutout B:      F.C.:8.0625 in.         C.C.:1.3125 in.   </v>
      </c>
      <c r="R399" t="str">
        <f t="shared" si="22"/>
        <v>TRUE</v>
      </c>
      <c r="S399" t="str">
        <f t="shared" si="21"/>
        <v>FALSE</v>
      </c>
    </row>
    <row r="400" spans="1:19">
      <c r="A400" t="s">
        <v>560</v>
      </c>
      <c r="B400" s="14" t="s">
        <v>143</v>
      </c>
      <c r="C400" s="14" t="s">
        <v>21</v>
      </c>
      <c r="D400" s="14">
        <v>1</v>
      </c>
      <c r="E400" s="14">
        <v>0</v>
      </c>
      <c r="F400" s="14">
        <v>1</v>
      </c>
      <c r="G400" s="14">
        <v>0</v>
      </c>
      <c r="H400" s="14">
        <v>12</v>
      </c>
      <c r="I400" s="8" t="s">
        <v>151</v>
      </c>
      <c r="J400" s="8" t="s">
        <v>38</v>
      </c>
      <c r="K400">
        <v>97.625</v>
      </c>
      <c r="L400">
        <v>63.25</v>
      </c>
      <c r="M400" s="14">
        <v>2.6875</v>
      </c>
      <c r="N400" s="14">
        <v>1</v>
      </c>
      <c r="Q400" t="str">
        <f t="shared" si="23"/>
        <v xml:space="preserve">XX8X_PV_0697:    Front abuts stile:TRUE       Back abuts stile:TRUE          Panel Section: WHOLE           Stile in the back Width: 12           Cutout A: B-35715          Cutout B:      F.C.:2.6875 in.         C.C.:1 in.   </v>
      </c>
      <c r="R400" t="str">
        <f t="shared" si="22"/>
        <v>TRUE</v>
      </c>
      <c r="S400" t="str">
        <f t="shared" si="21"/>
        <v>TRUE</v>
      </c>
    </row>
    <row r="401" spans="1:19" hidden="1">
      <c r="A401" t="s">
        <v>561</v>
      </c>
      <c r="B401" s="14" t="s">
        <v>144</v>
      </c>
      <c r="C401" s="14" t="s">
        <v>21</v>
      </c>
      <c r="D401" s="14">
        <v>1</v>
      </c>
      <c r="E401" s="14">
        <v>0</v>
      </c>
      <c r="F401" s="14">
        <v>1</v>
      </c>
      <c r="G401" s="14">
        <v>0</v>
      </c>
      <c r="H401" s="14">
        <v>24</v>
      </c>
      <c r="I401" s="8" t="s">
        <v>120</v>
      </c>
      <c r="J401" s="8" t="s">
        <v>38</v>
      </c>
      <c r="K401">
        <v>45.75</v>
      </c>
      <c r="L401">
        <v>11.75</v>
      </c>
      <c r="M401" s="14">
        <v>4.5</v>
      </c>
      <c r="N401" s="14">
        <v>3.8125</v>
      </c>
      <c r="Q401" t="str">
        <f t="shared" si="23"/>
        <v xml:space="preserve">XX8X_PV_0698:    Front abuts stile:TRUE       Back abuts stile:TRUE          Panel Section: WHOLE           Stile in the back Width: 24           Cutout A: B-386          Cutout B:      F.C.:4.5 in.         C.C.:3.8125 in.   </v>
      </c>
      <c r="R401" t="str">
        <f t="shared" si="22"/>
        <v>TRUE</v>
      </c>
      <c r="S401" t="str">
        <f t="shared" si="21"/>
        <v>TRUE</v>
      </c>
    </row>
    <row r="402" spans="1:19" hidden="1">
      <c r="A402" t="s">
        <v>562</v>
      </c>
      <c r="B402" s="14" t="s">
        <v>144</v>
      </c>
      <c r="C402" s="14" t="s">
        <v>21</v>
      </c>
      <c r="D402" s="14">
        <v>1</v>
      </c>
      <c r="E402" s="14">
        <v>0</v>
      </c>
      <c r="F402" s="14">
        <v>1</v>
      </c>
      <c r="G402" s="14">
        <v>0</v>
      </c>
      <c r="H402" s="14"/>
      <c r="I402" s="8" t="s">
        <v>38</v>
      </c>
      <c r="J402" s="8" t="s">
        <v>38</v>
      </c>
      <c r="K402">
        <v>66.6875</v>
      </c>
      <c r="L402">
        <v>40.3125</v>
      </c>
      <c r="M402" s="14">
        <v>9.3125</v>
      </c>
      <c r="N402" s="14">
        <v>1</v>
      </c>
      <c r="Q402" t="str">
        <f t="shared" si="23"/>
        <v xml:space="preserve">XX8X_PV_0699:    Front abuts stile:TRUE       Back abuts stile:TRUE          Panel Section: WHOLE           Stile in the back Width:            Cutout A:           Cutout B:      F.C.:9.3125 in.         C.C.:1 in.   </v>
      </c>
      <c r="R402" t="str">
        <f t="shared" si="22"/>
        <v>TRUE</v>
      </c>
      <c r="S402" t="str">
        <f t="shared" ref="S402:S465" si="24">IF(F402=1, "TRUE", "FALSE")</f>
        <v>TRUE</v>
      </c>
    </row>
    <row r="403" spans="1:19" hidden="1">
      <c r="A403" t="s">
        <v>563</v>
      </c>
      <c r="B403" s="14" t="s">
        <v>144</v>
      </c>
      <c r="C403" s="14" t="s">
        <v>21</v>
      </c>
      <c r="D403" s="14">
        <v>1</v>
      </c>
      <c r="E403" s="14">
        <v>0</v>
      </c>
      <c r="F403" s="14">
        <v>1</v>
      </c>
      <c r="G403" s="14">
        <v>1</v>
      </c>
      <c r="H403" s="14"/>
      <c r="I403" s="8" t="s">
        <v>149</v>
      </c>
      <c r="J403" s="8" t="s">
        <v>38</v>
      </c>
      <c r="K403">
        <v>109.5</v>
      </c>
      <c r="L403">
        <v>41.0625</v>
      </c>
      <c r="M403" s="14">
        <v>9</v>
      </c>
      <c r="N403" s="14">
        <v>1</v>
      </c>
      <c r="Q403" t="str">
        <f t="shared" si="23"/>
        <v xml:space="preserve">XX8X_PV_0700:    Front abuts stile:TRUE       Back abuts stile:TRUE          Panel Section: WHOLE           Stile in the back Width:            Cutout A: B-34715          Cutout B:      F.C.:9 in.         C.C.:1 in.   </v>
      </c>
      <c r="R403" t="str">
        <f t="shared" si="22"/>
        <v>TRUE</v>
      </c>
      <c r="S403" t="str">
        <f t="shared" si="24"/>
        <v>TRUE</v>
      </c>
    </row>
    <row r="404" spans="1:19" hidden="1">
      <c r="A404" t="s">
        <v>564</v>
      </c>
      <c r="B404" s="14" t="s">
        <v>144</v>
      </c>
      <c r="C404" s="14" t="s">
        <v>21</v>
      </c>
      <c r="D404" s="14">
        <v>1</v>
      </c>
      <c r="E404" s="14">
        <v>1</v>
      </c>
      <c r="F404" s="14">
        <v>0</v>
      </c>
      <c r="G404" s="14"/>
      <c r="H404" s="14"/>
      <c r="I404" s="8" t="s">
        <v>35</v>
      </c>
      <c r="J404" s="8" t="s">
        <v>38</v>
      </c>
      <c r="K404">
        <v>50.1875</v>
      </c>
      <c r="L404">
        <v>55.375</v>
      </c>
      <c r="M404" s="14">
        <v>1.0625</v>
      </c>
      <c r="N404" s="14">
        <v>1</v>
      </c>
      <c r="Q404" t="str">
        <f t="shared" si="23"/>
        <v xml:space="preserve">XX8X_PV_0701:    Front abuts stile:TRUE       Back abuts stile:FALSE          Panel Section: WHOLE           Stile in the back Width:            Cutout A: B-357          Cutout B:      F.C.:1.0625 in.         C.C.:1 in.   </v>
      </c>
      <c r="R404" t="str">
        <f t="shared" si="22"/>
        <v>TRUE</v>
      </c>
      <c r="S404" t="str">
        <f t="shared" si="24"/>
        <v>FALSE</v>
      </c>
    </row>
    <row r="405" spans="1:19" hidden="1">
      <c r="A405" t="s">
        <v>565</v>
      </c>
      <c r="B405" s="14" t="s">
        <v>144</v>
      </c>
      <c r="C405" s="14" t="s">
        <v>21</v>
      </c>
      <c r="D405" s="14">
        <v>1</v>
      </c>
      <c r="E405" s="14">
        <v>1</v>
      </c>
      <c r="F405" s="14">
        <v>1</v>
      </c>
      <c r="G405" s="14">
        <v>0</v>
      </c>
      <c r="H405" s="14">
        <v>12</v>
      </c>
      <c r="I405" s="8" t="s">
        <v>150</v>
      </c>
      <c r="J405" s="8" t="s">
        <v>38</v>
      </c>
      <c r="K405">
        <v>82.8125</v>
      </c>
      <c r="L405">
        <v>59.9375</v>
      </c>
      <c r="M405" s="14">
        <v>11.75</v>
      </c>
      <c r="N405" s="14">
        <v>3.625</v>
      </c>
      <c r="Q405" t="str">
        <f t="shared" si="23"/>
        <v xml:space="preserve">XX8X_PV_0702:    Front abuts stile:TRUE       Back abuts stile:TRUE          Panel Section: WHOLE           Stile in the back Width: 12           Cutout A: B-3571          Cutout B:      F.C.:11.75 in.         C.C.:3.625 in.   </v>
      </c>
      <c r="R405" t="str">
        <f t="shared" si="22"/>
        <v>TRUE</v>
      </c>
      <c r="S405" t="str">
        <f t="shared" si="24"/>
        <v>TRUE</v>
      </c>
    </row>
    <row r="406" spans="1:19" hidden="1">
      <c r="A406" t="s">
        <v>566</v>
      </c>
      <c r="B406" s="14" t="s">
        <v>144</v>
      </c>
      <c r="C406" s="14" t="s">
        <v>21</v>
      </c>
      <c r="D406" s="14">
        <v>1</v>
      </c>
      <c r="E406" s="14">
        <v>1</v>
      </c>
      <c r="F406" s="14">
        <v>1</v>
      </c>
      <c r="G406" s="14">
        <v>0</v>
      </c>
      <c r="H406" s="14">
        <v>24</v>
      </c>
      <c r="I406" s="8" t="s">
        <v>120</v>
      </c>
      <c r="J406" s="8" t="s">
        <v>38</v>
      </c>
      <c r="K406">
        <v>105.5625</v>
      </c>
      <c r="L406">
        <v>16.5</v>
      </c>
      <c r="M406" s="14">
        <v>9</v>
      </c>
      <c r="N406" s="14">
        <v>5.6875</v>
      </c>
      <c r="Q406" t="str">
        <f t="shared" si="23"/>
        <v xml:space="preserve">XX8X_PV_0703:    Front abuts stile:TRUE       Back abuts stile:TRUE          Panel Section: WHOLE           Stile in the back Width: 24           Cutout A: B-386          Cutout B:      F.C.:9 in.         C.C.:5.6875 in.   </v>
      </c>
      <c r="R406" t="str">
        <f t="shared" si="22"/>
        <v>TRUE</v>
      </c>
      <c r="S406" t="str">
        <f t="shared" si="24"/>
        <v>TRUE</v>
      </c>
    </row>
    <row r="407" spans="1:19" hidden="1">
      <c r="A407" t="s">
        <v>567</v>
      </c>
      <c r="B407" s="14" t="s">
        <v>144</v>
      </c>
      <c r="C407" s="14" t="s">
        <v>21</v>
      </c>
      <c r="D407" s="14">
        <v>1</v>
      </c>
      <c r="E407" s="14">
        <v>1</v>
      </c>
      <c r="F407" s="14">
        <v>1</v>
      </c>
      <c r="G407" s="14">
        <v>0</v>
      </c>
      <c r="H407" s="14"/>
      <c r="I407" s="8" t="s">
        <v>35</v>
      </c>
      <c r="J407" s="8" t="s">
        <v>38</v>
      </c>
      <c r="K407">
        <v>88.4375</v>
      </c>
      <c r="L407">
        <v>27.9375</v>
      </c>
      <c r="M407" s="14">
        <v>1.625</v>
      </c>
      <c r="N407" s="14">
        <v>8.0625</v>
      </c>
      <c r="Q407" t="str">
        <f t="shared" si="23"/>
        <v xml:space="preserve">XX8X_PV_0704:    Front abuts stile:TRUE       Back abuts stile:TRUE          Panel Section: WHOLE           Stile in the back Width:            Cutout A: B-357          Cutout B:      F.C.:1.625 in.         C.C.:8.0625 in.   </v>
      </c>
      <c r="R407" t="str">
        <f t="shared" si="22"/>
        <v>TRUE</v>
      </c>
      <c r="S407" t="str">
        <f t="shared" si="24"/>
        <v>TRUE</v>
      </c>
    </row>
    <row r="408" spans="1:19" hidden="1">
      <c r="A408" t="s">
        <v>568</v>
      </c>
      <c r="B408" s="14" t="s">
        <v>144</v>
      </c>
      <c r="C408" s="14" t="s">
        <v>21</v>
      </c>
      <c r="D408" s="14">
        <v>1</v>
      </c>
      <c r="E408" s="14">
        <v>1</v>
      </c>
      <c r="F408" s="14">
        <v>1</v>
      </c>
      <c r="G408" s="14">
        <v>1</v>
      </c>
      <c r="H408" s="14"/>
      <c r="I408" s="8" t="s">
        <v>35</v>
      </c>
      <c r="J408" s="8" t="s">
        <v>38</v>
      </c>
      <c r="K408">
        <v>48.5625</v>
      </c>
      <c r="L408">
        <v>44</v>
      </c>
      <c r="M408" s="14">
        <v>12</v>
      </c>
      <c r="N408" s="14">
        <v>1</v>
      </c>
      <c r="Q408" t="str">
        <f t="shared" si="23"/>
        <v xml:space="preserve">XX8X_PV_0705:    Front abuts stile:TRUE       Back abuts stile:TRUE          Panel Section: WHOLE           Stile in the back Width:            Cutout A: B-357          Cutout B:      F.C.:12 in.         C.C.:1 in.   </v>
      </c>
      <c r="R408" t="str">
        <f t="shared" si="22"/>
        <v>TRUE</v>
      </c>
      <c r="S408" t="str">
        <f t="shared" si="24"/>
        <v>TRUE</v>
      </c>
    </row>
    <row r="409" spans="1:19" hidden="1">
      <c r="A409" t="s">
        <v>569</v>
      </c>
      <c r="B409" s="14" t="s">
        <v>144</v>
      </c>
      <c r="C409" s="14" t="s">
        <v>156</v>
      </c>
      <c r="D409" s="19">
        <v>0</v>
      </c>
      <c r="E409" s="19"/>
      <c r="F409" s="19">
        <v>0</v>
      </c>
      <c r="G409" s="19"/>
      <c r="H409" s="14"/>
      <c r="I409" s="8" t="s">
        <v>38</v>
      </c>
      <c r="J409" s="8" t="s">
        <v>38</v>
      </c>
      <c r="K409">
        <v>33.375</v>
      </c>
      <c r="L409">
        <v>78.5</v>
      </c>
      <c r="M409" s="14">
        <v>9</v>
      </c>
      <c r="N409" s="14">
        <v>3.5</v>
      </c>
      <c r="Q409" t="str">
        <f t="shared" si="23"/>
        <v xml:space="preserve">XX8X_PV_0721:    Front abuts stile:FALSE       Back abuts stile:FALSE          Panel Section: TOP           Stile in the back Width:            Cutout A:           Cutout B:      F.C.:9 in.         C.C.:3.5 in.   </v>
      </c>
      <c r="R409" t="str">
        <f t="shared" si="22"/>
        <v>FALSE</v>
      </c>
      <c r="S409" t="str">
        <f t="shared" si="24"/>
        <v>FALSE</v>
      </c>
    </row>
    <row r="410" spans="1:19" hidden="1">
      <c r="A410" t="s">
        <v>570</v>
      </c>
      <c r="B410" s="14" t="s">
        <v>144</v>
      </c>
      <c r="C410" s="14" t="s">
        <v>156</v>
      </c>
      <c r="D410" s="14">
        <v>0</v>
      </c>
      <c r="E410" s="14"/>
      <c r="F410" s="14">
        <v>1</v>
      </c>
      <c r="G410" s="14">
        <v>0</v>
      </c>
      <c r="H410" s="14">
        <v>12</v>
      </c>
      <c r="I410" s="8" t="s">
        <v>38</v>
      </c>
      <c r="J410" s="8" t="s">
        <v>38</v>
      </c>
      <c r="K410">
        <v>18.3125</v>
      </c>
      <c r="L410">
        <v>78.4375</v>
      </c>
      <c r="M410" s="14">
        <v>9</v>
      </c>
      <c r="N410" s="14">
        <v>1</v>
      </c>
      <c r="Q410" t="str">
        <f t="shared" si="23"/>
        <v xml:space="preserve">XX8X_PV_0722:    Front abuts stile:FALSE       Back abuts stile:TRUE          Panel Section: TOP           Stile in the back Width: 12           Cutout A:           Cutout B:      F.C.:9 in.         C.C.:1 in.   </v>
      </c>
      <c r="R410" t="str">
        <f t="shared" si="22"/>
        <v>FALSE</v>
      </c>
      <c r="S410" t="str">
        <f t="shared" si="24"/>
        <v>TRUE</v>
      </c>
    </row>
    <row r="411" spans="1:19" hidden="1">
      <c r="A411" t="s">
        <v>571</v>
      </c>
      <c r="B411" s="14" t="s">
        <v>144</v>
      </c>
      <c r="C411" s="14" t="s">
        <v>156</v>
      </c>
      <c r="D411" s="14">
        <v>0</v>
      </c>
      <c r="E411" s="14"/>
      <c r="F411" s="14">
        <v>1</v>
      </c>
      <c r="G411" s="14">
        <v>0</v>
      </c>
      <c r="H411" s="14">
        <v>24</v>
      </c>
      <c r="I411" s="8" t="s">
        <v>120</v>
      </c>
      <c r="J411" s="8" t="s">
        <v>38</v>
      </c>
      <c r="K411">
        <v>45.125</v>
      </c>
      <c r="L411">
        <v>24.3125</v>
      </c>
      <c r="M411" s="14">
        <v>9</v>
      </c>
      <c r="N411" s="14">
        <v>4.375</v>
      </c>
      <c r="Q411" t="str">
        <f t="shared" si="23"/>
        <v xml:space="preserve">XX8X_PV_0723:    Front abuts stile:FALSE       Back abuts stile:TRUE          Panel Section: TOP           Stile in the back Width: 24           Cutout A: B-386          Cutout B:      F.C.:9 in.         C.C.:4.375 in.   </v>
      </c>
      <c r="R411" t="str">
        <f t="shared" si="22"/>
        <v>FALSE</v>
      </c>
      <c r="S411" t="str">
        <f t="shared" si="24"/>
        <v>TRUE</v>
      </c>
    </row>
    <row r="412" spans="1:19" hidden="1">
      <c r="A412" t="s">
        <v>572</v>
      </c>
      <c r="B412" s="14" t="s">
        <v>144</v>
      </c>
      <c r="C412" s="14" t="s">
        <v>156</v>
      </c>
      <c r="D412" s="14">
        <v>0</v>
      </c>
      <c r="E412" s="14"/>
      <c r="F412" s="14">
        <v>1</v>
      </c>
      <c r="G412" s="14">
        <v>0</v>
      </c>
      <c r="H412" s="14"/>
      <c r="I412" s="8" t="s">
        <v>120</v>
      </c>
      <c r="J412" s="8" t="s">
        <v>38</v>
      </c>
      <c r="K412">
        <v>23.375</v>
      </c>
      <c r="L412">
        <v>51.4375</v>
      </c>
      <c r="M412" s="14">
        <v>1</v>
      </c>
      <c r="N412" s="14">
        <v>1</v>
      </c>
      <c r="Q412" t="str">
        <f t="shared" si="23"/>
        <v xml:space="preserve">XX8X_PV_0724:    Front abuts stile:FALSE       Back abuts stile:TRUE          Panel Section: TOP           Stile in the back Width:            Cutout A: B-386          Cutout B:      F.C.:1 in.         C.C.:1 in.   </v>
      </c>
      <c r="R412" t="str">
        <f t="shared" si="22"/>
        <v>FALSE</v>
      </c>
      <c r="S412" t="str">
        <f t="shared" si="24"/>
        <v>TRUE</v>
      </c>
    </row>
    <row r="413" spans="1:19" hidden="1">
      <c r="A413" t="s">
        <v>573</v>
      </c>
      <c r="B413" s="14" t="s">
        <v>144</v>
      </c>
      <c r="C413" s="14" t="s">
        <v>156</v>
      </c>
      <c r="D413" s="14">
        <v>0</v>
      </c>
      <c r="E413" s="14"/>
      <c r="F413" s="14">
        <v>1</v>
      </c>
      <c r="G413" s="14">
        <v>1</v>
      </c>
      <c r="H413" s="14"/>
      <c r="I413" s="8" t="s">
        <v>120</v>
      </c>
      <c r="J413" s="8" t="s">
        <v>38</v>
      </c>
      <c r="K413">
        <v>34.625</v>
      </c>
      <c r="L413">
        <v>70.25</v>
      </c>
      <c r="M413" s="14">
        <v>12</v>
      </c>
      <c r="N413" s="14">
        <v>3.375</v>
      </c>
      <c r="Q413" t="str">
        <f t="shared" si="23"/>
        <v xml:space="preserve">XX8X_PV_0725:    Front abuts stile:FALSE       Back abuts stile:TRUE          Panel Section: TOP           Stile in the back Width:            Cutout A: B-386          Cutout B:      F.C.:12 in.         C.C.:3.375 in.   </v>
      </c>
      <c r="R413" t="str">
        <f t="shared" si="22"/>
        <v>FALSE</v>
      </c>
      <c r="S413" t="str">
        <f t="shared" si="24"/>
        <v>TRUE</v>
      </c>
    </row>
    <row r="414" spans="1:19" hidden="1">
      <c r="A414" t="s">
        <v>574</v>
      </c>
      <c r="B414" s="14" t="s">
        <v>144</v>
      </c>
      <c r="C414" s="14" t="s">
        <v>156</v>
      </c>
      <c r="D414" s="14">
        <v>1</v>
      </c>
      <c r="E414" s="14">
        <v>0</v>
      </c>
      <c r="F414" s="14">
        <v>0</v>
      </c>
      <c r="G414" s="14"/>
      <c r="H414" s="14"/>
      <c r="I414" s="8" t="s">
        <v>120</v>
      </c>
      <c r="J414" s="8" t="s">
        <v>38</v>
      </c>
      <c r="K414">
        <v>29.125</v>
      </c>
      <c r="L414">
        <v>42.1875</v>
      </c>
      <c r="M414" s="14">
        <v>6.5</v>
      </c>
      <c r="N414" s="14">
        <v>1</v>
      </c>
      <c r="Q414" t="str">
        <f t="shared" si="23"/>
        <v xml:space="preserve">XX8X_PV_0726:    Front abuts stile:TRUE       Back abuts stile:FALSE          Panel Section: TOP           Stile in the back Width:            Cutout A: B-386          Cutout B:      F.C.:6.5 in.         C.C.:1 in.   </v>
      </c>
      <c r="R414" t="str">
        <f t="shared" si="22"/>
        <v>TRUE</v>
      </c>
      <c r="S414" t="str">
        <f t="shared" si="24"/>
        <v>FALSE</v>
      </c>
    </row>
    <row r="415" spans="1:19" hidden="1">
      <c r="A415" t="s">
        <v>575</v>
      </c>
      <c r="B415" s="14" t="s">
        <v>144</v>
      </c>
      <c r="C415" s="14" t="s">
        <v>156</v>
      </c>
      <c r="D415" s="14">
        <v>1</v>
      </c>
      <c r="E415" s="14">
        <v>0</v>
      </c>
      <c r="F415" s="14">
        <v>1</v>
      </c>
      <c r="G415" s="14">
        <v>0</v>
      </c>
      <c r="H415" s="14">
        <v>12</v>
      </c>
      <c r="I415" s="8" t="s">
        <v>38</v>
      </c>
      <c r="J415" s="8" t="s">
        <v>38</v>
      </c>
      <c r="K415">
        <v>48.5625</v>
      </c>
      <c r="L415">
        <v>16.0625</v>
      </c>
      <c r="M415" s="14">
        <v>9</v>
      </c>
      <c r="N415" s="14">
        <v>5.9375</v>
      </c>
      <c r="Q415" t="str">
        <f t="shared" si="23"/>
        <v xml:space="preserve">XX8X_PV_0727:    Front abuts stile:TRUE       Back abuts stile:TRUE          Panel Section: TOP           Stile in the back Width: 12           Cutout A:           Cutout B:      F.C.:9 in.         C.C.:5.9375 in.   </v>
      </c>
      <c r="R415" t="str">
        <f t="shared" si="22"/>
        <v>TRUE</v>
      </c>
      <c r="S415" t="str">
        <f t="shared" si="24"/>
        <v>TRUE</v>
      </c>
    </row>
    <row r="416" spans="1:19" hidden="1">
      <c r="A416" t="s">
        <v>576</v>
      </c>
      <c r="B416" s="14" t="s">
        <v>144</v>
      </c>
      <c r="C416" s="14" t="s">
        <v>156</v>
      </c>
      <c r="D416" s="14">
        <v>1</v>
      </c>
      <c r="E416" s="14">
        <v>0</v>
      </c>
      <c r="F416" s="14">
        <v>1</v>
      </c>
      <c r="G416" s="14">
        <v>0</v>
      </c>
      <c r="H416" s="14">
        <v>24</v>
      </c>
      <c r="I416" s="8" t="s">
        <v>120</v>
      </c>
      <c r="J416" s="8" t="s">
        <v>38</v>
      </c>
      <c r="K416">
        <v>42.75</v>
      </c>
      <c r="L416">
        <v>11.6875</v>
      </c>
      <c r="M416" s="14">
        <v>4.5</v>
      </c>
      <c r="N416" s="14">
        <v>4.25</v>
      </c>
      <c r="Q416" t="str">
        <f t="shared" si="23"/>
        <v xml:space="preserve">XX8X_PV_0728:    Front abuts stile:TRUE       Back abuts stile:TRUE          Panel Section: TOP           Stile in the back Width: 24           Cutout A: B-386          Cutout B:      F.C.:4.5 in.         C.C.:4.25 in.   </v>
      </c>
      <c r="R416" t="str">
        <f t="shared" si="22"/>
        <v>TRUE</v>
      </c>
      <c r="S416" t="str">
        <f t="shared" si="24"/>
        <v>TRUE</v>
      </c>
    </row>
    <row r="417" spans="1:19" hidden="1">
      <c r="A417" t="s">
        <v>577</v>
      </c>
      <c r="B417" s="14" t="s">
        <v>144</v>
      </c>
      <c r="C417" s="14" t="s">
        <v>156</v>
      </c>
      <c r="D417" s="14">
        <v>1</v>
      </c>
      <c r="E417" s="14">
        <v>0</v>
      </c>
      <c r="F417" s="14">
        <v>1</v>
      </c>
      <c r="G417" s="14">
        <v>0</v>
      </c>
      <c r="H417" s="14"/>
      <c r="I417" s="8" t="s">
        <v>38</v>
      </c>
      <c r="J417" s="8" t="s">
        <v>38</v>
      </c>
      <c r="K417">
        <v>31.25</v>
      </c>
      <c r="L417">
        <v>72.6875</v>
      </c>
      <c r="M417" s="14">
        <v>2.125</v>
      </c>
      <c r="N417" s="14">
        <v>2.0625</v>
      </c>
      <c r="Q417" t="str">
        <f t="shared" si="23"/>
        <v xml:space="preserve">XX8X_PV_0729:    Front abuts stile:TRUE       Back abuts stile:TRUE          Panel Section: TOP           Stile in the back Width:            Cutout A:           Cutout B:      F.C.:2.125 in.         C.C.:2.0625 in.   </v>
      </c>
      <c r="R417" t="str">
        <f t="shared" si="22"/>
        <v>TRUE</v>
      </c>
      <c r="S417" t="str">
        <f t="shared" si="24"/>
        <v>TRUE</v>
      </c>
    </row>
    <row r="418" spans="1:19" hidden="1">
      <c r="A418" t="s">
        <v>578</v>
      </c>
      <c r="B418" s="14" t="s">
        <v>144</v>
      </c>
      <c r="C418" s="14" t="s">
        <v>156</v>
      </c>
      <c r="D418" s="14">
        <v>1</v>
      </c>
      <c r="E418" s="14">
        <v>0</v>
      </c>
      <c r="F418" s="14">
        <v>1</v>
      </c>
      <c r="G418" s="14">
        <v>1</v>
      </c>
      <c r="H418" s="14"/>
      <c r="I418" s="8" t="s">
        <v>38</v>
      </c>
      <c r="J418" s="8" t="s">
        <v>38</v>
      </c>
      <c r="K418">
        <v>20.375</v>
      </c>
      <c r="L418">
        <v>26.8125</v>
      </c>
      <c r="M418" s="14">
        <v>1</v>
      </c>
      <c r="N418" s="14">
        <v>5.625</v>
      </c>
      <c r="Q418" t="str">
        <f t="shared" si="23"/>
        <v xml:space="preserve">XX8X_PV_0730:    Front abuts stile:TRUE       Back abuts stile:TRUE          Panel Section: TOP           Stile in the back Width:            Cutout A:           Cutout B:      F.C.:1 in.         C.C.:5.625 in.   </v>
      </c>
      <c r="R418" t="str">
        <f t="shared" si="22"/>
        <v>TRUE</v>
      </c>
      <c r="S418" t="str">
        <f t="shared" si="24"/>
        <v>TRUE</v>
      </c>
    </row>
    <row r="419" spans="1:19" hidden="1">
      <c r="A419" t="s">
        <v>579</v>
      </c>
      <c r="B419" s="14" t="s">
        <v>144</v>
      </c>
      <c r="C419" s="14" t="s">
        <v>156</v>
      </c>
      <c r="D419" s="14">
        <v>1</v>
      </c>
      <c r="E419" s="14">
        <v>1</v>
      </c>
      <c r="F419" s="14">
        <v>0</v>
      </c>
      <c r="G419" s="14"/>
      <c r="H419" s="14"/>
      <c r="I419" s="8" t="s">
        <v>38</v>
      </c>
      <c r="J419" s="8" t="s">
        <v>38</v>
      </c>
      <c r="K419">
        <v>13.5</v>
      </c>
      <c r="L419">
        <v>73.3125</v>
      </c>
      <c r="M419" s="14">
        <v>4.0625</v>
      </c>
      <c r="N419" s="14">
        <v>8.1875</v>
      </c>
      <c r="Q419" t="str">
        <f t="shared" si="23"/>
        <v xml:space="preserve">XX8X_PV_0731:    Front abuts stile:TRUE       Back abuts stile:FALSE          Panel Section: TOP           Stile in the back Width:            Cutout A:           Cutout B:      F.C.:4.0625 in.         C.C.:8.1875 in.   </v>
      </c>
      <c r="R419" t="str">
        <f t="shared" si="22"/>
        <v>TRUE</v>
      </c>
      <c r="S419" t="str">
        <f t="shared" si="24"/>
        <v>FALSE</v>
      </c>
    </row>
    <row r="420" spans="1:19" hidden="1">
      <c r="A420" t="s">
        <v>580</v>
      </c>
      <c r="B420" s="14" t="s">
        <v>144</v>
      </c>
      <c r="C420" s="14" t="s">
        <v>156</v>
      </c>
      <c r="D420" s="14">
        <v>1</v>
      </c>
      <c r="E420" s="14">
        <v>1</v>
      </c>
      <c r="F420" s="14">
        <v>1</v>
      </c>
      <c r="G420" s="14">
        <v>0</v>
      </c>
      <c r="H420" s="14">
        <v>12</v>
      </c>
      <c r="I420" s="8" t="s">
        <v>145</v>
      </c>
      <c r="J420" s="8" t="s">
        <v>38</v>
      </c>
      <c r="K420">
        <v>46.5625</v>
      </c>
      <c r="L420">
        <v>64.9375</v>
      </c>
      <c r="M420" s="14">
        <v>12</v>
      </c>
      <c r="N420" s="14">
        <v>8.5</v>
      </c>
      <c r="Q420" t="str">
        <f t="shared" si="23"/>
        <v xml:space="preserve">XX8X_PV_0732:    Front abuts stile:TRUE       Back abuts stile:TRUE          Panel Section: TOP           Stile in the back Width: 12           Cutout A: B-347          Cutout B:      F.C.:12 in.         C.C.:8.5 in.   </v>
      </c>
      <c r="R420" t="str">
        <f t="shared" si="22"/>
        <v>TRUE</v>
      </c>
      <c r="S420" t="str">
        <f t="shared" si="24"/>
        <v>TRUE</v>
      </c>
    </row>
    <row r="421" spans="1:19" hidden="1">
      <c r="A421" t="s">
        <v>581</v>
      </c>
      <c r="B421" s="14" t="s">
        <v>144</v>
      </c>
      <c r="C421" s="14" t="s">
        <v>156</v>
      </c>
      <c r="D421" s="14">
        <v>1</v>
      </c>
      <c r="E421" s="14">
        <v>1</v>
      </c>
      <c r="F421" s="14">
        <v>1</v>
      </c>
      <c r="G421" s="14">
        <v>0</v>
      </c>
      <c r="H421" s="14">
        <v>24</v>
      </c>
      <c r="I421" s="8" t="s">
        <v>120</v>
      </c>
      <c r="J421" s="8" t="s">
        <v>38</v>
      </c>
      <c r="K421">
        <v>41.75</v>
      </c>
      <c r="L421">
        <v>12.75</v>
      </c>
      <c r="M421" s="14">
        <v>4.5</v>
      </c>
      <c r="N421" s="14">
        <v>1</v>
      </c>
      <c r="Q421" t="str">
        <f t="shared" si="23"/>
        <v xml:space="preserve">XX8X_PV_0733:    Front abuts stile:TRUE       Back abuts stile:TRUE          Panel Section: TOP           Stile in the back Width: 24           Cutout A: B-386          Cutout B:      F.C.:4.5 in.         C.C.:1 in.   </v>
      </c>
      <c r="R421" t="str">
        <f t="shared" si="22"/>
        <v>TRUE</v>
      </c>
      <c r="S421" t="str">
        <f t="shared" si="24"/>
        <v>TRUE</v>
      </c>
    </row>
    <row r="422" spans="1:19" hidden="1">
      <c r="A422" t="s">
        <v>582</v>
      </c>
      <c r="B422" s="14" t="s">
        <v>144</v>
      </c>
      <c r="C422" s="14" t="s">
        <v>156</v>
      </c>
      <c r="D422" s="14">
        <v>1</v>
      </c>
      <c r="E422" s="14">
        <v>1</v>
      </c>
      <c r="F422" s="14">
        <v>1</v>
      </c>
      <c r="G422" s="14">
        <v>0</v>
      </c>
      <c r="H422" s="14"/>
      <c r="I422" s="8" t="s">
        <v>35</v>
      </c>
      <c r="J422" s="8" t="s">
        <v>38</v>
      </c>
      <c r="K422">
        <v>24.6875</v>
      </c>
      <c r="L422">
        <v>55.375</v>
      </c>
      <c r="M422" s="14">
        <v>4.5</v>
      </c>
      <c r="N422" s="14">
        <v>4.5625</v>
      </c>
      <c r="Q422" t="str">
        <f t="shared" si="23"/>
        <v xml:space="preserve">XX8X_PV_0734:    Front abuts stile:TRUE       Back abuts stile:TRUE          Panel Section: TOP           Stile in the back Width:            Cutout A: B-357          Cutout B:      F.C.:4.5 in.         C.C.:4.5625 in.   </v>
      </c>
      <c r="R422" t="str">
        <f t="shared" si="22"/>
        <v>TRUE</v>
      </c>
      <c r="S422" t="str">
        <f t="shared" si="24"/>
        <v>TRUE</v>
      </c>
    </row>
    <row r="423" spans="1:19" hidden="1">
      <c r="A423" t="s">
        <v>583</v>
      </c>
      <c r="B423" s="14" t="s">
        <v>144</v>
      </c>
      <c r="C423" s="14" t="s">
        <v>156</v>
      </c>
      <c r="D423" s="14">
        <v>1</v>
      </c>
      <c r="E423" s="14">
        <v>1</v>
      </c>
      <c r="F423" s="14">
        <v>1</v>
      </c>
      <c r="G423" s="14">
        <v>1</v>
      </c>
      <c r="H423" s="14"/>
      <c r="I423" s="8" t="s">
        <v>120</v>
      </c>
      <c r="J423" s="8" t="s">
        <v>38</v>
      </c>
      <c r="K423">
        <v>16.375</v>
      </c>
      <c r="L423">
        <v>43.5625</v>
      </c>
      <c r="M423" s="14">
        <v>2.75</v>
      </c>
      <c r="N423" s="14">
        <v>1</v>
      </c>
      <c r="Q423" t="str">
        <f t="shared" si="23"/>
        <v xml:space="preserve">XX8X_PV_0735:    Front abuts stile:TRUE       Back abuts stile:TRUE          Panel Section: TOP           Stile in the back Width:            Cutout A: B-386          Cutout B:      F.C.:2.75 in.         C.C.:1 in.   </v>
      </c>
      <c r="R423" t="str">
        <f t="shared" si="22"/>
        <v>TRUE</v>
      </c>
      <c r="S423" t="str">
        <f t="shared" si="24"/>
        <v>TRUE</v>
      </c>
    </row>
    <row r="424" spans="1:19" hidden="1">
      <c r="A424" t="s">
        <v>584</v>
      </c>
      <c r="B424" s="14" t="s">
        <v>144</v>
      </c>
      <c r="C424" s="14" t="s">
        <v>157</v>
      </c>
      <c r="D424" s="14">
        <v>0</v>
      </c>
      <c r="E424" s="14"/>
      <c r="F424" s="14">
        <v>0</v>
      </c>
      <c r="G424" s="14"/>
      <c r="H424" s="14"/>
      <c r="I424" s="8" t="s">
        <v>150</v>
      </c>
      <c r="J424" s="8" t="s">
        <v>38</v>
      </c>
      <c r="K424">
        <v>60</v>
      </c>
      <c r="L424">
        <v>12.6875</v>
      </c>
      <c r="M424" s="14">
        <v>9</v>
      </c>
      <c r="N424" s="14">
        <v>1</v>
      </c>
      <c r="Q424" t="str">
        <f t="shared" si="23"/>
        <v xml:space="preserve">XX8X_PV_0751:    Front abuts stile:FALSE       Back abuts stile:FALSE          Panel Section: BOTTOM           Stile in the back Width:            Cutout A: B-3571          Cutout B:      F.C.:9 in.         C.C.:1 in.   </v>
      </c>
      <c r="R424" t="str">
        <f t="shared" si="22"/>
        <v>FALSE</v>
      </c>
      <c r="S424" t="str">
        <f t="shared" si="24"/>
        <v>FALSE</v>
      </c>
    </row>
    <row r="425" spans="1:19" hidden="1">
      <c r="A425" t="s">
        <v>585</v>
      </c>
      <c r="B425" s="14" t="s">
        <v>144</v>
      </c>
      <c r="C425" s="14" t="s">
        <v>157</v>
      </c>
      <c r="D425" s="14">
        <v>0</v>
      </c>
      <c r="E425" s="14"/>
      <c r="F425" s="14">
        <v>1</v>
      </c>
      <c r="G425" s="14">
        <v>0</v>
      </c>
      <c r="H425" s="14">
        <v>12</v>
      </c>
      <c r="I425" s="8" t="s">
        <v>35</v>
      </c>
      <c r="J425" s="8" t="s">
        <v>38</v>
      </c>
      <c r="K425">
        <v>60</v>
      </c>
      <c r="L425">
        <v>27.1875</v>
      </c>
      <c r="M425" s="14">
        <v>12</v>
      </c>
      <c r="N425" s="14">
        <v>4</v>
      </c>
      <c r="Q425" t="str">
        <f t="shared" si="23"/>
        <v xml:space="preserve">XX8X_PV_0752:    Front abuts stile:FALSE       Back abuts stile:TRUE          Panel Section: BOTTOM           Stile in the back Width: 12           Cutout A: B-357          Cutout B:      F.C.:12 in.         C.C.:4 in.   </v>
      </c>
      <c r="R425" t="str">
        <f t="shared" si="22"/>
        <v>FALSE</v>
      </c>
      <c r="S425" t="str">
        <f t="shared" si="24"/>
        <v>TRUE</v>
      </c>
    </row>
    <row r="426" spans="1:19" hidden="1">
      <c r="A426" t="s">
        <v>586</v>
      </c>
      <c r="B426" s="14" t="s">
        <v>144</v>
      </c>
      <c r="C426" s="14" t="s">
        <v>157</v>
      </c>
      <c r="D426" s="14">
        <v>0</v>
      </c>
      <c r="E426" s="14"/>
      <c r="F426" s="14">
        <v>1</v>
      </c>
      <c r="G426" s="14">
        <v>0</v>
      </c>
      <c r="H426" s="14">
        <v>24</v>
      </c>
      <c r="I426" s="8" t="s">
        <v>38</v>
      </c>
      <c r="J426" s="8" t="s">
        <v>38</v>
      </c>
      <c r="K426">
        <v>60</v>
      </c>
      <c r="L426">
        <v>14.375</v>
      </c>
      <c r="M426" s="14">
        <v>8.5</v>
      </c>
      <c r="N426" s="14">
        <v>8.3125</v>
      </c>
      <c r="Q426" t="str">
        <f t="shared" si="23"/>
        <v xml:space="preserve">XX8X_PV_0753:    Front abuts stile:FALSE       Back abuts stile:TRUE          Panel Section: BOTTOM           Stile in the back Width: 24           Cutout A:           Cutout B:      F.C.:8.5 in.         C.C.:8.3125 in.   </v>
      </c>
      <c r="R426" t="str">
        <f t="shared" si="22"/>
        <v>FALSE</v>
      </c>
      <c r="S426" t="str">
        <f t="shared" si="24"/>
        <v>TRUE</v>
      </c>
    </row>
    <row r="427" spans="1:19" hidden="1">
      <c r="A427" t="s">
        <v>587</v>
      </c>
      <c r="B427" s="14" t="s">
        <v>144</v>
      </c>
      <c r="C427" s="14" t="s">
        <v>157</v>
      </c>
      <c r="D427" s="14">
        <v>0</v>
      </c>
      <c r="E427" s="14"/>
      <c r="F427" s="14">
        <v>1</v>
      </c>
      <c r="G427" s="14">
        <v>0</v>
      </c>
      <c r="H427" s="14"/>
      <c r="I427" s="8" t="s">
        <v>38</v>
      </c>
      <c r="J427" s="8" t="s">
        <v>38</v>
      </c>
      <c r="K427">
        <v>60</v>
      </c>
      <c r="L427">
        <v>44.125</v>
      </c>
      <c r="M427" s="14">
        <v>9</v>
      </c>
      <c r="N427" s="14">
        <v>7.3125</v>
      </c>
      <c r="Q427" t="str">
        <f t="shared" si="23"/>
        <v xml:space="preserve">XX8X_PV_0754:    Front abuts stile:FALSE       Back abuts stile:TRUE          Panel Section: BOTTOM           Stile in the back Width:            Cutout A:           Cutout B:      F.C.:9 in.         C.C.:7.3125 in.   </v>
      </c>
      <c r="R427" t="str">
        <f t="shared" si="22"/>
        <v>FALSE</v>
      </c>
      <c r="S427" t="str">
        <f t="shared" si="24"/>
        <v>TRUE</v>
      </c>
    </row>
    <row r="428" spans="1:19" hidden="1">
      <c r="A428" t="s">
        <v>588</v>
      </c>
      <c r="B428" s="14" t="s">
        <v>144</v>
      </c>
      <c r="C428" s="14" t="s">
        <v>157</v>
      </c>
      <c r="D428" s="14">
        <v>0</v>
      </c>
      <c r="E428" s="14"/>
      <c r="F428" s="14">
        <v>1</v>
      </c>
      <c r="G428" s="14">
        <v>1</v>
      </c>
      <c r="H428" s="14"/>
      <c r="I428" s="8" t="s">
        <v>145</v>
      </c>
      <c r="J428" s="8" t="s">
        <v>38</v>
      </c>
      <c r="K428">
        <v>60</v>
      </c>
      <c r="L428">
        <v>21.0625</v>
      </c>
      <c r="M428" s="14">
        <v>9</v>
      </c>
      <c r="N428" s="14">
        <v>2.625</v>
      </c>
      <c r="Q428" t="str">
        <f t="shared" si="23"/>
        <v xml:space="preserve">XX8X_PV_0755:    Front abuts stile:FALSE       Back abuts stile:TRUE          Panel Section: BOTTOM           Stile in the back Width:            Cutout A: B-347          Cutout B:      F.C.:9 in.         C.C.:2.625 in.   </v>
      </c>
      <c r="R428" t="str">
        <f t="shared" si="22"/>
        <v>FALSE</v>
      </c>
      <c r="S428" t="str">
        <f t="shared" si="24"/>
        <v>TRUE</v>
      </c>
    </row>
    <row r="429" spans="1:19" hidden="1">
      <c r="A429" t="s">
        <v>589</v>
      </c>
      <c r="B429" s="14" t="s">
        <v>144</v>
      </c>
      <c r="C429" s="14" t="s">
        <v>157</v>
      </c>
      <c r="D429" s="14">
        <v>1</v>
      </c>
      <c r="E429" s="14">
        <v>0</v>
      </c>
      <c r="F429" s="14">
        <v>0</v>
      </c>
      <c r="G429" s="14"/>
      <c r="H429" s="14"/>
      <c r="I429" s="8" t="s">
        <v>38</v>
      </c>
      <c r="J429" s="8" t="s">
        <v>38</v>
      </c>
      <c r="K429">
        <v>60</v>
      </c>
      <c r="L429">
        <v>7.4375</v>
      </c>
      <c r="M429" s="14">
        <v>4.5</v>
      </c>
      <c r="N429" s="14">
        <v>4.875</v>
      </c>
      <c r="Q429" t="str">
        <f t="shared" si="23"/>
        <v xml:space="preserve">XX8X_PV_0756:    Front abuts stile:TRUE       Back abuts stile:FALSE          Panel Section: BOTTOM           Stile in the back Width:            Cutout A:           Cutout B:      F.C.:4.5 in.         C.C.:4.875 in.   </v>
      </c>
      <c r="R429" t="str">
        <f t="shared" si="22"/>
        <v>TRUE</v>
      </c>
      <c r="S429" t="str">
        <f t="shared" si="24"/>
        <v>FALSE</v>
      </c>
    </row>
    <row r="430" spans="1:19" hidden="1">
      <c r="A430" t="s">
        <v>590</v>
      </c>
      <c r="B430" s="14" t="s">
        <v>144</v>
      </c>
      <c r="C430" s="14" t="s">
        <v>157</v>
      </c>
      <c r="D430" s="14">
        <v>1</v>
      </c>
      <c r="E430" s="14">
        <v>0</v>
      </c>
      <c r="F430" s="14">
        <v>1</v>
      </c>
      <c r="G430" s="14">
        <v>0</v>
      </c>
      <c r="H430" s="14">
        <v>12</v>
      </c>
      <c r="I430" s="8" t="s">
        <v>120</v>
      </c>
      <c r="J430" s="8" t="s">
        <v>38</v>
      </c>
      <c r="K430">
        <v>60</v>
      </c>
      <c r="L430">
        <v>22.375</v>
      </c>
      <c r="M430" s="14">
        <v>4.125</v>
      </c>
      <c r="N430" s="14">
        <v>2.1875</v>
      </c>
      <c r="Q430" t="str">
        <f t="shared" si="23"/>
        <v xml:space="preserve">XX8X_PV_0757:    Front abuts stile:TRUE       Back abuts stile:TRUE          Panel Section: BOTTOM           Stile in the back Width: 12           Cutout A: B-386          Cutout B:      F.C.:4.125 in.         C.C.:2.1875 in.   </v>
      </c>
      <c r="R430" t="str">
        <f t="shared" si="22"/>
        <v>TRUE</v>
      </c>
      <c r="S430" t="str">
        <f t="shared" si="24"/>
        <v>TRUE</v>
      </c>
    </row>
    <row r="431" spans="1:19" hidden="1">
      <c r="A431" t="s">
        <v>591</v>
      </c>
      <c r="B431" s="14" t="s">
        <v>144</v>
      </c>
      <c r="C431" s="14" t="s">
        <v>157</v>
      </c>
      <c r="D431" s="14">
        <v>1</v>
      </c>
      <c r="E431" s="14">
        <v>0</v>
      </c>
      <c r="F431" s="14">
        <v>1</v>
      </c>
      <c r="G431" s="14">
        <v>0</v>
      </c>
      <c r="H431" s="14">
        <v>24</v>
      </c>
      <c r="I431" s="8" t="s">
        <v>120</v>
      </c>
      <c r="J431" s="8" t="s">
        <v>38</v>
      </c>
      <c r="K431">
        <v>60</v>
      </c>
      <c r="L431">
        <v>35.0625</v>
      </c>
      <c r="M431" s="14">
        <v>9</v>
      </c>
      <c r="N431" s="14">
        <v>8.1875</v>
      </c>
      <c r="Q431" t="str">
        <f t="shared" si="23"/>
        <v xml:space="preserve">XX8X_PV_0758:    Front abuts stile:TRUE       Back abuts stile:TRUE          Panel Section: BOTTOM           Stile in the back Width: 24           Cutout A: B-386          Cutout B:      F.C.:9 in.         C.C.:8.1875 in.   </v>
      </c>
      <c r="R431" t="str">
        <f t="shared" si="22"/>
        <v>TRUE</v>
      </c>
      <c r="S431" t="str">
        <f t="shared" si="24"/>
        <v>TRUE</v>
      </c>
    </row>
    <row r="432" spans="1:19" hidden="1">
      <c r="A432" t="s">
        <v>592</v>
      </c>
      <c r="B432" s="14" t="s">
        <v>144</v>
      </c>
      <c r="C432" s="14" t="s">
        <v>157</v>
      </c>
      <c r="D432" s="14">
        <v>1</v>
      </c>
      <c r="E432" s="14">
        <v>0</v>
      </c>
      <c r="F432" s="14">
        <v>1</v>
      </c>
      <c r="G432" s="14">
        <v>0</v>
      </c>
      <c r="H432" s="14"/>
      <c r="I432" s="8" t="s">
        <v>150</v>
      </c>
      <c r="J432" s="8" t="s">
        <v>38</v>
      </c>
      <c r="K432">
        <v>60</v>
      </c>
      <c r="L432">
        <v>67.75</v>
      </c>
      <c r="M432" s="14">
        <v>1.6875</v>
      </c>
      <c r="N432" s="14">
        <v>1</v>
      </c>
      <c r="Q432" t="str">
        <f t="shared" si="23"/>
        <v xml:space="preserve">XX8X_PV_0759:    Front abuts stile:TRUE       Back abuts stile:TRUE          Panel Section: BOTTOM           Stile in the back Width:            Cutout A: B-3571          Cutout B:      F.C.:1.6875 in.         C.C.:1 in.   </v>
      </c>
      <c r="R432" t="str">
        <f t="shared" si="22"/>
        <v>TRUE</v>
      </c>
      <c r="S432" t="str">
        <f t="shared" si="24"/>
        <v>TRUE</v>
      </c>
    </row>
    <row r="433" spans="1:19" hidden="1">
      <c r="A433" t="s">
        <v>593</v>
      </c>
      <c r="B433" s="14" t="s">
        <v>144</v>
      </c>
      <c r="C433" s="14" t="s">
        <v>157</v>
      </c>
      <c r="D433" s="14">
        <v>1</v>
      </c>
      <c r="E433" s="14">
        <v>0</v>
      </c>
      <c r="F433" s="14">
        <v>1</v>
      </c>
      <c r="G433" s="14">
        <v>1</v>
      </c>
      <c r="H433" s="14"/>
      <c r="I433" s="8" t="s">
        <v>120</v>
      </c>
      <c r="J433" s="8" t="s">
        <v>38</v>
      </c>
      <c r="K433">
        <v>60</v>
      </c>
      <c r="L433">
        <v>56.6875</v>
      </c>
      <c r="M433" s="14">
        <v>1</v>
      </c>
      <c r="N433" s="14">
        <v>1</v>
      </c>
      <c r="Q433" t="str">
        <f t="shared" si="23"/>
        <v xml:space="preserve">XX8X_PV_0760:    Front abuts stile:TRUE       Back abuts stile:TRUE          Panel Section: BOTTOM           Stile in the back Width:            Cutout A: B-386          Cutout B:      F.C.:1 in.         C.C.:1 in.   </v>
      </c>
      <c r="R433" t="str">
        <f t="shared" si="22"/>
        <v>TRUE</v>
      </c>
      <c r="S433" t="str">
        <f t="shared" si="24"/>
        <v>TRUE</v>
      </c>
    </row>
    <row r="434" spans="1:19" hidden="1">
      <c r="A434" t="s">
        <v>594</v>
      </c>
      <c r="B434" s="14" t="s">
        <v>144</v>
      </c>
      <c r="C434" s="14" t="s">
        <v>157</v>
      </c>
      <c r="D434" s="14">
        <v>1</v>
      </c>
      <c r="E434" s="14">
        <v>1</v>
      </c>
      <c r="F434" s="14">
        <v>0</v>
      </c>
      <c r="G434" s="14"/>
      <c r="H434" s="14"/>
      <c r="I434" s="8" t="s">
        <v>120</v>
      </c>
      <c r="J434" s="8" t="s">
        <v>38</v>
      </c>
      <c r="K434">
        <v>60</v>
      </c>
      <c r="L434">
        <v>79.4375</v>
      </c>
      <c r="M434" s="14">
        <v>1</v>
      </c>
      <c r="N434" s="14">
        <v>1.6875</v>
      </c>
      <c r="Q434" t="str">
        <f t="shared" si="23"/>
        <v xml:space="preserve">XX8X_PV_0761:    Front abuts stile:TRUE       Back abuts stile:FALSE          Panel Section: BOTTOM           Stile in the back Width:            Cutout A: B-386          Cutout B:      F.C.:1 in.         C.C.:1.6875 in.   </v>
      </c>
      <c r="R434" t="str">
        <f t="shared" si="22"/>
        <v>TRUE</v>
      </c>
      <c r="S434" t="str">
        <f t="shared" si="24"/>
        <v>FALSE</v>
      </c>
    </row>
    <row r="435" spans="1:19" hidden="1">
      <c r="A435" t="s">
        <v>595</v>
      </c>
      <c r="B435" s="14" t="s">
        <v>144</v>
      </c>
      <c r="C435" s="14" t="s">
        <v>157</v>
      </c>
      <c r="D435" s="14">
        <v>1</v>
      </c>
      <c r="E435" s="14">
        <v>1</v>
      </c>
      <c r="F435" s="14">
        <v>1</v>
      </c>
      <c r="G435" s="14">
        <v>0</v>
      </c>
      <c r="H435" s="14">
        <v>12</v>
      </c>
      <c r="I435" s="8" t="s">
        <v>145</v>
      </c>
      <c r="J435" s="8" t="s">
        <v>38</v>
      </c>
      <c r="K435">
        <v>60</v>
      </c>
      <c r="L435">
        <v>15.875</v>
      </c>
      <c r="M435" s="14">
        <v>10.375</v>
      </c>
      <c r="N435" s="14">
        <v>7</v>
      </c>
      <c r="Q435" t="str">
        <f t="shared" si="23"/>
        <v xml:space="preserve">XX8X_PV_0762:    Front abuts stile:TRUE       Back abuts stile:TRUE          Panel Section: BOTTOM           Stile in the back Width: 12           Cutout A: B-347          Cutout B:      F.C.:10.375 in.         C.C.:7 in.   </v>
      </c>
      <c r="R435" t="str">
        <f t="shared" si="22"/>
        <v>TRUE</v>
      </c>
      <c r="S435" t="str">
        <f t="shared" si="24"/>
        <v>TRUE</v>
      </c>
    </row>
    <row r="436" spans="1:19" hidden="1">
      <c r="A436" t="s">
        <v>596</v>
      </c>
      <c r="B436" s="14" t="s">
        <v>144</v>
      </c>
      <c r="C436" s="14" t="s">
        <v>157</v>
      </c>
      <c r="D436" s="14">
        <v>1</v>
      </c>
      <c r="E436" s="14">
        <v>1</v>
      </c>
      <c r="F436" s="14">
        <v>1</v>
      </c>
      <c r="G436" s="14">
        <v>0</v>
      </c>
      <c r="H436" s="14">
        <v>24</v>
      </c>
      <c r="I436" s="8" t="s">
        <v>38</v>
      </c>
      <c r="J436" s="8" t="s">
        <v>38</v>
      </c>
      <c r="K436">
        <v>60</v>
      </c>
      <c r="L436">
        <v>19.8125</v>
      </c>
      <c r="M436" s="14">
        <v>1</v>
      </c>
      <c r="N436" s="14">
        <v>4.125</v>
      </c>
      <c r="Q436" t="str">
        <f t="shared" si="23"/>
        <v xml:space="preserve">XX8X_PV_0763:    Front abuts stile:TRUE       Back abuts stile:TRUE          Panel Section: BOTTOM           Stile in the back Width: 24           Cutout A:           Cutout B:      F.C.:1 in.         C.C.:4.125 in.   </v>
      </c>
      <c r="R436" t="str">
        <f t="shared" si="22"/>
        <v>TRUE</v>
      </c>
      <c r="S436" t="str">
        <f t="shared" si="24"/>
        <v>TRUE</v>
      </c>
    </row>
    <row r="437" spans="1:19" hidden="1">
      <c r="A437" t="s">
        <v>597</v>
      </c>
      <c r="B437" s="14" t="s">
        <v>144</v>
      </c>
      <c r="C437" s="14" t="s">
        <v>157</v>
      </c>
      <c r="D437" s="14">
        <v>1</v>
      </c>
      <c r="E437" s="14">
        <v>1</v>
      </c>
      <c r="F437" s="14">
        <v>1</v>
      </c>
      <c r="G437" s="14">
        <v>0</v>
      </c>
      <c r="H437" s="14"/>
      <c r="I437" s="8" t="s">
        <v>145</v>
      </c>
      <c r="J437" s="8" t="s">
        <v>38</v>
      </c>
      <c r="K437">
        <v>60</v>
      </c>
      <c r="L437">
        <v>46</v>
      </c>
      <c r="M437" s="14">
        <v>1</v>
      </c>
      <c r="N437" s="14">
        <v>2.6875</v>
      </c>
      <c r="Q437" t="str">
        <f t="shared" si="23"/>
        <v xml:space="preserve">XX8X_PV_0764:    Front abuts stile:TRUE       Back abuts stile:TRUE          Panel Section: BOTTOM           Stile in the back Width:            Cutout A: B-347          Cutout B:      F.C.:1 in.         C.C.:2.6875 in.   </v>
      </c>
      <c r="R437" t="str">
        <f t="shared" si="22"/>
        <v>TRUE</v>
      </c>
      <c r="S437" t="str">
        <f t="shared" si="24"/>
        <v>TRUE</v>
      </c>
    </row>
    <row r="438" spans="1:19" hidden="1">
      <c r="A438" t="s">
        <v>598</v>
      </c>
      <c r="B438" s="14" t="s">
        <v>144</v>
      </c>
      <c r="C438" s="14" t="s">
        <v>157</v>
      </c>
      <c r="D438" s="14">
        <v>1</v>
      </c>
      <c r="E438" s="14">
        <v>1</v>
      </c>
      <c r="F438" s="14">
        <v>1</v>
      </c>
      <c r="G438" s="14">
        <v>1</v>
      </c>
      <c r="H438" s="14"/>
      <c r="I438" s="8" t="s">
        <v>149</v>
      </c>
      <c r="J438" s="8" t="s">
        <v>38</v>
      </c>
      <c r="K438">
        <v>60</v>
      </c>
      <c r="L438">
        <v>58.4375</v>
      </c>
      <c r="M438" s="14">
        <v>1.9375</v>
      </c>
      <c r="N438" s="14">
        <v>2</v>
      </c>
      <c r="Q438" t="str">
        <f t="shared" si="23"/>
        <v xml:space="preserve">XX8X_PV_0765:    Front abuts stile:TRUE       Back abuts stile:TRUE          Panel Section: BOTTOM           Stile in the back Width:            Cutout A: B-34715          Cutout B:      F.C.:1.9375 in.         C.C.:2 in.   </v>
      </c>
      <c r="R438" t="str">
        <f t="shared" si="22"/>
        <v>TRUE</v>
      </c>
      <c r="S438" t="str">
        <f t="shared" si="24"/>
        <v>TRUE</v>
      </c>
    </row>
    <row r="439" spans="1:19" hidden="1">
      <c r="A439" t="s">
        <v>599</v>
      </c>
      <c r="B439" s="14" t="s">
        <v>144</v>
      </c>
      <c r="C439" s="14" t="s">
        <v>21</v>
      </c>
      <c r="D439" s="14">
        <v>0</v>
      </c>
      <c r="E439" s="14"/>
      <c r="F439" s="14">
        <v>0</v>
      </c>
      <c r="G439" s="14"/>
      <c r="H439" s="14"/>
      <c r="I439" s="8" t="s">
        <v>38</v>
      </c>
      <c r="J439" s="8" t="s">
        <v>38</v>
      </c>
      <c r="K439">
        <v>95.875</v>
      </c>
      <c r="L439">
        <v>73.8125</v>
      </c>
      <c r="M439" s="14">
        <v>1</v>
      </c>
      <c r="N439" s="14">
        <v>4.8125</v>
      </c>
      <c r="Q439" t="str">
        <f t="shared" si="23"/>
        <v xml:space="preserve">XX8X_PV_0781:    Front abuts stile:FALSE       Back abuts stile:FALSE          Panel Section: WHOLE           Stile in the back Width:            Cutout A:           Cutout B:      F.C.:1 in.         C.C.:4.8125 in.   </v>
      </c>
      <c r="R439" t="str">
        <f t="shared" si="22"/>
        <v>FALSE</v>
      </c>
      <c r="S439" t="str">
        <f t="shared" si="24"/>
        <v>FALSE</v>
      </c>
    </row>
    <row r="440" spans="1:19" hidden="1">
      <c r="A440" t="s">
        <v>600</v>
      </c>
      <c r="B440" s="14" t="s">
        <v>144</v>
      </c>
      <c r="C440" s="14" t="s">
        <v>21</v>
      </c>
      <c r="D440" s="14">
        <v>0</v>
      </c>
      <c r="E440" s="14"/>
      <c r="F440" s="14">
        <v>1</v>
      </c>
      <c r="G440" s="14">
        <v>0</v>
      </c>
      <c r="H440" s="14">
        <v>12</v>
      </c>
      <c r="I440" s="8" t="s">
        <v>145</v>
      </c>
      <c r="J440" s="8" t="s">
        <v>38</v>
      </c>
      <c r="K440">
        <v>104.9375</v>
      </c>
      <c r="L440">
        <v>10</v>
      </c>
      <c r="M440" s="14">
        <v>1</v>
      </c>
      <c r="N440" s="14">
        <v>2.25</v>
      </c>
      <c r="Q440" t="str">
        <f t="shared" si="23"/>
        <v xml:space="preserve">XX8X_PV_0782:    Front abuts stile:FALSE       Back abuts stile:TRUE          Panel Section: WHOLE           Stile in the back Width: 12           Cutout A: B-347          Cutout B:      F.C.:1 in.         C.C.:2.25 in.   </v>
      </c>
      <c r="R440" t="str">
        <f t="shared" si="22"/>
        <v>FALSE</v>
      </c>
      <c r="S440" t="str">
        <f t="shared" si="24"/>
        <v>TRUE</v>
      </c>
    </row>
    <row r="441" spans="1:19" hidden="1">
      <c r="A441" t="s">
        <v>601</v>
      </c>
      <c r="B441" s="14" t="s">
        <v>144</v>
      </c>
      <c r="C441" s="14" t="s">
        <v>21</v>
      </c>
      <c r="D441" s="14">
        <v>0</v>
      </c>
      <c r="E441" s="14"/>
      <c r="F441" s="14">
        <v>1</v>
      </c>
      <c r="G441" s="14">
        <v>0</v>
      </c>
      <c r="H441" s="14">
        <v>24</v>
      </c>
      <c r="I441" s="8" t="s">
        <v>120</v>
      </c>
      <c r="J441" s="8" t="s">
        <v>38</v>
      </c>
      <c r="K441">
        <v>96</v>
      </c>
      <c r="L441">
        <v>17.6875</v>
      </c>
      <c r="M441" s="14">
        <v>9</v>
      </c>
      <c r="N441" s="14">
        <v>3.5625</v>
      </c>
      <c r="Q441" t="str">
        <f t="shared" si="23"/>
        <v xml:space="preserve">XX8X_PV_0783:    Front abuts stile:FALSE       Back abuts stile:TRUE          Panel Section: WHOLE           Stile in the back Width: 24           Cutout A: B-386          Cutout B:      F.C.:9 in.         C.C.:3.5625 in.   </v>
      </c>
      <c r="R441" t="str">
        <f t="shared" si="22"/>
        <v>FALSE</v>
      </c>
      <c r="S441" t="str">
        <f t="shared" si="24"/>
        <v>TRUE</v>
      </c>
    </row>
    <row r="442" spans="1:19" hidden="1">
      <c r="A442" t="s">
        <v>602</v>
      </c>
      <c r="B442" s="14" t="s">
        <v>144</v>
      </c>
      <c r="C442" s="14" t="s">
        <v>21</v>
      </c>
      <c r="D442" s="14">
        <v>0</v>
      </c>
      <c r="E442" s="14"/>
      <c r="F442" s="14">
        <v>1</v>
      </c>
      <c r="G442" s="14">
        <v>0</v>
      </c>
      <c r="H442" s="14"/>
      <c r="I442" s="8" t="s">
        <v>38</v>
      </c>
      <c r="J442" s="8" t="s">
        <v>38</v>
      </c>
      <c r="K442">
        <v>86.1875</v>
      </c>
      <c r="L442">
        <v>26.9375</v>
      </c>
      <c r="M442" s="14">
        <v>5.5</v>
      </c>
      <c r="N442" s="14">
        <v>5.5</v>
      </c>
      <c r="Q442" t="str">
        <f t="shared" si="23"/>
        <v xml:space="preserve">XX8X_PV_0784:    Front abuts stile:FALSE       Back abuts stile:TRUE          Panel Section: WHOLE           Stile in the back Width:            Cutout A:           Cutout B:      F.C.:5.5 in.         C.C.:5.5 in.   </v>
      </c>
      <c r="R442" t="str">
        <f t="shared" si="22"/>
        <v>FALSE</v>
      </c>
      <c r="S442" t="str">
        <f t="shared" si="24"/>
        <v>TRUE</v>
      </c>
    </row>
    <row r="443" spans="1:19" hidden="1">
      <c r="A443" t="s">
        <v>603</v>
      </c>
      <c r="B443" s="14" t="s">
        <v>144</v>
      </c>
      <c r="C443" s="14" t="s">
        <v>21</v>
      </c>
      <c r="D443" s="14">
        <v>0</v>
      </c>
      <c r="E443" s="14"/>
      <c r="F443" s="14">
        <v>1</v>
      </c>
      <c r="G443" s="14">
        <v>1</v>
      </c>
      <c r="H443" s="14"/>
      <c r="I443" s="8" t="s">
        <v>38</v>
      </c>
      <c r="J443" s="8" t="s">
        <v>38</v>
      </c>
      <c r="K443">
        <v>38.5625</v>
      </c>
      <c r="L443">
        <v>35.4375</v>
      </c>
      <c r="M443" s="14">
        <v>12</v>
      </c>
      <c r="N443" s="14">
        <v>2.75</v>
      </c>
      <c r="Q443" t="str">
        <f t="shared" si="23"/>
        <v xml:space="preserve">XX8X_PV_0785:    Front abuts stile:FALSE       Back abuts stile:TRUE          Panel Section: WHOLE           Stile in the back Width:            Cutout A:           Cutout B:      F.C.:12 in.         C.C.:2.75 in.   </v>
      </c>
      <c r="R443" t="str">
        <f t="shared" si="22"/>
        <v>FALSE</v>
      </c>
      <c r="S443" t="str">
        <f t="shared" si="24"/>
        <v>TRUE</v>
      </c>
    </row>
    <row r="444" spans="1:19" hidden="1">
      <c r="A444" t="s">
        <v>604</v>
      </c>
      <c r="B444" s="14" t="s">
        <v>144</v>
      </c>
      <c r="C444" s="14" t="s">
        <v>21</v>
      </c>
      <c r="D444" s="14">
        <v>1</v>
      </c>
      <c r="E444" s="14">
        <v>0</v>
      </c>
      <c r="F444" s="14">
        <v>0</v>
      </c>
      <c r="G444" s="14"/>
      <c r="H444" s="14"/>
      <c r="I444" s="8" t="s">
        <v>119</v>
      </c>
      <c r="J444" s="8" t="s">
        <v>120</v>
      </c>
      <c r="K444">
        <v>74.4375</v>
      </c>
      <c r="L444">
        <v>51.4375</v>
      </c>
      <c r="M444" s="14">
        <v>4.25</v>
      </c>
      <c r="N444" s="14">
        <v>7.5625</v>
      </c>
      <c r="Q444" t="str">
        <f t="shared" si="23"/>
        <v xml:space="preserve">XX8X_PV_0786:    Front abuts stile:TRUE       Back abuts stile:FALSE          Panel Section: WHOLE           Stile in the back Width:            Cutout A: B-354          Cutout B:B-386      F.C.:4.25 in.         C.C.:7.5625 in.   </v>
      </c>
      <c r="R444" t="str">
        <f t="shared" si="22"/>
        <v>TRUE</v>
      </c>
      <c r="S444" t="str">
        <f t="shared" si="24"/>
        <v>FALSE</v>
      </c>
    </row>
    <row r="445" spans="1:19">
      <c r="A445" t="s">
        <v>605</v>
      </c>
      <c r="B445" s="14" t="s">
        <v>143</v>
      </c>
      <c r="C445" s="14" t="s">
        <v>21</v>
      </c>
      <c r="D445" s="14">
        <v>1</v>
      </c>
      <c r="E445" s="14">
        <v>0</v>
      </c>
      <c r="F445" s="14">
        <v>1</v>
      </c>
      <c r="G445" s="14">
        <v>0</v>
      </c>
      <c r="H445" s="14">
        <v>12</v>
      </c>
      <c r="I445" s="8" t="s">
        <v>149</v>
      </c>
      <c r="J445" s="8" t="s">
        <v>38</v>
      </c>
      <c r="K445">
        <v>50.9375</v>
      </c>
      <c r="L445">
        <v>75.1875</v>
      </c>
      <c r="M445" s="14">
        <v>9</v>
      </c>
      <c r="N445" s="14">
        <v>6.125</v>
      </c>
      <c r="Q445" t="str">
        <f t="shared" si="23"/>
        <v xml:space="preserve">XX8X_PV_0787:    Front abuts stile:TRUE       Back abuts stile:TRUE          Panel Section: WHOLE           Stile in the back Width: 12           Cutout A: B-34715          Cutout B:      F.C.:9 in.         C.C.:6.125 in.   </v>
      </c>
      <c r="R445" t="str">
        <f t="shared" si="22"/>
        <v>TRUE</v>
      </c>
      <c r="S445" t="str">
        <f t="shared" si="24"/>
        <v>TRUE</v>
      </c>
    </row>
    <row r="446" spans="1:19" hidden="1">
      <c r="A446" t="s">
        <v>606</v>
      </c>
      <c r="B446" s="14" t="s">
        <v>144</v>
      </c>
      <c r="C446" s="14" t="s">
        <v>21</v>
      </c>
      <c r="D446" s="14">
        <v>1</v>
      </c>
      <c r="E446" s="14">
        <v>0</v>
      </c>
      <c r="F446" s="14">
        <v>1</v>
      </c>
      <c r="G446" s="14">
        <v>0</v>
      </c>
      <c r="H446" s="14">
        <v>24</v>
      </c>
      <c r="I446" s="8" t="s">
        <v>120</v>
      </c>
      <c r="J446" s="8" t="s">
        <v>38</v>
      </c>
      <c r="K446">
        <v>82.4375</v>
      </c>
      <c r="L446">
        <v>22.75</v>
      </c>
      <c r="M446" s="14">
        <v>3.0625</v>
      </c>
      <c r="N446" s="14">
        <v>1</v>
      </c>
      <c r="Q446" t="str">
        <f t="shared" si="23"/>
        <v xml:space="preserve">XX8X_PV_0788:    Front abuts stile:TRUE       Back abuts stile:TRUE          Panel Section: WHOLE           Stile in the back Width: 24           Cutout A: B-386          Cutout B:      F.C.:3.0625 in.         C.C.:1 in.   </v>
      </c>
      <c r="R446" t="str">
        <f t="shared" si="22"/>
        <v>TRUE</v>
      </c>
      <c r="S446" t="str">
        <f t="shared" si="24"/>
        <v>TRUE</v>
      </c>
    </row>
    <row r="447" spans="1:19" hidden="1">
      <c r="A447" t="s">
        <v>607</v>
      </c>
      <c r="B447" s="14" t="s">
        <v>144</v>
      </c>
      <c r="C447" s="14" t="s">
        <v>21</v>
      </c>
      <c r="D447" s="14">
        <v>1</v>
      </c>
      <c r="E447" s="14">
        <v>0</v>
      </c>
      <c r="F447" s="14">
        <v>1</v>
      </c>
      <c r="G447" s="14">
        <v>0</v>
      </c>
      <c r="H447" s="14"/>
      <c r="I447" s="8" t="s">
        <v>120</v>
      </c>
      <c r="J447" s="8" t="s">
        <v>38</v>
      </c>
      <c r="K447">
        <v>96</v>
      </c>
      <c r="L447">
        <v>59.6875</v>
      </c>
      <c r="M447" s="14">
        <v>1</v>
      </c>
      <c r="N447" s="14">
        <v>1</v>
      </c>
      <c r="Q447" t="str">
        <f t="shared" si="23"/>
        <v xml:space="preserve">XX8X_PV_0789:    Front abuts stile:TRUE       Back abuts stile:TRUE          Panel Section: WHOLE           Stile in the back Width:            Cutout A: B-386          Cutout B:      F.C.:1 in.         C.C.:1 in.   </v>
      </c>
      <c r="R447" t="str">
        <f t="shared" si="22"/>
        <v>TRUE</v>
      </c>
      <c r="S447" t="str">
        <f t="shared" si="24"/>
        <v>TRUE</v>
      </c>
    </row>
    <row r="448" spans="1:19" hidden="1">
      <c r="A448" t="s">
        <v>608</v>
      </c>
      <c r="B448" s="14" t="s">
        <v>144</v>
      </c>
      <c r="C448" s="14" t="s">
        <v>21</v>
      </c>
      <c r="D448" s="14">
        <v>1</v>
      </c>
      <c r="E448" s="14">
        <v>0</v>
      </c>
      <c r="F448" s="14">
        <v>1</v>
      </c>
      <c r="G448" s="14">
        <v>1</v>
      </c>
      <c r="H448" s="14"/>
      <c r="I448" s="8" t="s">
        <v>151</v>
      </c>
      <c r="J448" s="8" t="s">
        <v>38</v>
      </c>
      <c r="K448">
        <v>59.5625</v>
      </c>
      <c r="L448">
        <v>70.5625</v>
      </c>
      <c r="M448" s="14">
        <v>5.1875</v>
      </c>
      <c r="N448" s="14">
        <v>4.875</v>
      </c>
      <c r="Q448" t="str">
        <f t="shared" si="23"/>
        <v xml:space="preserve">XX8X_PV_0790:    Front abuts stile:TRUE       Back abuts stile:TRUE          Panel Section: WHOLE           Stile in the back Width:            Cutout A: B-35715          Cutout B:      F.C.:5.1875 in.         C.C.:4.875 in.   </v>
      </c>
      <c r="R448" t="str">
        <f t="shared" si="22"/>
        <v>TRUE</v>
      </c>
      <c r="S448" t="str">
        <f t="shared" si="24"/>
        <v>TRUE</v>
      </c>
    </row>
    <row r="449" spans="1:19" hidden="1">
      <c r="A449" t="s">
        <v>609</v>
      </c>
      <c r="B449" s="14" t="s">
        <v>144</v>
      </c>
      <c r="C449" s="14" t="s">
        <v>21</v>
      </c>
      <c r="D449" s="14">
        <v>1</v>
      </c>
      <c r="E449" s="14">
        <v>1</v>
      </c>
      <c r="F449" s="14">
        <v>0</v>
      </c>
      <c r="G449" s="14"/>
      <c r="H449" s="14"/>
      <c r="I449" s="8" t="s">
        <v>38</v>
      </c>
      <c r="J449" s="8" t="s">
        <v>38</v>
      </c>
      <c r="K449">
        <v>39.125</v>
      </c>
      <c r="L449">
        <v>39.375</v>
      </c>
      <c r="M449" s="14">
        <v>9</v>
      </c>
      <c r="N449" s="14">
        <v>1</v>
      </c>
      <c r="Q449" t="str">
        <f t="shared" si="23"/>
        <v xml:space="preserve">XX8X_PV_0791:    Front abuts stile:TRUE       Back abuts stile:FALSE          Panel Section: WHOLE           Stile in the back Width:            Cutout A:           Cutout B:      F.C.:9 in.         C.C.:1 in.   </v>
      </c>
      <c r="R449" t="str">
        <f t="shared" si="22"/>
        <v>TRUE</v>
      </c>
      <c r="S449" t="str">
        <f t="shared" si="24"/>
        <v>FALSE</v>
      </c>
    </row>
    <row r="450" spans="1:19" hidden="1">
      <c r="A450" t="s">
        <v>610</v>
      </c>
      <c r="B450" s="14" t="s">
        <v>144</v>
      </c>
      <c r="C450" s="14" t="s">
        <v>21</v>
      </c>
      <c r="D450" s="14">
        <v>1</v>
      </c>
      <c r="E450" s="14">
        <v>1</v>
      </c>
      <c r="F450" s="14">
        <v>1</v>
      </c>
      <c r="G450" s="14">
        <v>0</v>
      </c>
      <c r="H450" s="14">
        <v>12</v>
      </c>
      <c r="I450" s="8" t="s">
        <v>120</v>
      </c>
      <c r="J450" s="8" t="s">
        <v>38</v>
      </c>
      <c r="K450">
        <v>96</v>
      </c>
      <c r="L450">
        <v>72.1875</v>
      </c>
      <c r="M450" s="14">
        <v>6.25</v>
      </c>
      <c r="N450" s="14">
        <v>1</v>
      </c>
      <c r="Q450" t="str">
        <f t="shared" si="23"/>
        <v xml:space="preserve">XX8X_PV_0792:    Front abuts stile:TRUE       Back abuts stile:TRUE          Panel Section: WHOLE           Stile in the back Width: 12           Cutout A: B-386          Cutout B:      F.C.:6.25 in.         C.C.:1 in.   </v>
      </c>
      <c r="R450" t="str">
        <f t="shared" si="22"/>
        <v>TRUE</v>
      </c>
      <c r="S450" t="str">
        <f t="shared" si="24"/>
        <v>TRUE</v>
      </c>
    </row>
    <row r="451" spans="1:19" hidden="1">
      <c r="A451" t="s">
        <v>611</v>
      </c>
      <c r="B451" s="14" t="s">
        <v>144</v>
      </c>
      <c r="C451" s="14" t="s">
        <v>21</v>
      </c>
      <c r="D451" s="14">
        <v>1</v>
      </c>
      <c r="E451" s="14">
        <v>1</v>
      </c>
      <c r="F451" s="14">
        <v>1</v>
      </c>
      <c r="G451" s="14">
        <v>0</v>
      </c>
      <c r="H451" s="14">
        <v>24</v>
      </c>
      <c r="I451" s="8" t="s">
        <v>120</v>
      </c>
      <c r="J451" s="8" t="s">
        <v>38</v>
      </c>
      <c r="K451">
        <v>96</v>
      </c>
      <c r="L451">
        <v>37.3125</v>
      </c>
      <c r="M451" s="14">
        <v>7.75</v>
      </c>
      <c r="N451" s="14">
        <v>1</v>
      </c>
      <c r="Q451" t="str">
        <f t="shared" si="23"/>
        <v xml:space="preserve">XX8X_PV_0793:    Front abuts stile:TRUE       Back abuts stile:TRUE          Panel Section: WHOLE           Stile in the back Width: 24           Cutout A: B-386          Cutout B:      F.C.:7.75 in.         C.C.:1 in.   </v>
      </c>
      <c r="R451" t="str">
        <f t="shared" si="22"/>
        <v>TRUE</v>
      </c>
      <c r="S451" t="str">
        <f t="shared" si="24"/>
        <v>TRUE</v>
      </c>
    </row>
    <row r="452" spans="1:19" hidden="1">
      <c r="A452" t="s">
        <v>612</v>
      </c>
      <c r="B452" s="14" t="s">
        <v>144</v>
      </c>
      <c r="C452" s="14" t="s">
        <v>21</v>
      </c>
      <c r="D452" s="14">
        <v>1</v>
      </c>
      <c r="E452" s="14">
        <v>1</v>
      </c>
      <c r="F452" s="14">
        <v>1</v>
      </c>
      <c r="G452" s="14">
        <v>0</v>
      </c>
      <c r="H452" s="14"/>
      <c r="I452" s="8" t="s">
        <v>38</v>
      </c>
      <c r="J452" s="8" t="s">
        <v>38</v>
      </c>
      <c r="K452">
        <v>96</v>
      </c>
      <c r="L452">
        <v>39</v>
      </c>
      <c r="M452" s="14">
        <v>12</v>
      </c>
      <c r="N452" s="14">
        <v>5.25</v>
      </c>
      <c r="Q452" t="str">
        <f t="shared" si="23"/>
        <v xml:space="preserve">XX8X_PV_0794:    Front abuts stile:TRUE       Back abuts stile:TRUE          Panel Section: WHOLE           Stile in the back Width:            Cutout A:           Cutout B:      F.C.:12 in.         C.C.:5.25 in.   </v>
      </c>
      <c r="R452" t="str">
        <f t="shared" ref="R452:R515" si="25">IF(D452=1, "TRUE", "FALSE")</f>
        <v>TRUE</v>
      </c>
      <c r="S452" t="str">
        <f t="shared" si="24"/>
        <v>TRUE</v>
      </c>
    </row>
    <row r="453" spans="1:19" hidden="1">
      <c r="A453" t="s">
        <v>613</v>
      </c>
      <c r="B453" s="14" t="s">
        <v>144</v>
      </c>
      <c r="C453" s="14" t="s">
        <v>21</v>
      </c>
      <c r="D453" s="14">
        <v>1</v>
      </c>
      <c r="E453" s="14">
        <v>1</v>
      </c>
      <c r="F453" s="14">
        <v>1</v>
      </c>
      <c r="G453" s="14">
        <v>1</v>
      </c>
      <c r="H453" s="14"/>
      <c r="I453" s="8" t="s">
        <v>120</v>
      </c>
      <c r="J453" s="8" t="s">
        <v>38</v>
      </c>
      <c r="K453">
        <v>39.0625</v>
      </c>
      <c r="L453">
        <v>73.25</v>
      </c>
      <c r="M453" s="14">
        <v>4.0625</v>
      </c>
      <c r="N453" s="14">
        <v>1</v>
      </c>
      <c r="Q453" t="str">
        <f t="shared" si="23"/>
        <v xml:space="preserve">XX8X_PV_0795:    Front abuts stile:TRUE       Back abuts stile:TRUE          Panel Section: WHOLE           Stile in the back Width:            Cutout A: B-386          Cutout B:      F.C.:4.0625 in.         C.C.:1 in.   </v>
      </c>
      <c r="R453" t="str">
        <f t="shared" si="25"/>
        <v>TRUE</v>
      </c>
      <c r="S453" t="str">
        <f t="shared" si="24"/>
        <v>TRUE</v>
      </c>
    </row>
    <row r="454" spans="1:19" hidden="1">
      <c r="A454" t="s">
        <v>614</v>
      </c>
      <c r="B454" s="14" t="s">
        <v>144</v>
      </c>
      <c r="C454" s="14" t="s">
        <v>156</v>
      </c>
      <c r="D454" s="19">
        <v>0</v>
      </c>
      <c r="E454" s="19"/>
      <c r="F454" s="19">
        <v>0</v>
      </c>
      <c r="G454" s="19"/>
      <c r="H454" s="14"/>
      <c r="I454" s="8" t="s">
        <v>119</v>
      </c>
      <c r="J454" s="8" t="s">
        <v>38</v>
      </c>
      <c r="K454">
        <v>18.0625</v>
      </c>
      <c r="L454">
        <v>40.875</v>
      </c>
      <c r="M454" s="14">
        <v>11</v>
      </c>
      <c r="N454" s="14">
        <v>4</v>
      </c>
      <c r="Q454" t="str">
        <f t="shared" si="23"/>
        <v xml:space="preserve">XX8X_PV_0811:    Front abuts stile:FALSE       Back abuts stile:FALSE          Panel Section: TOP           Stile in the back Width:            Cutout A: B-354          Cutout B:      F.C.:11 in.         C.C.:4 in.   </v>
      </c>
      <c r="R454" t="str">
        <f t="shared" si="25"/>
        <v>FALSE</v>
      </c>
      <c r="S454" t="str">
        <f t="shared" si="24"/>
        <v>FALSE</v>
      </c>
    </row>
    <row r="455" spans="1:19" hidden="1">
      <c r="A455" t="s">
        <v>615</v>
      </c>
      <c r="B455" s="14" t="s">
        <v>144</v>
      </c>
      <c r="C455" s="14" t="s">
        <v>156</v>
      </c>
      <c r="D455" s="14">
        <v>0</v>
      </c>
      <c r="E455" s="14"/>
      <c r="F455" s="14">
        <v>1</v>
      </c>
      <c r="G455" s="14">
        <v>0</v>
      </c>
      <c r="H455" s="14">
        <v>12</v>
      </c>
      <c r="I455" s="8" t="s">
        <v>145</v>
      </c>
      <c r="J455" s="8" t="s">
        <v>38</v>
      </c>
      <c r="K455">
        <v>6</v>
      </c>
      <c r="L455">
        <v>24.25</v>
      </c>
      <c r="M455" s="14">
        <v>9</v>
      </c>
      <c r="N455" s="14">
        <v>7.4375</v>
      </c>
      <c r="Q455" t="str">
        <f t="shared" ref="Q455:Q518" si="26">A455&amp;":    Front abuts stile:"&amp;R455&amp;"       Back abuts stile:"&amp;S455&amp;"          Panel Section: "&amp;C455&amp;"           Stile in the back Width: "&amp;H455&amp;"           Cutout A: "&amp;I455&amp;"          Cutout B:"&amp;J455&amp;"      F.C.:"&amp;M455&amp;" in. "&amp;"        C.C.:"&amp;N455&amp;" in. "&amp;"  "</f>
        <v xml:space="preserve">XX8X_PV_0812:    Front abuts stile:FALSE       Back abuts stile:TRUE          Panel Section: TOP           Stile in the back Width: 12           Cutout A: B-347          Cutout B:      F.C.:9 in.         C.C.:7.4375 in.   </v>
      </c>
      <c r="R455" t="str">
        <f t="shared" si="25"/>
        <v>FALSE</v>
      </c>
      <c r="S455" t="str">
        <f t="shared" si="24"/>
        <v>TRUE</v>
      </c>
    </row>
    <row r="456" spans="1:19" hidden="1">
      <c r="A456" t="s">
        <v>616</v>
      </c>
      <c r="B456" s="14" t="s">
        <v>144</v>
      </c>
      <c r="C456" s="14" t="s">
        <v>156</v>
      </c>
      <c r="D456" s="14">
        <v>0</v>
      </c>
      <c r="E456" s="14"/>
      <c r="F456" s="14">
        <v>1</v>
      </c>
      <c r="G456" s="14">
        <v>0</v>
      </c>
      <c r="H456" s="14">
        <v>24</v>
      </c>
      <c r="I456" s="8" t="s">
        <v>120</v>
      </c>
      <c r="J456" s="8" t="s">
        <v>38</v>
      </c>
      <c r="K456">
        <v>10.5625</v>
      </c>
      <c r="L456">
        <v>59.9375</v>
      </c>
      <c r="M456" s="14">
        <v>9</v>
      </c>
      <c r="N456" s="14">
        <v>3.6875</v>
      </c>
      <c r="Q456" t="str">
        <f t="shared" si="26"/>
        <v xml:space="preserve">XX8X_PV_0813:    Front abuts stile:FALSE       Back abuts stile:TRUE          Panel Section: TOP           Stile in the back Width: 24           Cutout A: B-386          Cutout B:      F.C.:9 in.         C.C.:3.6875 in.   </v>
      </c>
      <c r="R456" t="str">
        <f t="shared" si="25"/>
        <v>FALSE</v>
      </c>
      <c r="S456" t="str">
        <f t="shared" si="24"/>
        <v>TRUE</v>
      </c>
    </row>
    <row r="457" spans="1:19" hidden="1">
      <c r="A457" t="s">
        <v>617</v>
      </c>
      <c r="B457" s="14" t="s">
        <v>144</v>
      </c>
      <c r="C457" s="14" t="s">
        <v>156</v>
      </c>
      <c r="D457" s="14">
        <v>0</v>
      </c>
      <c r="E457" s="14"/>
      <c r="F457" s="14">
        <v>1</v>
      </c>
      <c r="G457" s="14">
        <v>0</v>
      </c>
      <c r="H457" s="14"/>
      <c r="I457" s="8" t="s">
        <v>120</v>
      </c>
      <c r="J457" s="8" t="s">
        <v>38</v>
      </c>
      <c r="K457">
        <v>42.875</v>
      </c>
      <c r="L457">
        <v>27.4375</v>
      </c>
      <c r="M457" s="14">
        <v>12</v>
      </c>
      <c r="N457" s="14">
        <v>1.1875</v>
      </c>
      <c r="Q457" t="str">
        <f t="shared" si="26"/>
        <v xml:space="preserve">XX8X_PV_0814:    Front abuts stile:FALSE       Back abuts stile:TRUE          Panel Section: TOP           Stile in the back Width:            Cutout A: B-386          Cutout B:      F.C.:12 in.         C.C.:1.1875 in.   </v>
      </c>
      <c r="R457" t="str">
        <f t="shared" si="25"/>
        <v>FALSE</v>
      </c>
      <c r="S457" t="str">
        <f t="shared" si="24"/>
        <v>TRUE</v>
      </c>
    </row>
    <row r="458" spans="1:19" hidden="1">
      <c r="A458" t="s">
        <v>618</v>
      </c>
      <c r="B458" s="14" t="s">
        <v>144</v>
      </c>
      <c r="C458" s="14" t="s">
        <v>156</v>
      </c>
      <c r="D458" s="14">
        <v>0</v>
      </c>
      <c r="E458" s="14"/>
      <c r="F458" s="14">
        <v>1</v>
      </c>
      <c r="G458" s="14">
        <v>1</v>
      </c>
      <c r="H458" s="14"/>
      <c r="I458" s="8" t="s">
        <v>120</v>
      </c>
      <c r="J458" s="8" t="s">
        <v>38</v>
      </c>
      <c r="K458">
        <v>11.4375</v>
      </c>
      <c r="L458">
        <v>68.9375</v>
      </c>
      <c r="M458" s="14">
        <v>3.375</v>
      </c>
      <c r="N458" s="14">
        <v>3.9375</v>
      </c>
      <c r="Q458" t="str">
        <f t="shared" si="26"/>
        <v xml:space="preserve">XX8X_PV_0815:    Front abuts stile:FALSE       Back abuts stile:TRUE          Panel Section: TOP           Stile in the back Width:            Cutout A: B-386          Cutout B:      F.C.:3.375 in.         C.C.:3.9375 in.   </v>
      </c>
      <c r="R458" t="str">
        <f t="shared" si="25"/>
        <v>FALSE</v>
      </c>
      <c r="S458" t="str">
        <f t="shared" si="24"/>
        <v>TRUE</v>
      </c>
    </row>
    <row r="459" spans="1:19" hidden="1">
      <c r="A459" t="s">
        <v>619</v>
      </c>
      <c r="B459" s="14" t="s">
        <v>144</v>
      </c>
      <c r="C459" s="14" t="s">
        <v>156</v>
      </c>
      <c r="D459" s="14">
        <v>1</v>
      </c>
      <c r="E459" s="14">
        <v>0</v>
      </c>
      <c r="F459" s="14">
        <v>0</v>
      </c>
      <c r="G459" s="14"/>
      <c r="H459" s="14"/>
      <c r="I459" s="8" t="s">
        <v>149</v>
      </c>
      <c r="J459" s="8" t="s">
        <v>38</v>
      </c>
      <c r="K459">
        <v>20.6875</v>
      </c>
      <c r="L459">
        <v>14.375</v>
      </c>
      <c r="M459" s="14">
        <v>4.5</v>
      </c>
      <c r="N459" s="14">
        <v>4.5</v>
      </c>
      <c r="Q459" t="str">
        <f t="shared" si="26"/>
        <v xml:space="preserve">XX8X_PV_0816:    Front abuts stile:TRUE       Back abuts stile:FALSE          Panel Section: TOP           Stile in the back Width:            Cutout A: B-34715          Cutout B:      F.C.:4.5 in.         C.C.:4.5 in.   </v>
      </c>
      <c r="R459" t="str">
        <f t="shared" si="25"/>
        <v>TRUE</v>
      </c>
      <c r="S459" t="str">
        <f t="shared" si="24"/>
        <v>FALSE</v>
      </c>
    </row>
    <row r="460" spans="1:19" hidden="1">
      <c r="A460" t="s">
        <v>620</v>
      </c>
      <c r="B460" s="14" t="s">
        <v>144</v>
      </c>
      <c r="C460" s="14" t="s">
        <v>156</v>
      </c>
      <c r="D460" s="14">
        <v>1</v>
      </c>
      <c r="E460" s="14">
        <v>0</v>
      </c>
      <c r="F460" s="14">
        <v>1</v>
      </c>
      <c r="G460" s="14">
        <v>0</v>
      </c>
      <c r="H460" s="14">
        <v>12</v>
      </c>
      <c r="I460" s="8" t="s">
        <v>35</v>
      </c>
      <c r="J460" s="8" t="s">
        <v>38</v>
      </c>
      <c r="K460">
        <v>20.625</v>
      </c>
      <c r="L460">
        <v>70.3125</v>
      </c>
      <c r="M460" s="14">
        <v>4</v>
      </c>
      <c r="N460" s="14">
        <v>1</v>
      </c>
      <c r="Q460" t="str">
        <f t="shared" si="26"/>
        <v xml:space="preserve">XX8X_PV_0817:    Front abuts stile:TRUE       Back abuts stile:TRUE          Panel Section: TOP           Stile in the back Width: 12           Cutout A: B-357          Cutout B:      F.C.:4 in.         C.C.:1 in.   </v>
      </c>
      <c r="R460" t="str">
        <f t="shared" si="25"/>
        <v>TRUE</v>
      </c>
      <c r="S460" t="str">
        <f t="shared" si="24"/>
        <v>TRUE</v>
      </c>
    </row>
    <row r="461" spans="1:19" hidden="1">
      <c r="A461" t="s">
        <v>621</v>
      </c>
      <c r="B461" s="14" t="s">
        <v>144</v>
      </c>
      <c r="C461" s="14" t="s">
        <v>156</v>
      </c>
      <c r="D461" s="14">
        <v>1</v>
      </c>
      <c r="E461" s="14">
        <v>0</v>
      </c>
      <c r="F461" s="14">
        <v>1</v>
      </c>
      <c r="G461" s="14">
        <v>0</v>
      </c>
      <c r="H461" s="14">
        <v>24</v>
      </c>
      <c r="I461" s="8" t="s">
        <v>120</v>
      </c>
      <c r="J461" s="8" t="s">
        <v>38</v>
      </c>
      <c r="K461">
        <v>29.625</v>
      </c>
      <c r="L461">
        <v>63.4375</v>
      </c>
      <c r="M461" s="14">
        <v>1</v>
      </c>
      <c r="N461" s="14">
        <v>6.5</v>
      </c>
      <c r="Q461" t="str">
        <f t="shared" si="26"/>
        <v xml:space="preserve">XX8X_PV_0818:    Front abuts stile:TRUE       Back abuts stile:TRUE          Panel Section: TOP           Stile in the back Width: 24           Cutout A: B-386          Cutout B:      F.C.:1 in.         C.C.:6.5 in.   </v>
      </c>
      <c r="R461" t="str">
        <f t="shared" si="25"/>
        <v>TRUE</v>
      </c>
      <c r="S461" t="str">
        <f t="shared" si="24"/>
        <v>TRUE</v>
      </c>
    </row>
    <row r="462" spans="1:19" hidden="1">
      <c r="A462" t="s">
        <v>622</v>
      </c>
      <c r="B462" s="14" t="s">
        <v>144</v>
      </c>
      <c r="C462" s="14" t="s">
        <v>156</v>
      </c>
      <c r="D462" s="14">
        <v>1</v>
      </c>
      <c r="E462" s="14">
        <v>0</v>
      </c>
      <c r="F462" s="14">
        <v>1</v>
      </c>
      <c r="G462" s="14">
        <v>0</v>
      </c>
      <c r="H462" s="14"/>
      <c r="I462" s="8" t="s">
        <v>150</v>
      </c>
      <c r="J462" s="8" t="s">
        <v>38</v>
      </c>
      <c r="K462">
        <v>47.375</v>
      </c>
      <c r="L462">
        <v>49.4375</v>
      </c>
      <c r="M462" s="14">
        <v>1.375</v>
      </c>
      <c r="N462" s="14">
        <v>1</v>
      </c>
      <c r="Q462" t="str">
        <f t="shared" si="26"/>
        <v xml:space="preserve">XX8X_PV_0819:    Front abuts stile:TRUE       Back abuts stile:TRUE          Panel Section: TOP           Stile in the back Width:            Cutout A: B-3571          Cutout B:      F.C.:1.375 in.         C.C.:1 in.   </v>
      </c>
      <c r="R462" t="str">
        <f t="shared" si="25"/>
        <v>TRUE</v>
      </c>
      <c r="S462" t="str">
        <f t="shared" si="24"/>
        <v>TRUE</v>
      </c>
    </row>
    <row r="463" spans="1:19" hidden="1">
      <c r="A463" t="s">
        <v>623</v>
      </c>
      <c r="B463" s="14" t="s">
        <v>144</v>
      </c>
      <c r="C463" s="14" t="s">
        <v>156</v>
      </c>
      <c r="D463" s="14">
        <v>1</v>
      </c>
      <c r="E463" s="14">
        <v>0</v>
      </c>
      <c r="F463" s="14">
        <v>1</v>
      </c>
      <c r="G463" s="14">
        <v>1</v>
      </c>
      <c r="H463" s="14"/>
      <c r="I463" s="8" t="s">
        <v>120</v>
      </c>
      <c r="J463" s="8" t="s">
        <v>38</v>
      </c>
      <c r="K463">
        <v>48.1875</v>
      </c>
      <c r="L463">
        <v>67.25</v>
      </c>
      <c r="M463" s="14">
        <v>1</v>
      </c>
      <c r="N463" s="14">
        <v>1</v>
      </c>
      <c r="Q463" t="str">
        <f t="shared" si="26"/>
        <v xml:space="preserve">XX8X_PV_0820:    Front abuts stile:TRUE       Back abuts stile:TRUE          Panel Section: TOP           Stile in the back Width:            Cutout A: B-386          Cutout B:      F.C.:1 in.         C.C.:1 in.   </v>
      </c>
      <c r="R463" t="str">
        <f t="shared" si="25"/>
        <v>TRUE</v>
      </c>
      <c r="S463" t="str">
        <f t="shared" si="24"/>
        <v>TRUE</v>
      </c>
    </row>
    <row r="464" spans="1:19" hidden="1">
      <c r="A464" t="s">
        <v>624</v>
      </c>
      <c r="B464" s="14" t="s">
        <v>144</v>
      </c>
      <c r="C464" s="14" t="s">
        <v>156</v>
      </c>
      <c r="D464" s="14">
        <v>1</v>
      </c>
      <c r="E464" s="14">
        <v>1</v>
      </c>
      <c r="F464" s="14">
        <v>0</v>
      </c>
      <c r="G464" s="14"/>
      <c r="H464" s="14"/>
      <c r="I464" s="8" t="s">
        <v>119</v>
      </c>
      <c r="J464" s="8" t="s">
        <v>38</v>
      </c>
      <c r="K464">
        <v>10.6875</v>
      </c>
      <c r="L464">
        <v>32.8125</v>
      </c>
      <c r="M464" s="14">
        <v>9</v>
      </c>
      <c r="N464" s="14">
        <v>8.0625</v>
      </c>
      <c r="Q464" t="str">
        <f t="shared" si="26"/>
        <v xml:space="preserve">XX8X_PV_0821:    Front abuts stile:TRUE       Back abuts stile:FALSE          Panel Section: TOP           Stile in the back Width:            Cutout A: B-354          Cutout B:      F.C.:9 in.         C.C.:8.0625 in.   </v>
      </c>
      <c r="R464" t="str">
        <f t="shared" si="25"/>
        <v>TRUE</v>
      </c>
      <c r="S464" t="str">
        <f t="shared" si="24"/>
        <v>FALSE</v>
      </c>
    </row>
    <row r="465" spans="1:19" hidden="1">
      <c r="A465" t="s">
        <v>625</v>
      </c>
      <c r="B465" s="14" t="s">
        <v>144</v>
      </c>
      <c r="C465" s="14" t="s">
        <v>156</v>
      </c>
      <c r="D465" s="14">
        <v>1</v>
      </c>
      <c r="E465" s="14">
        <v>1</v>
      </c>
      <c r="F465" s="14">
        <v>1</v>
      </c>
      <c r="G465" s="14">
        <v>0</v>
      </c>
      <c r="H465" s="14">
        <v>12</v>
      </c>
      <c r="I465" s="8" t="s">
        <v>38</v>
      </c>
      <c r="J465" s="8" t="s">
        <v>38</v>
      </c>
      <c r="K465">
        <v>15.75</v>
      </c>
      <c r="L465">
        <v>34.3125</v>
      </c>
      <c r="M465" s="14">
        <v>1</v>
      </c>
      <c r="N465" s="14">
        <v>1</v>
      </c>
      <c r="Q465" t="str">
        <f t="shared" si="26"/>
        <v xml:space="preserve">XX8X_PV_0822:    Front abuts stile:TRUE       Back abuts stile:TRUE          Panel Section: TOP           Stile in the back Width: 12           Cutout A:           Cutout B:      F.C.:1 in.         C.C.:1 in.   </v>
      </c>
      <c r="R465" t="str">
        <f t="shared" si="25"/>
        <v>TRUE</v>
      </c>
      <c r="S465" t="str">
        <f t="shared" si="24"/>
        <v>TRUE</v>
      </c>
    </row>
    <row r="466" spans="1:19" hidden="1">
      <c r="A466" t="s">
        <v>626</v>
      </c>
      <c r="B466" s="14" t="s">
        <v>144</v>
      </c>
      <c r="C466" s="14" t="s">
        <v>156</v>
      </c>
      <c r="D466" s="14">
        <v>1</v>
      </c>
      <c r="E466" s="14">
        <v>1</v>
      </c>
      <c r="F466" s="14">
        <v>1</v>
      </c>
      <c r="G466" s="14">
        <v>0</v>
      </c>
      <c r="H466" s="14">
        <v>24</v>
      </c>
      <c r="I466" s="8" t="s">
        <v>120</v>
      </c>
      <c r="J466" s="8" t="s">
        <v>38</v>
      </c>
      <c r="K466">
        <v>7.0625</v>
      </c>
      <c r="L466">
        <v>17.75</v>
      </c>
      <c r="M466" s="14">
        <v>4.5</v>
      </c>
      <c r="N466" s="14">
        <v>8.0625</v>
      </c>
      <c r="Q466" t="str">
        <f t="shared" si="26"/>
        <v xml:space="preserve">XX8X_PV_0823:    Front abuts stile:TRUE       Back abuts stile:TRUE          Panel Section: TOP           Stile in the back Width: 24           Cutout A: B-386          Cutout B:      F.C.:4.5 in.         C.C.:8.0625 in.   </v>
      </c>
      <c r="R466" t="str">
        <f t="shared" si="25"/>
        <v>TRUE</v>
      </c>
      <c r="S466" t="str">
        <f t="shared" ref="S466:S529" si="27">IF(F466=1, "TRUE", "FALSE")</f>
        <v>TRUE</v>
      </c>
    </row>
    <row r="467" spans="1:19" hidden="1">
      <c r="A467" t="s">
        <v>627</v>
      </c>
      <c r="B467" s="14" t="s">
        <v>144</v>
      </c>
      <c r="C467" s="14" t="s">
        <v>156</v>
      </c>
      <c r="D467" s="14">
        <v>1</v>
      </c>
      <c r="E467" s="14">
        <v>1</v>
      </c>
      <c r="F467" s="14">
        <v>1</v>
      </c>
      <c r="G467" s="14">
        <v>0</v>
      </c>
      <c r="H467" s="14"/>
      <c r="I467" s="8" t="s">
        <v>35</v>
      </c>
      <c r="J467" s="8" t="s">
        <v>38</v>
      </c>
      <c r="K467">
        <v>32.4375</v>
      </c>
      <c r="L467">
        <v>26.625</v>
      </c>
      <c r="M467" s="14">
        <v>7.6875</v>
      </c>
      <c r="N467" s="14">
        <v>3.3125</v>
      </c>
      <c r="Q467" t="str">
        <f t="shared" si="26"/>
        <v xml:space="preserve">XX8X_PV_0824:    Front abuts stile:TRUE       Back abuts stile:TRUE          Panel Section: TOP           Stile in the back Width:            Cutout A: B-357          Cutout B:      F.C.:7.6875 in.         C.C.:3.3125 in.   </v>
      </c>
      <c r="R467" t="str">
        <f t="shared" si="25"/>
        <v>TRUE</v>
      </c>
      <c r="S467" t="str">
        <f t="shared" si="27"/>
        <v>TRUE</v>
      </c>
    </row>
    <row r="468" spans="1:19" hidden="1">
      <c r="A468" t="s">
        <v>628</v>
      </c>
      <c r="B468" s="14" t="s">
        <v>144</v>
      </c>
      <c r="C468" s="14" t="s">
        <v>156</v>
      </c>
      <c r="D468" s="14">
        <v>1</v>
      </c>
      <c r="E468" s="14">
        <v>1</v>
      </c>
      <c r="F468" s="14">
        <v>1</v>
      </c>
      <c r="G468" s="14">
        <v>1</v>
      </c>
      <c r="H468" s="14"/>
      <c r="I468" s="8" t="s">
        <v>38</v>
      </c>
      <c r="J468" s="8" t="s">
        <v>38</v>
      </c>
      <c r="K468">
        <v>45.5625</v>
      </c>
      <c r="L468">
        <v>78.1875</v>
      </c>
      <c r="M468" s="14">
        <v>1</v>
      </c>
      <c r="N468" s="14">
        <v>8.4375</v>
      </c>
      <c r="Q468" t="str">
        <f t="shared" si="26"/>
        <v xml:space="preserve">XX8X_PV_0825:    Front abuts stile:TRUE       Back abuts stile:TRUE          Panel Section: TOP           Stile in the back Width:            Cutout A:           Cutout B:      F.C.:1 in.         C.C.:8.4375 in.   </v>
      </c>
      <c r="R468" t="str">
        <f t="shared" si="25"/>
        <v>TRUE</v>
      </c>
      <c r="S468" t="str">
        <f t="shared" si="27"/>
        <v>TRUE</v>
      </c>
    </row>
    <row r="469" spans="1:19" hidden="1">
      <c r="A469" t="s">
        <v>629</v>
      </c>
      <c r="B469" s="14" t="s">
        <v>144</v>
      </c>
      <c r="C469" s="14" t="s">
        <v>157</v>
      </c>
      <c r="D469" s="14">
        <v>0</v>
      </c>
      <c r="E469" s="14"/>
      <c r="F469" s="14">
        <v>0</v>
      </c>
      <c r="G469" s="14"/>
      <c r="H469" s="14"/>
      <c r="I469" s="8" t="s">
        <v>38</v>
      </c>
      <c r="J469" s="8" t="s">
        <v>38</v>
      </c>
      <c r="K469">
        <v>60</v>
      </c>
      <c r="L469">
        <v>41.375</v>
      </c>
      <c r="M469" s="14">
        <v>7.4375</v>
      </c>
      <c r="N469" s="14">
        <v>8.3125</v>
      </c>
      <c r="Q469" t="str">
        <f t="shared" si="26"/>
        <v xml:space="preserve">XX8X_PV_0841:    Front abuts stile:FALSE       Back abuts stile:FALSE          Panel Section: BOTTOM           Stile in the back Width:            Cutout A:           Cutout B:      F.C.:7.4375 in.         C.C.:8.3125 in.   </v>
      </c>
      <c r="R469" t="str">
        <f t="shared" si="25"/>
        <v>FALSE</v>
      </c>
      <c r="S469" t="str">
        <f t="shared" si="27"/>
        <v>FALSE</v>
      </c>
    </row>
    <row r="470" spans="1:19" hidden="1">
      <c r="A470" t="s">
        <v>630</v>
      </c>
      <c r="B470" s="14" t="s">
        <v>144</v>
      </c>
      <c r="C470" s="14" t="s">
        <v>157</v>
      </c>
      <c r="D470" s="14">
        <v>0</v>
      </c>
      <c r="E470" s="14"/>
      <c r="F470" s="14">
        <v>1</v>
      </c>
      <c r="G470" s="14">
        <v>0</v>
      </c>
      <c r="H470" s="14">
        <v>12</v>
      </c>
      <c r="I470" s="8" t="s">
        <v>120</v>
      </c>
      <c r="J470" s="8" t="s">
        <v>38</v>
      </c>
      <c r="K470">
        <v>60</v>
      </c>
      <c r="L470">
        <v>21.375</v>
      </c>
      <c r="M470" s="14">
        <v>9</v>
      </c>
      <c r="N470" s="14">
        <v>5.5625</v>
      </c>
      <c r="Q470" t="str">
        <f t="shared" si="26"/>
        <v xml:space="preserve">XX8X_PV_0842:    Front abuts stile:FALSE       Back abuts stile:TRUE          Panel Section: BOTTOM           Stile in the back Width: 12           Cutout A: B-386          Cutout B:      F.C.:9 in.         C.C.:5.5625 in.   </v>
      </c>
      <c r="R470" t="str">
        <f t="shared" si="25"/>
        <v>FALSE</v>
      </c>
      <c r="S470" t="str">
        <f t="shared" si="27"/>
        <v>TRUE</v>
      </c>
    </row>
    <row r="471" spans="1:19" hidden="1">
      <c r="A471" t="s">
        <v>631</v>
      </c>
      <c r="B471" s="14" t="s">
        <v>144</v>
      </c>
      <c r="C471" s="14" t="s">
        <v>157</v>
      </c>
      <c r="D471" s="14">
        <v>0</v>
      </c>
      <c r="E471" s="14"/>
      <c r="F471" s="14">
        <v>1</v>
      </c>
      <c r="G471" s="14">
        <v>0</v>
      </c>
      <c r="H471" s="14">
        <v>24</v>
      </c>
      <c r="I471" s="8" t="s">
        <v>38</v>
      </c>
      <c r="J471" s="8" t="s">
        <v>38</v>
      </c>
      <c r="K471">
        <v>60</v>
      </c>
      <c r="L471">
        <v>23.9375</v>
      </c>
      <c r="M471" s="14">
        <v>9</v>
      </c>
      <c r="N471" s="14">
        <v>2.5</v>
      </c>
      <c r="Q471" t="str">
        <f t="shared" si="26"/>
        <v xml:space="preserve">XX8X_PV_0843:    Front abuts stile:FALSE       Back abuts stile:TRUE          Panel Section: BOTTOM           Stile in the back Width: 24           Cutout A:           Cutout B:      F.C.:9 in.         C.C.:2.5 in.   </v>
      </c>
      <c r="R471" t="str">
        <f t="shared" si="25"/>
        <v>FALSE</v>
      </c>
      <c r="S471" t="str">
        <f t="shared" si="27"/>
        <v>TRUE</v>
      </c>
    </row>
    <row r="472" spans="1:19" hidden="1">
      <c r="A472" t="s">
        <v>632</v>
      </c>
      <c r="B472" s="14" t="s">
        <v>144</v>
      </c>
      <c r="C472" s="14" t="s">
        <v>157</v>
      </c>
      <c r="D472" s="14">
        <v>0</v>
      </c>
      <c r="E472" s="14"/>
      <c r="F472" s="14">
        <v>1</v>
      </c>
      <c r="G472" s="14">
        <v>0</v>
      </c>
      <c r="H472" s="14"/>
      <c r="I472" s="8" t="s">
        <v>148</v>
      </c>
      <c r="J472" s="8" t="s">
        <v>38</v>
      </c>
      <c r="K472">
        <v>60</v>
      </c>
      <c r="L472">
        <v>35.5</v>
      </c>
      <c r="M472" s="14">
        <v>9</v>
      </c>
      <c r="N472" s="14">
        <v>1</v>
      </c>
      <c r="Q472" t="str">
        <f t="shared" si="26"/>
        <v xml:space="preserve">XX8X_PV_0844:    Front abuts stile:FALSE       Back abuts stile:TRUE          Panel Section: BOTTOM           Stile in the back Width:            Cutout A: B-3471          Cutout B:      F.C.:9 in.         C.C.:1 in.   </v>
      </c>
      <c r="R472" t="str">
        <f t="shared" si="25"/>
        <v>FALSE</v>
      </c>
      <c r="S472" t="str">
        <f t="shared" si="27"/>
        <v>TRUE</v>
      </c>
    </row>
    <row r="473" spans="1:19" hidden="1">
      <c r="A473" t="s">
        <v>633</v>
      </c>
      <c r="B473" s="14" t="s">
        <v>144</v>
      </c>
      <c r="C473" s="14" t="s">
        <v>157</v>
      </c>
      <c r="D473" s="14">
        <v>0</v>
      </c>
      <c r="E473" s="14"/>
      <c r="F473" s="14">
        <v>1</v>
      </c>
      <c r="G473" s="14">
        <v>1</v>
      </c>
      <c r="H473" s="14"/>
      <c r="I473" s="8" t="s">
        <v>38</v>
      </c>
      <c r="J473" s="8" t="s">
        <v>38</v>
      </c>
      <c r="K473">
        <v>60</v>
      </c>
      <c r="L473">
        <v>8.8125</v>
      </c>
      <c r="M473" s="14">
        <v>4.5</v>
      </c>
      <c r="N473" s="14">
        <v>1</v>
      </c>
      <c r="Q473" t="str">
        <f t="shared" si="26"/>
        <v xml:space="preserve">XX8X_PV_0845:    Front abuts stile:FALSE       Back abuts stile:TRUE          Panel Section: BOTTOM           Stile in the back Width:            Cutout A:           Cutout B:      F.C.:4.5 in.         C.C.:1 in.   </v>
      </c>
      <c r="R473" t="str">
        <f t="shared" si="25"/>
        <v>FALSE</v>
      </c>
      <c r="S473" t="str">
        <f t="shared" si="27"/>
        <v>TRUE</v>
      </c>
    </row>
    <row r="474" spans="1:19" hidden="1">
      <c r="A474" t="s">
        <v>634</v>
      </c>
      <c r="B474" s="14" t="s">
        <v>144</v>
      </c>
      <c r="C474" s="14" t="s">
        <v>157</v>
      </c>
      <c r="D474" s="14">
        <v>1</v>
      </c>
      <c r="E474" s="14">
        <v>0</v>
      </c>
      <c r="F474" s="14">
        <v>0</v>
      </c>
      <c r="G474" s="14"/>
      <c r="H474" s="14"/>
      <c r="I474" s="8" t="s">
        <v>38</v>
      </c>
      <c r="J474" s="8" t="s">
        <v>38</v>
      </c>
      <c r="K474">
        <v>60</v>
      </c>
      <c r="L474">
        <v>11.1875</v>
      </c>
      <c r="M474" s="14">
        <v>3.5</v>
      </c>
      <c r="N474" s="14">
        <v>4.125</v>
      </c>
      <c r="Q474" t="str">
        <f t="shared" si="26"/>
        <v xml:space="preserve">XX8X_PV_0846:    Front abuts stile:TRUE       Back abuts stile:FALSE          Panel Section: BOTTOM           Stile in the back Width:            Cutout A:           Cutout B:      F.C.:3.5 in.         C.C.:4.125 in.   </v>
      </c>
      <c r="R474" t="str">
        <f t="shared" si="25"/>
        <v>TRUE</v>
      </c>
      <c r="S474" t="str">
        <f t="shared" si="27"/>
        <v>FALSE</v>
      </c>
    </row>
    <row r="475" spans="1:19" hidden="1">
      <c r="A475" t="s">
        <v>635</v>
      </c>
      <c r="B475" s="14" t="s">
        <v>144</v>
      </c>
      <c r="C475" s="14" t="s">
        <v>157</v>
      </c>
      <c r="D475" s="14">
        <v>1</v>
      </c>
      <c r="E475" s="14">
        <v>0</v>
      </c>
      <c r="F475" s="14">
        <v>1</v>
      </c>
      <c r="G475" s="14">
        <v>0</v>
      </c>
      <c r="H475" s="14">
        <v>12</v>
      </c>
      <c r="I475" s="8" t="s">
        <v>38</v>
      </c>
      <c r="J475" s="8" t="s">
        <v>38</v>
      </c>
      <c r="K475">
        <v>60</v>
      </c>
      <c r="L475">
        <v>54.5625</v>
      </c>
      <c r="M475" s="14">
        <v>8.75</v>
      </c>
      <c r="N475" s="14">
        <v>8.1875</v>
      </c>
      <c r="Q475" t="str">
        <f t="shared" si="26"/>
        <v xml:space="preserve">XX8X_PV_0847:    Front abuts stile:TRUE       Back abuts stile:TRUE          Panel Section: BOTTOM           Stile in the back Width: 12           Cutout A:           Cutout B:      F.C.:8.75 in.         C.C.:8.1875 in.   </v>
      </c>
      <c r="R475" t="str">
        <f t="shared" si="25"/>
        <v>TRUE</v>
      </c>
      <c r="S475" t="str">
        <f t="shared" si="27"/>
        <v>TRUE</v>
      </c>
    </row>
    <row r="476" spans="1:19" hidden="1">
      <c r="A476" t="s">
        <v>636</v>
      </c>
      <c r="B476" s="14" t="s">
        <v>144</v>
      </c>
      <c r="C476" s="14" t="s">
        <v>157</v>
      </c>
      <c r="D476" s="14">
        <v>1</v>
      </c>
      <c r="E476" s="14">
        <v>0</v>
      </c>
      <c r="F476" s="14">
        <v>1</v>
      </c>
      <c r="G476" s="14">
        <v>0</v>
      </c>
      <c r="H476" s="14">
        <v>24</v>
      </c>
      <c r="I476" s="8" t="s">
        <v>38</v>
      </c>
      <c r="J476" s="8" t="s">
        <v>38</v>
      </c>
      <c r="K476">
        <v>60</v>
      </c>
      <c r="L476">
        <v>70.625</v>
      </c>
      <c r="M476" s="14">
        <v>3.25</v>
      </c>
      <c r="N476" s="14">
        <v>4.9375</v>
      </c>
      <c r="Q476" t="str">
        <f t="shared" si="26"/>
        <v xml:space="preserve">XX8X_PV_0848:    Front abuts stile:TRUE       Back abuts stile:TRUE          Panel Section: BOTTOM           Stile in the back Width: 24           Cutout A:           Cutout B:      F.C.:3.25 in.         C.C.:4.9375 in.   </v>
      </c>
      <c r="R476" t="str">
        <f t="shared" si="25"/>
        <v>TRUE</v>
      </c>
      <c r="S476" t="str">
        <f t="shared" si="27"/>
        <v>TRUE</v>
      </c>
    </row>
    <row r="477" spans="1:19" hidden="1">
      <c r="A477" t="s">
        <v>637</v>
      </c>
      <c r="B477" s="14" t="s">
        <v>144</v>
      </c>
      <c r="C477" s="14" t="s">
        <v>157</v>
      </c>
      <c r="D477" s="14">
        <v>1</v>
      </c>
      <c r="E477" s="14">
        <v>0</v>
      </c>
      <c r="F477" s="14">
        <v>1</v>
      </c>
      <c r="G477" s="14">
        <v>0</v>
      </c>
      <c r="H477" s="14"/>
      <c r="I477" s="8" t="s">
        <v>151</v>
      </c>
      <c r="J477" s="8" t="s">
        <v>38</v>
      </c>
      <c r="K477">
        <v>60</v>
      </c>
      <c r="L477">
        <v>63.5625</v>
      </c>
      <c r="M477" s="14">
        <v>4.5</v>
      </c>
      <c r="N477" s="14">
        <v>1</v>
      </c>
      <c r="Q477" t="str">
        <f t="shared" si="26"/>
        <v xml:space="preserve">XX8X_PV_0849:    Front abuts stile:TRUE       Back abuts stile:TRUE          Panel Section: BOTTOM           Stile in the back Width:            Cutout A: B-35715          Cutout B:      F.C.:4.5 in.         C.C.:1 in.   </v>
      </c>
      <c r="R477" t="str">
        <f t="shared" si="25"/>
        <v>TRUE</v>
      </c>
      <c r="S477" t="str">
        <f t="shared" si="27"/>
        <v>TRUE</v>
      </c>
    </row>
    <row r="478" spans="1:19" hidden="1">
      <c r="A478" t="s">
        <v>638</v>
      </c>
      <c r="B478" s="14" t="s">
        <v>144</v>
      </c>
      <c r="C478" s="14" t="s">
        <v>157</v>
      </c>
      <c r="D478" s="14">
        <v>1</v>
      </c>
      <c r="E478" s="14">
        <v>0</v>
      </c>
      <c r="F478" s="14">
        <v>1</v>
      </c>
      <c r="G478" s="14">
        <v>1</v>
      </c>
      <c r="H478" s="14"/>
      <c r="I478" s="8" t="s">
        <v>38</v>
      </c>
      <c r="J478" s="8" t="s">
        <v>38</v>
      </c>
      <c r="K478">
        <v>60</v>
      </c>
      <c r="L478">
        <v>45.4375</v>
      </c>
      <c r="M478" s="14">
        <v>1</v>
      </c>
      <c r="N478" s="14">
        <v>2.1875</v>
      </c>
      <c r="Q478" t="str">
        <f t="shared" si="26"/>
        <v xml:space="preserve">XX8X_PV_0850:    Front abuts stile:TRUE       Back abuts stile:TRUE          Panel Section: BOTTOM           Stile in the back Width:            Cutout A:           Cutout B:      F.C.:1 in.         C.C.:2.1875 in.   </v>
      </c>
      <c r="R478" t="str">
        <f t="shared" si="25"/>
        <v>TRUE</v>
      </c>
      <c r="S478" t="str">
        <f t="shared" si="27"/>
        <v>TRUE</v>
      </c>
    </row>
    <row r="479" spans="1:19" hidden="1">
      <c r="A479" t="s">
        <v>639</v>
      </c>
      <c r="B479" s="14" t="s">
        <v>144</v>
      </c>
      <c r="C479" s="14" t="s">
        <v>157</v>
      </c>
      <c r="D479" s="14">
        <v>1</v>
      </c>
      <c r="E479" s="14">
        <v>1</v>
      </c>
      <c r="F479" s="14">
        <v>0</v>
      </c>
      <c r="G479" s="14"/>
      <c r="H479" s="14"/>
      <c r="I479" s="8" t="s">
        <v>121</v>
      </c>
      <c r="J479" s="8" t="s">
        <v>120</v>
      </c>
      <c r="K479">
        <v>60</v>
      </c>
      <c r="L479">
        <v>67</v>
      </c>
      <c r="M479" s="14">
        <v>1</v>
      </c>
      <c r="N479" s="14">
        <v>3.3125</v>
      </c>
      <c r="Q479" t="str">
        <f t="shared" si="26"/>
        <v xml:space="preserve">XX8X_PV_0851:    Front abuts stile:TRUE       Back abuts stile:FALSE          Panel Section: BOTTOM           Stile in the back Width:            Cutout A: B-4354          Cutout B:B-386      F.C.:1 in.         C.C.:3.3125 in.   </v>
      </c>
      <c r="R479" t="str">
        <f t="shared" si="25"/>
        <v>TRUE</v>
      </c>
      <c r="S479" t="str">
        <f t="shared" si="27"/>
        <v>FALSE</v>
      </c>
    </row>
    <row r="480" spans="1:19" hidden="1">
      <c r="A480" t="s">
        <v>640</v>
      </c>
      <c r="B480" s="14" t="s">
        <v>144</v>
      </c>
      <c r="C480" s="14" t="s">
        <v>157</v>
      </c>
      <c r="D480" s="14">
        <v>1</v>
      </c>
      <c r="E480" s="14">
        <v>1</v>
      </c>
      <c r="F480" s="14">
        <v>1</v>
      </c>
      <c r="G480" s="14">
        <v>0</v>
      </c>
      <c r="H480" s="14">
        <v>12</v>
      </c>
      <c r="I480" s="8" t="s">
        <v>38</v>
      </c>
      <c r="J480" s="8" t="s">
        <v>38</v>
      </c>
      <c r="K480">
        <v>60</v>
      </c>
      <c r="L480">
        <v>26.25</v>
      </c>
      <c r="M480" s="14">
        <v>12</v>
      </c>
      <c r="N480" s="14">
        <v>1</v>
      </c>
      <c r="Q480" t="str">
        <f t="shared" si="26"/>
        <v xml:space="preserve">XX8X_PV_0852:    Front abuts stile:TRUE       Back abuts stile:TRUE          Panel Section: BOTTOM           Stile in the back Width: 12           Cutout A:           Cutout B:      F.C.:12 in.         C.C.:1 in.   </v>
      </c>
      <c r="R480" t="str">
        <f t="shared" si="25"/>
        <v>TRUE</v>
      </c>
      <c r="S480" t="str">
        <f t="shared" si="27"/>
        <v>TRUE</v>
      </c>
    </row>
    <row r="481" spans="1:19" hidden="1">
      <c r="A481" t="s">
        <v>641</v>
      </c>
      <c r="B481" s="14" t="s">
        <v>144</v>
      </c>
      <c r="C481" s="14" t="s">
        <v>157</v>
      </c>
      <c r="D481" s="14">
        <v>1</v>
      </c>
      <c r="E481" s="14">
        <v>1</v>
      </c>
      <c r="F481" s="14">
        <v>1</v>
      </c>
      <c r="G481" s="14">
        <v>0</v>
      </c>
      <c r="H481" s="14">
        <v>24</v>
      </c>
      <c r="I481" s="8" t="s">
        <v>120</v>
      </c>
      <c r="J481" s="8" t="s">
        <v>38</v>
      </c>
      <c r="K481">
        <v>60</v>
      </c>
      <c r="L481">
        <v>76.8125</v>
      </c>
      <c r="M481" s="14">
        <v>1</v>
      </c>
      <c r="N481" s="14">
        <v>2</v>
      </c>
      <c r="Q481" t="str">
        <f t="shared" si="26"/>
        <v xml:space="preserve">XX8X_PV_0853:    Front abuts stile:TRUE       Back abuts stile:TRUE          Panel Section: BOTTOM           Stile in the back Width: 24           Cutout A: B-386          Cutout B:      F.C.:1 in.         C.C.:2 in.   </v>
      </c>
      <c r="R481" t="str">
        <f t="shared" si="25"/>
        <v>TRUE</v>
      </c>
      <c r="S481" t="str">
        <f t="shared" si="27"/>
        <v>TRUE</v>
      </c>
    </row>
    <row r="482" spans="1:19" hidden="1">
      <c r="A482" t="s">
        <v>642</v>
      </c>
      <c r="B482" s="14" t="s">
        <v>144</v>
      </c>
      <c r="C482" s="14" t="s">
        <v>157</v>
      </c>
      <c r="D482" s="14">
        <v>1</v>
      </c>
      <c r="E482" s="14">
        <v>1</v>
      </c>
      <c r="F482" s="14">
        <v>1</v>
      </c>
      <c r="G482" s="14">
        <v>0</v>
      </c>
      <c r="H482" s="14"/>
      <c r="I482" s="8" t="s">
        <v>35</v>
      </c>
      <c r="J482" s="8" t="s">
        <v>38</v>
      </c>
      <c r="K482">
        <v>60</v>
      </c>
      <c r="L482">
        <v>73.9375</v>
      </c>
      <c r="M482" s="14">
        <v>12</v>
      </c>
      <c r="N482" s="14">
        <v>2.875</v>
      </c>
      <c r="Q482" t="str">
        <f t="shared" si="26"/>
        <v xml:space="preserve">XX8X_PV_0854:    Front abuts stile:TRUE       Back abuts stile:TRUE          Panel Section: BOTTOM           Stile in the back Width:            Cutout A: B-357          Cutout B:      F.C.:12 in.         C.C.:2.875 in.   </v>
      </c>
      <c r="R482" t="str">
        <f t="shared" si="25"/>
        <v>TRUE</v>
      </c>
      <c r="S482" t="str">
        <f t="shared" si="27"/>
        <v>TRUE</v>
      </c>
    </row>
    <row r="483" spans="1:19" hidden="1">
      <c r="A483" t="s">
        <v>643</v>
      </c>
      <c r="B483" s="14" t="s">
        <v>144</v>
      </c>
      <c r="C483" s="14" t="s">
        <v>157</v>
      </c>
      <c r="D483" s="14">
        <v>1</v>
      </c>
      <c r="E483" s="14">
        <v>1</v>
      </c>
      <c r="F483" s="14">
        <v>1</v>
      </c>
      <c r="G483" s="14">
        <v>1</v>
      </c>
      <c r="H483" s="14"/>
      <c r="I483" s="8" t="s">
        <v>145</v>
      </c>
      <c r="J483" s="8" t="s">
        <v>38</v>
      </c>
      <c r="K483">
        <v>60</v>
      </c>
      <c r="L483">
        <v>39.8125</v>
      </c>
      <c r="M483" s="14">
        <v>9</v>
      </c>
      <c r="N483" s="14">
        <v>1</v>
      </c>
      <c r="Q483" t="str">
        <f t="shared" si="26"/>
        <v xml:space="preserve">XX8X_PV_0855:    Front abuts stile:TRUE       Back abuts stile:TRUE          Panel Section: BOTTOM           Stile in the back Width:            Cutout A: B-347          Cutout B:      F.C.:9 in.         C.C.:1 in.   </v>
      </c>
      <c r="R483" t="str">
        <f t="shared" si="25"/>
        <v>TRUE</v>
      </c>
      <c r="S483" t="str">
        <f t="shared" si="27"/>
        <v>TRUE</v>
      </c>
    </row>
    <row r="484" spans="1:19" hidden="1">
      <c r="A484" t="s">
        <v>644</v>
      </c>
      <c r="B484" s="14" t="s">
        <v>144</v>
      </c>
      <c r="C484" s="14" t="s">
        <v>21</v>
      </c>
      <c r="D484" s="14">
        <v>0</v>
      </c>
      <c r="E484" s="14"/>
      <c r="F484" s="14">
        <v>0</v>
      </c>
      <c r="G484" s="14"/>
      <c r="H484" s="14"/>
      <c r="I484" s="8" t="s">
        <v>38</v>
      </c>
      <c r="J484" s="8" t="s">
        <v>38</v>
      </c>
      <c r="K484">
        <v>41.1875</v>
      </c>
      <c r="L484">
        <v>75</v>
      </c>
      <c r="M484" s="14">
        <v>12</v>
      </c>
      <c r="N484" s="14">
        <v>1</v>
      </c>
      <c r="Q484" t="str">
        <f t="shared" si="26"/>
        <v xml:space="preserve">XX8X_PV_0871:    Front abuts stile:FALSE       Back abuts stile:FALSE          Panel Section: WHOLE           Stile in the back Width:            Cutout A:           Cutout B:      F.C.:12 in.         C.C.:1 in.   </v>
      </c>
      <c r="R484" t="str">
        <f t="shared" si="25"/>
        <v>FALSE</v>
      </c>
      <c r="S484" t="str">
        <f t="shared" si="27"/>
        <v>FALSE</v>
      </c>
    </row>
    <row r="485" spans="1:19" hidden="1">
      <c r="A485" t="s">
        <v>645</v>
      </c>
      <c r="B485" s="14" t="s">
        <v>144</v>
      </c>
      <c r="C485" s="14" t="s">
        <v>21</v>
      </c>
      <c r="D485" s="14">
        <v>0</v>
      </c>
      <c r="E485" s="14"/>
      <c r="F485" s="14">
        <v>1</v>
      </c>
      <c r="G485" s="14">
        <v>0</v>
      </c>
      <c r="H485" s="14">
        <v>12</v>
      </c>
      <c r="I485" s="8" t="s">
        <v>120</v>
      </c>
      <c r="J485" s="8" t="s">
        <v>38</v>
      </c>
      <c r="K485">
        <v>96</v>
      </c>
      <c r="L485">
        <v>24.125</v>
      </c>
      <c r="M485" s="14">
        <v>9</v>
      </c>
      <c r="N485" s="14">
        <v>6.5625</v>
      </c>
      <c r="Q485" t="str">
        <f t="shared" si="26"/>
        <v xml:space="preserve">XX8X_PV_0872:    Front abuts stile:FALSE       Back abuts stile:TRUE          Panel Section: WHOLE           Stile in the back Width: 12           Cutout A: B-386          Cutout B:      F.C.:9 in.         C.C.:6.5625 in.   </v>
      </c>
      <c r="R485" t="str">
        <f t="shared" si="25"/>
        <v>FALSE</v>
      </c>
      <c r="S485" t="str">
        <f t="shared" si="27"/>
        <v>TRUE</v>
      </c>
    </row>
    <row r="486" spans="1:19" hidden="1">
      <c r="A486" t="s">
        <v>646</v>
      </c>
      <c r="B486" s="14" t="s">
        <v>144</v>
      </c>
      <c r="C486" s="14" t="s">
        <v>21</v>
      </c>
      <c r="D486" s="14">
        <v>0</v>
      </c>
      <c r="E486" s="14"/>
      <c r="F486" s="14">
        <v>1</v>
      </c>
      <c r="G486" s="14">
        <v>0</v>
      </c>
      <c r="H486" s="14">
        <v>24</v>
      </c>
      <c r="I486" s="8" t="s">
        <v>120</v>
      </c>
      <c r="J486" s="8" t="s">
        <v>38</v>
      </c>
      <c r="K486">
        <v>54</v>
      </c>
      <c r="L486">
        <v>42.9375</v>
      </c>
      <c r="M486" s="14">
        <v>1.4375</v>
      </c>
      <c r="N486" s="14">
        <v>2.5625</v>
      </c>
      <c r="Q486" t="str">
        <f t="shared" si="26"/>
        <v xml:space="preserve">XX8X_PV_0873:    Front abuts stile:FALSE       Back abuts stile:TRUE          Panel Section: WHOLE           Stile in the back Width: 24           Cutout A: B-386          Cutout B:      F.C.:1.4375 in.         C.C.:2.5625 in.   </v>
      </c>
      <c r="R486" t="str">
        <f t="shared" si="25"/>
        <v>FALSE</v>
      </c>
      <c r="S486" t="str">
        <f t="shared" si="27"/>
        <v>TRUE</v>
      </c>
    </row>
    <row r="487" spans="1:19" hidden="1">
      <c r="A487" t="s">
        <v>647</v>
      </c>
      <c r="B487" s="14" t="s">
        <v>144</v>
      </c>
      <c r="C487" s="14" t="s">
        <v>21</v>
      </c>
      <c r="D487" s="14">
        <v>0</v>
      </c>
      <c r="E487" s="14"/>
      <c r="F487" s="14">
        <v>1</v>
      </c>
      <c r="G487" s="14">
        <v>0</v>
      </c>
      <c r="H487" s="14"/>
      <c r="I487" s="8" t="s">
        <v>38</v>
      </c>
      <c r="J487" s="8" t="s">
        <v>38</v>
      </c>
      <c r="K487">
        <v>98.0625</v>
      </c>
      <c r="L487">
        <v>26.875</v>
      </c>
      <c r="M487" s="14">
        <v>10.875</v>
      </c>
      <c r="N487" s="14">
        <v>5.1875</v>
      </c>
      <c r="Q487" t="str">
        <f t="shared" si="26"/>
        <v xml:space="preserve">XX8X_PV_0874:    Front abuts stile:FALSE       Back abuts stile:TRUE          Panel Section: WHOLE           Stile in the back Width:            Cutout A:           Cutout B:      F.C.:10.875 in.         C.C.:5.1875 in.   </v>
      </c>
      <c r="R487" t="str">
        <f t="shared" si="25"/>
        <v>FALSE</v>
      </c>
      <c r="S487" t="str">
        <f t="shared" si="27"/>
        <v>TRUE</v>
      </c>
    </row>
    <row r="488" spans="1:19" hidden="1">
      <c r="A488" t="s">
        <v>648</v>
      </c>
      <c r="B488" s="14" t="s">
        <v>144</v>
      </c>
      <c r="C488" s="14" t="s">
        <v>21</v>
      </c>
      <c r="D488" s="14">
        <v>0</v>
      </c>
      <c r="E488" s="14"/>
      <c r="F488" s="14">
        <v>1</v>
      </c>
      <c r="G488" s="14">
        <v>1</v>
      </c>
      <c r="H488" s="14"/>
      <c r="I488" s="8" t="s">
        <v>120</v>
      </c>
      <c r="J488" s="8" t="s">
        <v>38</v>
      </c>
      <c r="K488">
        <v>96</v>
      </c>
      <c r="L488">
        <v>41.5</v>
      </c>
      <c r="M488" s="14">
        <v>1</v>
      </c>
      <c r="N488" s="14">
        <v>1</v>
      </c>
      <c r="Q488" t="str">
        <f t="shared" si="26"/>
        <v xml:space="preserve">XX8X_PV_0875:    Front abuts stile:FALSE       Back abuts stile:TRUE          Panel Section: WHOLE           Stile in the back Width:            Cutout A: B-386          Cutout B:      F.C.:1 in.         C.C.:1 in.   </v>
      </c>
      <c r="R488" t="str">
        <f t="shared" si="25"/>
        <v>FALSE</v>
      </c>
      <c r="S488" t="str">
        <f t="shared" si="27"/>
        <v>TRUE</v>
      </c>
    </row>
    <row r="489" spans="1:19" hidden="1">
      <c r="A489" t="s">
        <v>649</v>
      </c>
      <c r="B489" s="14" t="s">
        <v>144</v>
      </c>
      <c r="C489" s="14" t="s">
        <v>21</v>
      </c>
      <c r="D489" s="14">
        <v>1</v>
      </c>
      <c r="E489" s="14">
        <v>0</v>
      </c>
      <c r="F489" s="14">
        <v>0</v>
      </c>
      <c r="G489" s="14"/>
      <c r="H489" s="14"/>
      <c r="I489" s="8" t="s">
        <v>121</v>
      </c>
      <c r="J489" s="8" t="s">
        <v>120</v>
      </c>
      <c r="K489">
        <v>40.5625</v>
      </c>
      <c r="L489">
        <v>18</v>
      </c>
      <c r="M489" s="14">
        <v>4.5</v>
      </c>
      <c r="N489" s="14">
        <v>5.875</v>
      </c>
      <c r="Q489" t="str">
        <f t="shared" si="26"/>
        <v xml:space="preserve">XX8X_PV_0876:    Front abuts stile:TRUE       Back abuts stile:FALSE          Panel Section: WHOLE           Stile in the back Width:            Cutout A: B-4354          Cutout B:B-386      F.C.:4.5 in.         C.C.:5.875 in.   </v>
      </c>
      <c r="R489" t="str">
        <f t="shared" si="25"/>
        <v>TRUE</v>
      </c>
      <c r="S489" t="str">
        <f t="shared" si="27"/>
        <v>FALSE</v>
      </c>
    </row>
    <row r="490" spans="1:19" hidden="1">
      <c r="A490" t="s">
        <v>650</v>
      </c>
      <c r="B490" s="14" t="s">
        <v>144</v>
      </c>
      <c r="C490" s="14" t="s">
        <v>21</v>
      </c>
      <c r="D490" s="14">
        <v>1</v>
      </c>
      <c r="E490" s="14">
        <v>0</v>
      </c>
      <c r="F490" s="14">
        <v>1</v>
      </c>
      <c r="G490" s="14">
        <v>0</v>
      </c>
      <c r="H490" s="14">
        <v>12</v>
      </c>
      <c r="I490" s="8" t="s">
        <v>150</v>
      </c>
      <c r="J490" s="8" t="s">
        <v>38</v>
      </c>
      <c r="K490">
        <v>36.3125</v>
      </c>
      <c r="L490">
        <v>69.125</v>
      </c>
      <c r="M490" s="14">
        <v>12</v>
      </c>
      <c r="N490" s="14">
        <v>8.125</v>
      </c>
      <c r="Q490" t="str">
        <f t="shared" si="26"/>
        <v xml:space="preserve">XX8X_PV_0877:    Front abuts stile:TRUE       Back abuts stile:TRUE          Panel Section: WHOLE           Stile in the back Width: 12           Cutout A: B-3571          Cutout B:      F.C.:12 in.         C.C.:8.125 in.   </v>
      </c>
      <c r="R490" t="str">
        <f t="shared" si="25"/>
        <v>TRUE</v>
      </c>
      <c r="S490" t="str">
        <f t="shared" si="27"/>
        <v>TRUE</v>
      </c>
    </row>
    <row r="491" spans="1:19" hidden="1">
      <c r="A491" t="s">
        <v>651</v>
      </c>
      <c r="B491" s="14" t="s">
        <v>144</v>
      </c>
      <c r="C491" s="14" t="s">
        <v>21</v>
      </c>
      <c r="D491" s="14">
        <v>1</v>
      </c>
      <c r="E491" s="14">
        <v>0</v>
      </c>
      <c r="F491" s="14">
        <v>1</v>
      </c>
      <c r="G491" s="14">
        <v>0</v>
      </c>
      <c r="H491" s="14">
        <v>24</v>
      </c>
      <c r="I491" s="8" t="s">
        <v>38</v>
      </c>
      <c r="J491" s="8" t="s">
        <v>38</v>
      </c>
      <c r="K491">
        <v>87.625</v>
      </c>
      <c r="L491">
        <v>16.125</v>
      </c>
      <c r="M491" s="14">
        <v>4.5</v>
      </c>
      <c r="N491" s="14">
        <v>1</v>
      </c>
      <c r="Q491" t="str">
        <f t="shared" si="26"/>
        <v xml:space="preserve">XX8X_PV_0878:    Front abuts stile:TRUE       Back abuts stile:TRUE          Panel Section: WHOLE           Stile in the back Width: 24           Cutout A:           Cutout B:      F.C.:4.5 in.         C.C.:1 in.   </v>
      </c>
      <c r="R491" t="str">
        <f t="shared" si="25"/>
        <v>TRUE</v>
      </c>
      <c r="S491" t="str">
        <f t="shared" si="27"/>
        <v>TRUE</v>
      </c>
    </row>
    <row r="492" spans="1:19" hidden="1">
      <c r="A492" t="s">
        <v>652</v>
      </c>
      <c r="B492" s="14" t="s">
        <v>144</v>
      </c>
      <c r="C492" s="14" t="s">
        <v>21</v>
      </c>
      <c r="D492" s="14">
        <v>1</v>
      </c>
      <c r="E492" s="14">
        <v>0</v>
      </c>
      <c r="F492" s="14">
        <v>1</v>
      </c>
      <c r="G492" s="14">
        <v>0</v>
      </c>
      <c r="H492" s="14"/>
      <c r="I492" s="8" t="s">
        <v>120</v>
      </c>
      <c r="J492" s="8" t="s">
        <v>38</v>
      </c>
      <c r="K492">
        <v>78.0625</v>
      </c>
      <c r="L492">
        <v>15.375</v>
      </c>
      <c r="M492" s="14">
        <v>1</v>
      </c>
      <c r="N492" s="14">
        <v>2.625</v>
      </c>
      <c r="Q492" t="str">
        <f t="shared" si="26"/>
        <v xml:space="preserve">XX8X_PV_0879:    Front abuts stile:TRUE       Back abuts stile:TRUE          Panel Section: WHOLE           Stile in the back Width:            Cutout A: B-386          Cutout B:      F.C.:1 in.         C.C.:2.625 in.   </v>
      </c>
      <c r="R492" t="str">
        <f t="shared" si="25"/>
        <v>TRUE</v>
      </c>
      <c r="S492" t="str">
        <f t="shared" si="27"/>
        <v>TRUE</v>
      </c>
    </row>
    <row r="493" spans="1:19" hidden="1">
      <c r="A493" t="s">
        <v>653</v>
      </c>
      <c r="B493" s="14" t="s">
        <v>144</v>
      </c>
      <c r="C493" s="14" t="s">
        <v>21</v>
      </c>
      <c r="D493" s="14">
        <v>1</v>
      </c>
      <c r="E493" s="14">
        <v>0</v>
      </c>
      <c r="F493" s="14">
        <v>1</v>
      </c>
      <c r="G493" s="14">
        <v>1</v>
      </c>
      <c r="H493" s="14"/>
      <c r="I493" s="8" t="s">
        <v>145</v>
      </c>
      <c r="J493" s="8" t="s">
        <v>38</v>
      </c>
      <c r="K493">
        <v>105.8125</v>
      </c>
      <c r="L493">
        <v>78.5625</v>
      </c>
      <c r="M493" s="14">
        <v>9</v>
      </c>
      <c r="N493" s="14">
        <v>1</v>
      </c>
      <c r="Q493" t="str">
        <f t="shared" si="26"/>
        <v xml:space="preserve">XX8X_PV_0880:    Front abuts stile:TRUE       Back abuts stile:TRUE          Panel Section: WHOLE           Stile in the back Width:            Cutout A: B-347          Cutout B:      F.C.:9 in.         C.C.:1 in.   </v>
      </c>
      <c r="R493" t="str">
        <f t="shared" si="25"/>
        <v>TRUE</v>
      </c>
      <c r="S493" t="str">
        <f t="shared" si="27"/>
        <v>TRUE</v>
      </c>
    </row>
    <row r="494" spans="1:19" hidden="1">
      <c r="A494" t="s">
        <v>654</v>
      </c>
      <c r="B494" s="14" t="s">
        <v>144</v>
      </c>
      <c r="C494" s="14" t="s">
        <v>21</v>
      </c>
      <c r="D494" s="14">
        <v>1</v>
      </c>
      <c r="E494" s="14">
        <v>1</v>
      </c>
      <c r="F494" s="14">
        <v>0</v>
      </c>
      <c r="G494" s="14"/>
      <c r="H494" s="14"/>
      <c r="I494" s="8" t="s">
        <v>38</v>
      </c>
      <c r="J494" s="8" t="s">
        <v>38</v>
      </c>
      <c r="K494">
        <v>73.8125</v>
      </c>
      <c r="L494">
        <v>8.3125</v>
      </c>
      <c r="M494" s="14">
        <v>9</v>
      </c>
      <c r="N494" s="14">
        <v>1</v>
      </c>
      <c r="Q494" t="str">
        <f t="shared" si="26"/>
        <v xml:space="preserve">XX8X_PV_0881:    Front abuts stile:TRUE       Back abuts stile:FALSE          Panel Section: WHOLE           Stile in the back Width:            Cutout A:           Cutout B:      F.C.:9 in.         C.C.:1 in.   </v>
      </c>
      <c r="R494" t="str">
        <f t="shared" si="25"/>
        <v>TRUE</v>
      </c>
      <c r="S494" t="str">
        <f t="shared" si="27"/>
        <v>FALSE</v>
      </c>
    </row>
    <row r="495" spans="1:19" hidden="1">
      <c r="A495" t="s">
        <v>655</v>
      </c>
      <c r="B495" s="14" t="s">
        <v>144</v>
      </c>
      <c r="C495" s="14" t="s">
        <v>21</v>
      </c>
      <c r="D495" s="14">
        <v>1</v>
      </c>
      <c r="E495" s="14">
        <v>1</v>
      </c>
      <c r="F495" s="14">
        <v>1</v>
      </c>
      <c r="G495" s="14">
        <v>0</v>
      </c>
      <c r="H495" s="14">
        <v>12</v>
      </c>
      <c r="I495" s="8" t="s">
        <v>150</v>
      </c>
      <c r="J495" s="8" t="s">
        <v>38</v>
      </c>
      <c r="K495">
        <v>68.4375</v>
      </c>
      <c r="L495">
        <v>52.5625</v>
      </c>
      <c r="M495" s="14">
        <v>4.5</v>
      </c>
      <c r="N495" s="14">
        <v>1</v>
      </c>
      <c r="Q495" t="str">
        <f t="shared" si="26"/>
        <v xml:space="preserve">XX8X_PV_0882:    Front abuts stile:TRUE       Back abuts stile:TRUE          Panel Section: WHOLE           Stile in the back Width: 12           Cutout A: B-3571          Cutout B:      F.C.:4.5 in.         C.C.:1 in.   </v>
      </c>
      <c r="R495" t="str">
        <f t="shared" si="25"/>
        <v>TRUE</v>
      </c>
      <c r="S495" t="str">
        <f t="shared" si="27"/>
        <v>TRUE</v>
      </c>
    </row>
    <row r="496" spans="1:19" hidden="1">
      <c r="A496" t="s">
        <v>656</v>
      </c>
      <c r="B496" s="14" t="s">
        <v>144</v>
      </c>
      <c r="C496" s="14" t="s">
        <v>21</v>
      </c>
      <c r="D496" s="14">
        <v>1</v>
      </c>
      <c r="E496" s="14">
        <v>1</v>
      </c>
      <c r="F496" s="14">
        <v>1</v>
      </c>
      <c r="G496" s="14">
        <v>0</v>
      </c>
      <c r="H496" s="14">
        <v>24</v>
      </c>
      <c r="I496" s="8" t="s">
        <v>38</v>
      </c>
      <c r="J496" s="8" t="s">
        <v>38</v>
      </c>
      <c r="K496">
        <v>88.625</v>
      </c>
      <c r="L496">
        <v>31.6875</v>
      </c>
      <c r="M496" s="14">
        <v>12</v>
      </c>
      <c r="N496" s="14">
        <v>1.3125</v>
      </c>
      <c r="Q496" t="str">
        <f t="shared" si="26"/>
        <v xml:space="preserve">XX8X_PV_0883:    Front abuts stile:TRUE       Back abuts stile:TRUE          Panel Section: WHOLE           Stile in the back Width: 24           Cutout A:           Cutout B:      F.C.:12 in.         C.C.:1.3125 in.   </v>
      </c>
      <c r="R496" t="str">
        <f t="shared" si="25"/>
        <v>TRUE</v>
      </c>
      <c r="S496" t="str">
        <f t="shared" si="27"/>
        <v>TRUE</v>
      </c>
    </row>
    <row r="497" spans="1:19" hidden="1">
      <c r="A497" t="s">
        <v>657</v>
      </c>
      <c r="B497" s="14" t="s">
        <v>144</v>
      </c>
      <c r="C497" s="14" t="s">
        <v>21</v>
      </c>
      <c r="D497" s="14">
        <v>1</v>
      </c>
      <c r="E497" s="14">
        <v>1</v>
      </c>
      <c r="F497" s="14">
        <v>1</v>
      </c>
      <c r="G497" s="14">
        <v>0</v>
      </c>
      <c r="H497" s="14"/>
      <c r="I497" s="8" t="s">
        <v>120</v>
      </c>
      <c r="J497" s="8" t="s">
        <v>38</v>
      </c>
      <c r="K497">
        <v>99.5</v>
      </c>
      <c r="L497">
        <v>17.3125</v>
      </c>
      <c r="M497" s="14">
        <v>9.625</v>
      </c>
      <c r="N497" s="14">
        <v>1</v>
      </c>
      <c r="Q497" t="str">
        <f t="shared" si="26"/>
        <v xml:space="preserve">XX8X_PV_0884:    Front abuts stile:TRUE       Back abuts stile:TRUE          Panel Section: WHOLE           Stile in the back Width:            Cutout A: B-386          Cutout B:      F.C.:9.625 in.         C.C.:1 in.   </v>
      </c>
      <c r="R497" t="str">
        <f t="shared" si="25"/>
        <v>TRUE</v>
      </c>
      <c r="S497" t="str">
        <f t="shared" si="27"/>
        <v>TRUE</v>
      </c>
    </row>
    <row r="498" spans="1:19" hidden="1">
      <c r="A498" t="s">
        <v>658</v>
      </c>
      <c r="B498" s="14" t="s">
        <v>144</v>
      </c>
      <c r="C498" s="14" t="s">
        <v>21</v>
      </c>
      <c r="D498" s="14">
        <v>1</v>
      </c>
      <c r="E498" s="14">
        <v>1</v>
      </c>
      <c r="F498" s="14">
        <v>1</v>
      </c>
      <c r="G498" s="14">
        <v>1</v>
      </c>
      <c r="H498" s="14"/>
      <c r="I498" s="8" t="s">
        <v>145</v>
      </c>
      <c r="J498" s="8" t="s">
        <v>38</v>
      </c>
      <c r="K498">
        <v>96</v>
      </c>
      <c r="L498">
        <v>18.3125</v>
      </c>
      <c r="M498" s="14">
        <v>12</v>
      </c>
      <c r="N498" s="14">
        <v>3.5625</v>
      </c>
      <c r="Q498" t="str">
        <f t="shared" si="26"/>
        <v xml:space="preserve">XX8X_PV_0885:    Front abuts stile:TRUE       Back abuts stile:TRUE          Panel Section: WHOLE           Stile in the back Width:            Cutout A: B-347          Cutout B:      F.C.:12 in.         C.C.:3.5625 in.   </v>
      </c>
      <c r="R498" t="str">
        <f t="shared" si="25"/>
        <v>TRUE</v>
      </c>
      <c r="S498" t="str">
        <f t="shared" si="27"/>
        <v>TRUE</v>
      </c>
    </row>
    <row r="499" spans="1:19" hidden="1">
      <c r="A499" t="s">
        <v>659</v>
      </c>
      <c r="B499" s="14" t="s">
        <v>144</v>
      </c>
      <c r="C499" s="14" t="s">
        <v>156</v>
      </c>
      <c r="D499" s="19">
        <v>0</v>
      </c>
      <c r="E499" s="19"/>
      <c r="F499" s="19">
        <v>0</v>
      </c>
      <c r="G499" s="19"/>
      <c r="H499" s="14"/>
      <c r="I499" s="8" t="s">
        <v>149</v>
      </c>
      <c r="J499" s="8" t="s">
        <v>38</v>
      </c>
      <c r="K499">
        <v>28.125</v>
      </c>
      <c r="L499">
        <v>76.4375</v>
      </c>
      <c r="M499" s="14">
        <v>12</v>
      </c>
      <c r="N499" s="14">
        <v>4.5</v>
      </c>
      <c r="Q499" t="str">
        <f t="shared" si="26"/>
        <v xml:space="preserve">XX8X_PV_0901:    Front abuts stile:FALSE       Back abuts stile:FALSE          Panel Section: TOP           Stile in the back Width:            Cutout A: B-34715          Cutout B:      F.C.:12 in.         C.C.:4.5 in.   </v>
      </c>
      <c r="R499" t="str">
        <f t="shared" si="25"/>
        <v>FALSE</v>
      </c>
      <c r="S499" t="str">
        <f t="shared" si="27"/>
        <v>FALSE</v>
      </c>
    </row>
    <row r="500" spans="1:19" hidden="1">
      <c r="A500" t="s">
        <v>660</v>
      </c>
      <c r="B500" s="14" t="s">
        <v>144</v>
      </c>
      <c r="C500" s="14" t="s">
        <v>156</v>
      </c>
      <c r="D500" s="14">
        <v>0</v>
      </c>
      <c r="E500" s="14"/>
      <c r="F500" s="14">
        <v>1</v>
      </c>
      <c r="G500" s="14">
        <v>0</v>
      </c>
      <c r="H500" s="14">
        <v>12</v>
      </c>
      <c r="I500" s="8" t="s">
        <v>145</v>
      </c>
      <c r="J500" s="8" t="s">
        <v>38</v>
      </c>
      <c r="K500">
        <v>4.6875</v>
      </c>
      <c r="L500">
        <v>16.5625</v>
      </c>
      <c r="M500" s="14">
        <v>12</v>
      </c>
      <c r="N500" s="14">
        <v>7.75</v>
      </c>
      <c r="Q500" t="str">
        <f t="shared" si="26"/>
        <v xml:space="preserve">XX8X_PV_0902:    Front abuts stile:FALSE       Back abuts stile:TRUE          Panel Section: TOP           Stile in the back Width: 12           Cutout A: B-347          Cutout B:      F.C.:12 in.         C.C.:7.75 in.   </v>
      </c>
      <c r="R500" t="str">
        <f t="shared" si="25"/>
        <v>FALSE</v>
      </c>
      <c r="S500" t="str">
        <f t="shared" si="27"/>
        <v>TRUE</v>
      </c>
    </row>
    <row r="501" spans="1:19" hidden="1">
      <c r="A501" t="s">
        <v>661</v>
      </c>
      <c r="B501" s="14" t="s">
        <v>144</v>
      </c>
      <c r="C501" s="14" t="s">
        <v>156</v>
      </c>
      <c r="D501" s="14">
        <v>0</v>
      </c>
      <c r="E501" s="14"/>
      <c r="F501" s="14">
        <v>1</v>
      </c>
      <c r="G501" s="14">
        <v>0</v>
      </c>
      <c r="H501" s="14">
        <v>24</v>
      </c>
      <c r="I501" s="8" t="s">
        <v>120</v>
      </c>
      <c r="J501" s="8" t="s">
        <v>38</v>
      </c>
      <c r="K501">
        <v>19.3125</v>
      </c>
      <c r="L501">
        <v>78.8125</v>
      </c>
      <c r="M501" s="14">
        <v>5.25</v>
      </c>
      <c r="N501" s="14">
        <v>2.1875</v>
      </c>
      <c r="Q501" t="str">
        <f t="shared" si="26"/>
        <v xml:space="preserve">XX8X_PV_0903:    Front abuts stile:FALSE       Back abuts stile:TRUE          Panel Section: TOP           Stile in the back Width: 24           Cutout A: B-386          Cutout B:      F.C.:5.25 in.         C.C.:2.1875 in.   </v>
      </c>
      <c r="R501" t="str">
        <f t="shared" si="25"/>
        <v>FALSE</v>
      </c>
      <c r="S501" t="str">
        <f t="shared" si="27"/>
        <v>TRUE</v>
      </c>
    </row>
    <row r="502" spans="1:19" hidden="1">
      <c r="A502" t="s">
        <v>662</v>
      </c>
      <c r="B502" s="14" t="s">
        <v>144</v>
      </c>
      <c r="C502" s="14" t="s">
        <v>156</v>
      </c>
      <c r="D502" s="14">
        <v>0</v>
      </c>
      <c r="E502" s="14"/>
      <c r="F502" s="14">
        <v>1</v>
      </c>
      <c r="G502" s="14">
        <v>0</v>
      </c>
      <c r="H502" s="14"/>
      <c r="I502" s="8" t="s">
        <v>145</v>
      </c>
      <c r="J502" s="8" t="s">
        <v>38</v>
      </c>
      <c r="K502">
        <v>10.5</v>
      </c>
      <c r="L502">
        <v>50.0625</v>
      </c>
      <c r="M502" s="14">
        <v>1</v>
      </c>
      <c r="N502" s="14">
        <v>4.875</v>
      </c>
      <c r="Q502" t="str">
        <f t="shared" si="26"/>
        <v xml:space="preserve">XX8X_PV_0904:    Front abuts stile:FALSE       Back abuts stile:TRUE          Panel Section: TOP           Stile in the back Width:            Cutout A: B-347          Cutout B:      F.C.:1 in.         C.C.:4.875 in.   </v>
      </c>
      <c r="R502" t="str">
        <f t="shared" si="25"/>
        <v>FALSE</v>
      </c>
      <c r="S502" t="str">
        <f t="shared" si="27"/>
        <v>TRUE</v>
      </c>
    </row>
    <row r="503" spans="1:19" hidden="1">
      <c r="A503" t="s">
        <v>663</v>
      </c>
      <c r="B503" s="14" t="s">
        <v>144</v>
      </c>
      <c r="C503" s="14" t="s">
        <v>156</v>
      </c>
      <c r="D503" s="14">
        <v>0</v>
      </c>
      <c r="E503" s="14"/>
      <c r="F503" s="14">
        <v>1</v>
      </c>
      <c r="G503" s="14">
        <v>1</v>
      </c>
      <c r="H503" s="14"/>
      <c r="I503" s="8" t="s">
        <v>120</v>
      </c>
      <c r="J503" s="8" t="s">
        <v>38</v>
      </c>
      <c r="K503">
        <v>10.625</v>
      </c>
      <c r="L503">
        <v>37.625</v>
      </c>
      <c r="M503" s="14">
        <v>9</v>
      </c>
      <c r="N503" s="14">
        <v>4.25</v>
      </c>
      <c r="Q503" t="str">
        <f t="shared" si="26"/>
        <v xml:space="preserve">XX8X_PV_0905:    Front abuts stile:FALSE       Back abuts stile:TRUE          Panel Section: TOP           Stile in the back Width:            Cutout A: B-386          Cutout B:      F.C.:9 in.         C.C.:4.25 in.   </v>
      </c>
      <c r="R503" t="str">
        <f t="shared" si="25"/>
        <v>FALSE</v>
      </c>
      <c r="S503" t="str">
        <f t="shared" si="27"/>
        <v>TRUE</v>
      </c>
    </row>
    <row r="504" spans="1:19" hidden="1">
      <c r="A504" t="s">
        <v>664</v>
      </c>
      <c r="B504" s="14" t="s">
        <v>144</v>
      </c>
      <c r="C504" s="14" t="s">
        <v>156</v>
      </c>
      <c r="D504" s="14">
        <v>1</v>
      </c>
      <c r="E504" s="14">
        <v>0</v>
      </c>
      <c r="F504" s="14">
        <v>0</v>
      </c>
      <c r="G504" s="14"/>
      <c r="H504" s="14"/>
      <c r="I504" s="8" t="s">
        <v>150</v>
      </c>
      <c r="J504" s="8" t="s">
        <v>38</v>
      </c>
      <c r="K504">
        <v>7.25</v>
      </c>
      <c r="L504">
        <v>23.9375</v>
      </c>
      <c r="M504" s="14">
        <v>12</v>
      </c>
      <c r="N504" s="14">
        <v>1</v>
      </c>
      <c r="Q504" t="str">
        <f t="shared" si="26"/>
        <v xml:space="preserve">XX8X_PV_0906:    Front abuts stile:TRUE       Back abuts stile:FALSE          Panel Section: TOP           Stile in the back Width:            Cutout A: B-3571          Cutout B:      F.C.:12 in.         C.C.:1 in.   </v>
      </c>
      <c r="R504" t="str">
        <f t="shared" si="25"/>
        <v>TRUE</v>
      </c>
      <c r="S504" t="str">
        <f t="shared" si="27"/>
        <v>FALSE</v>
      </c>
    </row>
    <row r="505" spans="1:19" hidden="1">
      <c r="A505" t="s">
        <v>665</v>
      </c>
      <c r="B505" s="14" t="s">
        <v>144</v>
      </c>
      <c r="C505" s="14" t="s">
        <v>156</v>
      </c>
      <c r="D505" s="14">
        <v>1</v>
      </c>
      <c r="E505" s="14">
        <v>0</v>
      </c>
      <c r="F505" s="14">
        <v>1</v>
      </c>
      <c r="G505" s="14">
        <v>0</v>
      </c>
      <c r="H505" s="14">
        <v>12</v>
      </c>
      <c r="I505" s="8" t="s">
        <v>120</v>
      </c>
      <c r="J505" s="8" t="s">
        <v>38</v>
      </c>
      <c r="K505">
        <v>46.625</v>
      </c>
      <c r="L505">
        <v>57.625</v>
      </c>
      <c r="M505" s="14">
        <v>9</v>
      </c>
      <c r="N505" s="14">
        <v>4.875</v>
      </c>
      <c r="Q505" t="str">
        <f t="shared" si="26"/>
        <v xml:space="preserve">XX8X_PV_0907:    Front abuts stile:TRUE       Back abuts stile:TRUE          Panel Section: TOP           Stile in the back Width: 12           Cutout A: B-386          Cutout B:      F.C.:9 in.         C.C.:4.875 in.   </v>
      </c>
      <c r="R505" t="str">
        <f t="shared" si="25"/>
        <v>TRUE</v>
      </c>
      <c r="S505" t="str">
        <f t="shared" si="27"/>
        <v>TRUE</v>
      </c>
    </row>
    <row r="506" spans="1:19" hidden="1">
      <c r="A506" t="s">
        <v>666</v>
      </c>
      <c r="B506" s="14" t="s">
        <v>144</v>
      </c>
      <c r="C506" s="14" t="s">
        <v>156</v>
      </c>
      <c r="D506" s="14">
        <v>1</v>
      </c>
      <c r="E506" s="14">
        <v>0</v>
      </c>
      <c r="F506" s="14">
        <v>1</v>
      </c>
      <c r="G506" s="14">
        <v>0</v>
      </c>
      <c r="H506" s="14">
        <v>24</v>
      </c>
      <c r="I506" s="8" t="s">
        <v>120</v>
      </c>
      <c r="J506" s="8" t="s">
        <v>38</v>
      </c>
      <c r="K506">
        <v>10.125</v>
      </c>
      <c r="L506">
        <v>74.375</v>
      </c>
      <c r="M506" s="14">
        <v>9</v>
      </c>
      <c r="N506" s="14">
        <v>7.1875</v>
      </c>
      <c r="Q506" t="str">
        <f t="shared" si="26"/>
        <v xml:space="preserve">XX8X_PV_0908:    Front abuts stile:TRUE       Back abuts stile:TRUE          Panel Section: TOP           Stile in the back Width: 24           Cutout A: B-386          Cutout B:      F.C.:9 in.         C.C.:7.1875 in.   </v>
      </c>
      <c r="R506" t="str">
        <f t="shared" si="25"/>
        <v>TRUE</v>
      </c>
      <c r="S506" t="str">
        <f t="shared" si="27"/>
        <v>TRUE</v>
      </c>
    </row>
    <row r="507" spans="1:19" hidden="1">
      <c r="A507" t="s">
        <v>667</v>
      </c>
      <c r="B507" s="14" t="s">
        <v>144</v>
      </c>
      <c r="C507" s="14" t="s">
        <v>156</v>
      </c>
      <c r="D507" s="14">
        <v>1</v>
      </c>
      <c r="E507" s="14">
        <v>0</v>
      </c>
      <c r="F507" s="14">
        <v>1</v>
      </c>
      <c r="G507" s="14">
        <v>0</v>
      </c>
      <c r="H507" s="14"/>
      <c r="I507" s="8" t="s">
        <v>120</v>
      </c>
      <c r="J507" s="8" t="s">
        <v>38</v>
      </c>
      <c r="K507">
        <v>39.375</v>
      </c>
      <c r="L507">
        <v>8.875</v>
      </c>
      <c r="M507" s="14">
        <v>1.125</v>
      </c>
      <c r="N507" s="14">
        <v>4.4375</v>
      </c>
      <c r="Q507" t="str">
        <f t="shared" si="26"/>
        <v xml:space="preserve">XX8X_PV_0909:    Front abuts stile:TRUE       Back abuts stile:TRUE          Panel Section: TOP           Stile in the back Width:            Cutout A: B-386          Cutout B:      F.C.:1.125 in.         C.C.:4.4375 in.   </v>
      </c>
      <c r="R507" t="str">
        <f t="shared" si="25"/>
        <v>TRUE</v>
      </c>
      <c r="S507" t="str">
        <f t="shared" si="27"/>
        <v>TRUE</v>
      </c>
    </row>
    <row r="508" spans="1:19" hidden="1">
      <c r="A508" t="s">
        <v>668</v>
      </c>
      <c r="B508" s="14" t="s">
        <v>144</v>
      </c>
      <c r="C508" s="14" t="s">
        <v>156</v>
      </c>
      <c r="D508" s="14">
        <v>1</v>
      </c>
      <c r="E508" s="14">
        <v>0</v>
      </c>
      <c r="F508" s="14">
        <v>1</v>
      </c>
      <c r="G508" s="14">
        <v>1</v>
      </c>
      <c r="H508" s="14"/>
      <c r="I508" s="8" t="s">
        <v>151</v>
      </c>
      <c r="J508" s="8" t="s">
        <v>38</v>
      </c>
      <c r="K508">
        <v>12</v>
      </c>
      <c r="L508">
        <v>79.375</v>
      </c>
      <c r="M508" s="14">
        <v>9</v>
      </c>
      <c r="N508" s="14">
        <v>3.5</v>
      </c>
      <c r="Q508" t="str">
        <f t="shared" si="26"/>
        <v xml:space="preserve">XX8X_PV_0910:    Front abuts stile:TRUE       Back abuts stile:TRUE          Panel Section: TOP           Stile in the back Width:            Cutout A: B-35715          Cutout B:      F.C.:9 in.         C.C.:3.5 in.   </v>
      </c>
      <c r="R508" t="str">
        <f t="shared" si="25"/>
        <v>TRUE</v>
      </c>
      <c r="S508" t="str">
        <f t="shared" si="27"/>
        <v>TRUE</v>
      </c>
    </row>
    <row r="509" spans="1:19" hidden="1">
      <c r="A509" t="s">
        <v>669</v>
      </c>
      <c r="B509" s="14" t="s">
        <v>144</v>
      </c>
      <c r="C509" s="14" t="s">
        <v>156</v>
      </c>
      <c r="D509" s="14">
        <v>1</v>
      </c>
      <c r="E509" s="14">
        <v>1</v>
      </c>
      <c r="F509" s="14">
        <v>0</v>
      </c>
      <c r="G509" s="14"/>
      <c r="H509" s="14"/>
      <c r="I509" s="8" t="s">
        <v>151</v>
      </c>
      <c r="J509" s="8" t="s">
        <v>38</v>
      </c>
      <c r="K509">
        <v>23.8125</v>
      </c>
      <c r="L509">
        <v>14.25</v>
      </c>
      <c r="M509" s="14">
        <v>1</v>
      </c>
      <c r="N509" s="14">
        <v>8.4375</v>
      </c>
      <c r="Q509" t="str">
        <f t="shared" si="26"/>
        <v xml:space="preserve">XX8X_PV_0911:    Front abuts stile:TRUE       Back abuts stile:FALSE          Panel Section: TOP           Stile in the back Width:            Cutout A: B-35715          Cutout B:      F.C.:1 in.         C.C.:8.4375 in.   </v>
      </c>
      <c r="R509" t="str">
        <f t="shared" si="25"/>
        <v>TRUE</v>
      </c>
      <c r="S509" t="str">
        <f t="shared" si="27"/>
        <v>FALSE</v>
      </c>
    </row>
    <row r="510" spans="1:19" hidden="1">
      <c r="A510" t="s">
        <v>670</v>
      </c>
      <c r="B510" s="14" t="s">
        <v>144</v>
      </c>
      <c r="C510" s="14" t="s">
        <v>156</v>
      </c>
      <c r="D510" s="14">
        <v>1</v>
      </c>
      <c r="E510" s="14">
        <v>1</v>
      </c>
      <c r="F510" s="14">
        <v>1</v>
      </c>
      <c r="G510" s="14">
        <v>0</v>
      </c>
      <c r="H510" s="14">
        <v>12</v>
      </c>
      <c r="I510" s="8" t="s">
        <v>38</v>
      </c>
      <c r="J510" s="8" t="s">
        <v>38</v>
      </c>
      <c r="K510">
        <v>3.375</v>
      </c>
      <c r="L510">
        <v>75.8125</v>
      </c>
      <c r="M510" s="14">
        <v>4.5625</v>
      </c>
      <c r="N510" s="14">
        <v>1</v>
      </c>
      <c r="Q510" t="str">
        <f t="shared" si="26"/>
        <v xml:space="preserve">XX8X_PV_0912:    Front abuts stile:TRUE       Back abuts stile:TRUE          Panel Section: TOP           Stile in the back Width: 12           Cutout A:           Cutout B:      F.C.:4.5625 in.         C.C.:1 in.   </v>
      </c>
      <c r="R510" t="str">
        <f t="shared" si="25"/>
        <v>TRUE</v>
      </c>
      <c r="S510" t="str">
        <f t="shared" si="27"/>
        <v>TRUE</v>
      </c>
    </row>
    <row r="511" spans="1:19" hidden="1">
      <c r="A511" t="s">
        <v>671</v>
      </c>
      <c r="B511" s="14" t="s">
        <v>144</v>
      </c>
      <c r="C511" s="14" t="s">
        <v>156</v>
      </c>
      <c r="D511" s="14">
        <v>1</v>
      </c>
      <c r="E511" s="14">
        <v>1</v>
      </c>
      <c r="F511" s="14">
        <v>1</v>
      </c>
      <c r="G511" s="14">
        <v>0</v>
      </c>
      <c r="H511" s="14">
        <v>24</v>
      </c>
      <c r="I511" s="8" t="s">
        <v>120</v>
      </c>
      <c r="J511" s="8" t="s">
        <v>38</v>
      </c>
      <c r="K511">
        <v>40.875</v>
      </c>
      <c r="L511">
        <v>39.0625</v>
      </c>
      <c r="M511" s="14">
        <v>12</v>
      </c>
      <c r="N511" s="14">
        <v>1.125</v>
      </c>
      <c r="Q511" t="str">
        <f t="shared" si="26"/>
        <v xml:space="preserve">XX8X_PV_0913:    Front abuts stile:TRUE       Back abuts stile:TRUE          Panel Section: TOP           Stile in the back Width: 24           Cutout A: B-386          Cutout B:      F.C.:12 in.         C.C.:1.125 in.   </v>
      </c>
      <c r="R511" t="str">
        <f t="shared" si="25"/>
        <v>TRUE</v>
      </c>
      <c r="S511" t="str">
        <f t="shared" si="27"/>
        <v>TRUE</v>
      </c>
    </row>
    <row r="512" spans="1:19" hidden="1">
      <c r="A512" t="s">
        <v>672</v>
      </c>
      <c r="B512" s="14" t="s">
        <v>144</v>
      </c>
      <c r="C512" s="14" t="s">
        <v>156</v>
      </c>
      <c r="D512" s="14">
        <v>1</v>
      </c>
      <c r="E512" s="14">
        <v>1</v>
      </c>
      <c r="F512" s="14">
        <v>1</v>
      </c>
      <c r="G512" s="14">
        <v>0</v>
      </c>
      <c r="H512" s="14"/>
      <c r="I512" s="8" t="s">
        <v>145</v>
      </c>
      <c r="J512" s="8" t="s">
        <v>38</v>
      </c>
      <c r="K512">
        <v>34.75</v>
      </c>
      <c r="L512">
        <v>28.8125</v>
      </c>
      <c r="M512" s="14">
        <v>4.375</v>
      </c>
      <c r="N512" s="14">
        <v>5</v>
      </c>
      <c r="Q512" t="str">
        <f t="shared" si="26"/>
        <v xml:space="preserve">XX8X_PV_0914:    Front abuts stile:TRUE       Back abuts stile:TRUE          Panel Section: TOP           Stile in the back Width:            Cutout A: B-347          Cutout B:      F.C.:4.375 in.         C.C.:5 in.   </v>
      </c>
      <c r="R512" t="str">
        <f t="shared" si="25"/>
        <v>TRUE</v>
      </c>
      <c r="S512" t="str">
        <f t="shared" si="27"/>
        <v>TRUE</v>
      </c>
    </row>
    <row r="513" spans="1:19" hidden="1">
      <c r="A513" t="s">
        <v>673</v>
      </c>
      <c r="B513" s="14" t="s">
        <v>144</v>
      </c>
      <c r="C513" s="14" t="s">
        <v>156</v>
      </c>
      <c r="D513" s="14">
        <v>1</v>
      </c>
      <c r="E513" s="14">
        <v>1</v>
      </c>
      <c r="F513" s="14">
        <v>1</v>
      </c>
      <c r="G513" s="14">
        <v>1</v>
      </c>
      <c r="H513" s="14"/>
      <c r="I513" s="8" t="s">
        <v>145</v>
      </c>
      <c r="J513" s="8" t="s">
        <v>38</v>
      </c>
      <c r="K513">
        <v>26.9375</v>
      </c>
      <c r="L513">
        <v>60.4375</v>
      </c>
      <c r="M513" s="14">
        <v>4.5</v>
      </c>
      <c r="N513" s="14">
        <v>2.8125</v>
      </c>
      <c r="Q513" t="str">
        <f t="shared" si="26"/>
        <v xml:space="preserve">XX8X_PV_0915:    Front abuts stile:TRUE       Back abuts stile:TRUE          Panel Section: TOP           Stile in the back Width:            Cutout A: B-347          Cutout B:      F.C.:4.5 in.         C.C.:2.8125 in.   </v>
      </c>
      <c r="R513" t="str">
        <f t="shared" si="25"/>
        <v>TRUE</v>
      </c>
      <c r="S513" t="str">
        <f t="shared" si="27"/>
        <v>TRUE</v>
      </c>
    </row>
    <row r="514" spans="1:19" hidden="1">
      <c r="A514" t="s">
        <v>674</v>
      </c>
      <c r="B514" s="14" t="s">
        <v>144</v>
      </c>
      <c r="C514" s="14" t="s">
        <v>157</v>
      </c>
      <c r="D514" s="14">
        <v>0</v>
      </c>
      <c r="E514" s="14"/>
      <c r="F514" s="14">
        <v>0</v>
      </c>
      <c r="G514" s="14"/>
      <c r="H514" s="14"/>
      <c r="I514" s="8" t="s">
        <v>148</v>
      </c>
      <c r="J514" s="8" t="s">
        <v>38</v>
      </c>
      <c r="K514">
        <v>60</v>
      </c>
      <c r="L514">
        <v>10.1875</v>
      </c>
      <c r="M514" s="14">
        <v>12</v>
      </c>
      <c r="N514" s="14">
        <v>2.5</v>
      </c>
      <c r="Q514" t="str">
        <f t="shared" si="26"/>
        <v xml:space="preserve">XX8X_PV_0931:    Front abuts stile:FALSE       Back abuts stile:FALSE          Panel Section: BOTTOM           Stile in the back Width:            Cutout A: B-3471          Cutout B:      F.C.:12 in.         C.C.:2.5 in.   </v>
      </c>
      <c r="R514" t="str">
        <f t="shared" si="25"/>
        <v>FALSE</v>
      </c>
      <c r="S514" t="str">
        <f t="shared" si="27"/>
        <v>FALSE</v>
      </c>
    </row>
    <row r="515" spans="1:19" hidden="1">
      <c r="A515" t="s">
        <v>675</v>
      </c>
      <c r="B515" s="14" t="s">
        <v>144</v>
      </c>
      <c r="C515" s="14" t="s">
        <v>157</v>
      </c>
      <c r="D515" s="14">
        <v>0</v>
      </c>
      <c r="E515" s="14"/>
      <c r="F515" s="14">
        <v>1</v>
      </c>
      <c r="G515" s="14">
        <v>0</v>
      </c>
      <c r="H515" s="14">
        <v>12</v>
      </c>
      <c r="I515" s="8" t="s">
        <v>120</v>
      </c>
      <c r="J515" s="8" t="s">
        <v>38</v>
      </c>
      <c r="K515">
        <v>60</v>
      </c>
      <c r="L515">
        <v>51.9375</v>
      </c>
      <c r="M515" s="14">
        <v>4.5</v>
      </c>
      <c r="N515" s="14">
        <v>7.9375</v>
      </c>
      <c r="Q515" t="str">
        <f t="shared" si="26"/>
        <v xml:space="preserve">XX8X_PV_0932:    Front abuts stile:FALSE       Back abuts stile:TRUE          Panel Section: BOTTOM           Stile in the back Width: 12           Cutout A: B-386          Cutout B:      F.C.:4.5 in.         C.C.:7.9375 in.   </v>
      </c>
      <c r="R515" t="str">
        <f t="shared" si="25"/>
        <v>FALSE</v>
      </c>
      <c r="S515" t="str">
        <f t="shared" si="27"/>
        <v>TRUE</v>
      </c>
    </row>
    <row r="516" spans="1:19" hidden="1">
      <c r="A516" t="s">
        <v>676</v>
      </c>
      <c r="B516" s="14" t="s">
        <v>144</v>
      </c>
      <c r="C516" s="14" t="s">
        <v>157</v>
      </c>
      <c r="D516" s="14">
        <v>0</v>
      </c>
      <c r="E516" s="14"/>
      <c r="F516" s="14">
        <v>1</v>
      </c>
      <c r="G516" s="14">
        <v>0</v>
      </c>
      <c r="H516" s="14">
        <v>24</v>
      </c>
      <c r="I516" s="8" t="s">
        <v>38</v>
      </c>
      <c r="J516" s="8" t="s">
        <v>38</v>
      </c>
      <c r="K516">
        <v>60</v>
      </c>
      <c r="L516">
        <v>9.0625</v>
      </c>
      <c r="M516" s="14">
        <v>1</v>
      </c>
      <c r="N516" s="14">
        <v>4.0625</v>
      </c>
      <c r="Q516" t="str">
        <f t="shared" si="26"/>
        <v xml:space="preserve">XX8X_PV_0933:    Front abuts stile:FALSE       Back abuts stile:TRUE          Panel Section: BOTTOM           Stile in the back Width: 24           Cutout A:           Cutout B:      F.C.:1 in.         C.C.:4.0625 in.   </v>
      </c>
      <c r="R516" t="str">
        <f t="shared" ref="R516:R579" si="28">IF(D516=1, "TRUE", "FALSE")</f>
        <v>FALSE</v>
      </c>
      <c r="S516" t="str">
        <f t="shared" si="27"/>
        <v>TRUE</v>
      </c>
    </row>
    <row r="517" spans="1:19" hidden="1">
      <c r="A517" t="s">
        <v>677</v>
      </c>
      <c r="B517" s="14" t="s">
        <v>144</v>
      </c>
      <c r="C517" s="14" t="s">
        <v>157</v>
      </c>
      <c r="D517" s="14">
        <v>0</v>
      </c>
      <c r="E517" s="14"/>
      <c r="F517" s="14">
        <v>1</v>
      </c>
      <c r="G517" s="14">
        <v>0</v>
      </c>
      <c r="H517" s="14"/>
      <c r="I517" s="8" t="s">
        <v>38</v>
      </c>
      <c r="J517" s="8" t="s">
        <v>38</v>
      </c>
      <c r="K517">
        <v>60</v>
      </c>
      <c r="L517">
        <v>28.4375</v>
      </c>
      <c r="M517" s="14">
        <v>12</v>
      </c>
      <c r="N517" s="14">
        <v>4</v>
      </c>
      <c r="Q517" t="str">
        <f t="shared" si="26"/>
        <v xml:space="preserve">XX8X_PV_0934:    Front abuts stile:FALSE       Back abuts stile:TRUE          Panel Section: BOTTOM           Stile in the back Width:            Cutout A:           Cutout B:      F.C.:12 in.         C.C.:4 in.   </v>
      </c>
      <c r="R517" t="str">
        <f t="shared" si="28"/>
        <v>FALSE</v>
      </c>
      <c r="S517" t="str">
        <f t="shared" si="27"/>
        <v>TRUE</v>
      </c>
    </row>
    <row r="518" spans="1:19" hidden="1">
      <c r="A518" t="s">
        <v>678</v>
      </c>
      <c r="B518" s="14" t="s">
        <v>144</v>
      </c>
      <c r="C518" s="14" t="s">
        <v>157</v>
      </c>
      <c r="D518" s="14">
        <v>0</v>
      </c>
      <c r="E518" s="14"/>
      <c r="F518" s="14">
        <v>1</v>
      </c>
      <c r="G518" s="14">
        <v>1</v>
      </c>
      <c r="H518" s="14"/>
      <c r="I518" s="8" t="s">
        <v>38</v>
      </c>
      <c r="J518" s="8" t="s">
        <v>38</v>
      </c>
      <c r="K518">
        <v>60</v>
      </c>
      <c r="L518">
        <v>39.875</v>
      </c>
      <c r="M518" s="14">
        <v>3.625</v>
      </c>
      <c r="N518" s="14">
        <v>2.875</v>
      </c>
      <c r="Q518" t="str">
        <f t="shared" si="26"/>
        <v xml:space="preserve">XX8X_PV_0935:    Front abuts stile:FALSE       Back abuts stile:TRUE          Panel Section: BOTTOM           Stile in the back Width:            Cutout A:           Cutout B:      F.C.:3.625 in.         C.C.:2.875 in.   </v>
      </c>
      <c r="R518" t="str">
        <f t="shared" si="28"/>
        <v>FALSE</v>
      </c>
      <c r="S518" t="str">
        <f t="shared" si="27"/>
        <v>TRUE</v>
      </c>
    </row>
    <row r="519" spans="1:19" hidden="1">
      <c r="A519" t="s">
        <v>679</v>
      </c>
      <c r="B519" s="14" t="s">
        <v>144</v>
      </c>
      <c r="C519" s="14" t="s">
        <v>157</v>
      </c>
      <c r="D519" s="14">
        <v>1</v>
      </c>
      <c r="E519" s="14">
        <v>0</v>
      </c>
      <c r="F519" s="14">
        <v>0</v>
      </c>
      <c r="G519" s="14"/>
      <c r="H519" s="14"/>
      <c r="I519" s="8" t="s">
        <v>119</v>
      </c>
      <c r="J519" s="8" t="s">
        <v>38</v>
      </c>
      <c r="K519">
        <v>60</v>
      </c>
      <c r="L519">
        <v>24.875</v>
      </c>
      <c r="M519" s="14">
        <v>12</v>
      </c>
      <c r="N519" s="14">
        <v>8.125</v>
      </c>
      <c r="Q519" t="str">
        <f t="shared" ref="Q519:Q582" si="29">A519&amp;":    Front abuts stile:"&amp;R519&amp;"       Back abuts stile:"&amp;S519&amp;"          Panel Section: "&amp;C519&amp;"           Stile in the back Width: "&amp;H519&amp;"           Cutout A: "&amp;I519&amp;"          Cutout B:"&amp;J519&amp;"      F.C.:"&amp;M519&amp;" in. "&amp;"        C.C.:"&amp;N519&amp;" in. "&amp;"  "</f>
        <v xml:space="preserve">XX8X_PV_0936:    Front abuts stile:TRUE       Back abuts stile:FALSE          Panel Section: BOTTOM           Stile in the back Width:            Cutout A: B-354          Cutout B:      F.C.:12 in.         C.C.:8.125 in.   </v>
      </c>
      <c r="R519" t="str">
        <f t="shared" si="28"/>
        <v>TRUE</v>
      </c>
      <c r="S519" t="str">
        <f t="shared" si="27"/>
        <v>FALSE</v>
      </c>
    </row>
    <row r="520" spans="1:19" hidden="1">
      <c r="A520" t="s">
        <v>680</v>
      </c>
      <c r="B520" s="14" t="s">
        <v>144</v>
      </c>
      <c r="C520" s="14" t="s">
        <v>157</v>
      </c>
      <c r="D520" s="14">
        <v>1</v>
      </c>
      <c r="E520" s="14">
        <v>0</v>
      </c>
      <c r="F520" s="14">
        <v>1</v>
      </c>
      <c r="G520" s="14">
        <v>0</v>
      </c>
      <c r="H520" s="14">
        <v>12</v>
      </c>
      <c r="I520" s="8" t="s">
        <v>149</v>
      </c>
      <c r="J520" s="8" t="s">
        <v>38</v>
      </c>
      <c r="K520">
        <v>60</v>
      </c>
      <c r="L520">
        <v>16.5625</v>
      </c>
      <c r="M520" s="14">
        <v>9</v>
      </c>
      <c r="N520" s="14">
        <v>1</v>
      </c>
      <c r="Q520" t="str">
        <f t="shared" si="29"/>
        <v xml:space="preserve">XX8X_PV_0937:    Front abuts stile:TRUE       Back abuts stile:TRUE          Panel Section: BOTTOM           Stile in the back Width: 12           Cutout A: B-34715          Cutout B:      F.C.:9 in.         C.C.:1 in.   </v>
      </c>
      <c r="R520" t="str">
        <f t="shared" si="28"/>
        <v>TRUE</v>
      </c>
      <c r="S520" t="str">
        <f t="shared" si="27"/>
        <v>TRUE</v>
      </c>
    </row>
    <row r="521" spans="1:19" hidden="1">
      <c r="A521" t="s">
        <v>681</v>
      </c>
      <c r="B521" s="14" t="s">
        <v>144</v>
      </c>
      <c r="C521" s="14" t="s">
        <v>157</v>
      </c>
      <c r="D521" s="14">
        <v>1</v>
      </c>
      <c r="E521" s="14">
        <v>0</v>
      </c>
      <c r="F521" s="14">
        <v>1</v>
      </c>
      <c r="G521" s="14">
        <v>0</v>
      </c>
      <c r="H521" s="14">
        <v>24</v>
      </c>
      <c r="I521" s="8" t="s">
        <v>120</v>
      </c>
      <c r="J521" s="8" t="s">
        <v>38</v>
      </c>
      <c r="K521">
        <v>60</v>
      </c>
      <c r="L521">
        <v>47.625</v>
      </c>
      <c r="M521" s="14">
        <v>7.75</v>
      </c>
      <c r="N521" s="14">
        <v>1.75</v>
      </c>
      <c r="Q521" t="str">
        <f t="shared" si="29"/>
        <v xml:space="preserve">XX8X_PV_0938:    Front abuts stile:TRUE       Back abuts stile:TRUE          Panel Section: BOTTOM           Stile in the back Width: 24           Cutout A: B-386          Cutout B:      F.C.:7.75 in.         C.C.:1.75 in.   </v>
      </c>
      <c r="R521" t="str">
        <f t="shared" si="28"/>
        <v>TRUE</v>
      </c>
      <c r="S521" t="str">
        <f t="shared" si="27"/>
        <v>TRUE</v>
      </c>
    </row>
    <row r="522" spans="1:19" hidden="1">
      <c r="A522" t="s">
        <v>682</v>
      </c>
      <c r="B522" s="14" t="s">
        <v>144</v>
      </c>
      <c r="C522" s="14" t="s">
        <v>157</v>
      </c>
      <c r="D522" s="14">
        <v>1</v>
      </c>
      <c r="E522" s="14">
        <v>0</v>
      </c>
      <c r="F522" s="14">
        <v>1</v>
      </c>
      <c r="G522" s="14">
        <v>0</v>
      </c>
      <c r="H522" s="14"/>
      <c r="I522" s="8" t="s">
        <v>151</v>
      </c>
      <c r="J522" s="8" t="s">
        <v>38</v>
      </c>
      <c r="K522">
        <v>60</v>
      </c>
      <c r="L522">
        <v>56.625</v>
      </c>
      <c r="M522" s="14">
        <v>4.125</v>
      </c>
      <c r="N522" s="14">
        <v>2.875</v>
      </c>
      <c r="Q522" t="str">
        <f t="shared" si="29"/>
        <v xml:space="preserve">XX8X_PV_0939:    Front abuts stile:TRUE       Back abuts stile:TRUE          Panel Section: BOTTOM           Stile in the back Width:            Cutout A: B-35715          Cutout B:      F.C.:4.125 in.         C.C.:2.875 in.   </v>
      </c>
      <c r="R522" t="str">
        <f t="shared" si="28"/>
        <v>TRUE</v>
      </c>
      <c r="S522" t="str">
        <f t="shared" si="27"/>
        <v>TRUE</v>
      </c>
    </row>
    <row r="523" spans="1:19" hidden="1">
      <c r="A523" t="s">
        <v>683</v>
      </c>
      <c r="B523" s="14" t="s">
        <v>144</v>
      </c>
      <c r="C523" s="14" t="s">
        <v>157</v>
      </c>
      <c r="D523" s="14">
        <v>1</v>
      </c>
      <c r="E523" s="14">
        <v>0</v>
      </c>
      <c r="F523" s="14">
        <v>1</v>
      </c>
      <c r="G523" s="14">
        <v>1</v>
      </c>
      <c r="H523" s="14"/>
      <c r="I523" s="8" t="s">
        <v>120</v>
      </c>
      <c r="J523" s="8" t="s">
        <v>38</v>
      </c>
      <c r="K523">
        <v>60</v>
      </c>
      <c r="L523">
        <v>34.75</v>
      </c>
      <c r="M523" s="14">
        <v>4.5</v>
      </c>
      <c r="N523" s="14">
        <v>1</v>
      </c>
      <c r="Q523" t="str">
        <f t="shared" si="29"/>
        <v xml:space="preserve">XX8X_PV_0940:    Front abuts stile:TRUE       Back abuts stile:TRUE          Panel Section: BOTTOM           Stile in the back Width:            Cutout A: B-386          Cutout B:      F.C.:4.5 in.         C.C.:1 in.   </v>
      </c>
      <c r="R523" t="str">
        <f t="shared" si="28"/>
        <v>TRUE</v>
      </c>
      <c r="S523" t="str">
        <f t="shared" si="27"/>
        <v>TRUE</v>
      </c>
    </row>
    <row r="524" spans="1:19" hidden="1">
      <c r="A524" t="s">
        <v>684</v>
      </c>
      <c r="B524" s="14" t="s">
        <v>144</v>
      </c>
      <c r="C524" s="14" t="s">
        <v>157</v>
      </c>
      <c r="D524" s="14">
        <v>1</v>
      </c>
      <c r="E524" s="14">
        <v>1</v>
      </c>
      <c r="F524" s="14">
        <v>0</v>
      </c>
      <c r="G524" s="14"/>
      <c r="H524" s="14"/>
      <c r="I524" s="8" t="s">
        <v>121</v>
      </c>
      <c r="J524" s="8" t="s">
        <v>120</v>
      </c>
      <c r="K524">
        <v>60</v>
      </c>
      <c r="L524">
        <v>76.625</v>
      </c>
      <c r="M524" s="14">
        <v>9</v>
      </c>
      <c r="N524" s="14">
        <v>1</v>
      </c>
      <c r="Q524" t="str">
        <f t="shared" si="29"/>
        <v xml:space="preserve">XX8X_PV_0941:    Front abuts stile:TRUE       Back abuts stile:FALSE          Panel Section: BOTTOM           Stile in the back Width:            Cutout A: B-4354          Cutout B:B-386      F.C.:9 in.         C.C.:1 in.   </v>
      </c>
      <c r="R524" t="str">
        <f t="shared" si="28"/>
        <v>TRUE</v>
      </c>
      <c r="S524" t="str">
        <f t="shared" si="27"/>
        <v>FALSE</v>
      </c>
    </row>
    <row r="525" spans="1:19" hidden="1">
      <c r="A525" t="s">
        <v>685</v>
      </c>
      <c r="B525" s="14" t="s">
        <v>144</v>
      </c>
      <c r="C525" s="14" t="s">
        <v>157</v>
      </c>
      <c r="D525" s="14">
        <v>1</v>
      </c>
      <c r="E525" s="14">
        <v>1</v>
      </c>
      <c r="F525" s="14">
        <v>1</v>
      </c>
      <c r="G525" s="14">
        <v>0</v>
      </c>
      <c r="H525" s="14">
        <v>12</v>
      </c>
      <c r="I525" s="8" t="s">
        <v>120</v>
      </c>
      <c r="J525" s="8" t="s">
        <v>38</v>
      </c>
      <c r="K525">
        <v>60</v>
      </c>
      <c r="L525">
        <v>17.875</v>
      </c>
      <c r="M525" s="14">
        <v>12</v>
      </c>
      <c r="N525" s="14">
        <v>7.5625</v>
      </c>
      <c r="Q525" t="str">
        <f t="shared" si="29"/>
        <v xml:space="preserve">XX8X_PV_0942:    Front abuts stile:TRUE       Back abuts stile:TRUE          Panel Section: BOTTOM           Stile in the back Width: 12           Cutout A: B-386          Cutout B:      F.C.:12 in.         C.C.:7.5625 in.   </v>
      </c>
      <c r="R525" t="str">
        <f t="shared" si="28"/>
        <v>TRUE</v>
      </c>
      <c r="S525" t="str">
        <f t="shared" si="27"/>
        <v>TRUE</v>
      </c>
    </row>
    <row r="526" spans="1:19" hidden="1">
      <c r="A526" t="s">
        <v>686</v>
      </c>
      <c r="B526" s="14" t="s">
        <v>144</v>
      </c>
      <c r="C526" s="14" t="s">
        <v>157</v>
      </c>
      <c r="D526" s="14">
        <v>1</v>
      </c>
      <c r="E526" s="14">
        <v>1</v>
      </c>
      <c r="F526" s="14">
        <v>1</v>
      </c>
      <c r="G526" s="14">
        <v>0</v>
      </c>
      <c r="H526" s="14">
        <v>24</v>
      </c>
      <c r="I526" s="8" t="s">
        <v>120</v>
      </c>
      <c r="J526" s="8" t="s">
        <v>38</v>
      </c>
      <c r="K526">
        <v>60</v>
      </c>
      <c r="L526">
        <v>78.0625</v>
      </c>
      <c r="M526" s="14">
        <v>4.5</v>
      </c>
      <c r="N526" s="14">
        <v>3.4375</v>
      </c>
      <c r="Q526" t="str">
        <f t="shared" si="29"/>
        <v xml:space="preserve">XX8X_PV_0943:    Front abuts stile:TRUE       Back abuts stile:TRUE          Panel Section: BOTTOM           Stile in the back Width: 24           Cutout A: B-386          Cutout B:      F.C.:4.5 in.         C.C.:3.4375 in.   </v>
      </c>
      <c r="R526" t="str">
        <f t="shared" si="28"/>
        <v>TRUE</v>
      </c>
      <c r="S526" t="str">
        <f t="shared" si="27"/>
        <v>TRUE</v>
      </c>
    </row>
    <row r="527" spans="1:19" hidden="1">
      <c r="A527" t="s">
        <v>687</v>
      </c>
      <c r="B527" s="14" t="s">
        <v>144</v>
      </c>
      <c r="C527" s="14" t="s">
        <v>157</v>
      </c>
      <c r="D527" s="14">
        <v>1</v>
      </c>
      <c r="E527" s="14">
        <v>1</v>
      </c>
      <c r="F527" s="14">
        <v>1</v>
      </c>
      <c r="G527" s="14">
        <v>0</v>
      </c>
      <c r="H527" s="14"/>
      <c r="I527" s="8" t="s">
        <v>120</v>
      </c>
      <c r="J527" s="8" t="s">
        <v>38</v>
      </c>
      <c r="K527">
        <v>60</v>
      </c>
      <c r="L527">
        <v>28</v>
      </c>
      <c r="M527" s="14">
        <v>1</v>
      </c>
      <c r="N527" s="14">
        <v>6.4375</v>
      </c>
      <c r="Q527" t="str">
        <f t="shared" si="29"/>
        <v xml:space="preserve">XX8X_PV_0944:    Front abuts stile:TRUE       Back abuts stile:TRUE          Panel Section: BOTTOM           Stile in the back Width:            Cutout A: B-386          Cutout B:      F.C.:1 in.         C.C.:6.4375 in.   </v>
      </c>
      <c r="R527" t="str">
        <f t="shared" si="28"/>
        <v>TRUE</v>
      </c>
      <c r="S527" t="str">
        <f t="shared" si="27"/>
        <v>TRUE</v>
      </c>
    </row>
    <row r="528" spans="1:19" hidden="1">
      <c r="A528" t="s">
        <v>688</v>
      </c>
      <c r="B528" s="14" t="s">
        <v>144</v>
      </c>
      <c r="C528" s="14" t="s">
        <v>157</v>
      </c>
      <c r="D528" s="14">
        <v>1</v>
      </c>
      <c r="E528" s="14">
        <v>1</v>
      </c>
      <c r="F528" s="14">
        <v>1</v>
      </c>
      <c r="G528" s="14">
        <v>1</v>
      </c>
      <c r="H528" s="14"/>
      <c r="I528" s="8" t="s">
        <v>38</v>
      </c>
      <c r="J528" s="8" t="s">
        <v>38</v>
      </c>
      <c r="K528">
        <v>60</v>
      </c>
      <c r="L528">
        <v>65.5</v>
      </c>
      <c r="M528" s="14">
        <v>10.1875</v>
      </c>
      <c r="N528" s="14">
        <v>8.4375</v>
      </c>
      <c r="Q528" t="str">
        <f t="shared" si="29"/>
        <v xml:space="preserve">XX8X_PV_0945:    Front abuts stile:TRUE       Back abuts stile:TRUE          Panel Section: BOTTOM           Stile in the back Width:            Cutout A:           Cutout B:      F.C.:10.1875 in.         C.C.:8.4375 in.   </v>
      </c>
      <c r="R528" t="str">
        <f t="shared" si="28"/>
        <v>TRUE</v>
      </c>
      <c r="S528" t="str">
        <f t="shared" si="27"/>
        <v>TRUE</v>
      </c>
    </row>
    <row r="529" spans="1:19" hidden="1">
      <c r="A529" t="s">
        <v>689</v>
      </c>
      <c r="B529" s="14" t="s">
        <v>144</v>
      </c>
      <c r="C529" s="14" t="s">
        <v>21</v>
      </c>
      <c r="D529" s="14">
        <v>0</v>
      </c>
      <c r="E529" s="14"/>
      <c r="F529" s="14">
        <v>0</v>
      </c>
      <c r="G529" s="14"/>
      <c r="H529" s="14"/>
      <c r="I529" s="8" t="s">
        <v>121</v>
      </c>
      <c r="J529" s="8" t="s">
        <v>38</v>
      </c>
      <c r="K529">
        <v>90.125</v>
      </c>
      <c r="L529">
        <v>77.3125</v>
      </c>
      <c r="M529" s="14">
        <v>9</v>
      </c>
      <c r="N529" s="14">
        <v>7.875</v>
      </c>
      <c r="Q529" t="str">
        <f t="shared" si="29"/>
        <v xml:space="preserve">XX8X_PV_0961:    Front abuts stile:FALSE       Back abuts stile:FALSE          Panel Section: WHOLE           Stile in the back Width:            Cutout A: B-4354          Cutout B:      F.C.:9 in.         C.C.:7.875 in.   </v>
      </c>
      <c r="R529" t="str">
        <f t="shared" si="28"/>
        <v>FALSE</v>
      </c>
      <c r="S529" t="str">
        <f t="shared" si="27"/>
        <v>FALSE</v>
      </c>
    </row>
    <row r="530" spans="1:19" hidden="1">
      <c r="A530" t="s">
        <v>690</v>
      </c>
      <c r="B530" s="14" t="s">
        <v>144</v>
      </c>
      <c r="C530" s="14" t="s">
        <v>21</v>
      </c>
      <c r="D530" s="14">
        <v>0</v>
      </c>
      <c r="E530" s="14"/>
      <c r="F530" s="14">
        <v>1</v>
      </c>
      <c r="G530" s="14">
        <v>0</v>
      </c>
      <c r="H530" s="14">
        <v>12</v>
      </c>
      <c r="I530" s="8" t="s">
        <v>149</v>
      </c>
      <c r="J530" s="8" t="s">
        <v>38</v>
      </c>
      <c r="K530">
        <v>70.25</v>
      </c>
      <c r="L530">
        <v>49.9375</v>
      </c>
      <c r="M530" s="14">
        <v>7.5625</v>
      </c>
      <c r="N530" s="14">
        <v>1</v>
      </c>
      <c r="Q530" t="str">
        <f t="shared" si="29"/>
        <v xml:space="preserve">XX8X_PV_0962:    Front abuts stile:FALSE       Back abuts stile:TRUE          Panel Section: WHOLE           Stile in the back Width: 12           Cutout A: B-34715          Cutout B:      F.C.:7.5625 in.         C.C.:1 in.   </v>
      </c>
      <c r="R530" t="str">
        <f t="shared" si="28"/>
        <v>FALSE</v>
      </c>
      <c r="S530" t="str">
        <f t="shared" ref="S530:S593" si="30">IF(F530=1, "TRUE", "FALSE")</f>
        <v>TRUE</v>
      </c>
    </row>
    <row r="531" spans="1:19" hidden="1">
      <c r="A531" t="s">
        <v>691</v>
      </c>
      <c r="B531" s="14" t="s">
        <v>144</v>
      </c>
      <c r="C531" s="14" t="s">
        <v>21</v>
      </c>
      <c r="D531" s="14">
        <v>0</v>
      </c>
      <c r="E531" s="14"/>
      <c r="F531" s="14">
        <v>1</v>
      </c>
      <c r="G531" s="14">
        <v>0</v>
      </c>
      <c r="H531" s="14">
        <v>24</v>
      </c>
      <c r="I531" s="8" t="s">
        <v>38</v>
      </c>
      <c r="J531" s="8" t="s">
        <v>38</v>
      </c>
      <c r="K531">
        <v>96</v>
      </c>
      <c r="L531">
        <v>53.3125</v>
      </c>
      <c r="M531" s="14">
        <v>2.875</v>
      </c>
      <c r="N531" s="14">
        <v>1.8125</v>
      </c>
      <c r="Q531" t="str">
        <f t="shared" si="29"/>
        <v xml:space="preserve">XX8X_PV_0963:    Front abuts stile:FALSE       Back abuts stile:TRUE          Panel Section: WHOLE           Stile in the back Width: 24           Cutout A:           Cutout B:      F.C.:2.875 in.         C.C.:1.8125 in.   </v>
      </c>
      <c r="R531" t="str">
        <f t="shared" si="28"/>
        <v>FALSE</v>
      </c>
      <c r="S531" t="str">
        <f t="shared" si="30"/>
        <v>TRUE</v>
      </c>
    </row>
    <row r="532" spans="1:19" hidden="1">
      <c r="A532" t="s">
        <v>692</v>
      </c>
      <c r="B532" s="14" t="s">
        <v>144</v>
      </c>
      <c r="C532" s="14" t="s">
        <v>21</v>
      </c>
      <c r="D532" s="14">
        <v>0</v>
      </c>
      <c r="E532" s="14"/>
      <c r="F532" s="14">
        <v>1</v>
      </c>
      <c r="G532" s="14">
        <v>0</v>
      </c>
      <c r="H532" s="14"/>
      <c r="I532" s="8" t="s">
        <v>120</v>
      </c>
      <c r="J532" s="8" t="s">
        <v>38</v>
      </c>
      <c r="K532">
        <v>48.375</v>
      </c>
      <c r="L532">
        <v>16.375</v>
      </c>
      <c r="M532" s="14">
        <v>2.0625</v>
      </c>
      <c r="N532" s="14">
        <v>1</v>
      </c>
      <c r="Q532" t="str">
        <f t="shared" si="29"/>
        <v xml:space="preserve">XX8X_PV_0964:    Front abuts stile:FALSE       Back abuts stile:TRUE          Panel Section: WHOLE           Stile in the back Width:            Cutout A: B-386          Cutout B:      F.C.:2.0625 in.         C.C.:1 in.   </v>
      </c>
      <c r="R532" t="str">
        <f t="shared" si="28"/>
        <v>FALSE</v>
      </c>
      <c r="S532" t="str">
        <f t="shared" si="30"/>
        <v>TRUE</v>
      </c>
    </row>
    <row r="533" spans="1:19" hidden="1">
      <c r="A533" t="s">
        <v>693</v>
      </c>
      <c r="B533" s="14" t="s">
        <v>144</v>
      </c>
      <c r="C533" s="14" t="s">
        <v>21</v>
      </c>
      <c r="D533" s="14">
        <v>0</v>
      </c>
      <c r="E533" s="14"/>
      <c r="F533" s="14">
        <v>1</v>
      </c>
      <c r="G533" s="14">
        <v>1</v>
      </c>
      <c r="H533" s="14"/>
      <c r="I533" s="8" t="s">
        <v>145</v>
      </c>
      <c r="J533" s="8" t="s">
        <v>38</v>
      </c>
      <c r="K533">
        <v>72.75</v>
      </c>
      <c r="L533">
        <v>13.625</v>
      </c>
      <c r="M533" s="14">
        <v>12</v>
      </c>
      <c r="N533" s="14">
        <v>2.625</v>
      </c>
      <c r="Q533" t="str">
        <f t="shared" si="29"/>
        <v xml:space="preserve">XX8X_PV_0965:    Front abuts stile:FALSE       Back abuts stile:TRUE          Panel Section: WHOLE           Stile in the back Width:            Cutout A: B-347          Cutout B:      F.C.:12 in.         C.C.:2.625 in.   </v>
      </c>
      <c r="R533" t="str">
        <f t="shared" si="28"/>
        <v>FALSE</v>
      </c>
      <c r="S533" t="str">
        <f t="shared" si="30"/>
        <v>TRUE</v>
      </c>
    </row>
    <row r="534" spans="1:19" hidden="1">
      <c r="A534" t="s">
        <v>694</v>
      </c>
      <c r="B534" s="14" t="s">
        <v>144</v>
      </c>
      <c r="C534" s="14" t="s">
        <v>21</v>
      </c>
      <c r="D534" s="14">
        <v>1</v>
      </c>
      <c r="E534" s="14">
        <v>0</v>
      </c>
      <c r="F534" s="14">
        <v>0</v>
      </c>
      <c r="G534" s="14"/>
      <c r="H534" s="14"/>
      <c r="I534" s="8" t="s">
        <v>150</v>
      </c>
      <c r="J534" s="8" t="s">
        <v>38</v>
      </c>
      <c r="K534">
        <v>62.6875</v>
      </c>
      <c r="L534">
        <v>32</v>
      </c>
      <c r="M534" s="14">
        <v>12</v>
      </c>
      <c r="N534" s="14">
        <v>1.4375</v>
      </c>
      <c r="Q534" t="str">
        <f t="shared" si="29"/>
        <v xml:space="preserve">XX8X_PV_0966:    Front abuts stile:TRUE       Back abuts stile:FALSE          Panel Section: WHOLE           Stile in the back Width:            Cutout A: B-3571          Cutout B:      F.C.:12 in.         C.C.:1.4375 in.   </v>
      </c>
      <c r="R534" t="str">
        <f t="shared" si="28"/>
        <v>TRUE</v>
      </c>
      <c r="S534" t="str">
        <f t="shared" si="30"/>
        <v>FALSE</v>
      </c>
    </row>
    <row r="535" spans="1:19" hidden="1">
      <c r="A535" t="s">
        <v>695</v>
      </c>
      <c r="B535" s="14" t="s">
        <v>144</v>
      </c>
      <c r="C535" s="14" t="s">
        <v>21</v>
      </c>
      <c r="D535" s="14">
        <v>1</v>
      </c>
      <c r="E535" s="14">
        <v>0</v>
      </c>
      <c r="F535" s="14">
        <v>1</v>
      </c>
      <c r="G535" s="14">
        <v>0</v>
      </c>
      <c r="H535" s="14">
        <v>12</v>
      </c>
      <c r="I535" s="8" t="s">
        <v>120</v>
      </c>
      <c r="J535" s="8" t="s">
        <v>38</v>
      </c>
      <c r="K535">
        <v>106.4375</v>
      </c>
      <c r="L535">
        <v>38.1875</v>
      </c>
      <c r="M535" s="14">
        <v>12</v>
      </c>
      <c r="N535" s="14">
        <v>2.875</v>
      </c>
      <c r="Q535" t="str">
        <f t="shared" si="29"/>
        <v xml:space="preserve">XX8X_PV_0967:    Front abuts stile:TRUE       Back abuts stile:TRUE          Panel Section: WHOLE           Stile in the back Width: 12           Cutout A: B-386          Cutout B:      F.C.:12 in.         C.C.:2.875 in.   </v>
      </c>
      <c r="R535" t="str">
        <f t="shared" si="28"/>
        <v>TRUE</v>
      </c>
      <c r="S535" t="str">
        <f t="shared" si="30"/>
        <v>TRUE</v>
      </c>
    </row>
    <row r="536" spans="1:19" hidden="1">
      <c r="A536" t="s">
        <v>696</v>
      </c>
      <c r="B536" s="14" t="s">
        <v>144</v>
      </c>
      <c r="C536" s="14" t="s">
        <v>21</v>
      </c>
      <c r="D536" s="14">
        <v>1</v>
      </c>
      <c r="E536" s="14">
        <v>0</v>
      </c>
      <c r="F536" s="14">
        <v>1</v>
      </c>
      <c r="G536" s="14">
        <v>0</v>
      </c>
      <c r="H536" s="14">
        <v>24</v>
      </c>
      <c r="I536" s="8" t="s">
        <v>38</v>
      </c>
      <c r="J536" s="8" t="s">
        <v>38</v>
      </c>
      <c r="K536">
        <v>52.4375</v>
      </c>
      <c r="L536">
        <v>55.25</v>
      </c>
      <c r="M536" s="14">
        <v>8.5</v>
      </c>
      <c r="N536" s="14">
        <v>4</v>
      </c>
      <c r="Q536" t="str">
        <f t="shared" si="29"/>
        <v xml:space="preserve">XX8X_PV_0968:    Front abuts stile:TRUE       Back abuts stile:TRUE          Panel Section: WHOLE           Stile in the back Width: 24           Cutout A:           Cutout B:      F.C.:8.5 in.         C.C.:4 in.   </v>
      </c>
      <c r="R536" t="str">
        <f t="shared" si="28"/>
        <v>TRUE</v>
      </c>
      <c r="S536" t="str">
        <f t="shared" si="30"/>
        <v>TRUE</v>
      </c>
    </row>
    <row r="537" spans="1:19" hidden="1">
      <c r="A537" t="s">
        <v>697</v>
      </c>
      <c r="B537" s="14" t="s">
        <v>144</v>
      </c>
      <c r="C537" s="14" t="s">
        <v>21</v>
      </c>
      <c r="D537" s="14">
        <v>1</v>
      </c>
      <c r="E537" s="14">
        <v>0</v>
      </c>
      <c r="F537" s="14">
        <v>1</v>
      </c>
      <c r="G537" s="14">
        <v>0</v>
      </c>
      <c r="H537" s="14"/>
      <c r="I537" s="8" t="s">
        <v>38</v>
      </c>
      <c r="J537" s="8" t="s">
        <v>38</v>
      </c>
      <c r="K537">
        <v>86.4375</v>
      </c>
      <c r="L537">
        <v>66.0625</v>
      </c>
      <c r="M537" s="14">
        <v>1.625</v>
      </c>
      <c r="N537" s="14">
        <v>6.1875</v>
      </c>
      <c r="Q537" t="str">
        <f t="shared" si="29"/>
        <v xml:space="preserve">XX8X_PV_0969:    Front abuts stile:TRUE       Back abuts stile:TRUE          Panel Section: WHOLE           Stile in the back Width:            Cutout A:           Cutout B:      F.C.:1.625 in.         C.C.:6.1875 in.   </v>
      </c>
      <c r="R537" t="str">
        <f t="shared" si="28"/>
        <v>TRUE</v>
      </c>
      <c r="S537" t="str">
        <f t="shared" si="30"/>
        <v>TRUE</v>
      </c>
    </row>
    <row r="538" spans="1:19" hidden="1">
      <c r="A538" t="s">
        <v>698</v>
      </c>
      <c r="B538" s="14" t="s">
        <v>144</v>
      </c>
      <c r="C538" s="14" t="s">
        <v>21</v>
      </c>
      <c r="D538" s="14">
        <v>1</v>
      </c>
      <c r="E538" s="14">
        <v>0</v>
      </c>
      <c r="F538" s="14">
        <v>1</v>
      </c>
      <c r="G538" s="14">
        <v>1</v>
      </c>
      <c r="H538" s="14"/>
      <c r="I538" s="8" t="s">
        <v>120</v>
      </c>
      <c r="J538" s="8" t="s">
        <v>38</v>
      </c>
      <c r="K538">
        <v>90.125</v>
      </c>
      <c r="L538">
        <v>56.75</v>
      </c>
      <c r="M538" s="14">
        <v>3.3125</v>
      </c>
      <c r="N538" s="14">
        <v>1.375</v>
      </c>
      <c r="Q538" t="str">
        <f t="shared" si="29"/>
        <v xml:space="preserve">XX8X_PV_0970:    Front abuts stile:TRUE       Back abuts stile:TRUE          Panel Section: WHOLE           Stile in the back Width:            Cutout A: B-386          Cutout B:      F.C.:3.3125 in.         C.C.:1.375 in.   </v>
      </c>
      <c r="R538" t="str">
        <f t="shared" si="28"/>
        <v>TRUE</v>
      </c>
      <c r="S538" t="str">
        <f t="shared" si="30"/>
        <v>TRUE</v>
      </c>
    </row>
    <row r="539" spans="1:19" hidden="1">
      <c r="A539" t="s">
        <v>699</v>
      </c>
      <c r="B539" s="14" t="s">
        <v>144</v>
      </c>
      <c r="C539" s="14" t="s">
        <v>21</v>
      </c>
      <c r="D539" s="14">
        <v>1</v>
      </c>
      <c r="E539" s="14">
        <v>1</v>
      </c>
      <c r="F539" s="14">
        <v>0</v>
      </c>
      <c r="G539" s="14"/>
      <c r="H539" s="14"/>
      <c r="I539" s="8" t="s">
        <v>151</v>
      </c>
      <c r="J539" s="8" t="s">
        <v>38</v>
      </c>
      <c r="K539">
        <v>57.5625</v>
      </c>
      <c r="L539">
        <v>46</v>
      </c>
      <c r="M539" s="14">
        <v>9</v>
      </c>
      <c r="N539" s="14">
        <v>3.75</v>
      </c>
      <c r="Q539" t="str">
        <f t="shared" si="29"/>
        <v xml:space="preserve">XX8X_PV_0971:    Front abuts stile:TRUE       Back abuts stile:FALSE          Panel Section: WHOLE           Stile in the back Width:            Cutout A: B-35715          Cutout B:      F.C.:9 in.         C.C.:3.75 in.   </v>
      </c>
      <c r="R539" t="str">
        <f t="shared" si="28"/>
        <v>TRUE</v>
      </c>
      <c r="S539" t="str">
        <f t="shared" si="30"/>
        <v>FALSE</v>
      </c>
    </row>
    <row r="540" spans="1:19" hidden="1">
      <c r="A540" t="s">
        <v>700</v>
      </c>
      <c r="B540" s="14" t="s">
        <v>144</v>
      </c>
      <c r="C540" s="14" t="s">
        <v>21</v>
      </c>
      <c r="D540" s="14">
        <v>1</v>
      </c>
      <c r="E540" s="14">
        <v>1</v>
      </c>
      <c r="F540" s="14">
        <v>1</v>
      </c>
      <c r="G540" s="14">
        <v>0</v>
      </c>
      <c r="H540" s="14">
        <v>12</v>
      </c>
      <c r="I540" s="8" t="s">
        <v>120</v>
      </c>
      <c r="J540" s="8" t="s">
        <v>38</v>
      </c>
      <c r="K540">
        <v>96</v>
      </c>
      <c r="L540">
        <v>69.0625</v>
      </c>
      <c r="M540" s="14">
        <v>1</v>
      </c>
      <c r="N540" s="14">
        <v>1</v>
      </c>
      <c r="Q540" t="str">
        <f t="shared" si="29"/>
        <v xml:space="preserve">XX8X_PV_0972:    Front abuts stile:TRUE       Back abuts stile:TRUE          Panel Section: WHOLE           Stile in the back Width: 12           Cutout A: B-386          Cutout B:      F.C.:1 in.         C.C.:1 in.   </v>
      </c>
      <c r="R540" t="str">
        <f t="shared" si="28"/>
        <v>TRUE</v>
      </c>
      <c r="S540" t="str">
        <f t="shared" si="30"/>
        <v>TRUE</v>
      </c>
    </row>
    <row r="541" spans="1:19" hidden="1">
      <c r="A541" t="s">
        <v>701</v>
      </c>
      <c r="B541" s="14" t="s">
        <v>144</v>
      </c>
      <c r="C541" s="14" t="s">
        <v>21</v>
      </c>
      <c r="D541" s="14">
        <v>1</v>
      </c>
      <c r="E541" s="14">
        <v>1</v>
      </c>
      <c r="F541" s="14">
        <v>1</v>
      </c>
      <c r="G541" s="14">
        <v>0</v>
      </c>
      <c r="H541" s="14">
        <v>24</v>
      </c>
      <c r="I541" s="8" t="s">
        <v>120</v>
      </c>
      <c r="J541" s="8" t="s">
        <v>38</v>
      </c>
      <c r="K541">
        <v>87.3125</v>
      </c>
      <c r="L541">
        <v>43.4375</v>
      </c>
      <c r="M541" s="14">
        <v>3.5625</v>
      </c>
      <c r="N541" s="14">
        <v>1</v>
      </c>
      <c r="Q541" t="str">
        <f t="shared" si="29"/>
        <v xml:space="preserve">XX8X_PV_0973:    Front abuts stile:TRUE       Back abuts stile:TRUE          Panel Section: WHOLE           Stile in the back Width: 24           Cutout A: B-386          Cutout B:      F.C.:3.5625 in.         C.C.:1 in.   </v>
      </c>
      <c r="R541" t="str">
        <f t="shared" si="28"/>
        <v>TRUE</v>
      </c>
      <c r="S541" t="str">
        <f t="shared" si="30"/>
        <v>TRUE</v>
      </c>
    </row>
    <row r="542" spans="1:19" hidden="1">
      <c r="A542" t="s">
        <v>702</v>
      </c>
      <c r="B542" s="14" t="s">
        <v>144</v>
      </c>
      <c r="C542" s="14" t="s">
        <v>21</v>
      </c>
      <c r="D542" s="14">
        <v>1</v>
      </c>
      <c r="E542" s="14">
        <v>1</v>
      </c>
      <c r="F542" s="14">
        <v>1</v>
      </c>
      <c r="G542" s="14">
        <v>0</v>
      </c>
      <c r="H542" s="14"/>
      <c r="I542" s="8" t="s">
        <v>145</v>
      </c>
      <c r="J542" s="8" t="s">
        <v>38</v>
      </c>
      <c r="K542">
        <v>98.5</v>
      </c>
      <c r="L542">
        <v>36.375</v>
      </c>
      <c r="M542" s="14">
        <v>1</v>
      </c>
      <c r="N542" s="14">
        <v>8</v>
      </c>
      <c r="Q542" t="str">
        <f t="shared" si="29"/>
        <v xml:space="preserve">XX8X_PV_0974:    Front abuts stile:TRUE       Back abuts stile:TRUE          Panel Section: WHOLE           Stile in the back Width:            Cutout A: B-347          Cutout B:      F.C.:1 in.         C.C.:8 in.   </v>
      </c>
      <c r="R542" t="str">
        <f t="shared" si="28"/>
        <v>TRUE</v>
      </c>
      <c r="S542" t="str">
        <f t="shared" si="30"/>
        <v>TRUE</v>
      </c>
    </row>
    <row r="543" spans="1:19" hidden="1">
      <c r="A543" t="s">
        <v>703</v>
      </c>
      <c r="B543" s="14" t="s">
        <v>144</v>
      </c>
      <c r="C543" s="14" t="s">
        <v>21</v>
      </c>
      <c r="D543" s="14">
        <v>1</v>
      </c>
      <c r="E543" s="14">
        <v>1</v>
      </c>
      <c r="F543" s="14">
        <v>1</v>
      </c>
      <c r="G543" s="14">
        <v>1</v>
      </c>
      <c r="H543" s="14"/>
      <c r="I543" s="8" t="s">
        <v>120</v>
      </c>
      <c r="J543" s="8" t="s">
        <v>38</v>
      </c>
      <c r="K543">
        <v>36</v>
      </c>
      <c r="L543">
        <v>12.0625</v>
      </c>
      <c r="M543" s="14">
        <v>3.9375</v>
      </c>
      <c r="N543" s="14">
        <v>5</v>
      </c>
      <c r="Q543" t="str">
        <f t="shared" si="29"/>
        <v xml:space="preserve">XX8X_PV_0975:    Front abuts stile:TRUE       Back abuts stile:TRUE          Panel Section: WHOLE           Stile in the back Width:            Cutout A: B-386          Cutout B:      F.C.:3.9375 in.         C.C.:5 in.   </v>
      </c>
      <c r="R543" t="str">
        <f t="shared" si="28"/>
        <v>TRUE</v>
      </c>
      <c r="S543" t="str">
        <f t="shared" si="30"/>
        <v>TRUE</v>
      </c>
    </row>
    <row r="544" spans="1:19" hidden="1">
      <c r="A544" t="s">
        <v>704</v>
      </c>
      <c r="B544" s="14" t="s">
        <v>144</v>
      </c>
      <c r="C544" s="14" t="s">
        <v>156</v>
      </c>
      <c r="D544" s="19">
        <v>0</v>
      </c>
      <c r="E544" s="19"/>
      <c r="F544" s="19">
        <v>0</v>
      </c>
      <c r="G544" s="19"/>
      <c r="H544" s="14"/>
      <c r="I544" s="8" t="s">
        <v>145</v>
      </c>
      <c r="J544" s="8" t="s">
        <v>38</v>
      </c>
      <c r="K544">
        <v>9.25</v>
      </c>
      <c r="L544">
        <v>24.9375</v>
      </c>
      <c r="M544" s="14">
        <v>12</v>
      </c>
      <c r="N544" s="14">
        <v>8.375</v>
      </c>
      <c r="Q544" t="str">
        <f t="shared" si="29"/>
        <v xml:space="preserve">XX8X_PV_0991:    Front abuts stile:FALSE       Back abuts stile:FALSE          Panel Section: TOP           Stile in the back Width:            Cutout A: B-347          Cutout B:      F.C.:12 in.         C.C.:8.375 in.   </v>
      </c>
      <c r="R544" t="str">
        <f t="shared" si="28"/>
        <v>FALSE</v>
      </c>
      <c r="S544" t="str">
        <f t="shared" si="30"/>
        <v>FALSE</v>
      </c>
    </row>
    <row r="545" spans="1:19" hidden="1">
      <c r="A545" t="s">
        <v>705</v>
      </c>
      <c r="B545" s="14" t="s">
        <v>144</v>
      </c>
      <c r="C545" s="14" t="s">
        <v>156</v>
      </c>
      <c r="D545" s="14">
        <v>0</v>
      </c>
      <c r="E545" s="14"/>
      <c r="F545" s="14">
        <v>1</v>
      </c>
      <c r="G545" s="14">
        <v>0</v>
      </c>
      <c r="H545" s="14">
        <v>12</v>
      </c>
      <c r="I545" s="8" t="s">
        <v>120</v>
      </c>
      <c r="J545" s="8" t="s">
        <v>38</v>
      </c>
      <c r="K545">
        <v>27.5</v>
      </c>
      <c r="L545">
        <v>67.8125</v>
      </c>
      <c r="M545" s="14">
        <v>2.8125</v>
      </c>
      <c r="N545" s="14">
        <v>3.75</v>
      </c>
      <c r="Q545" t="str">
        <f t="shared" si="29"/>
        <v xml:space="preserve">XX8X_PV_0992:    Front abuts stile:FALSE       Back abuts stile:TRUE          Panel Section: TOP           Stile in the back Width: 12           Cutout A: B-386          Cutout B:      F.C.:2.8125 in.         C.C.:3.75 in.   </v>
      </c>
      <c r="R545" t="str">
        <f t="shared" si="28"/>
        <v>FALSE</v>
      </c>
      <c r="S545" t="str">
        <f t="shared" si="30"/>
        <v>TRUE</v>
      </c>
    </row>
    <row r="546" spans="1:19" hidden="1">
      <c r="A546" t="s">
        <v>706</v>
      </c>
      <c r="B546" s="14" t="s">
        <v>144</v>
      </c>
      <c r="C546" s="14" t="s">
        <v>156</v>
      </c>
      <c r="D546" s="14">
        <v>0</v>
      </c>
      <c r="E546" s="14"/>
      <c r="F546" s="14">
        <v>1</v>
      </c>
      <c r="G546" s="14">
        <v>0</v>
      </c>
      <c r="H546" s="14">
        <v>24</v>
      </c>
      <c r="I546" s="8" t="s">
        <v>38</v>
      </c>
      <c r="J546" s="8" t="s">
        <v>38</v>
      </c>
      <c r="K546">
        <v>47.5</v>
      </c>
      <c r="L546">
        <v>74.5</v>
      </c>
      <c r="M546" s="14">
        <v>3.5</v>
      </c>
      <c r="N546" s="14">
        <v>1</v>
      </c>
      <c r="Q546" t="str">
        <f t="shared" si="29"/>
        <v xml:space="preserve">XX8X_PV_0993:    Front abuts stile:FALSE       Back abuts stile:TRUE          Panel Section: TOP           Stile in the back Width: 24           Cutout A:           Cutout B:      F.C.:3.5 in.         C.C.:1 in.   </v>
      </c>
      <c r="R546" t="str">
        <f t="shared" si="28"/>
        <v>FALSE</v>
      </c>
      <c r="S546" t="str">
        <f t="shared" si="30"/>
        <v>TRUE</v>
      </c>
    </row>
    <row r="547" spans="1:19" hidden="1">
      <c r="A547" t="s">
        <v>707</v>
      </c>
      <c r="B547" s="14" t="s">
        <v>144</v>
      </c>
      <c r="C547" s="14" t="s">
        <v>156</v>
      </c>
      <c r="D547" s="14">
        <v>0</v>
      </c>
      <c r="E547" s="14"/>
      <c r="F547" s="14">
        <v>1</v>
      </c>
      <c r="G547" s="14">
        <v>0</v>
      </c>
      <c r="H547" s="14"/>
      <c r="I547" s="8" t="s">
        <v>151</v>
      </c>
      <c r="J547" s="8" t="s">
        <v>38</v>
      </c>
      <c r="K547">
        <v>35.9375</v>
      </c>
      <c r="L547">
        <v>60.375</v>
      </c>
      <c r="M547" s="14">
        <v>1</v>
      </c>
      <c r="N547" s="14">
        <v>1</v>
      </c>
      <c r="Q547" t="str">
        <f t="shared" si="29"/>
        <v xml:space="preserve">XX8X_PV_0994:    Front abuts stile:FALSE       Back abuts stile:TRUE          Panel Section: TOP           Stile in the back Width:            Cutout A: B-35715          Cutout B:      F.C.:1 in.         C.C.:1 in.   </v>
      </c>
      <c r="R547" t="str">
        <f t="shared" si="28"/>
        <v>FALSE</v>
      </c>
      <c r="S547" t="str">
        <f t="shared" si="30"/>
        <v>TRUE</v>
      </c>
    </row>
    <row r="548" spans="1:19" hidden="1">
      <c r="A548" t="s">
        <v>708</v>
      </c>
      <c r="B548" s="14" t="s">
        <v>144</v>
      </c>
      <c r="C548" s="14" t="s">
        <v>156</v>
      </c>
      <c r="D548" s="14">
        <v>0</v>
      </c>
      <c r="E548" s="14"/>
      <c r="F548" s="14">
        <v>1</v>
      </c>
      <c r="G548" s="14">
        <v>1</v>
      </c>
      <c r="H548" s="14"/>
      <c r="I548" s="8" t="s">
        <v>145</v>
      </c>
      <c r="J548" s="8" t="s">
        <v>38</v>
      </c>
      <c r="K548">
        <v>6.625</v>
      </c>
      <c r="L548">
        <v>61</v>
      </c>
      <c r="M548" s="14">
        <v>12</v>
      </c>
      <c r="N548" s="14">
        <v>1</v>
      </c>
      <c r="Q548" t="str">
        <f t="shared" si="29"/>
        <v xml:space="preserve">XX8X_PV_0995:    Front abuts stile:FALSE       Back abuts stile:TRUE          Panel Section: TOP           Stile in the back Width:            Cutout A: B-347          Cutout B:      F.C.:12 in.         C.C.:1 in.   </v>
      </c>
      <c r="R548" t="str">
        <f t="shared" si="28"/>
        <v>FALSE</v>
      </c>
      <c r="S548" t="str">
        <f t="shared" si="30"/>
        <v>TRUE</v>
      </c>
    </row>
    <row r="549" spans="1:19" hidden="1">
      <c r="A549" t="s">
        <v>709</v>
      </c>
      <c r="B549" s="14" t="s">
        <v>144</v>
      </c>
      <c r="C549" s="14" t="s">
        <v>156</v>
      </c>
      <c r="D549" s="14">
        <v>1</v>
      </c>
      <c r="E549" s="14">
        <v>0</v>
      </c>
      <c r="F549" s="14">
        <v>0</v>
      </c>
      <c r="G549" s="14"/>
      <c r="H549" s="14"/>
      <c r="I549" s="8" t="s">
        <v>120</v>
      </c>
      <c r="J549" s="8" t="s">
        <v>38</v>
      </c>
      <c r="K549">
        <v>15.4375</v>
      </c>
      <c r="L549">
        <v>62.875</v>
      </c>
      <c r="M549" s="14">
        <v>2.875</v>
      </c>
      <c r="N549" s="14">
        <v>3.625</v>
      </c>
      <c r="Q549" t="str">
        <f t="shared" si="29"/>
        <v xml:space="preserve">XX8X_PV_0996:    Front abuts stile:TRUE       Back abuts stile:FALSE          Panel Section: TOP           Stile in the back Width:            Cutout A: B-386          Cutout B:      F.C.:2.875 in.         C.C.:3.625 in.   </v>
      </c>
      <c r="R549" t="str">
        <f t="shared" si="28"/>
        <v>TRUE</v>
      </c>
      <c r="S549" t="str">
        <f t="shared" si="30"/>
        <v>FALSE</v>
      </c>
    </row>
    <row r="550" spans="1:19" hidden="1">
      <c r="A550" t="s">
        <v>710</v>
      </c>
      <c r="B550" s="14" t="s">
        <v>144</v>
      </c>
      <c r="C550" s="14" t="s">
        <v>156</v>
      </c>
      <c r="D550" s="14">
        <v>1</v>
      </c>
      <c r="E550" s="14">
        <v>0</v>
      </c>
      <c r="F550" s="14">
        <v>1</v>
      </c>
      <c r="G550" s="14">
        <v>0</v>
      </c>
      <c r="H550" s="14">
        <v>12</v>
      </c>
      <c r="I550" s="8" t="s">
        <v>35</v>
      </c>
      <c r="J550" s="8" t="s">
        <v>38</v>
      </c>
      <c r="K550">
        <v>30.3125</v>
      </c>
      <c r="L550">
        <v>40.5</v>
      </c>
      <c r="M550" s="14">
        <v>12</v>
      </c>
      <c r="N550" s="14">
        <v>7.3125</v>
      </c>
      <c r="Q550" t="str">
        <f t="shared" si="29"/>
        <v xml:space="preserve">XX8X_PV_0997:    Front abuts stile:TRUE       Back abuts stile:TRUE          Panel Section: TOP           Stile in the back Width: 12           Cutout A: B-357          Cutout B:      F.C.:12 in.         C.C.:7.3125 in.   </v>
      </c>
      <c r="R550" t="str">
        <f t="shared" si="28"/>
        <v>TRUE</v>
      </c>
      <c r="S550" t="str">
        <f t="shared" si="30"/>
        <v>TRUE</v>
      </c>
    </row>
    <row r="551" spans="1:19" hidden="1">
      <c r="A551" t="s">
        <v>711</v>
      </c>
      <c r="B551" s="14" t="s">
        <v>144</v>
      </c>
      <c r="C551" s="14" t="s">
        <v>156</v>
      </c>
      <c r="D551" s="14">
        <v>1</v>
      </c>
      <c r="E551" s="14">
        <v>0</v>
      </c>
      <c r="F551" s="14">
        <v>1</v>
      </c>
      <c r="G551" s="14">
        <v>0</v>
      </c>
      <c r="H551" s="14">
        <v>24</v>
      </c>
      <c r="I551" s="8" t="s">
        <v>120</v>
      </c>
      <c r="J551" s="8" t="s">
        <v>38</v>
      </c>
      <c r="K551">
        <v>5.4375</v>
      </c>
      <c r="L551">
        <v>20</v>
      </c>
      <c r="M551" s="14">
        <v>10.1875</v>
      </c>
      <c r="N551" s="14">
        <v>1</v>
      </c>
      <c r="Q551" t="str">
        <f t="shared" si="29"/>
        <v xml:space="preserve">XX8X_PV_0998:    Front abuts stile:TRUE       Back abuts stile:TRUE          Panel Section: TOP           Stile in the back Width: 24           Cutout A: B-386          Cutout B:      F.C.:10.1875 in.         C.C.:1 in.   </v>
      </c>
      <c r="R551" t="str">
        <f t="shared" si="28"/>
        <v>TRUE</v>
      </c>
      <c r="S551" t="str">
        <f t="shared" si="30"/>
        <v>TRUE</v>
      </c>
    </row>
    <row r="552" spans="1:19" hidden="1">
      <c r="A552" t="s">
        <v>712</v>
      </c>
      <c r="B552" s="14" t="s">
        <v>144</v>
      </c>
      <c r="C552" s="14" t="s">
        <v>156</v>
      </c>
      <c r="D552" s="14">
        <v>1</v>
      </c>
      <c r="E552" s="14">
        <v>0</v>
      </c>
      <c r="F552" s="14">
        <v>1</v>
      </c>
      <c r="G552" s="14">
        <v>0</v>
      </c>
      <c r="H552" s="14"/>
      <c r="I552" s="8" t="s">
        <v>120</v>
      </c>
      <c r="J552" s="8" t="s">
        <v>38</v>
      </c>
      <c r="K552">
        <v>5.125</v>
      </c>
      <c r="L552">
        <v>25</v>
      </c>
      <c r="M552" s="14">
        <v>3.5625</v>
      </c>
      <c r="N552" s="14">
        <v>1</v>
      </c>
      <c r="Q552" t="str">
        <f t="shared" si="29"/>
        <v xml:space="preserve">XX8X_PV_0999:    Front abuts stile:TRUE       Back abuts stile:TRUE          Panel Section: TOP           Stile in the back Width:            Cutout A: B-386          Cutout B:      F.C.:3.5625 in.         C.C.:1 in.   </v>
      </c>
      <c r="R552" t="str">
        <f t="shared" si="28"/>
        <v>TRUE</v>
      </c>
      <c r="S552" t="str">
        <f t="shared" si="30"/>
        <v>TRUE</v>
      </c>
    </row>
    <row r="553" spans="1:19" hidden="1">
      <c r="A553" t="s">
        <v>713</v>
      </c>
      <c r="B553" s="14" t="s">
        <v>144</v>
      </c>
      <c r="C553" s="14" t="s">
        <v>156</v>
      </c>
      <c r="D553" s="14">
        <v>1</v>
      </c>
      <c r="E553" s="14">
        <v>0</v>
      </c>
      <c r="F553" s="14">
        <v>1</v>
      </c>
      <c r="G553" s="14">
        <v>1</v>
      </c>
      <c r="H553" s="14"/>
      <c r="I553" s="8" t="s">
        <v>35</v>
      </c>
      <c r="J553" s="8" t="s">
        <v>38</v>
      </c>
      <c r="K553">
        <v>37.125</v>
      </c>
      <c r="L553">
        <v>58.6875</v>
      </c>
      <c r="M553" s="14">
        <v>1</v>
      </c>
      <c r="N553" s="14">
        <v>5</v>
      </c>
      <c r="Q553" t="str">
        <f t="shared" si="29"/>
        <v xml:space="preserve">XX8X_PV_1000:    Front abuts stile:TRUE       Back abuts stile:TRUE          Panel Section: TOP           Stile in the back Width:            Cutout A: B-357          Cutout B:      F.C.:1 in.         C.C.:5 in.   </v>
      </c>
      <c r="R553" t="str">
        <f t="shared" si="28"/>
        <v>TRUE</v>
      </c>
      <c r="S553" t="str">
        <f t="shared" si="30"/>
        <v>TRUE</v>
      </c>
    </row>
    <row r="554" spans="1:19" hidden="1">
      <c r="A554" t="s">
        <v>714</v>
      </c>
      <c r="B554" s="14" t="s">
        <v>144</v>
      </c>
      <c r="C554" s="14" t="s">
        <v>156</v>
      </c>
      <c r="D554" s="14">
        <v>1</v>
      </c>
      <c r="E554" s="14">
        <v>1</v>
      </c>
      <c r="F554" s="14">
        <v>0</v>
      </c>
      <c r="G554" s="14"/>
      <c r="H554" s="14"/>
      <c r="I554" s="8" t="s">
        <v>120</v>
      </c>
      <c r="J554" s="8" t="s">
        <v>38</v>
      </c>
      <c r="K554">
        <v>42.3125</v>
      </c>
      <c r="L554">
        <v>68.1875</v>
      </c>
      <c r="M554" s="14">
        <v>12</v>
      </c>
      <c r="N554" s="14">
        <v>2.0625</v>
      </c>
      <c r="Q554" t="str">
        <f t="shared" si="29"/>
        <v xml:space="preserve">XX8X_PV_1001:    Front abuts stile:TRUE       Back abuts stile:FALSE          Panel Section: TOP           Stile in the back Width:            Cutout A: B-386          Cutout B:      F.C.:12 in.         C.C.:2.0625 in.   </v>
      </c>
      <c r="R554" t="str">
        <f t="shared" si="28"/>
        <v>TRUE</v>
      </c>
      <c r="S554" t="str">
        <f t="shared" si="30"/>
        <v>FALSE</v>
      </c>
    </row>
    <row r="555" spans="1:19" hidden="1">
      <c r="A555" t="s">
        <v>715</v>
      </c>
      <c r="B555" s="14" t="s">
        <v>144</v>
      </c>
      <c r="C555" s="14" t="s">
        <v>156</v>
      </c>
      <c r="D555" s="14">
        <v>1</v>
      </c>
      <c r="E555" s="14">
        <v>1</v>
      </c>
      <c r="F555" s="14">
        <v>1</v>
      </c>
      <c r="G555" s="14">
        <v>0</v>
      </c>
      <c r="H555" s="14">
        <v>12</v>
      </c>
      <c r="I555" s="8" t="s">
        <v>149</v>
      </c>
      <c r="J555" s="8" t="s">
        <v>38</v>
      </c>
      <c r="K555">
        <v>12.3125</v>
      </c>
      <c r="L555">
        <v>22.0625</v>
      </c>
      <c r="M555" s="14">
        <v>12</v>
      </c>
      <c r="N555" s="14">
        <v>2.875</v>
      </c>
      <c r="Q555" t="str">
        <f t="shared" si="29"/>
        <v xml:space="preserve">XX8X_PV_1002:    Front abuts stile:TRUE       Back abuts stile:TRUE          Panel Section: TOP           Stile in the back Width: 12           Cutout A: B-34715          Cutout B:      F.C.:12 in.         C.C.:2.875 in.   </v>
      </c>
      <c r="R555" t="str">
        <f t="shared" si="28"/>
        <v>TRUE</v>
      </c>
      <c r="S555" t="str">
        <f t="shared" si="30"/>
        <v>TRUE</v>
      </c>
    </row>
    <row r="556" spans="1:19" hidden="1">
      <c r="A556" t="s">
        <v>716</v>
      </c>
      <c r="B556" s="14" t="s">
        <v>144</v>
      </c>
      <c r="C556" s="14" t="s">
        <v>156</v>
      </c>
      <c r="D556" s="14">
        <v>1</v>
      </c>
      <c r="E556" s="14">
        <v>1</v>
      </c>
      <c r="F556" s="14">
        <v>1</v>
      </c>
      <c r="G556" s="14">
        <v>0</v>
      </c>
      <c r="H556" s="14">
        <v>24</v>
      </c>
      <c r="I556" s="8" t="s">
        <v>120</v>
      </c>
      <c r="J556" s="8" t="s">
        <v>38</v>
      </c>
      <c r="K556">
        <v>38.4375</v>
      </c>
      <c r="L556">
        <v>50.3125</v>
      </c>
      <c r="M556" s="14">
        <v>9</v>
      </c>
      <c r="N556" s="14">
        <v>1</v>
      </c>
      <c r="Q556" t="str">
        <f t="shared" si="29"/>
        <v xml:space="preserve">XX8X_PV_1003:    Front abuts stile:TRUE       Back abuts stile:TRUE          Panel Section: TOP           Stile in the back Width: 24           Cutout A: B-386          Cutout B:      F.C.:9 in.         C.C.:1 in.   </v>
      </c>
      <c r="R556" t="str">
        <f t="shared" si="28"/>
        <v>TRUE</v>
      </c>
      <c r="S556" t="str">
        <f t="shared" si="30"/>
        <v>TRUE</v>
      </c>
    </row>
    <row r="557" spans="1:19" hidden="1">
      <c r="A557" t="s">
        <v>717</v>
      </c>
      <c r="B557" s="14" t="s">
        <v>144</v>
      </c>
      <c r="C557" s="14" t="s">
        <v>156</v>
      </c>
      <c r="D557" s="14">
        <v>1</v>
      </c>
      <c r="E557" s="14">
        <v>1</v>
      </c>
      <c r="F557" s="14">
        <v>1</v>
      </c>
      <c r="G557" s="14">
        <v>0</v>
      </c>
      <c r="H557" s="14"/>
      <c r="I557" s="8" t="s">
        <v>151</v>
      </c>
      <c r="J557" s="8" t="s">
        <v>38</v>
      </c>
      <c r="K557">
        <v>31</v>
      </c>
      <c r="L557">
        <v>36.5</v>
      </c>
      <c r="M557" s="14">
        <v>4.5</v>
      </c>
      <c r="N557" s="14">
        <v>8.375</v>
      </c>
      <c r="Q557" t="str">
        <f t="shared" si="29"/>
        <v xml:space="preserve">XX8X_PV_1004:    Front abuts stile:TRUE       Back abuts stile:TRUE          Panel Section: TOP           Stile in the back Width:            Cutout A: B-35715          Cutout B:      F.C.:4.5 in.         C.C.:8.375 in.   </v>
      </c>
      <c r="R557" t="str">
        <f t="shared" si="28"/>
        <v>TRUE</v>
      </c>
      <c r="S557" t="str">
        <f t="shared" si="30"/>
        <v>TRUE</v>
      </c>
    </row>
    <row r="558" spans="1:19" hidden="1">
      <c r="A558" t="s">
        <v>718</v>
      </c>
      <c r="B558" s="14" t="s">
        <v>144</v>
      </c>
      <c r="C558" s="14" t="s">
        <v>156</v>
      </c>
      <c r="D558" s="14">
        <v>1</v>
      </c>
      <c r="E558" s="14">
        <v>1</v>
      </c>
      <c r="F558" s="14">
        <v>1</v>
      </c>
      <c r="G558" s="14">
        <v>1</v>
      </c>
      <c r="H558" s="14"/>
      <c r="I558" s="8" t="s">
        <v>38</v>
      </c>
      <c r="J558" s="8" t="s">
        <v>38</v>
      </c>
      <c r="K558">
        <v>39.625</v>
      </c>
      <c r="L558">
        <v>64.0625</v>
      </c>
      <c r="M558" s="14">
        <v>1</v>
      </c>
      <c r="N558" s="14">
        <v>8</v>
      </c>
      <c r="Q558" t="str">
        <f t="shared" si="29"/>
        <v xml:space="preserve">XX8X_PV_1005:    Front abuts stile:TRUE       Back abuts stile:TRUE          Panel Section: TOP           Stile in the back Width:            Cutout A:           Cutout B:      F.C.:1 in.         C.C.:8 in.   </v>
      </c>
      <c r="R558" t="str">
        <f t="shared" si="28"/>
        <v>TRUE</v>
      </c>
      <c r="S558" t="str">
        <f t="shared" si="30"/>
        <v>TRUE</v>
      </c>
    </row>
    <row r="559" spans="1:19" hidden="1">
      <c r="A559" t="s">
        <v>719</v>
      </c>
      <c r="B559" s="14" t="s">
        <v>144</v>
      </c>
      <c r="C559" s="14" t="s">
        <v>157</v>
      </c>
      <c r="D559" s="14">
        <v>0</v>
      </c>
      <c r="E559" s="14"/>
      <c r="F559" s="14">
        <v>0</v>
      </c>
      <c r="G559" s="14"/>
      <c r="H559" s="14"/>
      <c r="I559" s="8" t="s">
        <v>119</v>
      </c>
      <c r="J559" s="8" t="s">
        <v>120</v>
      </c>
      <c r="K559">
        <v>60</v>
      </c>
      <c r="L559">
        <v>47.375</v>
      </c>
      <c r="M559" s="14">
        <v>4.5</v>
      </c>
      <c r="N559" s="14">
        <v>8.125</v>
      </c>
      <c r="Q559" t="str">
        <f t="shared" si="29"/>
        <v xml:space="preserve">XX8X_PV_1021:    Front abuts stile:FALSE       Back abuts stile:FALSE          Panel Section: BOTTOM           Stile in the back Width:            Cutout A: B-354          Cutout B:B-386      F.C.:4.5 in.         C.C.:8.125 in.   </v>
      </c>
      <c r="R559" t="str">
        <f t="shared" si="28"/>
        <v>FALSE</v>
      </c>
      <c r="S559" t="str">
        <f t="shared" si="30"/>
        <v>FALSE</v>
      </c>
    </row>
    <row r="560" spans="1:19" hidden="1">
      <c r="A560" t="s">
        <v>720</v>
      </c>
      <c r="B560" s="14" t="s">
        <v>144</v>
      </c>
      <c r="C560" s="14" t="s">
        <v>157</v>
      </c>
      <c r="D560" s="14">
        <v>0</v>
      </c>
      <c r="E560" s="14"/>
      <c r="F560" s="14">
        <v>1</v>
      </c>
      <c r="G560" s="14">
        <v>0</v>
      </c>
      <c r="H560" s="14">
        <v>12</v>
      </c>
      <c r="I560" s="8" t="s">
        <v>145</v>
      </c>
      <c r="J560" s="8" t="s">
        <v>38</v>
      </c>
      <c r="K560">
        <v>60</v>
      </c>
      <c r="L560">
        <v>18.625</v>
      </c>
      <c r="M560" s="14">
        <v>12</v>
      </c>
      <c r="N560" s="14">
        <v>5.5625</v>
      </c>
      <c r="Q560" t="str">
        <f t="shared" si="29"/>
        <v xml:space="preserve">XX8X_PV_1022:    Front abuts stile:FALSE       Back abuts stile:TRUE          Panel Section: BOTTOM           Stile in the back Width: 12           Cutout A: B-347          Cutout B:      F.C.:12 in.         C.C.:5.5625 in.   </v>
      </c>
      <c r="R560" t="str">
        <f t="shared" si="28"/>
        <v>FALSE</v>
      </c>
      <c r="S560" t="str">
        <f t="shared" si="30"/>
        <v>TRUE</v>
      </c>
    </row>
    <row r="561" spans="1:19" hidden="1">
      <c r="A561" t="s">
        <v>721</v>
      </c>
      <c r="B561" s="14" t="s">
        <v>144</v>
      </c>
      <c r="C561" s="14" t="s">
        <v>157</v>
      </c>
      <c r="D561" s="14">
        <v>0</v>
      </c>
      <c r="E561" s="14"/>
      <c r="F561" s="14">
        <v>1</v>
      </c>
      <c r="G561" s="14">
        <v>0</v>
      </c>
      <c r="H561" s="14">
        <v>24</v>
      </c>
      <c r="I561" s="8" t="s">
        <v>120</v>
      </c>
      <c r="J561" s="8" t="s">
        <v>38</v>
      </c>
      <c r="K561">
        <v>60</v>
      </c>
      <c r="L561">
        <v>26.5625</v>
      </c>
      <c r="M561" s="14">
        <v>3.125</v>
      </c>
      <c r="N561" s="14">
        <v>1</v>
      </c>
      <c r="Q561" t="str">
        <f t="shared" si="29"/>
        <v xml:space="preserve">XX8X_PV_1023:    Front abuts stile:FALSE       Back abuts stile:TRUE          Panel Section: BOTTOM           Stile in the back Width: 24           Cutout A: B-386          Cutout B:      F.C.:3.125 in.         C.C.:1 in.   </v>
      </c>
      <c r="R561" t="str">
        <f t="shared" si="28"/>
        <v>FALSE</v>
      </c>
      <c r="S561" t="str">
        <f t="shared" si="30"/>
        <v>TRUE</v>
      </c>
    </row>
    <row r="562" spans="1:19" hidden="1">
      <c r="A562" t="s">
        <v>722</v>
      </c>
      <c r="B562" s="14" t="s">
        <v>144</v>
      </c>
      <c r="C562" s="14" t="s">
        <v>157</v>
      </c>
      <c r="D562" s="14">
        <v>0</v>
      </c>
      <c r="E562" s="14"/>
      <c r="F562" s="14">
        <v>1</v>
      </c>
      <c r="G562" s="14">
        <v>0</v>
      </c>
      <c r="H562" s="14"/>
      <c r="I562" s="8" t="s">
        <v>120</v>
      </c>
      <c r="J562" s="8" t="s">
        <v>38</v>
      </c>
      <c r="K562">
        <v>60</v>
      </c>
      <c r="L562">
        <v>24.5</v>
      </c>
      <c r="M562" s="14">
        <v>1</v>
      </c>
      <c r="N562" s="14">
        <v>4.25</v>
      </c>
      <c r="Q562" t="str">
        <f t="shared" si="29"/>
        <v xml:space="preserve">XX8X_PV_1024:    Front abuts stile:FALSE       Back abuts stile:TRUE          Panel Section: BOTTOM           Stile in the back Width:            Cutout A: B-386          Cutout B:      F.C.:1 in.         C.C.:4.25 in.   </v>
      </c>
      <c r="R562" t="str">
        <f t="shared" si="28"/>
        <v>FALSE</v>
      </c>
      <c r="S562" t="str">
        <f t="shared" si="30"/>
        <v>TRUE</v>
      </c>
    </row>
    <row r="563" spans="1:19" hidden="1">
      <c r="A563" t="s">
        <v>723</v>
      </c>
      <c r="B563" s="14" t="s">
        <v>144</v>
      </c>
      <c r="C563" s="14" t="s">
        <v>157</v>
      </c>
      <c r="D563" s="14">
        <v>0</v>
      </c>
      <c r="E563" s="14"/>
      <c r="F563" s="14">
        <v>1</v>
      </c>
      <c r="G563" s="14">
        <v>1</v>
      </c>
      <c r="H563" s="14"/>
      <c r="I563" s="8" t="s">
        <v>145</v>
      </c>
      <c r="J563" s="8" t="s">
        <v>38</v>
      </c>
      <c r="K563">
        <v>60</v>
      </c>
      <c r="L563">
        <v>70.625</v>
      </c>
      <c r="M563" s="14">
        <v>5.625</v>
      </c>
      <c r="N563" s="14">
        <v>1</v>
      </c>
      <c r="Q563" t="str">
        <f t="shared" si="29"/>
        <v xml:space="preserve">XX8X_PV_1025:    Front abuts stile:FALSE       Back abuts stile:TRUE          Panel Section: BOTTOM           Stile in the back Width:            Cutout A: B-347          Cutout B:      F.C.:5.625 in.         C.C.:1 in.   </v>
      </c>
      <c r="R563" t="str">
        <f t="shared" si="28"/>
        <v>FALSE</v>
      </c>
      <c r="S563" t="str">
        <f t="shared" si="30"/>
        <v>TRUE</v>
      </c>
    </row>
    <row r="564" spans="1:19" hidden="1">
      <c r="A564" t="s">
        <v>724</v>
      </c>
      <c r="B564" s="14" t="s">
        <v>144</v>
      </c>
      <c r="C564" s="14" t="s">
        <v>157</v>
      </c>
      <c r="D564" s="14">
        <v>1</v>
      </c>
      <c r="E564" s="14">
        <v>0</v>
      </c>
      <c r="F564" s="14">
        <v>0</v>
      </c>
      <c r="G564" s="14"/>
      <c r="H564" s="14"/>
      <c r="I564" s="8" t="s">
        <v>35</v>
      </c>
      <c r="J564" s="8" t="s">
        <v>38</v>
      </c>
      <c r="K564">
        <v>60</v>
      </c>
      <c r="L564">
        <v>72.625</v>
      </c>
      <c r="M564" s="14">
        <v>1.0625</v>
      </c>
      <c r="N564" s="14">
        <v>2.625</v>
      </c>
      <c r="Q564" t="str">
        <f t="shared" si="29"/>
        <v xml:space="preserve">XX8X_PV_1026:    Front abuts stile:TRUE       Back abuts stile:FALSE          Panel Section: BOTTOM           Stile in the back Width:            Cutout A: B-357          Cutout B:      F.C.:1.0625 in.         C.C.:2.625 in.   </v>
      </c>
      <c r="R564" t="str">
        <f t="shared" si="28"/>
        <v>TRUE</v>
      </c>
      <c r="S564" t="str">
        <f t="shared" si="30"/>
        <v>FALSE</v>
      </c>
    </row>
    <row r="565" spans="1:19" hidden="1">
      <c r="A565" t="s">
        <v>725</v>
      </c>
      <c r="B565" s="14" t="s">
        <v>144</v>
      </c>
      <c r="C565" s="14" t="s">
        <v>157</v>
      </c>
      <c r="D565" s="14">
        <v>1</v>
      </c>
      <c r="E565" s="14">
        <v>0</v>
      </c>
      <c r="F565" s="14">
        <v>1</v>
      </c>
      <c r="G565" s="14">
        <v>0</v>
      </c>
      <c r="H565" s="14">
        <v>12</v>
      </c>
      <c r="I565" s="8" t="s">
        <v>35</v>
      </c>
      <c r="J565" s="8" t="s">
        <v>38</v>
      </c>
      <c r="K565">
        <v>60</v>
      </c>
      <c r="L565">
        <v>6.625</v>
      </c>
      <c r="M565" s="14">
        <v>12</v>
      </c>
      <c r="N565" s="14">
        <v>2.5625</v>
      </c>
      <c r="Q565" t="str">
        <f t="shared" si="29"/>
        <v xml:space="preserve">XX8X_PV_1027:    Front abuts stile:TRUE       Back abuts stile:TRUE          Panel Section: BOTTOM           Stile in the back Width: 12           Cutout A: B-357          Cutout B:      F.C.:12 in.         C.C.:2.5625 in.   </v>
      </c>
      <c r="R565" t="str">
        <f t="shared" si="28"/>
        <v>TRUE</v>
      </c>
      <c r="S565" t="str">
        <f t="shared" si="30"/>
        <v>TRUE</v>
      </c>
    </row>
    <row r="566" spans="1:19" hidden="1">
      <c r="A566" t="s">
        <v>726</v>
      </c>
      <c r="B566" s="14" t="s">
        <v>144</v>
      </c>
      <c r="C566" s="14" t="s">
        <v>157</v>
      </c>
      <c r="D566" s="14">
        <v>1</v>
      </c>
      <c r="E566" s="14">
        <v>0</v>
      </c>
      <c r="F566" s="14">
        <v>1</v>
      </c>
      <c r="G566" s="14">
        <v>0</v>
      </c>
      <c r="H566" s="14">
        <v>24</v>
      </c>
      <c r="I566" s="8" t="s">
        <v>120</v>
      </c>
      <c r="J566" s="8" t="s">
        <v>38</v>
      </c>
      <c r="K566">
        <v>60</v>
      </c>
      <c r="L566">
        <v>58.625</v>
      </c>
      <c r="M566" s="14">
        <v>10.875</v>
      </c>
      <c r="N566" s="14">
        <v>2.4375</v>
      </c>
      <c r="Q566" t="str">
        <f t="shared" si="29"/>
        <v xml:space="preserve">XX8X_PV_1028:    Front abuts stile:TRUE       Back abuts stile:TRUE          Panel Section: BOTTOM           Stile in the back Width: 24           Cutout A: B-386          Cutout B:      F.C.:10.875 in.         C.C.:2.4375 in.   </v>
      </c>
      <c r="R566" t="str">
        <f t="shared" si="28"/>
        <v>TRUE</v>
      </c>
      <c r="S566" t="str">
        <f t="shared" si="30"/>
        <v>TRUE</v>
      </c>
    </row>
    <row r="567" spans="1:19" hidden="1">
      <c r="A567" t="s">
        <v>727</v>
      </c>
      <c r="B567" s="14" t="s">
        <v>144</v>
      </c>
      <c r="C567" s="14" t="s">
        <v>157</v>
      </c>
      <c r="D567" s="14">
        <v>1</v>
      </c>
      <c r="E567" s="14">
        <v>0</v>
      </c>
      <c r="F567" s="14">
        <v>1</v>
      </c>
      <c r="G567" s="14">
        <v>0</v>
      </c>
      <c r="H567" s="14"/>
      <c r="I567" s="8" t="s">
        <v>38</v>
      </c>
      <c r="J567" s="8" t="s">
        <v>38</v>
      </c>
      <c r="K567">
        <v>60</v>
      </c>
      <c r="L567">
        <v>48.8125</v>
      </c>
      <c r="M567" s="14">
        <v>1</v>
      </c>
      <c r="N567" s="14">
        <v>7.0625</v>
      </c>
      <c r="Q567" t="str">
        <f t="shared" si="29"/>
        <v xml:space="preserve">XX8X_PV_1029:    Front abuts stile:TRUE       Back abuts stile:TRUE          Panel Section: BOTTOM           Stile in the back Width:            Cutout A:           Cutout B:      F.C.:1 in.         C.C.:7.0625 in.   </v>
      </c>
      <c r="R567" t="str">
        <f t="shared" si="28"/>
        <v>TRUE</v>
      </c>
      <c r="S567" t="str">
        <f t="shared" si="30"/>
        <v>TRUE</v>
      </c>
    </row>
    <row r="568" spans="1:19" hidden="1">
      <c r="A568" t="s">
        <v>728</v>
      </c>
      <c r="B568" s="14" t="s">
        <v>144</v>
      </c>
      <c r="C568" s="14" t="s">
        <v>157</v>
      </c>
      <c r="D568" s="14">
        <v>1</v>
      </c>
      <c r="E568" s="14">
        <v>0</v>
      </c>
      <c r="F568" s="14">
        <v>1</v>
      </c>
      <c r="G568" s="14">
        <v>1</v>
      </c>
      <c r="H568" s="14"/>
      <c r="I568" s="8" t="s">
        <v>38</v>
      </c>
      <c r="J568" s="8" t="s">
        <v>38</v>
      </c>
      <c r="K568">
        <v>60</v>
      </c>
      <c r="L568">
        <v>28.6875</v>
      </c>
      <c r="M568" s="14">
        <v>6.3125</v>
      </c>
      <c r="N568" s="14">
        <v>1</v>
      </c>
      <c r="Q568" t="str">
        <f t="shared" si="29"/>
        <v xml:space="preserve">XX8X_PV_1030:    Front abuts stile:TRUE       Back abuts stile:TRUE          Panel Section: BOTTOM           Stile in the back Width:            Cutout A:           Cutout B:      F.C.:6.3125 in.         C.C.:1 in.   </v>
      </c>
      <c r="R568" t="str">
        <f t="shared" si="28"/>
        <v>TRUE</v>
      </c>
      <c r="S568" t="str">
        <f t="shared" si="30"/>
        <v>TRUE</v>
      </c>
    </row>
    <row r="569" spans="1:19" hidden="1">
      <c r="A569" t="s">
        <v>729</v>
      </c>
      <c r="B569" s="14" t="s">
        <v>144</v>
      </c>
      <c r="C569" s="14" t="s">
        <v>157</v>
      </c>
      <c r="D569" s="14">
        <v>1</v>
      </c>
      <c r="E569" s="14">
        <v>1</v>
      </c>
      <c r="F569" s="14">
        <v>0</v>
      </c>
      <c r="G569" s="14"/>
      <c r="H569" s="14"/>
      <c r="I569" s="8" t="s">
        <v>119</v>
      </c>
      <c r="J569" s="8" t="s">
        <v>38</v>
      </c>
      <c r="K569">
        <v>60</v>
      </c>
      <c r="L569">
        <v>12.875</v>
      </c>
      <c r="M569" s="14">
        <v>10.8125</v>
      </c>
      <c r="N569" s="14">
        <v>2.5</v>
      </c>
      <c r="Q569" t="str">
        <f t="shared" si="29"/>
        <v xml:space="preserve">XX8X_PV_1031:    Front abuts stile:TRUE       Back abuts stile:FALSE          Panel Section: BOTTOM           Stile in the back Width:            Cutout A: B-354          Cutout B:      F.C.:10.8125 in.         C.C.:2.5 in.   </v>
      </c>
      <c r="R569" t="str">
        <f t="shared" si="28"/>
        <v>TRUE</v>
      </c>
      <c r="S569" t="str">
        <f t="shared" si="30"/>
        <v>FALSE</v>
      </c>
    </row>
    <row r="570" spans="1:19" hidden="1">
      <c r="A570" t="s">
        <v>730</v>
      </c>
      <c r="B570" s="14" t="s">
        <v>144</v>
      </c>
      <c r="C570" s="14" t="s">
        <v>157</v>
      </c>
      <c r="D570" s="14">
        <v>1</v>
      </c>
      <c r="E570" s="14">
        <v>1</v>
      </c>
      <c r="F570" s="14">
        <v>1</v>
      </c>
      <c r="G570" s="14">
        <v>0</v>
      </c>
      <c r="H570" s="14">
        <v>12</v>
      </c>
      <c r="I570" s="8" t="s">
        <v>35</v>
      </c>
      <c r="J570" s="8" t="s">
        <v>38</v>
      </c>
      <c r="K570">
        <v>60</v>
      </c>
      <c r="L570">
        <v>37.3125</v>
      </c>
      <c r="M570" s="14">
        <v>12</v>
      </c>
      <c r="N570" s="14">
        <v>4.8125</v>
      </c>
      <c r="Q570" t="str">
        <f t="shared" si="29"/>
        <v xml:space="preserve">XX8X_PV_1032:    Front abuts stile:TRUE       Back abuts stile:TRUE          Panel Section: BOTTOM           Stile in the back Width: 12           Cutout A: B-357          Cutout B:      F.C.:12 in.         C.C.:4.8125 in.   </v>
      </c>
      <c r="R570" t="str">
        <f t="shared" si="28"/>
        <v>TRUE</v>
      </c>
      <c r="S570" t="str">
        <f t="shared" si="30"/>
        <v>TRUE</v>
      </c>
    </row>
    <row r="571" spans="1:19" hidden="1">
      <c r="A571" t="s">
        <v>731</v>
      </c>
      <c r="B571" s="14" t="s">
        <v>144</v>
      </c>
      <c r="C571" s="14" t="s">
        <v>157</v>
      </c>
      <c r="D571" s="14">
        <v>1</v>
      </c>
      <c r="E571" s="14">
        <v>1</v>
      </c>
      <c r="F571" s="14">
        <v>1</v>
      </c>
      <c r="G571" s="14">
        <v>0</v>
      </c>
      <c r="H571" s="14">
        <v>24</v>
      </c>
      <c r="I571" s="8" t="s">
        <v>38</v>
      </c>
      <c r="J571" s="8" t="s">
        <v>38</v>
      </c>
      <c r="K571">
        <v>60</v>
      </c>
      <c r="L571">
        <v>19.6875</v>
      </c>
      <c r="M571" s="14">
        <v>12</v>
      </c>
      <c r="N571" s="14">
        <v>7.375</v>
      </c>
      <c r="Q571" t="str">
        <f t="shared" si="29"/>
        <v xml:space="preserve">XX8X_PV_1033:    Front abuts stile:TRUE       Back abuts stile:TRUE          Panel Section: BOTTOM           Stile in the back Width: 24           Cutout A:           Cutout B:      F.C.:12 in.         C.C.:7.375 in.   </v>
      </c>
      <c r="R571" t="str">
        <f t="shared" si="28"/>
        <v>TRUE</v>
      </c>
      <c r="S571" t="str">
        <f t="shared" si="30"/>
        <v>TRUE</v>
      </c>
    </row>
    <row r="572" spans="1:19" hidden="1">
      <c r="A572" t="s">
        <v>732</v>
      </c>
      <c r="B572" s="14" t="s">
        <v>144</v>
      </c>
      <c r="C572" s="14" t="s">
        <v>157</v>
      </c>
      <c r="D572" s="14">
        <v>1</v>
      </c>
      <c r="E572" s="14">
        <v>1</v>
      </c>
      <c r="F572" s="14">
        <v>1</v>
      </c>
      <c r="G572" s="14">
        <v>0</v>
      </c>
      <c r="H572" s="14"/>
      <c r="I572" s="8" t="s">
        <v>120</v>
      </c>
      <c r="J572" s="8" t="s">
        <v>38</v>
      </c>
      <c r="K572">
        <v>60</v>
      </c>
      <c r="L572">
        <v>7.375</v>
      </c>
      <c r="M572" s="14">
        <v>2.625</v>
      </c>
      <c r="N572" s="14">
        <v>6.5625</v>
      </c>
      <c r="Q572" t="str">
        <f t="shared" si="29"/>
        <v xml:space="preserve">XX8X_PV_1034:    Front abuts stile:TRUE       Back abuts stile:TRUE          Panel Section: BOTTOM           Stile in the back Width:            Cutout A: B-386          Cutout B:      F.C.:2.625 in.         C.C.:6.5625 in.   </v>
      </c>
      <c r="R572" t="str">
        <f t="shared" si="28"/>
        <v>TRUE</v>
      </c>
      <c r="S572" t="str">
        <f t="shared" si="30"/>
        <v>TRUE</v>
      </c>
    </row>
    <row r="573" spans="1:19" hidden="1">
      <c r="A573" t="s">
        <v>733</v>
      </c>
      <c r="B573" s="14" t="s">
        <v>144</v>
      </c>
      <c r="C573" s="14" t="s">
        <v>157</v>
      </c>
      <c r="D573" s="14">
        <v>1</v>
      </c>
      <c r="E573" s="14">
        <v>1</v>
      </c>
      <c r="F573" s="14">
        <v>1</v>
      </c>
      <c r="G573" s="14">
        <v>1</v>
      </c>
      <c r="H573" s="14"/>
      <c r="I573" s="8" t="s">
        <v>145</v>
      </c>
      <c r="J573" s="8" t="s">
        <v>38</v>
      </c>
      <c r="K573">
        <v>60</v>
      </c>
      <c r="L573">
        <v>74.4375</v>
      </c>
      <c r="M573" s="14">
        <v>1</v>
      </c>
      <c r="N573" s="14">
        <v>5.875</v>
      </c>
      <c r="Q573" t="str">
        <f t="shared" si="29"/>
        <v xml:space="preserve">XX8X_PV_1035:    Front abuts stile:TRUE       Back abuts stile:TRUE          Panel Section: BOTTOM           Stile in the back Width:            Cutout A: B-347          Cutout B:      F.C.:1 in.         C.C.:5.875 in.   </v>
      </c>
      <c r="R573" t="str">
        <f t="shared" si="28"/>
        <v>TRUE</v>
      </c>
      <c r="S573" t="str">
        <f t="shared" si="30"/>
        <v>TRUE</v>
      </c>
    </row>
    <row r="574" spans="1:19" hidden="1">
      <c r="A574" t="s">
        <v>734</v>
      </c>
      <c r="B574" s="14" t="s">
        <v>144</v>
      </c>
      <c r="C574" s="14" t="s">
        <v>21</v>
      </c>
      <c r="D574" s="14">
        <v>0</v>
      </c>
      <c r="E574" s="14"/>
      <c r="F574" s="14">
        <v>0</v>
      </c>
      <c r="G574" s="14"/>
      <c r="H574" s="14"/>
      <c r="I574" s="8" t="s">
        <v>151</v>
      </c>
      <c r="J574" s="8" t="s">
        <v>38</v>
      </c>
      <c r="K574">
        <v>48.0625</v>
      </c>
      <c r="L574">
        <v>31.375</v>
      </c>
      <c r="M574" s="14">
        <v>3.9375</v>
      </c>
      <c r="N574" s="14">
        <v>6.125</v>
      </c>
      <c r="Q574" t="str">
        <f t="shared" si="29"/>
        <v xml:space="preserve">XX8X_PV_1051:    Front abuts stile:FALSE       Back abuts stile:FALSE          Panel Section: WHOLE           Stile in the back Width:            Cutout A: B-35715          Cutout B:      F.C.:3.9375 in.         C.C.:6.125 in.   </v>
      </c>
      <c r="R574" t="str">
        <f t="shared" si="28"/>
        <v>FALSE</v>
      </c>
      <c r="S574" t="str">
        <f t="shared" si="30"/>
        <v>FALSE</v>
      </c>
    </row>
    <row r="575" spans="1:19" hidden="1">
      <c r="A575" t="s">
        <v>735</v>
      </c>
      <c r="B575" s="14" t="s">
        <v>144</v>
      </c>
      <c r="C575" s="14" t="s">
        <v>21</v>
      </c>
      <c r="D575" s="14">
        <v>0</v>
      </c>
      <c r="E575" s="14"/>
      <c r="F575" s="14">
        <v>1</v>
      </c>
      <c r="G575" s="14">
        <v>0</v>
      </c>
      <c r="H575" s="14">
        <v>12</v>
      </c>
      <c r="I575" s="8" t="s">
        <v>120</v>
      </c>
      <c r="J575" s="8" t="s">
        <v>38</v>
      </c>
      <c r="K575">
        <v>83.6875</v>
      </c>
      <c r="L575">
        <v>48.875</v>
      </c>
      <c r="M575" s="14">
        <v>11.9375</v>
      </c>
      <c r="N575" s="14">
        <v>1</v>
      </c>
      <c r="Q575" t="str">
        <f t="shared" si="29"/>
        <v xml:space="preserve">XX8X_PV_1052:    Front abuts stile:FALSE       Back abuts stile:TRUE          Panel Section: WHOLE           Stile in the back Width: 12           Cutout A: B-386          Cutout B:      F.C.:11.9375 in.         C.C.:1 in.   </v>
      </c>
      <c r="R575" t="str">
        <f t="shared" si="28"/>
        <v>FALSE</v>
      </c>
      <c r="S575" t="str">
        <f t="shared" si="30"/>
        <v>TRUE</v>
      </c>
    </row>
    <row r="576" spans="1:19" hidden="1">
      <c r="A576" t="s">
        <v>736</v>
      </c>
      <c r="B576" s="14" t="s">
        <v>144</v>
      </c>
      <c r="C576" s="14" t="s">
        <v>21</v>
      </c>
      <c r="D576" s="14">
        <v>0</v>
      </c>
      <c r="E576" s="14"/>
      <c r="F576" s="14">
        <v>1</v>
      </c>
      <c r="G576" s="14">
        <v>0</v>
      </c>
      <c r="H576" s="14">
        <v>24</v>
      </c>
      <c r="I576" s="8" t="s">
        <v>120</v>
      </c>
      <c r="J576" s="8" t="s">
        <v>38</v>
      </c>
      <c r="K576">
        <v>81.6875</v>
      </c>
      <c r="L576">
        <v>32.3125</v>
      </c>
      <c r="M576" s="14">
        <v>4.5</v>
      </c>
      <c r="N576" s="14">
        <v>3</v>
      </c>
      <c r="Q576" t="str">
        <f t="shared" si="29"/>
        <v xml:space="preserve">XX8X_PV_1053:    Front abuts stile:FALSE       Back abuts stile:TRUE          Panel Section: WHOLE           Stile in the back Width: 24           Cutout A: B-386          Cutout B:      F.C.:4.5 in.         C.C.:3 in.   </v>
      </c>
      <c r="R576" t="str">
        <f t="shared" si="28"/>
        <v>FALSE</v>
      </c>
      <c r="S576" t="str">
        <f t="shared" si="30"/>
        <v>TRUE</v>
      </c>
    </row>
    <row r="577" spans="1:19" hidden="1">
      <c r="A577" t="s">
        <v>737</v>
      </c>
      <c r="B577" s="14" t="s">
        <v>144</v>
      </c>
      <c r="C577" s="14" t="s">
        <v>21</v>
      </c>
      <c r="D577" s="14">
        <v>0</v>
      </c>
      <c r="E577" s="14"/>
      <c r="F577" s="14">
        <v>1</v>
      </c>
      <c r="G577" s="14">
        <v>0</v>
      </c>
      <c r="H577" s="14"/>
      <c r="I577" s="8" t="s">
        <v>120</v>
      </c>
      <c r="J577" s="8" t="s">
        <v>38</v>
      </c>
      <c r="K577">
        <v>104.1875</v>
      </c>
      <c r="L577">
        <v>60.5625</v>
      </c>
      <c r="M577" s="14">
        <v>3.75</v>
      </c>
      <c r="N577" s="14">
        <v>8.375</v>
      </c>
      <c r="Q577" t="str">
        <f t="shared" si="29"/>
        <v xml:space="preserve">XX8X_PV_1054:    Front abuts stile:FALSE       Back abuts stile:TRUE          Panel Section: WHOLE           Stile in the back Width:            Cutout A: B-386          Cutout B:      F.C.:3.75 in.         C.C.:8.375 in.   </v>
      </c>
      <c r="R577" t="str">
        <f t="shared" si="28"/>
        <v>FALSE</v>
      </c>
      <c r="S577" t="str">
        <f t="shared" si="30"/>
        <v>TRUE</v>
      </c>
    </row>
    <row r="578" spans="1:19" hidden="1">
      <c r="A578" t="s">
        <v>738</v>
      </c>
      <c r="B578" s="14" t="s">
        <v>144</v>
      </c>
      <c r="C578" s="14" t="s">
        <v>21</v>
      </c>
      <c r="D578" s="14">
        <v>0</v>
      </c>
      <c r="E578" s="14"/>
      <c r="F578" s="14">
        <v>1</v>
      </c>
      <c r="G578" s="14">
        <v>1</v>
      </c>
      <c r="H578" s="14"/>
      <c r="I578" s="8" t="s">
        <v>120</v>
      </c>
      <c r="J578" s="8" t="s">
        <v>38</v>
      </c>
      <c r="K578">
        <v>96</v>
      </c>
      <c r="L578">
        <v>31.875</v>
      </c>
      <c r="M578" s="14">
        <v>1</v>
      </c>
      <c r="N578" s="14">
        <v>3.8125</v>
      </c>
      <c r="Q578" t="str">
        <f t="shared" si="29"/>
        <v xml:space="preserve">XX8X_PV_1055:    Front abuts stile:FALSE       Back abuts stile:TRUE          Panel Section: WHOLE           Stile in the back Width:            Cutout A: B-386          Cutout B:      F.C.:1 in.         C.C.:3.8125 in.   </v>
      </c>
      <c r="R578" t="str">
        <f t="shared" si="28"/>
        <v>FALSE</v>
      </c>
      <c r="S578" t="str">
        <f t="shared" si="30"/>
        <v>TRUE</v>
      </c>
    </row>
    <row r="579" spans="1:19" hidden="1">
      <c r="A579" t="s">
        <v>739</v>
      </c>
      <c r="B579" s="14" t="s">
        <v>144</v>
      </c>
      <c r="C579" s="14" t="s">
        <v>21</v>
      </c>
      <c r="D579" s="14">
        <v>1</v>
      </c>
      <c r="E579" s="14">
        <v>0</v>
      </c>
      <c r="F579" s="14">
        <v>0</v>
      </c>
      <c r="G579" s="14"/>
      <c r="H579" s="14"/>
      <c r="I579" s="8" t="s">
        <v>38</v>
      </c>
      <c r="J579" s="8" t="s">
        <v>38</v>
      </c>
      <c r="K579">
        <v>66.125</v>
      </c>
      <c r="L579">
        <v>58.875</v>
      </c>
      <c r="M579" s="14">
        <v>12</v>
      </c>
      <c r="N579" s="14">
        <v>8</v>
      </c>
      <c r="Q579" t="str">
        <f t="shared" si="29"/>
        <v xml:space="preserve">XX8X_PV_1056:    Front abuts stile:TRUE       Back abuts stile:FALSE          Panel Section: WHOLE           Stile in the back Width:            Cutout A:           Cutout B:      F.C.:12 in.         C.C.:8 in.   </v>
      </c>
      <c r="R579" t="str">
        <f t="shared" si="28"/>
        <v>TRUE</v>
      </c>
      <c r="S579" t="str">
        <f t="shared" si="30"/>
        <v>FALSE</v>
      </c>
    </row>
    <row r="580" spans="1:19" hidden="1">
      <c r="A580" t="s">
        <v>740</v>
      </c>
      <c r="B580" s="14" t="s">
        <v>144</v>
      </c>
      <c r="C580" s="14" t="s">
        <v>21</v>
      </c>
      <c r="D580" s="14">
        <v>1</v>
      </c>
      <c r="E580" s="14">
        <v>0</v>
      </c>
      <c r="F580" s="14">
        <v>1</v>
      </c>
      <c r="G580" s="14">
        <v>0</v>
      </c>
      <c r="H580" s="14">
        <v>12</v>
      </c>
      <c r="I580" s="8" t="s">
        <v>38</v>
      </c>
      <c r="J580" s="8" t="s">
        <v>38</v>
      </c>
      <c r="K580">
        <v>101</v>
      </c>
      <c r="L580">
        <v>39.25</v>
      </c>
      <c r="M580" s="14">
        <v>4.5</v>
      </c>
      <c r="N580" s="14">
        <v>4.125</v>
      </c>
      <c r="Q580" t="str">
        <f t="shared" si="29"/>
        <v xml:space="preserve">XX8X_PV_1057:    Front abuts stile:TRUE       Back abuts stile:TRUE          Panel Section: WHOLE           Stile in the back Width: 12           Cutout A:           Cutout B:      F.C.:4.5 in.         C.C.:4.125 in.   </v>
      </c>
      <c r="R580" t="str">
        <f t="shared" ref="R580:R643" si="31">IF(D580=1, "TRUE", "FALSE")</f>
        <v>TRUE</v>
      </c>
      <c r="S580" t="str">
        <f t="shared" si="30"/>
        <v>TRUE</v>
      </c>
    </row>
    <row r="581" spans="1:19" hidden="1">
      <c r="A581" t="s">
        <v>741</v>
      </c>
      <c r="B581" s="14" t="s">
        <v>144</v>
      </c>
      <c r="C581" s="14" t="s">
        <v>21</v>
      </c>
      <c r="D581" s="14">
        <v>1</v>
      </c>
      <c r="E581" s="14">
        <v>0</v>
      </c>
      <c r="F581" s="14">
        <v>1</v>
      </c>
      <c r="G581" s="14">
        <v>0</v>
      </c>
      <c r="H581" s="14">
        <v>24</v>
      </c>
      <c r="I581" s="8" t="s">
        <v>120</v>
      </c>
      <c r="J581" s="8" t="s">
        <v>38</v>
      </c>
      <c r="K581">
        <v>94.9375</v>
      </c>
      <c r="L581">
        <v>61.5</v>
      </c>
      <c r="M581" s="14">
        <v>12</v>
      </c>
      <c r="N581" s="14">
        <v>2.6875</v>
      </c>
      <c r="Q581" t="str">
        <f t="shared" si="29"/>
        <v xml:space="preserve">XX8X_PV_1058:    Front abuts stile:TRUE       Back abuts stile:TRUE          Panel Section: WHOLE           Stile in the back Width: 24           Cutout A: B-386          Cutout B:      F.C.:12 in.         C.C.:2.6875 in.   </v>
      </c>
      <c r="R581" t="str">
        <f t="shared" si="31"/>
        <v>TRUE</v>
      </c>
      <c r="S581" t="str">
        <f t="shared" si="30"/>
        <v>TRUE</v>
      </c>
    </row>
    <row r="582" spans="1:19" hidden="1">
      <c r="A582" t="s">
        <v>742</v>
      </c>
      <c r="B582" s="14" t="s">
        <v>144</v>
      </c>
      <c r="C582" s="14" t="s">
        <v>21</v>
      </c>
      <c r="D582" s="14">
        <v>1</v>
      </c>
      <c r="E582" s="14">
        <v>0</v>
      </c>
      <c r="F582" s="14">
        <v>1</v>
      </c>
      <c r="G582" s="14">
        <v>0</v>
      </c>
      <c r="H582" s="14"/>
      <c r="I582" s="8" t="s">
        <v>151</v>
      </c>
      <c r="J582" s="8" t="s">
        <v>38</v>
      </c>
      <c r="K582">
        <v>96</v>
      </c>
      <c r="L582">
        <v>55.0625</v>
      </c>
      <c r="M582" s="14">
        <v>8.125</v>
      </c>
      <c r="N582" s="14">
        <v>4.75</v>
      </c>
      <c r="Q582" t="str">
        <f t="shared" si="29"/>
        <v xml:space="preserve">XX8X_PV_1059:    Front abuts stile:TRUE       Back abuts stile:TRUE          Panel Section: WHOLE           Stile in the back Width:            Cutout A: B-35715          Cutout B:      F.C.:8.125 in.         C.C.:4.75 in.   </v>
      </c>
      <c r="R582" t="str">
        <f t="shared" si="31"/>
        <v>TRUE</v>
      </c>
      <c r="S582" t="str">
        <f t="shared" si="30"/>
        <v>TRUE</v>
      </c>
    </row>
    <row r="583" spans="1:19" hidden="1">
      <c r="A583" t="s">
        <v>743</v>
      </c>
      <c r="B583" s="14" t="s">
        <v>144</v>
      </c>
      <c r="C583" s="14" t="s">
        <v>21</v>
      </c>
      <c r="D583" s="14">
        <v>1</v>
      </c>
      <c r="E583" s="14">
        <v>0</v>
      </c>
      <c r="F583" s="14">
        <v>1</v>
      </c>
      <c r="G583" s="14">
        <v>1</v>
      </c>
      <c r="H583" s="14"/>
      <c r="I583" s="8" t="s">
        <v>38</v>
      </c>
      <c r="J583" s="8" t="s">
        <v>38</v>
      </c>
      <c r="K583">
        <v>96</v>
      </c>
      <c r="L583">
        <v>34.5</v>
      </c>
      <c r="M583" s="14">
        <v>12</v>
      </c>
      <c r="N583" s="14">
        <v>2</v>
      </c>
      <c r="Q583" t="str">
        <f t="shared" ref="Q583:Q646" si="32">A583&amp;":    Front abuts stile:"&amp;R583&amp;"       Back abuts stile:"&amp;S583&amp;"          Panel Section: "&amp;C583&amp;"           Stile in the back Width: "&amp;H583&amp;"           Cutout A: "&amp;I583&amp;"          Cutout B:"&amp;J583&amp;"      F.C.:"&amp;M583&amp;" in. "&amp;"        C.C.:"&amp;N583&amp;" in. "&amp;"  "</f>
        <v xml:space="preserve">XX8X_PV_1060:    Front abuts stile:TRUE       Back abuts stile:TRUE          Panel Section: WHOLE           Stile in the back Width:            Cutout A:           Cutout B:      F.C.:12 in.         C.C.:2 in.   </v>
      </c>
      <c r="R583" t="str">
        <f t="shared" si="31"/>
        <v>TRUE</v>
      </c>
      <c r="S583" t="str">
        <f t="shared" si="30"/>
        <v>TRUE</v>
      </c>
    </row>
    <row r="584" spans="1:19" hidden="1">
      <c r="A584" t="s">
        <v>744</v>
      </c>
      <c r="B584" s="14" t="s">
        <v>144</v>
      </c>
      <c r="C584" s="14" t="s">
        <v>21</v>
      </c>
      <c r="D584" s="14">
        <v>1</v>
      </c>
      <c r="E584" s="14">
        <v>1</v>
      </c>
      <c r="F584" s="14">
        <v>0</v>
      </c>
      <c r="G584" s="14"/>
      <c r="H584" s="14"/>
      <c r="I584" s="8" t="s">
        <v>119</v>
      </c>
      <c r="J584" s="8" t="s">
        <v>120</v>
      </c>
      <c r="K584">
        <v>78.5</v>
      </c>
      <c r="L584">
        <v>13.9375</v>
      </c>
      <c r="M584" s="14">
        <v>9</v>
      </c>
      <c r="N584" s="14">
        <v>1</v>
      </c>
      <c r="Q584" t="str">
        <f t="shared" si="32"/>
        <v xml:space="preserve">XX8X_PV_1061:    Front abuts stile:TRUE       Back abuts stile:FALSE          Panel Section: WHOLE           Stile in the back Width:            Cutout A: B-354          Cutout B:B-386      F.C.:9 in.         C.C.:1 in.   </v>
      </c>
      <c r="R584" t="str">
        <f t="shared" si="31"/>
        <v>TRUE</v>
      </c>
      <c r="S584" t="str">
        <f t="shared" si="30"/>
        <v>FALSE</v>
      </c>
    </row>
    <row r="585" spans="1:19" hidden="1">
      <c r="A585" t="s">
        <v>745</v>
      </c>
      <c r="B585" s="14" t="s">
        <v>144</v>
      </c>
      <c r="C585" s="14" t="s">
        <v>21</v>
      </c>
      <c r="D585" s="14">
        <v>1</v>
      </c>
      <c r="E585" s="14">
        <v>1</v>
      </c>
      <c r="F585" s="14">
        <v>1</v>
      </c>
      <c r="G585" s="14">
        <v>0</v>
      </c>
      <c r="H585" s="14">
        <v>12</v>
      </c>
      <c r="I585" s="8" t="s">
        <v>38</v>
      </c>
      <c r="J585" s="8" t="s">
        <v>38</v>
      </c>
      <c r="K585">
        <v>96</v>
      </c>
      <c r="L585">
        <v>12.0625</v>
      </c>
      <c r="M585" s="14">
        <v>1</v>
      </c>
      <c r="N585" s="14">
        <v>4.3125</v>
      </c>
      <c r="Q585" t="str">
        <f t="shared" si="32"/>
        <v xml:space="preserve">XX8X_PV_1062:    Front abuts stile:TRUE       Back abuts stile:TRUE          Panel Section: WHOLE           Stile in the back Width: 12           Cutout A:           Cutout B:      F.C.:1 in.         C.C.:4.3125 in.   </v>
      </c>
      <c r="R585" t="str">
        <f t="shared" si="31"/>
        <v>TRUE</v>
      </c>
      <c r="S585" t="str">
        <f t="shared" si="30"/>
        <v>TRUE</v>
      </c>
    </row>
    <row r="586" spans="1:19" hidden="1">
      <c r="A586" t="s">
        <v>746</v>
      </c>
      <c r="B586" s="14" t="s">
        <v>144</v>
      </c>
      <c r="C586" s="14" t="s">
        <v>21</v>
      </c>
      <c r="D586" s="14">
        <v>1</v>
      </c>
      <c r="E586" s="14">
        <v>1</v>
      </c>
      <c r="F586" s="14">
        <v>1</v>
      </c>
      <c r="G586" s="14">
        <v>0</v>
      </c>
      <c r="H586" s="14">
        <v>24</v>
      </c>
      <c r="I586" s="8" t="s">
        <v>120</v>
      </c>
      <c r="J586" s="8" t="s">
        <v>38</v>
      </c>
      <c r="K586">
        <v>96</v>
      </c>
      <c r="L586">
        <v>35.3125</v>
      </c>
      <c r="M586" s="14">
        <v>1.875</v>
      </c>
      <c r="N586" s="14">
        <v>3.75</v>
      </c>
      <c r="Q586" t="str">
        <f t="shared" si="32"/>
        <v xml:space="preserve">XX8X_PV_1063:    Front abuts stile:TRUE       Back abuts stile:TRUE          Panel Section: WHOLE           Stile in the back Width: 24           Cutout A: B-386          Cutout B:      F.C.:1.875 in.         C.C.:3.75 in.   </v>
      </c>
      <c r="R586" t="str">
        <f t="shared" si="31"/>
        <v>TRUE</v>
      </c>
      <c r="S586" t="str">
        <f t="shared" si="30"/>
        <v>TRUE</v>
      </c>
    </row>
    <row r="587" spans="1:19" hidden="1">
      <c r="A587" t="s">
        <v>747</v>
      </c>
      <c r="B587" s="14" t="s">
        <v>144</v>
      </c>
      <c r="C587" s="14" t="s">
        <v>21</v>
      </c>
      <c r="D587" s="14">
        <v>1</v>
      </c>
      <c r="E587" s="14">
        <v>1</v>
      </c>
      <c r="F587" s="14">
        <v>1</v>
      </c>
      <c r="G587" s="14">
        <v>0</v>
      </c>
      <c r="H587" s="14"/>
      <c r="I587" s="8" t="s">
        <v>38</v>
      </c>
      <c r="J587" s="8" t="s">
        <v>38</v>
      </c>
      <c r="K587">
        <v>104.5625</v>
      </c>
      <c r="L587">
        <v>66.4375</v>
      </c>
      <c r="M587" s="14">
        <v>1</v>
      </c>
      <c r="N587" s="14">
        <v>4.75</v>
      </c>
      <c r="Q587" t="str">
        <f t="shared" si="32"/>
        <v xml:space="preserve">XX8X_PV_1064:    Front abuts stile:TRUE       Back abuts stile:TRUE          Panel Section: WHOLE           Stile in the back Width:            Cutout A:           Cutout B:      F.C.:1 in.         C.C.:4.75 in.   </v>
      </c>
      <c r="R587" t="str">
        <f t="shared" si="31"/>
        <v>TRUE</v>
      </c>
      <c r="S587" t="str">
        <f t="shared" si="30"/>
        <v>TRUE</v>
      </c>
    </row>
    <row r="588" spans="1:19" hidden="1">
      <c r="A588" t="s">
        <v>748</v>
      </c>
      <c r="B588" s="14" t="s">
        <v>144</v>
      </c>
      <c r="C588" s="14" t="s">
        <v>21</v>
      </c>
      <c r="D588" s="14">
        <v>1</v>
      </c>
      <c r="E588" s="14">
        <v>1</v>
      </c>
      <c r="F588" s="14">
        <v>1</v>
      </c>
      <c r="G588" s="14">
        <v>1</v>
      </c>
      <c r="H588" s="14"/>
      <c r="I588" s="8" t="s">
        <v>149</v>
      </c>
      <c r="J588" s="8" t="s">
        <v>38</v>
      </c>
      <c r="K588">
        <v>58.625</v>
      </c>
      <c r="L588">
        <v>52.9375</v>
      </c>
      <c r="M588" s="14">
        <v>4.5</v>
      </c>
      <c r="N588" s="14">
        <v>2.0625</v>
      </c>
      <c r="Q588" t="str">
        <f t="shared" si="32"/>
        <v xml:space="preserve">XX8X_PV_1065:    Front abuts stile:TRUE       Back abuts stile:TRUE          Panel Section: WHOLE           Stile in the back Width:            Cutout A: B-34715          Cutout B:      F.C.:4.5 in.         C.C.:2.0625 in.   </v>
      </c>
      <c r="R588" t="str">
        <f t="shared" si="31"/>
        <v>TRUE</v>
      </c>
      <c r="S588" t="str">
        <f t="shared" si="30"/>
        <v>TRUE</v>
      </c>
    </row>
    <row r="589" spans="1:19" hidden="1">
      <c r="A589" t="s">
        <v>749</v>
      </c>
      <c r="B589" s="14" t="s">
        <v>144</v>
      </c>
      <c r="C589" s="14" t="s">
        <v>156</v>
      </c>
      <c r="D589" s="19">
        <v>0</v>
      </c>
      <c r="E589" s="19"/>
      <c r="F589" s="19">
        <v>0</v>
      </c>
      <c r="G589" s="19"/>
      <c r="H589" s="14"/>
      <c r="I589" s="8" t="s">
        <v>145</v>
      </c>
      <c r="J589" s="8" t="s">
        <v>38</v>
      </c>
      <c r="K589">
        <v>23.5</v>
      </c>
      <c r="L589">
        <v>57</v>
      </c>
      <c r="M589" s="14">
        <v>9.125</v>
      </c>
      <c r="N589" s="14">
        <v>1</v>
      </c>
      <c r="Q589" t="str">
        <f t="shared" si="32"/>
        <v xml:space="preserve">XX8X_PV_1081:    Front abuts stile:FALSE       Back abuts stile:FALSE          Panel Section: TOP           Stile in the back Width:            Cutout A: B-347          Cutout B:      F.C.:9.125 in.         C.C.:1 in.   </v>
      </c>
      <c r="R589" t="str">
        <f t="shared" si="31"/>
        <v>FALSE</v>
      </c>
      <c r="S589" t="str">
        <f t="shared" si="30"/>
        <v>FALSE</v>
      </c>
    </row>
    <row r="590" spans="1:19" hidden="1">
      <c r="A590" t="s">
        <v>750</v>
      </c>
      <c r="B590" s="14" t="s">
        <v>144</v>
      </c>
      <c r="C590" s="14" t="s">
        <v>156</v>
      </c>
      <c r="D590" s="14">
        <v>0</v>
      </c>
      <c r="E590" s="14"/>
      <c r="F590" s="14">
        <v>1</v>
      </c>
      <c r="G590" s="14">
        <v>0</v>
      </c>
      <c r="H590" s="14">
        <v>12</v>
      </c>
      <c r="I590" s="8" t="s">
        <v>35</v>
      </c>
      <c r="J590" s="8" t="s">
        <v>38</v>
      </c>
      <c r="K590">
        <v>46.125</v>
      </c>
      <c r="L590">
        <v>75.5625</v>
      </c>
      <c r="M590" s="14">
        <v>9</v>
      </c>
      <c r="N590" s="14">
        <v>3.6875</v>
      </c>
      <c r="Q590" t="str">
        <f t="shared" si="32"/>
        <v xml:space="preserve">XX8X_PV_1082:    Front abuts stile:FALSE       Back abuts stile:TRUE          Panel Section: TOP           Stile in the back Width: 12           Cutout A: B-357          Cutout B:      F.C.:9 in.         C.C.:3.6875 in.   </v>
      </c>
      <c r="R590" t="str">
        <f t="shared" si="31"/>
        <v>FALSE</v>
      </c>
      <c r="S590" t="str">
        <f t="shared" si="30"/>
        <v>TRUE</v>
      </c>
    </row>
    <row r="591" spans="1:19" hidden="1">
      <c r="A591" t="s">
        <v>751</v>
      </c>
      <c r="B591" s="14" t="s">
        <v>144</v>
      </c>
      <c r="C591" s="14" t="s">
        <v>156</v>
      </c>
      <c r="D591" s="14">
        <v>0</v>
      </c>
      <c r="E591" s="14"/>
      <c r="F591" s="14">
        <v>1</v>
      </c>
      <c r="G591" s="14">
        <v>0</v>
      </c>
      <c r="H591" s="14">
        <v>24</v>
      </c>
      <c r="I591" s="8" t="s">
        <v>120</v>
      </c>
      <c r="J591" s="8" t="s">
        <v>38</v>
      </c>
      <c r="K591">
        <v>16.8125</v>
      </c>
      <c r="L591">
        <v>50.8125</v>
      </c>
      <c r="M591" s="14">
        <v>3.6875</v>
      </c>
      <c r="N591" s="14">
        <v>1</v>
      </c>
      <c r="Q591" t="str">
        <f t="shared" si="32"/>
        <v xml:space="preserve">XX8X_PV_1083:    Front abuts stile:FALSE       Back abuts stile:TRUE          Panel Section: TOP           Stile in the back Width: 24           Cutout A: B-386          Cutout B:      F.C.:3.6875 in.         C.C.:1 in.   </v>
      </c>
      <c r="R591" t="str">
        <f t="shared" si="31"/>
        <v>FALSE</v>
      </c>
      <c r="S591" t="str">
        <f t="shared" si="30"/>
        <v>TRUE</v>
      </c>
    </row>
    <row r="592" spans="1:19" hidden="1">
      <c r="A592" t="s">
        <v>752</v>
      </c>
      <c r="B592" s="14" t="s">
        <v>144</v>
      </c>
      <c r="C592" s="14" t="s">
        <v>156</v>
      </c>
      <c r="D592" s="14">
        <v>0</v>
      </c>
      <c r="E592" s="14"/>
      <c r="F592" s="14">
        <v>1</v>
      </c>
      <c r="G592" s="14">
        <v>0</v>
      </c>
      <c r="H592" s="14"/>
      <c r="I592" s="8" t="s">
        <v>145</v>
      </c>
      <c r="J592" s="8" t="s">
        <v>38</v>
      </c>
      <c r="K592">
        <v>36.5625</v>
      </c>
      <c r="L592">
        <v>59.5625</v>
      </c>
      <c r="M592" s="14">
        <v>1</v>
      </c>
      <c r="N592" s="14">
        <v>3.75</v>
      </c>
      <c r="Q592" t="str">
        <f t="shared" si="32"/>
        <v xml:space="preserve">XX8X_PV_1084:    Front abuts stile:FALSE       Back abuts stile:TRUE          Panel Section: TOP           Stile in the back Width:            Cutout A: B-347          Cutout B:      F.C.:1 in.         C.C.:3.75 in.   </v>
      </c>
      <c r="R592" t="str">
        <f t="shared" si="31"/>
        <v>FALSE</v>
      </c>
      <c r="S592" t="str">
        <f t="shared" si="30"/>
        <v>TRUE</v>
      </c>
    </row>
    <row r="593" spans="1:19" hidden="1">
      <c r="A593" t="s">
        <v>753</v>
      </c>
      <c r="B593" s="14" t="s">
        <v>144</v>
      </c>
      <c r="C593" s="14" t="s">
        <v>156</v>
      </c>
      <c r="D593" s="14">
        <v>0</v>
      </c>
      <c r="E593" s="14"/>
      <c r="F593" s="14">
        <v>1</v>
      </c>
      <c r="G593" s="14">
        <v>1</v>
      </c>
      <c r="H593" s="14"/>
      <c r="I593" s="8" t="s">
        <v>145</v>
      </c>
      <c r="J593" s="8" t="s">
        <v>38</v>
      </c>
      <c r="K593">
        <v>27.8125</v>
      </c>
      <c r="L593">
        <v>62.8125</v>
      </c>
      <c r="M593" s="14">
        <v>1.5625</v>
      </c>
      <c r="N593" s="14">
        <v>1</v>
      </c>
      <c r="Q593" t="str">
        <f t="shared" si="32"/>
        <v xml:space="preserve">XX8X_PV_1085:    Front abuts stile:FALSE       Back abuts stile:TRUE          Panel Section: TOP           Stile in the back Width:            Cutout A: B-347          Cutout B:      F.C.:1.5625 in.         C.C.:1 in.   </v>
      </c>
      <c r="R593" t="str">
        <f t="shared" si="31"/>
        <v>FALSE</v>
      </c>
      <c r="S593" t="str">
        <f t="shared" si="30"/>
        <v>TRUE</v>
      </c>
    </row>
    <row r="594" spans="1:19" hidden="1">
      <c r="A594" t="s">
        <v>754</v>
      </c>
      <c r="B594" s="14" t="s">
        <v>144</v>
      </c>
      <c r="C594" s="14" t="s">
        <v>156</v>
      </c>
      <c r="D594" s="14">
        <v>1</v>
      </c>
      <c r="E594" s="14">
        <v>0</v>
      </c>
      <c r="F594" s="14">
        <v>0</v>
      </c>
      <c r="G594" s="14"/>
      <c r="H594" s="14"/>
      <c r="I594" s="8" t="s">
        <v>150</v>
      </c>
      <c r="J594" s="8" t="s">
        <v>38</v>
      </c>
      <c r="K594">
        <v>24.625</v>
      </c>
      <c r="L594">
        <v>30.3125</v>
      </c>
      <c r="M594" s="14">
        <v>3</v>
      </c>
      <c r="N594" s="14">
        <v>5.875</v>
      </c>
      <c r="Q594" t="str">
        <f t="shared" si="32"/>
        <v xml:space="preserve">XX8X_PV_1086:    Front abuts stile:TRUE       Back abuts stile:FALSE          Panel Section: TOP           Stile in the back Width:            Cutout A: B-3571          Cutout B:      F.C.:3 in.         C.C.:5.875 in.   </v>
      </c>
      <c r="R594" t="str">
        <f t="shared" si="31"/>
        <v>TRUE</v>
      </c>
      <c r="S594" t="str">
        <f t="shared" ref="S594:S658" si="33">IF(F594=1, "TRUE", "FALSE")</f>
        <v>FALSE</v>
      </c>
    </row>
    <row r="595" spans="1:19" hidden="1">
      <c r="A595" t="s">
        <v>755</v>
      </c>
      <c r="B595" s="14" t="s">
        <v>144</v>
      </c>
      <c r="C595" s="14" t="s">
        <v>156</v>
      </c>
      <c r="D595" s="14">
        <v>1</v>
      </c>
      <c r="E595" s="14">
        <v>0</v>
      </c>
      <c r="F595" s="14">
        <v>1</v>
      </c>
      <c r="G595" s="14">
        <v>0</v>
      </c>
      <c r="H595" s="14">
        <v>12</v>
      </c>
      <c r="I595" s="8" t="s">
        <v>149</v>
      </c>
      <c r="J595" s="8" t="s">
        <v>38</v>
      </c>
      <c r="K595">
        <v>47.875</v>
      </c>
      <c r="L595">
        <v>15.5</v>
      </c>
      <c r="M595" s="14">
        <v>1.8125</v>
      </c>
      <c r="N595" s="14">
        <v>4.8125</v>
      </c>
      <c r="Q595" t="str">
        <f t="shared" si="32"/>
        <v xml:space="preserve">XX8X_PV_1087:    Front abuts stile:TRUE       Back abuts stile:TRUE          Panel Section: TOP           Stile in the back Width: 12           Cutout A: B-34715          Cutout B:      F.C.:1.8125 in.         C.C.:4.8125 in.   </v>
      </c>
      <c r="R595" t="str">
        <f t="shared" si="31"/>
        <v>TRUE</v>
      </c>
      <c r="S595" t="str">
        <f t="shared" si="33"/>
        <v>TRUE</v>
      </c>
    </row>
    <row r="596" spans="1:19" hidden="1">
      <c r="A596" t="s">
        <v>756</v>
      </c>
      <c r="B596" s="14" t="s">
        <v>144</v>
      </c>
      <c r="C596" s="14" t="s">
        <v>156</v>
      </c>
      <c r="D596" s="14">
        <v>1</v>
      </c>
      <c r="E596" s="14">
        <v>0</v>
      </c>
      <c r="F596" s="14">
        <v>1</v>
      </c>
      <c r="G596" s="14">
        <v>0</v>
      </c>
      <c r="H596" s="14">
        <v>24</v>
      </c>
      <c r="I596" s="8" t="s">
        <v>120</v>
      </c>
      <c r="J596" s="8" t="s">
        <v>38</v>
      </c>
      <c r="K596">
        <v>47.3125</v>
      </c>
      <c r="L596">
        <v>8.8125</v>
      </c>
      <c r="M596" s="14">
        <v>4.5</v>
      </c>
      <c r="N596" s="14">
        <v>8.25</v>
      </c>
      <c r="Q596" t="str">
        <f t="shared" si="32"/>
        <v xml:space="preserve">XX8X_PV_1088:    Front abuts stile:TRUE       Back abuts stile:TRUE          Panel Section: TOP           Stile in the back Width: 24           Cutout A: B-386          Cutout B:      F.C.:4.5 in.         C.C.:8.25 in.   </v>
      </c>
      <c r="R596" t="str">
        <f t="shared" si="31"/>
        <v>TRUE</v>
      </c>
      <c r="S596" t="str">
        <f t="shared" si="33"/>
        <v>TRUE</v>
      </c>
    </row>
    <row r="597" spans="1:19" hidden="1">
      <c r="A597" t="s">
        <v>757</v>
      </c>
      <c r="B597" s="14" t="s">
        <v>144</v>
      </c>
      <c r="C597" s="14" t="s">
        <v>156</v>
      </c>
      <c r="D597" s="14">
        <v>1</v>
      </c>
      <c r="E597" s="14">
        <v>0</v>
      </c>
      <c r="F597" s="14">
        <v>1</v>
      </c>
      <c r="G597" s="14">
        <v>0</v>
      </c>
      <c r="H597" s="14"/>
      <c r="I597" s="8" t="s">
        <v>120</v>
      </c>
      <c r="J597" s="8" t="s">
        <v>38</v>
      </c>
      <c r="K597">
        <v>10.25</v>
      </c>
      <c r="L597">
        <v>30.1875</v>
      </c>
      <c r="M597" s="14">
        <v>4.5</v>
      </c>
      <c r="N597" s="14">
        <v>6.75</v>
      </c>
      <c r="Q597" t="str">
        <f t="shared" si="32"/>
        <v xml:space="preserve">XX8X_PV_1089:    Front abuts stile:TRUE       Back abuts stile:TRUE          Panel Section: TOP           Stile in the back Width:            Cutout A: B-386          Cutout B:      F.C.:4.5 in.         C.C.:6.75 in.   </v>
      </c>
      <c r="R597" t="str">
        <f t="shared" si="31"/>
        <v>TRUE</v>
      </c>
      <c r="S597" t="str">
        <f t="shared" si="33"/>
        <v>TRUE</v>
      </c>
    </row>
    <row r="598" spans="1:19" hidden="1">
      <c r="A598" t="s">
        <v>758</v>
      </c>
      <c r="B598" s="14" t="s">
        <v>144</v>
      </c>
      <c r="C598" s="14" t="s">
        <v>156</v>
      </c>
      <c r="D598" s="14">
        <v>1</v>
      </c>
      <c r="E598" s="14">
        <v>0</v>
      </c>
      <c r="F598" s="14">
        <v>1</v>
      </c>
      <c r="G598" s="14">
        <v>1</v>
      </c>
      <c r="H598" s="14"/>
      <c r="I598" s="8" t="s">
        <v>38</v>
      </c>
      <c r="J598" s="8" t="s">
        <v>38</v>
      </c>
      <c r="K598">
        <v>35.8125</v>
      </c>
      <c r="L598">
        <v>37.5</v>
      </c>
      <c r="M598" s="14">
        <v>4.5</v>
      </c>
      <c r="N598" s="14">
        <v>7.0625</v>
      </c>
      <c r="Q598" t="str">
        <f t="shared" si="32"/>
        <v xml:space="preserve">XX8X_PV_1090:    Front abuts stile:TRUE       Back abuts stile:TRUE          Panel Section: TOP           Stile in the back Width:            Cutout A:           Cutout B:      F.C.:4.5 in.         C.C.:7.0625 in.   </v>
      </c>
      <c r="R598" t="str">
        <f t="shared" si="31"/>
        <v>TRUE</v>
      </c>
      <c r="S598" t="str">
        <f t="shared" si="33"/>
        <v>TRUE</v>
      </c>
    </row>
    <row r="599" spans="1:19" hidden="1">
      <c r="A599" t="s">
        <v>759</v>
      </c>
      <c r="B599" s="14" t="s">
        <v>144</v>
      </c>
      <c r="C599" s="14" t="s">
        <v>156</v>
      </c>
      <c r="D599" s="14">
        <v>1</v>
      </c>
      <c r="E599" s="14">
        <v>1</v>
      </c>
      <c r="F599" s="14">
        <v>0</v>
      </c>
      <c r="G599" s="14"/>
      <c r="H599" s="14"/>
      <c r="I599" s="8" t="s">
        <v>35</v>
      </c>
      <c r="J599" s="8" t="s">
        <v>38</v>
      </c>
      <c r="K599">
        <v>24.1875</v>
      </c>
      <c r="L599">
        <v>36.3125</v>
      </c>
      <c r="M599" s="14">
        <v>1</v>
      </c>
      <c r="N599" s="14">
        <v>4.8125</v>
      </c>
      <c r="Q599" t="str">
        <f t="shared" si="32"/>
        <v xml:space="preserve">XX8X_PV_1091:    Front abuts stile:TRUE       Back abuts stile:FALSE          Panel Section: TOP           Stile in the back Width:            Cutout A: B-357          Cutout B:      F.C.:1 in.         C.C.:4.8125 in.   </v>
      </c>
      <c r="R599" t="str">
        <f t="shared" si="31"/>
        <v>TRUE</v>
      </c>
      <c r="S599" t="str">
        <f t="shared" si="33"/>
        <v>FALSE</v>
      </c>
    </row>
    <row r="600" spans="1:19" hidden="1">
      <c r="A600" t="s">
        <v>760</v>
      </c>
      <c r="B600" s="14" t="s">
        <v>144</v>
      </c>
      <c r="C600" s="14" t="s">
        <v>156</v>
      </c>
      <c r="D600" s="14">
        <v>1</v>
      </c>
      <c r="E600" s="14">
        <v>1</v>
      </c>
      <c r="F600" s="14">
        <v>1</v>
      </c>
      <c r="G600" s="14">
        <v>0</v>
      </c>
      <c r="H600" s="14">
        <v>12</v>
      </c>
      <c r="I600" s="8" t="s">
        <v>149</v>
      </c>
      <c r="J600" s="8" t="s">
        <v>38</v>
      </c>
      <c r="K600">
        <v>43.1875</v>
      </c>
      <c r="L600">
        <v>67.0625</v>
      </c>
      <c r="M600" s="14">
        <v>2.3125</v>
      </c>
      <c r="N600" s="14">
        <v>7.4375</v>
      </c>
      <c r="Q600" t="str">
        <f t="shared" si="32"/>
        <v xml:space="preserve">XX8X_PV_1092:    Front abuts stile:TRUE       Back abuts stile:TRUE          Panel Section: TOP           Stile in the back Width: 12           Cutout A: B-34715          Cutout B:      F.C.:2.3125 in.         C.C.:7.4375 in.   </v>
      </c>
      <c r="R600" t="str">
        <f t="shared" si="31"/>
        <v>TRUE</v>
      </c>
      <c r="S600" t="str">
        <f t="shared" si="33"/>
        <v>TRUE</v>
      </c>
    </row>
    <row r="601" spans="1:19" hidden="1">
      <c r="A601" t="s">
        <v>761</v>
      </c>
      <c r="B601" s="14" t="s">
        <v>144</v>
      </c>
      <c r="C601" s="14" t="s">
        <v>156</v>
      </c>
      <c r="D601" s="14">
        <v>1</v>
      </c>
      <c r="E601" s="14">
        <v>1</v>
      </c>
      <c r="F601" s="14">
        <v>1</v>
      </c>
      <c r="G601" s="14">
        <v>0</v>
      </c>
      <c r="H601" s="14">
        <v>24</v>
      </c>
      <c r="I601" s="8" t="s">
        <v>120</v>
      </c>
      <c r="J601" s="8" t="s">
        <v>38</v>
      </c>
      <c r="K601">
        <v>34.5625</v>
      </c>
      <c r="L601">
        <v>40.875</v>
      </c>
      <c r="M601" s="14">
        <v>9</v>
      </c>
      <c r="N601" s="14">
        <v>1.4375</v>
      </c>
      <c r="Q601" t="str">
        <f t="shared" si="32"/>
        <v xml:space="preserve">XX8X_PV_1093:    Front abuts stile:TRUE       Back abuts stile:TRUE          Panel Section: TOP           Stile in the back Width: 24           Cutout A: B-386          Cutout B:      F.C.:9 in.         C.C.:1.4375 in.   </v>
      </c>
      <c r="R601" t="str">
        <f t="shared" si="31"/>
        <v>TRUE</v>
      </c>
      <c r="S601" t="str">
        <f t="shared" si="33"/>
        <v>TRUE</v>
      </c>
    </row>
    <row r="602" spans="1:19" hidden="1">
      <c r="A602" t="s">
        <v>762</v>
      </c>
      <c r="B602" s="14" t="s">
        <v>144</v>
      </c>
      <c r="C602" s="14" t="s">
        <v>156</v>
      </c>
      <c r="D602" s="14">
        <v>1</v>
      </c>
      <c r="E602" s="14">
        <v>1</v>
      </c>
      <c r="F602" s="14">
        <v>1</v>
      </c>
      <c r="G602" s="14">
        <v>0</v>
      </c>
      <c r="H602" s="14"/>
      <c r="I602" s="8" t="s">
        <v>120</v>
      </c>
      <c r="J602" s="8" t="s">
        <v>38</v>
      </c>
      <c r="K602">
        <v>9.5625</v>
      </c>
      <c r="L602">
        <v>36.0625</v>
      </c>
      <c r="M602" s="14">
        <v>1.625</v>
      </c>
      <c r="N602" s="14">
        <v>1</v>
      </c>
      <c r="Q602" t="str">
        <f t="shared" si="32"/>
        <v xml:space="preserve">XX8X_PV_1094:    Front abuts stile:TRUE       Back abuts stile:TRUE          Panel Section: TOP           Stile in the back Width:            Cutout A: B-386          Cutout B:      F.C.:1.625 in.         C.C.:1 in.   </v>
      </c>
      <c r="R602" t="str">
        <f t="shared" si="31"/>
        <v>TRUE</v>
      </c>
      <c r="S602" t="str">
        <f t="shared" si="33"/>
        <v>TRUE</v>
      </c>
    </row>
    <row r="603" spans="1:19" hidden="1">
      <c r="A603" t="s">
        <v>763</v>
      </c>
      <c r="B603" s="14" t="s">
        <v>144</v>
      </c>
      <c r="C603" s="14" t="s">
        <v>156</v>
      </c>
      <c r="D603" s="14">
        <v>1</v>
      </c>
      <c r="E603" s="14">
        <v>1</v>
      </c>
      <c r="F603" s="14">
        <v>1</v>
      </c>
      <c r="G603" s="14">
        <v>1</v>
      </c>
      <c r="H603" s="14"/>
      <c r="I603" s="8" t="s">
        <v>149</v>
      </c>
      <c r="J603" s="8" t="s">
        <v>38</v>
      </c>
      <c r="K603">
        <v>14.0625</v>
      </c>
      <c r="L603">
        <v>56.375</v>
      </c>
      <c r="M603" s="14">
        <v>12</v>
      </c>
      <c r="N603" s="14">
        <v>7.6875</v>
      </c>
      <c r="Q603" t="str">
        <f t="shared" si="32"/>
        <v xml:space="preserve">XX8X_PV_1095:    Front abuts stile:TRUE       Back abuts stile:TRUE          Panel Section: TOP           Stile in the back Width:            Cutout A: B-34715          Cutout B:      F.C.:12 in.         C.C.:7.6875 in.   </v>
      </c>
      <c r="R603" t="str">
        <f t="shared" si="31"/>
        <v>TRUE</v>
      </c>
      <c r="S603" t="str">
        <f t="shared" si="33"/>
        <v>TRUE</v>
      </c>
    </row>
    <row r="604" spans="1:19" hidden="1">
      <c r="A604" t="s">
        <v>764</v>
      </c>
      <c r="B604" s="14" t="s">
        <v>144</v>
      </c>
      <c r="C604" s="14" t="s">
        <v>157</v>
      </c>
      <c r="D604" s="14">
        <v>0</v>
      </c>
      <c r="E604" s="14"/>
      <c r="F604" s="14">
        <v>0</v>
      </c>
      <c r="G604" s="14"/>
      <c r="H604" s="14"/>
      <c r="I604" s="8" t="s">
        <v>119</v>
      </c>
      <c r="J604" s="8" t="s">
        <v>38</v>
      </c>
      <c r="K604">
        <v>60</v>
      </c>
      <c r="L604">
        <v>44.625</v>
      </c>
      <c r="M604" s="14">
        <v>9</v>
      </c>
      <c r="N604" s="14">
        <v>3.5</v>
      </c>
      <c r="Q604" t="str">
        <f t="shared" si="32"/>
        <v xml:space="preserve">XX8X_PV_1111:    Front abuts stile:FALSE       Back abuts stile:FALSE          Panel Section: BOTTOM           Stile in the back Width:            Cutout A: B-354          Cutout B:      F.C.:9 in.         C.C.:3.5 in.   </v>
      </c>
      <c r="R604" t="str">
        <f t="shared" si="31"/>
        <v>FALSE</v>
      </c>
      <c r="S604" t="str">
        <f t="shared" si="33"/>
        <v>FALSE</v>
      </c>
    </row>
    <row r="605" spans="1:19" hidden="1">
      <c r="A605" t="s">
        <v>765</v>
      </c>
      <c r="B605" s="14" t="s">
        <v>144</v>
      </c>
      <c r="C605" s="14" t="s">
        <v>157</v>
      </c>
      <c r="D605" s="14">
        <v>0</v>
      </c>
      <c r="E605" s="14"/>
      <c r="F605" s="14">
        <v>1</v>
      </c>
      <c r="G605" s="14">
        <v>0</v>
      </c>
      <c r="H605" s="14">
        <v>12</v>
      </c>
      <c r="I605" s="8" t="s">
        <v>120</v>
      </c>
      <c r="J605" s="8" t="s">
        <v>38</v>
      </c>
      <c r="K605">
        <v>60</v>
      </c>
      <c r="L605">
        <v>28.3125</v>
      </c>
      <c r="M605" s="14">
        <v>3.1875</v>
      </c>
      <c r="N605" s="14">
        <v>1.1875</v>
      </c>
      <c r="Q605" t="str">
        <f t="shared" si="32"/>
        <v xml:space="preserve">XX8X_PV_1112:    Front abuts stile:FALSE       Back abuts stile:TRUE          Panel Section: BOTTOM           Stile in the back Width: 12           Cutout A: B-386          Cutout B:      F.C.:3.1875 in.         C.C.:1.1875 in.   </v>
      </c>
      <c r="R605" t="str">
        <f t="shared" si="31"/>
        <v>FALSE</v>
      </c>
      <c r="S605" t="str">
        <f t="shared" si="33"/>
        <v>TRUE</v>
      </c>
    </row>
    <row r="606" spans="1:19" hidden="1">
      <c r="A606" t="s">
        <v>766</v>
      </c>
      <c r="B606" s="14" t="s">
        <v>144</v>
      </c>
      <c r="C606" s="14" t="s">
        <v>157</v>
      </c>
      <c r="D606" s="14">
        <v>0</v>
      </c>
      <c r="E606" s="14"/>
      <c r="F606" s="14">
        <v>1</v>
      </c>
      <c r="G606" s="14">
        <v>0</v>
      </c>
      <c r="H606" s="14">
        <v>24</v>
      </c>
      <c r="I606" s="8" t="s">
        <v>120</v>
      </c>
      <c r="J606" s="8" t="s">
        <v>38</v>
      </c>
      <c r="K606">
        <v>60</v>
      </c>
      <c r="L606">
        <v>71</v>
      </c>
      <c r="M606" s="14">
        <v>12</v>
      </c>
      <c r="N606" s="14">
        <v>1</v>
      </c>
      <c r="Q606" t="str">
        <f t="shared" si="32"/>
        <v xml:space="preserve">XX8X_PV_1113:    Front abuts stile:FALSE       Back abuts stile:TRUE          Panel Section: BOTTOM           Stile in the back Width: 24           Cutout A: B-386          Cutout B:      F.C.:12 in.         C.C.:1 in.   </v>
      </c>
      <c r="R606" t="str">
        <f t="shared" si="31"/>
        <v>FALSE</v>
      </c>
      <c r="S606" t="str">
        <f t="shared" si="33"/>
        <v>TRUE</v>
      </c>
    </row>
    <row r="607" spans="1:19" hidden="1">
      <c r="A607" t="s">
        <v>767</v>
      </c>
      <c r="B607" s="14" t="s">
        <v>144</v>
      </c>
      <c r="C607" s="14" t="s">
        <v>157</v>
      </c>
      <c r="D607" s="14">
        <v>0</v>
      </c>
      <c r="E607" s="14"/>
      <c r="F607" s="14">
        <v>1</v>
      </c>
      <c r="G607" s="14">
        <v>0</v>
      </c>
      <c r="H607" s="14"/>
      <c r="I607" s="8" t="s">
        <v>38</v>
      </c>
      <c r="J607" s="8" t="s">
        <v>38</v>
      </c>
      <c r="K607">
        <v>60</v>
      </c>
      <c r="L607">
        <v>27.6875</v>
      </c>
      <c r="M607" s="14">
        <v>7.6875</v>
      </c>
      <c r="N607" s="14">
        <v>1</v>
      </c>
      <c r="Q607" t="str">
        <f t="shared" si="32"/>
        <v xml:space="preserve">XX8X_PV_1114:    Front abuts stile:FALSE       Back abuts stile:TRUE          Panel Section: BOTTOM           Stile in the back Width:            Cutout A:           Cutout B:      F.C.:7.6875 in.         C.C.:1 in.   </v>
      </c>
      <c r="R607" t="str">
        <f t="shared" si="31"/>
        <v>FALSE</v>
      </c>
      <c r="S607" t="str">
        <f t="shared" si="33"/>
        <v>TRUE</v>
      </c>
    </row>
    <row r="608" spans="1:19" hidden="1">
      <c r="A608" t="s">
        <v>768</v>
      </c>
      <c r="B608" s="14" t="s">
        <v>144</v>
      </c>
      <c r="C608" s="14" t="s">
        <v>157</v>
      </c>
      <c r="D608" s="14">
        <v>0</v>
      </c>
      <c r="E608" s="14"/>
      <c r="F608" s="14">
        <v>1</v>
      </c>
      <c r="G608" s="14">
        <v>1</v>
      </c>
      <c r="H608" s="14"/>
      <c r="I608" s="8" t="s">
        <v>148</v>
      </c>
      <c r="J608" s="8" t="s">
        <v>38</v>
      </c>
      <c r="K608">
        <v>60</v>
      </c>
      <c r="L608">
        <v>48.125</v>
      </c>
      <c r="M608" s="14">
        <v>12</v>
      </c>
      <c r="N608" s="14">
        <v>2</v>
      </c>
      <c r="Q608" t="str">
        <f t="shared" si="32"/>
        <v xml:space="preserve">XX8X_PV_1115:    Front abuts stile:FALSE       Back abuts stile:TRUE          Panel Section: BOTTOM           Stile in the back Width:            Cutout A: B-3471          Cutout B:      F.C.:12 in.         C.C.:2 in.   </v>
      </c>
      <c r="R608" t="str">
        <f t="shared" si="31"/>
        <v>FALSE</v>
      </c>
      <c r="S608" t="str">
        <f t="shared" si="33"/>
        <v>TRUE</v>
      </c>
    </row>
    <row r="609" spans="1:19" hidden="1">
      <c r="A609" t="s">
        <v>769</v>
      </c>
      <c r="B609" s="14" t="s">
        <v>144</v>
      </c>
      <c r="C609" s="14" t="s">
        <v>157</v>
      </c>
      <c r="D609" s="14">
        <v>1</v>
      </c>
      <c r="E609" s="14">
        <v>0</v>
      </c>
      <c r="F609" s="14">
        <v>0</v>
      </c>
      <c r="G609" s="14"/>
      <c r="H609" s="14"/>
      <c r="I609" s="8" t="s">
        <v>151</v>
      </c>
      <c r="J609" s="8" t="s">
        <v>38</v>
      </c>
      <c r="K609">
        <v>60</v>
      </c>
      <c r="L609">
        <v>16.875</v>
      </c>
      <c r="M609" s="14">
        <v>12</v>
      </c>
      <c r="N609" s="14">
        <v>1.75</v>
      </c>
      <c r="Q609" t="str">
        <f t="shared" si="32"/>
        <v xml:space="preserve">XX8X_PV_1116:    Front abuts stile:TRUE       Back abuts stile:FALSE          Panel Section: BOTTOM           Stile in the back Width:            Cutout A: B-35715          Cutout B:      F.C.:12 in.         C.C.:1.75 in.   </v>
      </c>
      <c r="R609" t="str">
        <f t="shared" si="31"/>
        <v>TRUE</v>
      </c>
      <c r="S609" t="str">
        <f t="shared" si="33"/>
        <v>FALSE</v>
      </c>
    </row>
    <row r="610" spans="1:19" hidden="1">
      <c r="A610" t="s">
        <v>770</v>
      </c>
      <c r="B610" s="14" t="s">
        <v>144</v>
      </c>
      <c r="C610" s="14" t="s">
        <v>157</v>
      </c>
      <c r="D610" s="14">
        <v>1</v>
      </c>
      <c r="E610" s="14">
        <v>0</v>
      </c>
      <c r="F610" s="14">
        <v>1</v>
      </c>
      <c r="G610" s="14">
        <v>0</v>
      </c>
      <c r="H610" s="14">
        <v>12</v>
      </c>
      <c r="I610" s="8" t="s">
        <v>120</v>
      </c>
      <c r="J610" s="8" t="s">
        <v>38</v>
      </c>
      <c r="K610">
        <v>60</v>
      </c>
      <c r="L610">
        <v>48.5625</v>
      </c>
      <c r="M610" s="14">
        <v>2.5625</v>
      </c>
      <c r="N610" s="14">
        <v>1</v>
      </c>
      <c r="Q610" t="str">
        <f t="shared" si="32"/>
        <v xml:space="preserve">XX8X_PV_1117:    Front abuts stile:TRUE       Back abuts stile:TRUE          Panel Section: BOTTOM           Stile in the back Width: 12           Cutout A: B-386          Cutout B:      F.C.:2.5625 in.         C.C.:1 in.   </v>
      </c>
      <c r="R610" t="str">
        <f t="shared" si="31"/>
        <v>TRUE</v>
      </c>
      <c r="S610" t="str">
        <f t="shared" si="33"/>
        <v>TRUE</v>
      </c>
    </row>
    <row r="611" spans="1:19" hidden="1">
      <c r="A611" t="s">
        <v>771</v>
      </c>
      <c r="B611" s="14" t="s">
        <v>144</v>
      </c>
      <c r="C611" s="14" t="s">
        <v>157</v>
      </c>
      <c r="D611" s="14">
        <v>1</v>
      </c>
      <c r="E611" s="14">
        <v>0</v>
      </c>
      <c r="F611" s="14">
        <v>1</v>
      </c>
      <c r="G611" s="14">
        <v>0</v>
      </c>
      <c r="H611" s="14">
        <v>24</v>
      </c>
      <c r="I611" s="8" t="s">
        <v>120</v>
      </c>
      <c r="J611" s="8" t="s">
        <v>38</v>
      </c>
      <c r="K611">
        <v>60</v>
      </c>
      <c r="L611">
        <v>40.125</v>
      </c>
      <c r="M611" s="14">
        <v>10.0625</v>
      </c>
      <c r="N611" s="14">
        <v>4.6875</v>
      </c>
      <c r="Q611" t="str">
        <f t="shared" si="32"/>
        <v xml:space="preserve">XX8X_PV_1118:    Front abuts stile:TRUE       Back abuts stile:TRUE          Panel Section: BOTTOM           Stile in the back Width: 24           Cutout A: B-386          Cutout B:      F.C.:10.0625 in.         C.C.:4.6875 in.   </v>
      </c>
      <c r="R611" t="str">
        <f t="shared" si="31"/>
        <v>TRUE</v>
      </c>
      <c r="S611" t="str">
        <f t="shared" si="33"/>
        <v>TRUE</v>
      </c>
    </row>
    <row r="612" spans="1:19" hidden="1">
      <c r="A612" t="s">
        <v>772</v>
      </c>
      <c r="B612" s="14" t="s">
        <v>144</v>
      </c>
      <c r="C612" s="14" t="s">
        <v>157</v>
      </c>
      <c r="D612" s="14">
        <v>1</v>
      </c>
      <c r="E612" s="14">
        <v>0</v>
      </c>
      <c r="F612" s="14">
        <v>1</v>
      </c>
      <c r="G612" s="14">
        <v>0</v>
      </c>
      <c r="H612" s="14"/>
      <c r="I612" s="8" t="s">
        <v>120</v>
      </c>
      <c r="J612" s="8" t="s">
        <v>38</v>
      </c>
      <c r="K612">
        <v>60</v>
      </c>
      <c r="L612">
        <v>60.25</v>
      </c>
      <c r="M612" s="14">
        <v>1.9375</v>
      </c>
      <c r="N612" s="14">
        <v>1</v>
      </c>
      <c r="Q612" t="str">
        <f t="shared" si="32"/>
        <v xml:space="preserve">XX8X_PV_1119:    Front abuts stile:TRUE       Back abuts stile:TRUE          Panel Section: BOTTOM           Stile in the back Width:            Cutout A: B-386          Cutout B:      F.C.:1.9375 in.         C.C.:1 in.   </v>
      </c>
      <c r="R612" t="str">
        <f t="shared" si="31"/>
        <v>TRUE</v>
      </c>
      <c r="S612" t="str">
        <f t="shared" si="33"/>
        <v>TRUE</v>
      </c>
    </row>
    <row r="613" spans="1:19" hidden="1">
      <c r="A613" t="s">
        <v>773</v>
      </c>
      <c r="B613" s="14" t="s">
        <v>144</v>
      </c>
      <c r="C613" s="14" t="s">
        <v>157</v>
      </c>
      <c r="D613" s="14">
        <v>1</v>
      </c>
      <c r="E613" s="14">
        <v>0</v>
      </c>
      <c r="F613" s="14">
        <v>1</v>
      </c>
      <c r="G613" s="14">
        <v>1</v>
      </c>
      <c r="H613" s="14"/>
      <c r="I613" s="8" t="s">
        <v>35</v>
      </c>
      <c r="J613" s="8" t="s">
        <v>38</v>
      </c>
      <c r="K613">
        <v>60</v>
      </c>
      <c r="L613">
        <v>43.3125</v>
      </c>
      <c r="M613" s="14">
        <v>9</v>
      </c>
      <c r="N613" s="14">
        <v>2.625</v>
      </c>
      <c r="Q613" t="str">
        <f t="shared" si="32"/>
        <v xml:space="preserve">XX8X_PV_1120:    Front abuts stile:TRUE       Back abuts stile:TRUE          Panel Section: BOTTOM           Stile in the back Width:            Cutout A: B-357          Cutout B:      F.C.:9 in.         C.C.:2.625 in.   </v>
      </c>
      <c r="R613" t="str">
        <f t="shared" si="31"/>
        <v>TRUE</v>
      </c>
      <c r="S613" t="str">
        <f t="shared" si="33"/>
        <v>TRUE</v>
      </c>
    </row>
    <row r="614" spans="1:19" hidden="1">
      <c r="A614" t="s">
        <v>774</v>
      </c>
      <c r="B614" s="14" t="s">
        <v>144</v>
      </c>
      <c r="C614" s="14" t="s">
        <v>157</v>
      </c>
      <c r="D614" s="14">
        <v>1</v>
      </c>
      <c r="E614" s="14">
        <v>1</v>
      </c>
      <c r="F614" s="14">
        <v>0</v>
      </c>
      <c r="G614" s="14"/>
      <c r="H614" s="14"/>
      <c r="I614" s="8" t="s">
        <v>121</v>
      </c>
      <c r="J614" s="8" t="s">
        <v>120</v>
      </c>
      <c r="K614">
        <v>60</v>
      </c>
      <c r="L614">
        <v>31.125</v>
      </c>
      <c r="M614" s="14">
        <v>1.125</v>
      </c>
      <c r="N614" s="14">
        <v>8.3125</v>
      </c>
      <c r="Q614" t="str">
        <f t="shared" si="32"/>
        <v xml:space="preserve">XX8X_PV_1121:    Front abuts stile:TRUE       Back abuts stile:FALSE          Panel Section: BOTTOM           Stile in the back Width:            Cutout A: B-4354          Cutout B:B-386      F.C.:1.125 in.         C.C.:8.3125 in.   </v>
      </c>
      <c r="R614" t="str">
        <f t="shared" si="31"/>
        <v>TRUE</v>
      </c>
      <c r="S614" t="str">
        <f t="shared" si="33"/>
        <v>FALSE</v>
      </c>
    </row>
    <row r="615" spans="1:19" hidden="1">
      <c r="A615" t="s">
        <v>775</v>
      </c>
      <c r="B615" s="14" t="s">
        <v>144</v>
      </c>
      <c r="C615" s="14" t="s">
        <v>157</v>
      </c>
      <c r="D615" s="14">
        <v>1</v>
      </c>
      <c r="E615" s="14">
        <v>1</v>
      </c>
      <c r="F615" s="14">
        <v>1</v>
      </c>
      <c r="G615" s="14">
        <v>0</v>
      </c>
      <c r="H615" s="14">
        <v>12</v>
      </c>
      <c r="I615" s="8" t="s">
        <v>38</v>
      </c>
      <c r="J615" s="8" t="s">
        <v>38</v>
      </c>
      <c r="K615">
        <v>60</v>
      </c>
      <c r="L615">
        <v>68.625</v>
      </c>
      <c r="M615" s="14">
        <v>10.4375</v>
      </c>
      <c r="N615" s="14">
        <v>3.25</v>
      </c>
      <c r="Q615" t="str">
        <f t="shared" si="32"/>
        <v xml:space="preserve">XX8X_PV_1122:    Front abuts stile:TRUE       Back abuts stile:TRUE          Panel Section: BOTTOM           Stile in the back Width: 12           Cutout A:           Cutout B:      F.C.:10.4375 in.         C.C.:3.25 in.   </v>
      </c>
      <c r="R615" t="str">
        <f t="shared" si="31"/>
        <v>TRUE</v>
      </c>
      <c r="S615" t="str">
        <f t="shared" si="33"/>
        <v>TRUE</v>
      </c>
    </row>
    <row r="616" spans="1:19" hidden="1">
      <c r="A616" t="s">
        <v>776</v>
      </c>
      <c r="B616" s="14" t="s">
        <v>144</v>
      </c>
      <c r="C616" s="14" t="s">
        <v>157</v>
      </c>
      <c r="D616" s="14">
        <v>1</v>
      </c>
      <c r="E616" s="14">
        <v>1</v>
      </c>
      <c r="F616" s="14">
        <v>1</v>
      </c>
      <c r="G616" s="14">
        <v>0</v>
      </c>
      <c r="H616" s="14">
        <v>24</v>
      </c>
      <c r="I616" s="8" t="s">
        <v>120</v>
      </c>
      <c r="J616" s="8" t="s">
        <v>38</v>
      </c>
      <c r="K616">
        <v>60</v>
      </c>
      <c r="L616">
        <v>34.9375</v>
      </c>
      <c r="M616" s="14">
        <v>12</v>
      </c>
      <c r="N616" s="14">
        <v>1</v>
      </c>
      <c r="Q616" t="str">
        <f t="shared" si="32"/>
        <v xml:space="preserve">XX8X_PV_1123:    Front abuts stile:TRUE       Back abuts stile:TRUE          Panel Section: BOTTOM           Stile in the back Width: 24           Cutout A: B-386          Cutout B:      F.C.:12 in.         C.C.:1 in.   </v>
      </c>
      <c r="R616" t="str">
        <f t="shared" si="31"/>
        <v>TRUE</v>
      </c>
      <c r="S616" t="str">
        <f t="shared" si="33"/>
        <v>TRUE</v>
      </c>
    </row>
    <row r="617" spans="1:19" hidden="1">
      <c r="A617" t="s">
        <v>777</v>
      </c>
      <c r="B617" s="14" t="s">
        <v>144</v>
      </c>
      <c r="C617" s="14" t="s">
        <v>157</v>
      </c>
      <c r="D617" s="14">
        <v>1</v>
      </c>
      <c r="E617" s="14">
        <v>1</v>
      </c>
      <c r="F617" s="14">
        <v>1</v>
      </c>
      <c r="G617" s="14">
        <v>0</v>
      </c>
      <c r="H617" s="14"/>
      <c r="I617" s="8" t="s">
        <v>35</v>
      </c>
      <c r="J617" s="8" t="s">
        <v>38</v>
      </c>
      <c r="K617">
        <v>60</v>
      </c>
      <c r="L617">
        <v>72.375</v>
      </c>
      <c r="M617" s="14">
        <v>4.5</v>
      </c>
      <c r="N617" s="14">
        <v>6</v>
      </c>
      <c r="Q617" t="str">
        <f t="shared" si="32"/>
        <v xml:space="preserve">XX8X_PV_1124:    Front abuts stile:TRUE       Back abuts stile:TRUE          Panel Section: BOTTOM           Stile in the back Width:            Cutout A: B-357          Cutout B:      F.C.:4.5 in.         C.C.:6 in.   </v>
      </c>
      <c r="R617" t="str">
        <f t="shared" si="31"/>
        <v>TRUE</v>
      </c>
      <c r="S617" t="str">
        <f t="shared" si="33"/>
        <v>TRUE</v>
      </c>
    </row>
    <row r="618" spans="1:19" hidden="1">
      <c r="A618" t="s">
        <v>778</v>
      </c>
      <c r="B618" s="14" t="s">
        <v>144</v>
      </c>
      <c r="C618" s="14" t="s">
        <v>157</v>
      </c>
      <c r="D618" s="14">
        <v>1</v>
      </c>
      <c r="E618" s="14">
        <v>1</v>
      </c>
      <c r="F618" s="14">
        <v>1</v>
      </c>
      <c r="G618" s="14">
        <v>1</v>
      </c>
      <c r="H618" s="14"/>
      <c r="I618" s="8" t="s">
        <v>145</v>
      </c>
      <c r="J618" s="8" t="s">
        <v>38</v>
      </c>
      <c r="K618">
        <v>60</v>
      </c>
      <c r="L618">
        <v>7.5625</v>
      </c>
      <c r="M618" s="14">
        <v>4.5</v>
      </c>
      <c r="N618" s="14">
        <v>1</v>
      </c>
      <c r="Q618" t="str">
        <f t="shared" si="32"/>
        <v xml:space="preserve">XX8X_PV_1125:    Front abuts stile:TRUE       Back abuts stile:TRUE          Panel Section: BOTTOM           Stile in the back Width:            Cutout A: B-347          Cutout B:      F.C.:4.5 in.         C.C.:1 in.   </v>
      </c>
      <c r="R618" t="str">
        <f t="shared" si="31"/>
        <v>TRUE</v>
      </c>
      <c r="S618" t="str">
        <f t="shared" si="33"/>
        <v>TRUE</v>
      </c>
    </row>
    <row r="619" spans="1:19" hidden="1">
      <c r="A619" t="s">
        <v>779</v>
      </c>
      <c r="B619" s="14" t="s">
        <v>144</v>
      </c>
      <c r="C619" s="14" t="s">
        <v>21</v>
      </c>
      <c r="D619" s="14">
        <v>0</v>
      </c>
      <c r="E619" s="14"/>
      <c r="F619" s="14">
        <v>0</v>
      </c>
      <c r="G619" s="14"/>
      <c r="H619" s="14"/>
      <c r="I619" s="8" t="s">
        <v>121</v>
      </c>
      <c r="J619" s="8" t="s">
        <v>120</v>
      </c>
      <c r="K619">
        <v>99</v>
      </c>
      <c r="L619">
        <v>58.75</v>
      </c>
      <c r="M619" s="14">
        <v>3.4375</v>
      </c>
      <c r="N619" s="14">
        <v>4.875</v>
      </c>
      <c r="Q619" t="str">
        <f t="shared" si="32"/>
        <v xml:space="preserve">XX8X_PV_1141:    Front abuts stile:FALSE       Back abuts stile:FALSE          Panel Section: WHOLE           Stile in the back Width:            Cutout A: B-4354          Cutout B:B-386      F.C.:3.4375 in.         C.C.:4.875 in.   </v>
      </c>
      <c r="R619" t="str">
        <f t="shared" si="31"/>
        <v>FALSE</v>
      </c>
      <c r="S619" t="str">
        <f t="shared" si="33"/>
        <v>FALSE</v>
      </c>
    </row>
    <row r="620" spans="1:19" hidden="1">
      <c r="A620" t="s">
        <v>780</v>
      </c>
      <c r="B620" s="14" t="s">
        <v>144</v>
      </c>
      <c r="C620" s="14" t="s">
        <v>21</v>
      </c>
      <c r="D620" s="14">
        <v>0</v>
      </c>
      <c r="E620" s="14"/>
      <c r="F620" s="14">
        <v>1</v>
      </c>
      <c r="G620" s="14">
        <v>0</v>
      </c>
      <c r="H620" s="14">
        <v>12</v>
      </c>
      <c r="I620" s="8" t="s">
        <v>120</v>
      </c>
      <c r="J620" s="8" t="s">
        <v>38</v>
      </c>
      <c r="K620">
        <v>65.625</v>
      </c>
      <c r="L620">
        <v>69</v>
      </c>
      <c r="M620" s="14">
        <v>8.8125</v>
      </c>
      <c r="N620" s="14">
        <v>1.9375</v>
      </c>
      <c r="Q620" t="str">
        <f t="shared" si="32"/>
        <v xml:space="preserve">XX8X_PV_1142:    Front abuts stile:FALSE       Back abuts stile:TRUE          Panel Section: WHOLE           Stile in the back Width: 12           Cutout A: B-386          Cutout B:      F.C.:8.8125 in.         C.C.:1.9375 in.   </v>
      </c>
      <c r="R620" t="str">
        <f t="shared" si="31"/>
        <v>FALSE</v>
      </c>
      <c r="S620" t="str">
        <f t="shared" si="33"/>
        <v>TRUE</v>
      </c>
    </row>
    <row r="621" spans="1:19" hidden="1">
      <c r="A621" t="s">
        <v>781</v>
      </c>
      <c r="B621" s="14" t="s">
        <v>144</v>
      </c>
      <c r="C621" s="14" t="s">
        <v>21</v>
      </c>
      <c r="D621" s="14">
        <v>0</v>
      </c>
      <c r="E621" s="14"/>
      <c r="F621" s="14">
        <v>1</v>
      </c>
      <c r="G621" s="14">
        <v>0</v>
      </c>
      <c r="H621" s="14">
        <v>24</v>
      </c>
      <c r="I621" s="8" t="s">
        <v>120</v>
      </c>
      <c r="J621" s="8" t="s">
        <v>38</v>
      </c>
      <c r="K621">
        <v>96</v>
      </c>
      <c r="L621">
        <v>34.875</v>
      </c>
      <c r="M621" s="14">
        <v>2.6875</v>
      </c>
      <c r="N621" s="14">
        <v>1</v>
      </c>
      <c r="Q621" t="str">
        <f t="shared" si="32"/>
        <v xml:space="preserve">XX8X_PV_1143:    Front abuts stile:FALSE       Back abuts stile:TRUE          Panel Section: WHOLE           Stile in the back Width: 24           Cutout A: B-386          Cutout B:      F.C.:2.6875 in.         C.C.:1 in.   </v>
      </c>
      <c r="R621" t="str">
        <f t="shared" si="31"/>
        <v>FALSE</v>
      </c>
      <c r="S621" t="str">
        <f t="shared" si="33"/>
        <v>TRUE</v>
      </c>
    </row>
    <row r="622" spans="1:19" hidden="1">
      <c r="A622" t="s">
        <v>782</v>
      </c>
      <c r="B622" s="14" t="s">
        <v>144</v>
      </c>
      <c r="C622" s="14" t="s">
        <v>21</v>
      </c>
      <c r="D622" s="14">
        <v>0</v>
      </c>
      <c r="E622" s="14"/>
      <c r="F622" s="14">
        <v>1</v>
      </c>
      <c r="G622" s="14">
        <v>0</v>
      </c>
      <c r="H622" s="14"/>
      <c r="I622" s="8" t="s">
        <v>149</v>
      </c>
      <c r="J622" s="8" t="s">
        <v>38</v>
      </c>
      <c r="K622">
        <v>54.125</v>
      </c>
      <c r="L622">
        <v>53.125</v>
      </c>
      <c r="M622" s="14">
        <v>4.5</v>
      </c>
      <c r="N622" s="14">
        <v>3.75</v>
      </c>
      <c r="Q622" t="str">
        <f t="shared" si="32"/>
        <v xml:space="preserve">XX8X_PV_1144:    Front abuts stile:FALSE       Back abuts stile:TRUE          Panel Section: WHOLE           Stile in the back Width:            Cutout A: B-34715          Cutout B:      F.C.:4.5 in.         C.C.:3.75 in.   </v>
      </c>
      <c r="R622" t="str">
        <f t="shared" si="31"/>
        <v>FALSE</v>
      </c>
      <c r="S622" t="str">
        <f t="shared" si="33"/>
        <v>TRUE</v>
      </c>
    </row>
    <row r="623" spans="1:19" hidden="1">
      <c r="A623" t="s">
        <v>783</v>
      </c>
      <c r="B623" s="14" t="s">
        <v>144</v>
      </c>
      <c r="C623" s="14" t="s">
        <v>21</v>
      </c>
      <c r="D623" s="14">
        <v>0</v>
      </c>
      <c r="E623" s="14"/>
      <c r="F623" s="14">
        <v>1</v>
      </c>
      <c r="G623" s="14">
        <v>1</v>
      </c>
      <c r="H623" s="14"/>
      <c r="I623" s="8" t="s">
        <v>38</v>
      </c>
      <c r="J623" s="8" t="s">
        <v>38</v>
      </c>
      <c r="K623">
        <v>64.75</v>
      </c>
      <c r="L623">
        <v>12.8125</v>
      </c>
      <c r="M623" s="14">
        <v>12</v>
      </c>
      <c r="N623" s="14">
        <v>8.1875</v>
      </c>
      <c r="Q623" t="str">
        <f t="shared" si="32"/>
        <v xml:space="preserve">XX8X_PV_1145:    Front abuts stile:FALSE       Back abuts stile:TRUE          Panel Section: WHOLE           Stile in the back Width:            Cutout A:           Cutout B:      F.C.:12 in.         C.C.:8.1875 in.   </v>
      </c>
      <c r="R623" t="str">
        <f t="shared" si="31"/>
        <v>FALSE</v>
      </c>
      <c r="S623" t="str">
        <f t="shared" si="33"/>
        <v>TRUE</v>
      </c>
    </row>
    <row r="624" spans="1:19" hidden="1">
      <c r="A624" t="s">
        <v>784</v>
      </c>
      <c r="B624" s="14" t="s">
        <v>144</v>
      </c>
      <c r="C624" s="14" t="s">
        <v>21</v>
      </c>
      <c r="D624" s="14">
        <v>1</v>
      </c>
      <c r="E624" s="14">
        <v>0</v>
      </c>
      <c r="F624" s="14">
        <v>0</v>
      </c>
      <c r="G624" s="14"/>
      <c r="H624" s="14"/>
      <c r="I624" s="8" t="s">
        <v>119</v>
      </c>
      <c r="J624" s="8" t="s">
        <v>120</v>
      </c>
      <c r="K624">
        <v>75.875</v>
      </c>
      <c r="L624">
        <v>34.8125</v>
      </c>
      <c r="M624" s="14">
        <v>4.5</v>
      </c>
      <c r="N624" s="14">
        <v>7.875</v>
      </c>
      <c r="Q624" t="str">
        <f t="shared" si="32"/>
        <v xml:space="preserve">XX8X_PV_1146:    Front abuts stile:TRUE       Back abuts stile:FALSE          Panel Section: WHOLE           Stile in the back Width:            Cutout A: B-354          Cutout B:B-386      F.C.:4.5 in.         C.C.:7.875 in.   </v>
      </c>
      <c r="R624" t="str">
        <f t="shared" si="31"/>
        <v>TRUE</v>
      </c>
      <c r="S624" t="str">
        <f t="shared" si="33"/>
        <v>FALSE</v>
      </c>
    </row>
    <row r="625" spans="1:19" hidden="1">
      <c r="A625" t="s">
        <v>785</v>
      </c>
      <c r="B625" s="14" t="s">
        <v>144</v>
      </c>
      <c r="C625" s="14" t="s">
        <v>21</v>
      </c>
      <c r="D625" s="14">
        <v>1</v>
      </c>
      <c r="E625" s="14">
        <v>0</v>
      </c>
      <c r="F625" s="14">
        <v>1</v>
      </c>
      <c r="G625" s="14">
        <v>0</v>
      </c>
      <c r="H625" s="14">
        <v>12</v>
      </c>
      <c r="I625" s="8" t="s">
        <v>120</v>
      </c>
      <c r="J625" s="8" t="s">
        <v>38</v>
      </c>
      <c r="K625">
        <v>92.0625</v>
      </c>
      <c r="L625">
        <v>72.875</v>
      </c>
      <c r="M625" s="14">
        <v>1</v>
      </c>
      <c r="N625" s="14">
        <v>3.1875</v>
      </c>
      <c r="Q625" t="str">
        <f t="shared" si="32"/>
        <v xml:space="preserve">XX8X_PV_1147:    Front abuts stile:TRUE       Back abuts stile:TRUE          Panel Section: WHOLE           Stile in the back Width: 12           Cutout A: B-386          Cutout B:      F.C.:1 in.         C.C.:3.1875 in.   </v>
      </c>
      <c r="R625" t="str">
        <f t="shared" si="31"/>
        <v>TRUE</v>
      </c>
      <c r="S625" t="str">
        <f t="shared" si="33"/>
        <v>TRUE</v>
      </c>
    </row>
    <row r="626" spans="1:19" hidden="1">
      <c r="A626" t="s">
        <v>786</v>
      </c>
      <c r="B626" s="14" t="s">
        <v>144</v>
      </c>
      <c r="C626" s="14" t="s">
        <v>21</v>
      </c>
      <c r="D626" s="14">
        <v>1</v>
      </c>
      <c r="E626" s="14">
        <v>0</v>
      </c>
      <c r="F626" s="14">
        <v>1</v>
      </c>
      <c r="G626" s="14">
        <v>0</v>
      </c>
      <c r="H626" s="14">
        <v>24</v>
      </c>
      <c r="I626" s="8" t="s">
        <v>120</v>
      </c>
      <c r="J626" s="8" t="s">
        <v>38</v>
      </c>
      <c r="K626">
        <v>85.0625</v>
      </c>
      <c r="L626">
        <v>74.25</v>
      </c>
      <c r="M626" s="14">
        <v>1.625</v>
      </c>
      <c r="N626" s="14">
        <v>3.625</v>
      </c>
      <c r="Q626" t="str">
        <f t="shared" si="32"/>
        <v xml:space="preserve">XX8X_PV_1148:    Front abuts stile:TRUE       Back abuts stile:TRUE          Panel Section: WHOLE           Stile in the back Width: 24           Cutout A: B-386          Cutout B:      F.C.:1.625 in.         C.C.:3.625 in.   </v>
      </c>
      <c r="R626" t="str">
        <f t="shared" si="31"/>
        <v>TRUE</v>
      </c>
      <c r="S626" t="str">
        <f t="shared" si="33"/>
        <v>TRUE</v>
      </c>
    </row>
    <row r="627" spans="1:19" hidden="1">
      <c r="A627" t="s">
        <v>787</v>
      </c>
      <c r="B627" s="14" t="s">
        <v>144</v>
      </c>
      <c r="C627" s="14" t="s">
        <v>21</v>
      </c>
      <c r="D627" s="14">
        <v>1</v>
      </c>
      <c r="E627" s="14">
        <v>0</v>
      </c>
      <c r="F627" s="14">
        <v>1</v>
      </c>
      <c r="G627" s="14">
        <v>0</v>
      </c>
      <c r="H627" s="14"/>
      <c r="I627" s="8" t="s">
        <v>120</v>
      </c>
      <c r="J627" s="8" t="s">
        <v>38</v>
      </c>
      <c r="K627">
        <v>98.4375</v>
      </c>
      <c r="L627">
        <v>18</v>
      </c>
      <c r="M627" s="14">
        <v>1</v>
      </c>
      <c r="N627" s="14">
        <v>5.5</v>
      </c>
      <c r="Q627" t="str">
        <f t="shared" si="32"/>
        <v xml:space="preserve">XX8X_PV_1149:    Front abuts stile:TRUE       Back abuts stile:TRUE          Panel Section: WHOLE           Stile in the back Width:            Cutout A: B-386          Cutout B:      F.C.:1 in.         C.C.:5.5 in.   </v>
      </c>
      <c r="R627" t="str">
        <f t="shared" si="31"/>
        <v>TRUE</v>
      </c>
      <c r="S627" t="str">
        <f t="shared" si="33"/>
        <v>TRUE</v>
      </c>
    </row>
    <row r="628" spans="1:19" hidden="1">
      <c r="A628" t="s">
        <v>788</v>
      </c>
      <c r="B628" s="14" t="s">
        <v>144</v>
      </c>
      <c r="C628" s="14" t="s">
        <v>21</v>
      </c>
      <c r="D628" s="14">
        <v>1</v>
      </c>
      <c r="E628" s="14">
        <v>0</v>
      </c>
      <c r="F628" s="14">
        <v>1</v>
      </c>
      <c r="G628" s="14">
        <v>1</v>
      </c>
      <c r="H628" s="14"/>
      <c r="I628" s="8" t="s">
        <v>120</v>
      </c>
      <c r="J628" s="8" t="s">
        <v>38</v>
      </c>
      <c r="K628">
        <v>61</v>
      </c>
      <c r="L628">
        <v>7.75</v>
      </c>
      <c r="M628" s="14">
        <v>10.6875</v>
      </c>
      <c r="N628" s="14">
        <v>5.625</v>
      </c>
      <c r="Q628" t="str">
        <f t="shared" si="32"/>
        <v xml:space="preserve">XX8X_PV_1150:    Front abuts stile:TRUE       Back abuts stile:TRUE          Panel Section: WHOLE           Stile in the back Width:            Cutout A: B-386          Cutout B:      F.C.:10.6875 in.         C.C.:5.625 in.   </v>
      </c>
      <c r="R628" t="str">
        <f t="shared" si="31"/>
        <v>TRUE</v>
      </c>
      <c r="S628" t="str">
        <f t="shared" si="33"/>
        <v>TRUE</v>
      </c>
    </row>
    <row r="629" spans="1:19" hidden="1">
      <c r="A629" t="s">
        <v>789</v>
      </c>
      <c r="B629" s="14" t="s">
        <v>144</v>
      </c>
      <c r="C629" s="14" t="s">
        <v>21</v>
      </c>
      <c r="D629" s="14">
        <v>1</v>
      </c>
      <c r="E629" s="14">
        <v>1</v>
      </c>
      <c r="F629" s="14">
        <v>0</v>
      </c>
      <c r="G629" s="14"/>
      <c r="H629" s="14"/>
      <c r="I629" s="8" t="s">
        <v>120</v>
      </c>
      <c r="J629" s="8" t="s">
        <v>38</v>
      </c>
      <c r="K629">
        <v>96</v>
      </c>
      <c r="L629">
        <v>71.75</v>
      </c>
      <c r="M629" s="14">
        <v>1</v>
      </c>
      <c r="N629" s="14">
        <v>1</v>
      </c>
      <c r="Q629" t="str">
        <f t="shared" si="32"/>
        <v xml:space="preserve">XX8X_PV_1151:    Front abuts stile:TRUE       Back abuts stile:FALSE          Panel Section: WHOLE           Stile in the back Width:            Cutout A: B-386          Cutout B:      F.C.:1 in.         C.C.:1 in.   </v>
      </c>
      <c r="R629" t="str">
        <f t="shared" si="31"/>
        <v>TRUE</v>
      </c>
      <c r="S629" t="str">
        <f t="shared" si="33"/>
        <v>FALSE</v>
      </c>
    </row>
    <row r="630" spans="1:19" hidden="1">
      <c r="A630" t="s">
        <v>790</v>
      </c>
      <c r="B630" s="14" t="s">
        <v>144</v>
      </c>
      <c r="C630" s="14" t="s">
        <v>21</v>
      </c>
      <c r="D630" s="14">
        <v>1</v>
      </c>
      <c r="E630" s="14">
        <v>1</v>
      </c>
      <c r="F630" s="14">
        <v>1</v>
      </c>
      <c r="G630" s="14">
        <v>0</v>
      </c>
      <c r="H630" s="14">
        <v>12</v>
      </c>
      <c r="I630" s="8" t="s">
        <v>38</v>
      </c>
      <c r="J630" s="8" t="s">
        <v>38</v>
      </c>
      <c r="K630">
        <v>96</v>
      </c>
      <c r="L630">
        <v>51.1875</v>
      </c>
      <c r="M630" s="14">
        <v>9</v>
      </c>
      <c r="N630" s="14">
        <v>5</v>
      </c>
      <c r="Q630" t="str">
        <f t="shared" si="32"/>
        <v xml:space="preserve">XX8X_PV_1152:    Front abuts stile:TRUE       Back abuts stile:TRUE          Panel Section: WHOLE           Stile in the back Width: 12           Cutout A:           Cutout B:      F.C.:9 in.         C.C.:5 in.   </v>
      </c>
      <c r="R630" t="str">
        <f t="shared" si="31"/>
        <v>TRUE</v>
      </c>
      <c r="S630" t="str">
        <f t="shared" si="33"/>
        <v>TRUE</v>
      </c>
    </row>
    <row r="631" spans="1:19" hidden="1">
      <c r="A631" t="s">
        <v>791</v>
      </c>
      <c r="B631" s="14" t="s">
        <v>144</v>
      </c>
      <c r="C631" s="14" t="s">
        <v>21</v>
      </c>
      <c r="D631" s="14">
        <v>1</v>
      </c>
      <c r="E631" s="14">
        <v>1</v>
      </c>
      <c r="F631" s="14">
        <v>1</v>
      </c>
      <c r="G631" s="14">
        <v>0</v>
      </c>
      <c r="H631" s="14">
        <v>24</v>
      </c>
      <c r="I631" s="8" t="s">
        <v>38</v>
      </c>
      <c r="J631" s="8" t="s">
        <v>38</v>
      </c>
      <c r="K631">
        <v>60.5</v>
      </c>
      <c r="L631">
        <v>69.25</v>
      </c>
      <c r="M631" s="14">
        <v>4.5</v>
      </c>
      <c r="N631" s="14">
        <v>3.875</v>
      </c>
      <c r="Q631" t="str">
        <f t="shared" si="32"/>
        <v xml:space="preserve">XX8X_PV_1153:    Front abuts stile:TRUE       Back abuts stile:TRUE          Panel Section: WHOLE           Stile in the back Width: 24           Cutout A:           Cutout B:      F.C.:4.5 in.         C.C.:3.875 in.   </v>
      </c>
      <c r="R631" t="str">
        <f t="shared" si="31"/>
        <v>TRUE</v>
      </c>
      <c r="S631" t="str">
        <f t="shared" si="33"/>
        <v>TRUE</v>
      </c>
    </row>
    <row r="632" spans="1:19" hidden="1">
      <c r="A632" t="s">
        <v>792</v>
      </c>
      <c r="B632" s="14" t="s">
        <v>144</v>
      </c>
      <c r="C632" s="14" t="s">
        <v>21</v>
      </c>
      <c r="D632" s="14">
        <v>1</v>
      </c>
      <c r="E632" s="14">
        <v>1</v>
      </c>
      <c r="F632" s="14">
        <v>1</v>
      </c>
      <c r="G632" s="14">
        <v>0</v>
      </c>
      <c r="H632" s="14"/>
      <c r="I632" s="8" t="s">
        <v>120</v>
      </c>
      <c r="J632" s="8" t="s">
        <v>38</v>
      </c>
      <c r="K632">
        <v>108.8125</v>
      </c>
      <c r="L632">
        <v>57</v>
      </c>
      <c r="M632" s="14">
        <v>9.5625</v>
      </c>
      <c r="N632" s="14">
        <v>6.0625</v>
      </c>
      <c r="Q632" t="str">
        <f t="shared" si="32"/>
        <v xml:space="preserve">XX8X_PV_1154:    Front abuts stile:TRUE       Back abuts stile:TRUE          Panel Section: WHOLE           Stile in the back Width:            Cutout A: B-386          Cutout B:      F.C.:9.5625 in.         C.C.:6.0625 in.   </v>
      </c>
      <c r="R632" t="str">
        <f t="shared" si="31"/>
        <v>TRUE</v>
      </c>
      <c r="S632" t="str">
        <f t="shared" si="33"/>
        <v>TRUE</v>
      </c>
    </row>
    <row r="633" spans="1:19" hidden="1">
      <c r="A633" t="s">
        <v>793</v>
      </c>
      <c r="B633" s="14" t="s">
        <v>144</v>
      </c>
      <c r="C633" s="14" t="s">
        <v>21</v>
      </c>
      <c r="D633" s="14">
        <v>1</v>
      </c>
      <c r="E633" s="14">
        <v>1</v>
      </c>
      <c r="F633" s="14">
        <v>1</v>
      </c>
      <c r="G633" s="14">
        <v>1</v>
      </c>
      <c r="H633" s="14"/>
      <c r="I633" s="8" t="s">
        <v>35</v>
      </c>
      <c r="J633" s="8" t="s">
        <v>38</v>
      </c>
      <c r="K633">
        <v>96</v>
      </c>
      <c r="L633">
        <v>47.6875</v>
      </c>
      <c r="M633" s="14">
        <v>1</v>
      </c>
      <c r="N633" s="14">
        <v>5.6875</v>
      </c>
      <c r="Q633" t="str">
        <f t="shared" si="32"/>
        <v xml:space="preserve">XX8X_PV_1155:    Front abuts stile:TRUE       Back abuts stile:TRUE          Panel Section: WHOLE           Stile in the back Width:            Cutout A: B-357          Cutout B:      F.C.:1 in.         C.C.:5.6875 in.   </v>
      </c>
      <c r="R633" t="str">
        <f t="shared" si="31"/>
        <v>TRUE</v>
      </c>
      <c r="S633" t="str">
        <f t="shared" si="33"/>
        <v>TRUE</v>
      </c>
    </row>
    <row r="634" spans="1:19" hidden="1">
      <c r="A634" t="s">
        <v>794</v>
      </c>
      <c r="B634" s="14" t="s">
        <v>144</v>
      </c>
      <c r="C634" s="14" t="s">
        <v>156</v>
      </c>
      <c r="D634" s="19">
        <v>0</v>
      </c>
      <c r="E634" s="19"/>
      <c r="F634" s="19">
        <v>0</v>
      </c>
      <c r="G634" s="19"/>
      <c r="H634" s="14"/>
      <c r="I634" s="8" t="s">
        <v>120</v>
      </c>
      <c r="J634" s="8" t="s">
        <v>121</v>
      </c>
      <c r="K634">
        <v>9.375</v>
      </c>
      <c r="L634">
        <v>19.8125</v>
      </c>
      <c r="M634" s="14">
        <v>7.25</v>
      </c>
      <c r="N634" s="14">
        <v>3.0625</v>
      </c>
      <c r="Q634" t="str">
        <f t="shared" si="32"/>
        <v xml:space="preserve">XX8X_PV_1171:    Front abuts stile:FALSE       Back abuts stile:FALSE          Panel Section: TOP           Stile in the back Width:            Cutout A: B-386          Cutout B:B-4354      F.C.:7.25 in.         C.C.:3.0625 in.   </v>
      </c>
      <c r="R634" t="str">
        <f t="shared" si="31"/>
        <v>FALSE</v>
      </c>
      <c r="S634" t="str">
        <f t="shared" si="33"/>
        <v>FALSE</v>
      </c>
    </row>
    <row r="635" spans="1:19" hidden="1">
      <c r="A635" t="s">
        <v>795</v>
      </c>
      <c r="B635" s="14" t="s">
        <v>144</v>
      </c>
      <c r="C635" s="14" t="s">
        <v>156</v>
      </c>
      <c r="D635" s="14">
        <v>0</v>
      </c>
      <c r="E635" s="14"/>
      <c r="F635" s="14">
        <v>1</v>
      </c>
      <c r="G635" s="14">
        <v>0</v>
      </c>
      <c r="H635" s="14">
        <v>12</v>
      </c>
      <c r="I635" s="8" t="s">
        <v>38</v>
      </c>
      <c r="J635" s="8" t="s">
        <v>38</v>
      </c>
      <c r="K635">
        <v>17.875</v>
      </c>
      <c r="L635">
        <v>49.8125</v>
      </c>
      <c r="M635" s="14">
        <v>9.75</v>
      </c>
      <c r="N635" s="14">
        <v>6.875</v>
      </c>
      <c r="Q635" t="str">
        <f t="shared" si="32"/>
        <v xml:space="preserve">XX8X_PV_1172:    Front abuts stile:FALSE       Back abuts stile:TRUE          Panel Section: TOP           Stile in the back Width: 12           Cutout A:           Cutout B:      F.C.:9.75 in.         C.C.:6.875 in.   </v>
      </c>
      <c r="R635" t="str">
        <f t="shared" si="31"/>
        <v>FALSE</v>
      </c>
      <c r="S635" t="str">
        <f t="shared" si="33"/>
        <v>TRUE</v>
      </c>
    </row>
    <row r="636" spans="1:19" hidden="1">
      <c r="A636" t="s">
        <v>796</v>
      </c>
      <c r="B636" s="14" t="s">
        <v>144</v>
      </c>
      <c r="C636" s="14" t="s">
        <v>156</v>
      </c>
      <c r="D636" s="14">
        <v>0</v>
      </c>
      <c r="E636" s="14"/>
      <c r="F636" s="14">
        <v>1</v>
      </c>
      <c r="G636" s="14">
        <v>0</v>
      </c>
      <c r="H636" s="14">
        <v>24</v>
      </c>
      <c r="I636" s="8" t="s">
        <v>120</v>
      </c>
      <c r="J636" s="8" t="s">
        <v>38</v>
      </c>
      <c r="K636">
        <v>44.6875</v>
      </c>
      <c r="L636">
        <v>58.3125</v>
      </c>
      <c r="M636" s="14">
        <v>12</v>
      </c>
      <c r="N636" s="14">
        <v>1.5625</v>
      </c>
      <c r="Q636" t="str">
        <f t="shared" si="32"/>
        <v xml:space="preserve">XX8X_PV_1173:    Front abuts stile:FALSE       Back abuts stile:TRUE          Panel Section: TOP           Stile in the back Width: 24           Cutout A: B-386          Cutout B:      F.C.:12 in.         C.C.:1.5625 in.   </v>
      </c>
      <c r="R636" t="str">
        <f t="shared" si="31"/>
        <v>FALSE</v>
      </c>
      <c r="S636" t="str">
        <f t="shared" si="33"/>
        <v>TRUE</v>
      </c>
    </row>
    <row r="637" spans="1:19" hidden="1">
      <c r="A637" t="s">
        <v>797</v>
      </c>
      <c r="B637" s="14" t="s">
        <v>144</v>
      </c>
      <c r="C637" s="14" t="s">
        <v>156</v>
      </c>
      <c r="D637" s="14">
        <v>0</v>
      </c>
      <c r="E637" s="14"/>
      <c r="F637" s="14">
        <v>1</v>
      </c>
      <c r="G637" s="14">
        <v>0</v>
      </c>
      <c r="H637" s="14"/>
      <c r="I637" s="8" t="s">
        <v>151</v>
      </c>
      <c r="J637" s="8" t="s">
        <v>38</v>
      </c>
      <c r="K637">
        <v>22.125</v>
      </c>
      <c r="L637">
        <v>20.9375</v>
      </c>
      <c r="M637" s="14">
        <v>1</v>
      </c>
      <c r="N637" s="14">
        <v>1.9375</v>
      </c>
      <c r="Q637" t="str">
        <f t="shared" si="32"/>
        <v xml:space="preserve">XX8X_PV_1174:    Front abuts stile:FALSE       Back abuts stile:TRUE          Panel Section: TOP           Stile in the back Width:            Cutout A: B-35715          Cutout B:      F.C.:1 in.         C.C.:1.9375 in.   </v>
      </c>
      <c r="R637" t="str">
        <f t="shared" si="31"/>
        <v>FALSE</v>
      </c>
      <c r="S637" t="str">
        <f t="shared" si="33"/>
        <v>TRUE</v>
      </c>
    </row>
    <row r="638" spans="1:19" hidden="1">
      <c r="A638" t="s">
        <v>798</v>
      </c>
      <c r="B638" s="14" t="s">
        <v>144</v>
      </c>
      <c r="C638" s="14" t="s">
        <v>156</v>
      </c>
      <c r="D638" s="14">
        <v>0</v>
      </c>
      <c r="E638" s="14"/>
      <c r="F638" s="14">
        <v>1</v>
      </c>
      <c r="G638" s="14">
        <v>1</v>
      </c>
      <c r="H638" s="14"/>
      <c r="I638" s="8" t="s">
        <v>38</v>
      </c>
      <c r="J638" s="8" t="s">
        <v>38</v>
      </c>
      <c r="K638">
        <v>14.625</v>
      </c>
      <c r="L638">
        <v>58.5</v>
      </c>
      <c r="M638" s="14">
        <v>1</v>
      </c>
      <c r="N638" s="14">
        <v>5.6875</v>
      </c>
      <c r="Q638" t="str">
        <f t="shared" si="32"/>
        <v xml:space="preserve">XX8X_PV_1175:    Front abuts stile:FALSE       Back abuts stile:TRUE          Panel Section: TOP           Stile in the back Width:            Cutout A:           Cutout B:      F.C.:1 in.         C.C.:5.6875 in.   </v>
      </c>
      <c r="R638" t="str">
        <f t="shared" si="31"/>
        <v>FALSE</v>
      </c>
      <c r="S638" t="str">
        <f t="shared" si="33"/>
        <v>TRUE</v>
      </c>
    </row>
    <row r="639" spans="1:19" hidden="1">
      <c r="A639" t="s">
        <v>799</v>
      </c>
      <c r="B639" s="14" t="s">
        <v>144</v>
      </c>
      <c r="C639" s="14" t="s">
        <v>156</v>
      </c>
      <c r="D639" s="14">
        <v>1</v>
      </c>
      <c r="E639" s="14">
        <v>0</v>
      </c>
      <c r="F639" s="14">
        <v>0</v>
      </c>
      <c r="G639" s="14"/>
      <c r="H639" s="14"/>
      <c r="I639" s="8" t="s">
        <v>121</v>
      </c>
      <c r="J639" s="8" t="s">
        <v>38</v>
      </c>
      <c r="K639">
        <v>39.3125</v>
      </c>
      <c r="L639">
        <v>35.0625</v>
      </c>
      <c r="M639" s="14">
        <v>9</v>
      </c>
      <c r="N639" s="14">
        <v>3.9375</v>
      </c>
      <c r="Q639" t="str">
        <f t="shared" si="32"/>
        <v xml:space="preserve">XX8X_PV_1176:    Front abuts stile:TRUE       Back abuts stile:FALSE          Panel Section: TOP           Stile in the back Width:            Cutout A: B-4354          Cutout B:      F.C.:9 in.         C.C.:3.9375 in.   </v>
      </c>
      <c r="R639" t="str">
        <f t="shared" si="31"/>
        <v>TRUE</v>
      </c>
      <c r="S639" t="str">
        <f t="shared" si="33"/>
        <v>FALSE</v>
      </c>
    </row>
    <row r="640" spans="1:19" hidden="1">
      <c r="A640" t="s">
        <v>800</v>
      </c>
      <c r="B640" s="14" t="s">
        <v>144</v>
      </c>
      <c r="C640" s="14" t="s">
        <v>156</v>
      </c>
      <c r="D640" s="14">
        <v>1</v>
      </c>
      <c r="E640" s="14">
        <v>0</v>
      </c>
      <c r="F640" s="14">
        <v>1</v>
      </c>
      <c r="G640" s="14">
        <v>0</v>
      </c>
      <c r="H640" s="14">
        <v>12</v>
      </c>
      <c r="I640" s="8" t="s">
        <v>150</v>
      </c>
      <c r="J640" s="8" t="s">
        <v>38</v>
      </c>
      <c r="K640">
        <v>26.9375</v>
      </c>
      <c r="L640">
        <v>9.9375</v>
      </c>
      <c r="M640" s="14">
        <v>12</v>
      </c>
      <c r="N640" s="14">
        <v>3.8125</v>
      </c>
      <c r="Q640" t="str">
        <f t="shared" si="32"/>
        <v xml:space="preserve">XX8X_PV_1177:    Front abuts stile:TRUE       Back abuts stile:TRUE          Panel Section: TOP           Stile in the back Width: 12           Cutout A: B-3571          Cutout B:      F.C.:12 in.         C.C.:3.8125 in.   </v>
      </c>
      <c r="R640" t="str">
        <f t="shared" si="31"/>
        <v>TRUE</v>
      </c>
      <c r="S640" t="str">
        <f t="shared" si="33"/>
        <v>TRUE</v>
      </c>
    </row>
    <row r="641" spans="1:19" hidden="1">
      <c r="A641" t="s">
        <v>801</v>
      </c>
      <c r="B641" s="14" t="s">
        <v>144</v>
      </c>
      <c r="C641" s="14" t="s">
        <v>156</v>
      </c>
      <c r="D641" s="14">
        <v>1</v>
      </c>
      <c r="E641" s="14">
        <v>0</v>
      </c>
      <c r="F641" s="14">
        <v>1</v>
      </c>
      <c r="G641" s="14">
        <v>0</v>
      </c>
      <c r="H641" s="14">
        <v>24</v>
      </c>
      <c r="I641" s="8" t="s">
        <v>120</v>
      </c>
      <c r="J641" s="8" t="s">
        <v>38</v>
      </c>
      <c r="K641">
        <v>46</v>
      </c>
      <c r="L641">
        <v>58.375</v>
      </c>
      <c r="M641" s="14">
        <v>4.375</v>
      </c>
      <c r="N641" s="14">
        <v>3.0625</v>
      </c>
      <c r="Q641" t="str">
        <f t="shared" si="32"/>
        <v xml:space="preserve">XX8X_PV_1178:    Front abuts stile:TRUE       Back abuts stile:TRUE          Panel Section: TOP           Stile in the back Width: 24           Cutout A: B-386          Cutout B:      F.C.:4.375 in.         C.C.:3.0625 in.   </v>
      </c>
      <c r="R641" t="str">
        <f t="shared" si="31"/>
        <v>TRUE</v>
      </c>
      <c r="S641" t="str">
        <f t="shared" si="33"/>
        <v>TRUE</v>
      </c>
    </row>
    <row r="642" spans="1:19" hidden="1">
      <c r="A642" t="s">
        <v>802</v>
      </c>
      <c r="B642" s="14" t="s">
        <v>144</v>
      </c>
      <c r="C642" s="14" t="s">
        <v>156</v>
      </c>
      <c r="D642" s="14">
        <v>1</v>
      </c>
      <c r="E642" s="14">
        <v>0</v>
      </c>
      <c r="F642" s="14">
        <v>1</v>
      </c>
      <c r="G642" s="14">
        <v>0</v>
      </c>
      <c r="H642" s="14"/>
      <c r="I642" s="8" t="s">
        <v>38</v>
      </c>
      <c r="J642" s="8" t="s">
        <v>38</v>
      </c>
      <c r="K642">
        <v>15.625</v>
      </c>
      <c r="L642">
        <v>17.375</v>
      </c>
      <c r="M642" s="14">
        <v>4.5</v>
      </c>
      <c r="N642" s="14">
        <v>1</v>
      </c>
      <c r="Q642" t="str">
        <f t="shared" si="32"/>
        <v xml:space="preserve">XX8X_PV_1179:    Front abuts stile:TRUE       Back abuts stile:TRUE          Panel Section: TOP           Stile in the back Width:            Cutout A:           Cutout B:      F.C.:4.5 in.         C.C.:1 in.   </v>
      </c>
      <c r="R642" t="str">
        <f t="shared" si="31"/>
        <v>TRUE</v>
      </c>
      <c r="S642" t="str">
        <f t="shared" si="33"/>
        <v>TRUE</v>
      </c>
    </row>
    <row r="643" spans="1:19" hidden="1">
      <c r="A643" t="s">
        <v>803</v>
      </c>
      <c r="B643" s="14" t="s">
        <v>144</v>
      </c>
      <c r="C643" s="14" t="s">
        <v>156</v>
      </c>
      <c r="D643" s="14">
        <v>1</v>
      </c>
      <c r="E643" s="14">
        <v>0</v>
      </c>
      <c r="F643" s="14">
        <v>1</v>
      </c>
      <c r="G643" s="14">
        <v>1</v>
      </c>
      <c r="H643" s="14"/>
      <c r="I643" s="8" t="s">
        <v>38</v>
      </c>
      <c r="J643" s="8" t="s">
        <v>38</v>
      </c>
      <c r="K643">
        <v>29.375</v>
      </c>
      <c r="L643">
        <v>76.4375</v>
      </c>
      <c r="M643" s="14">
        <v>3.0625</v>
      </c>
      <c r="N643" s="14">
        <v>4.625</v>
      </c>
      <c r="Q643" t="str">
        <f t="shared" si="32"/>
        <v xml:space="preserve">XX8X_PV_1180:    Front abuts stile:TRUE       Back abuts stile:TRUE          Panel Section: TOP           Stile in the back Width:            Cutout A:           Cutout B:      F.C.:3.0625 in.         C.C.:4.625 in.   </v>
      </c>
      <c r="R643" t="str">
        <f t="shared" si="31"/>
        <v>TRUE</v>
      </c>
      <c r="S643" t="str">
        <f t="shared" si="33"/>
        <v>TRUE</v>
      </c>
    </row>
    <row r="644" spans="1:19" hidden="1">
      <c r="A644" t="s">
        <v>804</v>
      </c>
      <c r="B644" s="14" t="s">
        <v>144</v>
      </c>
      <c r="C644" s="14" t="s">
        <v>156</v>
      </c>
      <c r="D644" s="14">
        <v>1</v>
      </c>
      <c r="E644" s="14">
        <v>1</v>
      </c>
      <c r="F644" s="14">
        <v>0</v>
      </c>
      <c r="G644" s="14"/>
      <c r="H644" s="14"/>
      <c r="I644" s="8" t="s">
        <v>38</v>
      </c>
      <c r="J644" s="8" t="s">
        <v>38</v>
      </c>
      <c r="K644">
        <v>47.625</v>
      </c>
      <c r="L644">
        <v>26.9375</v>
      </c>
      <c r="M644" s="14">
        <v>4.8125</v>
      </c>
      <c r="N644" s="14">
        <v>1</v>
      </c>
      <c r="Q644" t="str">
        <f t="shared" si="32"/>
        <v xml:space="preserve">XX8X_PV_1181:    Front abuts stile:TRUE       Back abuts stile:FALSE          Panel Section: TOP           Stile in the back Width:            Cutout A:           Cutout B:      F.C.:4.8125 in.         C.C.:1 in.   </v>
      </c>
      <c r="R644" t="str">
        <f t="shared" ref="R644:R658" si="34">IF(D644=1, "TRUE", "FALSE")</f>
        <v>TRUE</v>
      </c>
      <c r="S644" t="str">
        <f t="shared" si="33"/>
        <v>FALSE</v>
      </c>
    </row>
    <row r="645" spans="1:19" hidden="1">
      <c r="A645" t="s">
        <v>805</v>
      </c>
      <c r="B645" s="14" t="s">
        <v>144</v>
      </c>
      <c r="C645" s="14" t="s">
        <v>156</v>
      </c>
      <c r="D645" s="14">
        <v>1</v>
      </c>
      <c r="E645" s="14">
        <v>1</v>
      </c>
      <c r="F645" s="14">
        <v>1</v>
      </c>
      <c r="G645" s="14">
        <v>0</v>
      </c>
      <c r="H645" s="14">
        <v>12</v>
      </c>
      <c r="I645" s="8" t="s">
        <v>38</v>
      </c>
      <c r="J645" s="8" t="s">
        <v>38</v>
      </c>
      <c r="K645">
        <v>23.3125</v>
      </c>
      <c r="L645">
        <v>54.1875</v>
      </c>
      <c r="M645" s="14">
        <v>12</v>
      </c>
      <c r="N645" s="14">
        <v>4.25</v>
      </c>
      <c r="Q645" t="str">
        <f t="shared" si="32"/>
        <v xml:space="preserve">XX8X_PV_1182:    Front abuts stile:TRUE       Back abuts stile:TRUE          Panel Section: TOP           Stile in the back Width: 12           Cutout A:           Cutout B:      F.C.:12 in.         C.C.:4.25 in.   </v>
      </c>
      <c r="R645" t="str">
        <f t="shared" si="34"/>
        <v>TRUE</v>
      </c>
      <c r="S645" t="str">
        <f t="shared" si="33"/>
        <v>TRUE</v>
      </c>
    </row>
    <row r="646" spans="1:19" hidden="1">
      <c r="A646" t="s">
        <v>806</v>
      </c>
      <c r="B646" s="14" t="s">
        <v>144</v>
      </c>
      <c r="C646" s="14" t="s">
        <v>156</v>
      </c>
      <c r="D646" s="14">
        <v>1</v>
      </c>
      <c r="E646" s="14">
        <v>1</v>
      </c>
      <c r="F646" s="14">
        <v>1</v>
      </c>
      <c r="G646" s="14">
        <v>0</v>
      </c>
      <c r="H646" s="14">
        <v>24</v>
      </c>
      <c r="I646" s="8" t="s">
        <v>120</v>
      </c>
      <c r="J646" s="8" t="s">
        <v>38</v>
      </c>
      <c r="K646">
        <v>12.875</v>
      </c>
      <c r="L646">
        <v>76.5625</v>
      </c>
      <c r="M646" s="14">
        <v>3.1875</v>
      </c>
      <c r="N646" s="14">
        <v>1</v>
      </c>
      <c r="Q646" t="str">
        <f t="shared" si="32"/>
        <v xml:space="preserve">XX8X_PV_1183:    Front abuts stile:TRUE       Back abuts stile:TRUE          Panel Section: TOP           Stile in the back Width: 24           Cutout A: B-386          Cutout B:      F.C.:3.1875 in.         C.C.:1 in.   </v>
      </c>
      <c r="R646" t="str">
        <f t="shared" si="34"/>
        <v>TRUE</v>
      </c>
      <c r="S646" t="str">
        <f t="shared" si="33"/>
        <v>TRUE</v>
      </c>
    </row>
    <row r="647" spans="1:19" hidden="1">
      <c r="A647" t="s">
        <v>807</v>
      </c>
      <c r="B647" s="14" t="s">
        <v>144</v>
      </c>
      <c r="C647" s="14" t="s">
        <v>156</v>
      </c>
      <c r="D647" s="14">
        <v>1</v>
      </c>
      <c r="E647" s="14">
        <v>1</v>
      </c>
      <c r="F647" s="14">
        <v>1</v>
      </c>
      <c r="G647" s="14">
        <v>0</v>
      </c>
      <c r="H647" s="14"/>
      <c r="I647" s="8" t="s">
        <v>120</v>
      </c>
      <c r="J647" s="8" t="s">
        <v>38</v>
      </c>
      <c r="K647">
        <v>35.1875</v>
      </c>
      <c r="L647">
        <v>64.375</v>
      </c>
      <c r="M647" s="14">
        <v>9</v>
      </c>
      <c r="N647" s="14">
        <v>6.9375</v>
      </c>
      <c r="Q647" t="str">
        <f t="shared" ref="Q647:Q710" si="35">A647&amp;":    Front abuts stile:"&amp;R647&amp;"       Back abuts stile:"&amp;S647&amp;"          Panel Section: "&amp;C647&amp;"           Stile in the back Width: "&amp;H647&amp;"           Cutout A: "&amp;I647&amp;"          Cutout B:"&amp;J647&amp;"      F.C.:"&amp;M647&amp;" in. "&amp;"        C.C.:"&amp;N647&amp;" in. "&amp;"  "</f>
        <v xml:space="preserve">XX8X_PV_1184:    Front abuts stile:TRUE       Back abuts stile:TRUE          Panel Section: TOP           Stile in the back Width:            Cutout A: B-386          Cutout B:      F.C.:9 in.         C.C.:6.9375 in.   </v>
      </c>
      <c r="R647" t="str">
        <f t="shared" si="34"/>
        <v>TRUE</v>
      </c>
      <c r="S647" t="str">
        <f t="shared" si="33"/>
        <v>TRUE</v>
      </c>
    </row>
    <row r="648" spans="1:19" hidden="1">
      <c r="A648" t="s">
        <v>808</v>
      </c>
      <c r="B648" s="14" t="s">
        <v>144</v>
      </c>
      <c r="C648" s="14" t="s">
        <v>156</v>
      </c>
      <c r="D648" s="14">
        <v>1</v>
      </c>
      <c r="E648" s="14">
        <v>1</v>
      </c>
      <c r="F648" s="14">
        <v>1</v>
      </c>
      <c r="G648" s="14">
        <v>1</v>
      </c>
      <c r="H648" s="14"/>
      <c r="I648" s="8" t="s">
        <v>38</v>
      </c>
      <c r="J648" s="8" t="s">
        <v>38</v>
      </c>
      <c r="K648">
        <v>13.5625</v>
      </c>
      <c r="L648">
        <v>73.75</v>
      </c>
      <c r="M648" s="14">
        <v>1.375</v>
      </c>
      <c r="N648" s="14">
        <v>1</v>
      </c>
      <c r="Q648" t="str">
        <f t="shared" si="35"/>
        <v xml:space="preserve">XX8X_PV_1185:    Front abuts stile:TRUE       Back abuts stile:TRUE          Panel Section: TOP           Stile in the back Width:            Cutout A:           Cutout B:      F.C.:1.375 in.         C.C.:1 in.   </v>
      </c>
      <c r="R648" t="str">
        <f t="shared" si="34"/>
        <v>TRUE</v>
      </c>
      <c r="S648" t="str">
        <f t="shared" si="33"/>
        <v>TRUE</v>
      </c>
    </row>
    <row r="649" spans="1:19" hidden="1">
      <c r="A649" t="s">
        <v>809</v>
      </c>
      <c r="B649" s="14" t="s">
        <v>144</v>
      </c>
      <c r="C649" s="14" t="s">
        <v>157</v>
      </c>
      <c r="D649" s="14">
        <v>0</v>
      </c>
      <c r="E649" s="14"/>
      <c r="F649" s="14">
        <v>0</v>
      </c>
      <c r="G649" s="14"/>
      <c r="H649" s="14"/>
      <c r="I649" s="8" t="s">
        <v>121</v>
      </c>
      <c r="J649" s="8" t="s">
        <v>120</v>
      </c>
      <c r="K649">
        <v>60</v>
      </c>
      <c r="L649">
        <v>65.3125</v>
      </c>
      <c r="M649" s="14">
        <v>3</v>
      </c>
      <c r="N649" s="14">
        <v>1</v>
      </c>
      <c r="Q649" t="str">
        <f t="shared" si="35"/>
        <v xml:space="preserve">XX8X_PV_1201:    Front abuts stile:FALSE       Back abuts stile:FALSE          Panel Section: BOTTOM           Stile in the back Width:            Cutout A: B-4354          Cutout B:B-386      F.C.:3 in.         C.C.:1 in.   </v>
      </c>
      <c r="R649" t="str">
        <f t="shared" si="34"/>
        <v>FALSE</v>
      </c>
      <c r="S649" t="str">
        <f t="shared" si="33"/>
        <v>FALSE</v>
      </c>
    </row>
    <row r="650" spans="1:19" hidden="1">
      <c r="A650" t="s">
        <v>810</v>
      </c>
      <c r="B650" s="14" t="s">
        <v>144</v>
      </c>
      <c r="C650" s="14" t="s">
        <v>157</v>
      </c>
      <c r="D650" s="14">
        <v>0</v>
      </c>
      <c r="E650" s="14"/>
      <c r="F650" s="14">
        <v>1</v>
      </c>
      <c r="G650" s="14">
        <v>0</v>
      </c>
      <c r="H650" s="14">
        <v>12</v>
      </c>
      <c r="I650" s="8" t="s">
        <v>145</v>
      </c>
      <c r="J650" s="8" t="s">
        <v>38</v>
      </c>
      <c r="K650">
        <v>60</v>
      </c>
      <c r="L650">
        <v>75.25</v>
      </c>
      <c r="M650" s="14">
        <v>1</v>
      </c>
      <c r="N650" s="14">
        <v>3</v>
      </c>
      <c r="Q650" t="str">
        <f t="shared" si="35"/>
        <v xml:space="preserve">XX8X_PV_1202:    Front abuts stile:FALSE       Back abuts stile:TRUE          Panel Section: BOTTOM           Stile in the back Width: 12           Cutout A: B-347          Cutout B:      F.C.:1 in.         C.C.:3 in.   </v>
      </c>
      <c r="R650" t="str">
        <f t="shared" si="34"/>
        <v>FALSE</v>
      </c>
      <c r="S650" t="str">
        <f t="shared" si="33"/>
        <v>TRUE</v>
      </c>
    </row>
    <row r="651" spans="1:19" hidden="1">
      <c r="A651" t="s">
        <v>811</v>
      </c>
      <c r="B651" s="14" t="s">
        <v>144</v>
      </c>
      <c r="C651" s="14" t="s">
        <v>157</v>
      </c>
      <c r="D651" s="14">
        <v>0</v>
      </c>
      <c r="E651" s="14"/>
      <c r="F651" s="14">
        <v>1</v>
      </c>
      <c r="G651" s="14">
        <v>0</v>
      </c>
      <c r="H651" s="14">
        <v>24</v>
      </c>
      <c r="I651" s="8" t="s">
        <v>120</v>
      </c>
      <c r="J651" s="8" t="s">
        <v>38</v>
      </c>
      <c r="K651">
        <v>60</v>
      </c>
      <c r="L651">
        <v>48.3125</v>
      </c>
      <c r="M651" s="14">
        <v>7.3125</v>
      </c>
      <c r="N651" s="14">
        <v>1</v>
      </c>
      <c r="Q651" t="str">
        <f t="shared" si="35"/>
        <v xml:space="preserve">XX8X_PV_1203:    Front abuts stile:FALSE       Back abuts stile:TRUE          Panel Section: BOTTOM           Stile in the back Width: 24           Cutout A: B-386          Cutout B:      F.C.:7.3125 in.         C.C.:1 in.   </v>
      </c>
      <c r="R651" t="str">
        <f t="shared" si="34"/>
        <v>FALSE</v>
      </c>
      <c r="S651" t="str">
        <f t="shared" si="33"/>
        <v>TRUE</v>
      </c>
    </row>
    <row r="652" spans="1:19" hidden="1">
      <c r="A652" t="s">
        <v>812</v>
      </c>
      <c r="B652" s="14" t="s">
        <v>144</v>
      </c>
      <c r="C652" s="14" t="s">
        <v>157</v>
      </c>
      <c r="D652" s="14">
        <v>0</v>
      </c>
      <c r="E652" s="14"/>
      <c r="F652" s="14">
        <v>1</v>
      </c>
      <c r="G652" s="14">
        <v>0</v>
      </c>
      <c r="H652" s="14"/>
      <c r="I652" s="8" t="s">
        <v>151</v>
      </c>
      <c r="J652" s="8" t="s">
        <v>38</v>
      </c>
      <c r="K652">
        <v>60</v>
      </c>
      <c r="L652">
        <v>51.25</v>
      </c>
      <c r="M652" s="14">
        <v>1</v>
      </c>
      <c r="N652" s="14">
        <v>2.0625</v>
      </c>
      <c r="Q652" t="str">
        <f t="shared" si="35"/>
        <v xml:space="preserve">XX8X_PV_1204:    Front abuts stile:FALSE       Back abuts stile:TRUE          Panel Section: BOTTOM           Stile in the back Width:            Cutout A: B-35715          Cutout B:      F.C.:1 in.         C.C.:2.0625 in.   </v>
      </c>
      <c r="R652" t="str">
        <f t="shared" si="34"/>
        <v>FALSE</v>
      </c>
      <c r="S652" t="str">
        <f t="shared" si="33"/>
        <v>TRUE</v>
      </c>
    </row>
    <row r="653" spans="1:19" hidden="1">
      <c r="A653" t="s">
        <v>813</v>
      </c>
      <c r="B653" s="14" t="s">
        <v>144</v>
      </c>
      <c r="C653" s="14" t="s">
        <v>157</v>
      </c>
      <c r="D653" s="14">
        <v>0</v>
      </c>
      <c r="E653" s="14"/>
      <c r="F653" s="14">
        <v>1</v>
      </c>
      <c r="G653" s="14">
        <v>1</v>
      </c>
      <c r="H653" s="14"/>
      <c r="I653" s="8" t="s">
        <v>149</v>
      </c>
      <c r="J653" s="8" t="s">
        <v>38</v>
      </c>
      <c r="K653">
        <v>60</v>
      </c>
      <c r="L653">
        <v>49.25</v>
      </c>
      <c r="M653" s="14">
        <v>9</v>
      </c>
      <c r="N653" s="14">
        <v>6.125</v>
      </c>
      <c r="Q653" t="str">
        <f t="shared" si="35"/>
        <v xml:space="preserve">XX8X_PV_1205:    Front abuts stile:FALSE       Back abuts stile:TRUE          Panel Section: BOTTOM           Stile in the back Width:            Cutout A: B-34715          Cutout B:      F.C.:9 in.         C.C.:6.125 in.   </v>
      </c>
      <c r="R653" t="str">
        <f t="shared" si="34"/>
        <v>FALSE</v>
      </c>
      <c r="S653" t="str">
        <f t="shared" si="33"/>
        <v>TRUE</v>
      </c>
    </row>
    <row r="654" spans="1:19" hidden="1">
      <c r="A654" t="s">
        <v>814</v>
      </c>
      <c r="B654" s="14" t="s">
        <v>144</v>
      </c>
      <c r="C654" s="14" t="s">
        <v>157</v>
      </c>
      <c r="D654" s="14">
        <v>1</v>
      </c>
      <c r="E654" s="14">
        <v>0</v>
      </c>
      <c r="F654" s="14">
        <v>0</v>
      </c>
      <c r="G654" s="14"/>
      <c r="H654" s="14"/>
      <c r="I654" s="8" t="s">
        <v>38</v>
      </c>
      <c r="J654" s="8" t="s">
        <v>38</v>
      </c>
      <c r="K654">
        <v>60</v>
      </c>
      <c r="L654">
        <v>68.625</v>
      </c>
      <c r="M654" s="14">
        <v>12</v>
      </c>
      <c r="N654" s="14">
        <v>5.5</v>
      </c>
      <c r="Q654" t="str">
        <f t="shared" si="35"/>
        <v xml:space="preserve">XX8X_PV_1206:    Front abuts stile:TRUE       Back abuts stile:FALSE          Panel Section: BOTTOM           Stile in the back Width:            Cutout A:           Cutout B:      F.C.:12 in.         C.C.:5.5 in.   </v>
      </c>
      <c r="R654" t="str">
        <f t="shared" si="34"/>
        <v>TRUE</v>
      </c>
      <c r="S654" t="str">
        <f t="shared" si="33"/>
        <v>FALSE</v>
      </c>
    </row>
    <row r="655" spans="1:19" hidden="1">
      <c r="A655" t="s">
        <v>815</v>
      </c>
      <c r="B655" s="14" t="s">
        <v>144</v>
      </c>
      <c r="C655" s="14" t="s">
        <v>157</v>
      </c>
      <c r="D655" s="14">
        <v>1</v>
      </c>
      <c r="E655" s="14">
        <v>0</v>
      </c>
      <c r="F655" s="14">
        <v>1</v>
      </c>
      <c r="G655" s="14">
        <v>0</v>
      </c>
      <c r="H655" s="14">
        <v>12</v>
      </c>
      <c r="I655" s="8" t="s">
        <v>145</v>
      </c>
      <c r="J655" s="8" t="s">
        <v>38</v>
      </c>
      <c r="K655">
        <v>60</v>
      </c>
      <c r="L655">
        <v>27.375</v>
      </c>
      <c r="M655" s="14">
        <v>4.5</v>
      </c>
      <c r="N655" s="14">
        <v>4.25</v>
      </c>
      <c r="Q655" t="str">
        <f t="shared" si="35"/>
        <v xml:space="preserve">XX8X_PV_1207:    Front abuts stile:TRUE       Back abuts stile:TRUE          Panel Section: BOTTOM           Stile in the back Width: 12           Cutout A: B-347          Cutout B:      F.C.:4.5 in.         C.C.:4.25 in.   </v>
      </c>
      <c r="R655" t="str">
        <f t="shared" si="34"/>
        <v>TRUE</v>
      </c>
      <c r="S655" t="str">
        <f t="shared" si="33"/>
        <v>TRUE</v>
      </c>
    </row>
    <row r="656" spans="1:19" hidden="1">
      <c r="A656" t="s">
        <v>816</v>
      </c>
      <c r="B656" s="14" t="s">
        <v>144</v>
      </c>
      <c r="C656" s="14" t="s">
        <v>157</v>
      </c>
      <c r="D656" s="14">
        <v>1</v>
      </c>
      <c r="E656" s="14">
        <v>0</v>
      </c>
      <c r="F656" s="14">
        <v>1</v>
      </c>
      <c r="G656" s="14">
        <v>0</v>
      </c>
      <c r="H656" s="14">
        <v>24</v>
      </c>
      <c r="I656" s="8" t="s">
        <v>120</v>
      </c>
      <c r="J656" s="8" t="s">
        <v>38</v>
      </c>
      <c r="K656">
        <v>60</v>
      </c>
      <c r="L656">
        <v>55.5625</v>
      </c>
      <c r="M656" s="14">
        <v>4.5</v>
      </c>
      <c r="N656" s="14">
        <v>1.75</v>
      </c>
      <c r="Q656" t="str">
        <f t="shared" si="35"/>
        <v xml:space="preserve">XX8X_PV_1208:    Front abuts stile:TRUE       Back abuts stile:TRUE          Panel Section: BOTTOM           Stile in the back Width: 24           Cutout A: B-386          Cutout B:      F.C.:4.5 in.         C.C.:1.75 in.   </v>
      </c>
      <c r="R656" t="str">
        <f t="shared" si="34"/>
        <v>TRUE</v>
      </c>
      <c r="S656" t="str">
        <f t="shared" si="33"/>
        <v>TRUE</v>
      </c>
    </row>
    <row r="657" spans="1:19" hidden="1">
      <c r="A657" t="s">
        <v>817</v>
      </c>
      <c r="B657" s="14" t="s">
        <v>144</v>
      </c>
      <c r="C657" s="14" t="s">
        <v>157</v>
      </c>
      <c r="D657" s="14">
        <v>1</v>
      </c>
      <c r="E657" s="14">
        <v>0</v>
      </c>
      <c r="F657" s="14">
        <v>1</v>
      </c>
      <c r="G657" s="14">
        <v>0</v>
      </c>
      <c r="H657" s="14"/>
      <c r="I657" s="8" t="s">
        <v>151</v>
      </c>
      <c r="J657" s="8" t="s">
        <v>38</v>
      </c>
      <c r="K657">
        <v>60</v>
      </c>
      <c r="L657">
        <v>46.1875</v>
      </c>
      <c r="M657" s="14">
        <v>4.5</v>
      </c>
      <c r="N657" s="14">
        <v>1</v>
      </c>
      <c r="Q657" t="str">
        <f t="shared" si="35"/>
        <v xml:space="preserve">XX8X_PV_1209:    Front abuts stile:TRUE       Back abuts stile:TRUE          Panel Section: BOTTOM           Stile in the back Width:            Cutout A: B-35715          Cutout B:      F.C.:4.5 in.         C.C.:1 in.   </v>
      </c>
      <c r="R657" t="str">
        <f t="shared" si="34"/>
        <v>TRUE</v>
      </c>
      <c r="S657" t="str">
        <f t="shared" si="33"/>
        <v>TRUE</v>
      </c>
    </row>
    <row r="658" spans="1:19" hidden="1">
      <c r="A658" t="s">
        <v>818</v>
      </c>
      <c r="B658" s="14" t="s">
        <v>144</v>
      </c>
      <c r="C658" s="14" t="s">
        <v>157</v>
      </c>
      <c r="D658" s="14">
        <v>1</v>
      </c>
      <c r="E658" s="14">
        <v>0</v>
      </c>
      <c r="F658" s="14">
        <v>1</v>
      </c>
      <c r="G658" s="14">
        <v>1</v>
      </c>
      <c r="H658" s="14"/>
      <c r="I658" s="8" t="s">
        <v>38</v>
      </c>
      <c r="J658" s="8" t="s">
        <v>38</v>
      </c>
      <c r="K658">
        <v>60</v>
      </c>
      <c r="L658">
        <v>60.25</v>
      </c>
      <c r="M658" s="14">
        <v>1</v>
      </c>
      <c r="N658" s="14">
        <v>1.375</v>
      </c>
      <c r="Q658" t="str">
        <f t="shared" si="35"/>
        <v xml:space="preserve">XX8X_PV_1210:    Front abuts stile:TRUE       Back abuts stile:TRUE          Panel Section: BOTTOM           Stile in the back Width:            Cutout A:           Cutout B:      F.C.:1 in.         C.C.:1.375 in.   </v>
      </c>
      <c r="R658" t="str">
        <f t="shared" si="34"/>
        <v>TRUE</v>
      </c>
      <c r="S658" t="str">
        <f t="shared" si="33"/>
        <v>TRUE</v>
      </c>
    </row>
    <row r="659" spans="1:19" hidden="1">
      <c r="A659" t="s">
        <v>819</v>
      </c>
      <c r="B659" s="14" t="s">
        <v>144</v>
      </c>
      <c r="C659" s="14" t="s">
        <v>157</v>
      </c>
      <c r="D659" s="14">
        <v>1</v>
      </c>
      <c r="E659" s="14">
        <v>1</v>
      </c>
      <c r="F659" s="14">
        <v>0</v>
      </c>
      <c r="G659" s="14"/>
      <c r="H659" s="14"/>
      <c r="I659" s="8" t="s">
        <v>38</v>
      </c>
      <c r="J659" s="8" t="s">
        <v>38</v>
      </c>
      <c r="K659">
        <v>60</v>
      </c>
      <c r="L659">
        <v>21.9375</v>
      </c>
      <c r="M659" s="14">
        <v>9</v>
      </c>
      <c r="N659" s="14">
        <v>6.0625</v>
      </c>
      <c r="Q659" t="str">
        <f t="shared" si="35"/>
        <v xml:space="preserve">XX8X_PV_1211:    Front abuts stile:TRUE       Back abuts stile:FALSE          Panel Section: BOTTOM           Stile in the back Width:            Cutout A:           Cutout B:      F.C.:9 in.         C.C.:6.0625 in.   </v>
      </c>
      <c r="R659" t="str">
        <f t="shared" ref="R659:R722" si="36">IF(D659=1, "TRUE", "FALSE")</f>
        <v>TRUE</v>
      </c>
      <c r="S659" t="str">
        <f t="shared" ref="S659:S722" si="37">IF(F659=1, "TRUE", "FALSE")</f>
        <v>FALSE</v>
      </c>
    </row>
    <row r="660" spans="1:19" hidden="1">
      <c r="A660" t="s">
        <v>820</v>
      </c>
      <c r="B660" s="14" t="s">
        <v>144</v>
      </c>
      <c r="C660" s="14" t="s">
        <v>157</v>
      </c>
      <c r="D660" s="14">
        <v>1</v>
      </c>
      <c r="E660" s="14">
        <v>1</v>
      </c>
      <c r="F660" s="14">
        <v>1</v>
      </c>
      <c r="G660" s="14">
        <v>0</v>
      </c>
      <c r="H660" s="14">
        <v>12</v>
      </c>
      <c r="I660" s="8" t="s">
        <v>145</v>
      </c>
      <c r="J660" s="8" t="s">
        <v>38</v>
      </c>
      <c r="K660">
        <v>60</v>
      </c>
      <c r="L660">
        <v>9.1875</v>
      </c>
      <c r="M660" s="14">
        <v>12</v>
      </c>
      <c r="N660" s="14">
        <v>4.5625</v>
      </c>
      <c r="Q660" t="str">
        <f t="shared" si="35"/>
        <v xml:space="preserve">XX8X_PV_1212:    Front abuts stile:TRUE       Back abuts stile:TRUE          Panel Section: BOTTOM           Stile in the back Width: 12           Cutout A: B-347          Cutout B:      F.C.:12 in.         C.C.:4.5625 in.   </v>
      </c>
      <c r="R660" t="str">
        <f t="shared" si="36"/>
        <v>TRUE</v>
      </c>
      <c r="S660" t="str">
        <f t="shared" si="37"/>
        <v>TRUE</v>
      </c>
    </row>
    <row r="661" spans="1:19" hidden="1">
      <c r="A661" t="s">
        <v>821</v>
      </c>
      <c r="B661" s="14" t="s">
        <v>144</v>
      </c>
      <c r="C661" s="14" t="s">
        <v>157</v>
      </c>
      <c r="D661" s="14">
        <v>1</v>
      </c>
      <c r="E661" s="14">
        <v>1</v>
      </c>
      <c r="F661" s="14">
        <v>1</v>
      </c>
      <c r="G661" s="14">
        <v>0</v>
      </c>
      <c r="H661" s="14">
        <v>24</v>
      </c>
      <c r="I661" s="8" t="s">
        <v>120</v>
      </c>
      <c r="J661" s="8" t="s">
        <v>38</v>
      </c>
      <c r="K661">
        <v>60</v>
      </c>
      <c r="L661">
        <v>67.4375</v>
      </c>
      <c r="M661" s="14">
        <v>4.5</v>
      </c>
      <c r="N661" s="14">
        <v>3.875</v>
      </c>
      <c r="Q661" t="str">
        <f t="shared" si="35"/>
        <v xml:space="preserve">XX8X_PV_1213:    Front abuts stile:TRUE       Back abuts stile:TRUE          Panel Section: BOTTOM           Stile in the back Width: 24           Cutout A: B-386          Cutout B:      F.C.:4.5 in.         C.C.:3.875 in.   </v>
      </c>
      <c r="R661" t="str">
        <f t="shared" si="36"/>
        <v>TRUE</v>
      </c>
      <c r="S661" t="str">
        <f t="shared" si="37"/>
        <v>TRUE</v>
      </c>
    </row>
    <row r="662" spans="1:19" hidden="1">
      <c r="A662" t="s">
        <v>822</v>
      </c>
      <c r="B662" s="14" t="s">
        <v>144</v>
      </c>
      <c r="C662" s="14" t="s">
        <v>157</v>
      </c>
      <c r="D662" s="14">
        <v>1</v>
      </c>
      <c r="E662" s="14">
        <v>1</v>
      </c>
      <c r="F662" s="14">
        <v>1</v>
      </c>
      <c r="G662" s="14">
        <v>0</v>
      </c>
      <c r="H662" s="14"/>
      <c r="I662" s="8" t="s">
        <v>120</v>
      </c>
      <c r="J662" s="8" t="s">
        <v>38</v>
      </c>
      <c r="K662">
        <v>60</v>
      </c>
      <c r="L662">
        <v>74.125</v>
      </c>
      <c r="M662" s="14">
        <v>9</v>
      </c>
      <c r="N662" s="14">
        <v>7.625</v>
      </c>
      <c r="Q662" t="str">
        <f t="shared" si="35"/>
        <v xml:space="preserve">XX8X_PV_1214:    Front abuts stile:TRUE       Back abuts stile:TRUE          Panel Section: BOTTOM           Stile in the back Width:            Cutout A: B-386          Cutout B:      F.C.:9 in.         C.C.:7.625 in.   </v>
      </c>
      <c r="R662" t="str">
        <f t="shared" si="36"/>
        <v>TRUE</v>
      </c>
      <c r="S662" t="str">
        <f t="shared" si="37"/>
        <v>TRUE</v>
      </c>
    </row>
    <row r="663" spans="1:19" hidden="1">
      <c r="A663" t="s">
        <v>823</v>
      </c>
      <c r="B663" s="14" t="s">
        <v>144</v>
      </c>
      <c r="C663" s="14" t="s">
        <v>157</v>
      </c>
      <c r="D663" s="14">
        <v>1</v>
      </c>
      <c r="E663" s="14">
        <v>1</v>
      </c>
      <c r="F663" s="14">
        <v>1</v>
      </c>
      <c r="G663" s="14">
        <v>1</v>
      </c>
      <c r="H663" s="14"/>
      <c r="I663" s="8" t="s">
        <v>35</v>
      </c>
      <c r="J663" s="8" t="s">
        <v>38</v>
      </c>
      <c r="K663">
        <v>60</v>
      </c>
      <c r="L663">
        <v>38.5</v>
      </c>
      <c r="M663" s="14">
        <v>11.375</v>
      </c>
      <c r="N663" s="14">
        <v>3.9375</v>
      </c>
      <c r="Q663" t="str">
        <f t="shared" si="35"/>
        <v xml:space="preserve">XX8X_PV_1215:    Front abuts stile:TRUE       Back abuts stile:TRUE          Panel Section: BOTTOM           Stile in the back Width:            Cutout A: B-357          Cutout B:      F.C.:11.375 in.         C.C.:3.9375 in.   </v>
      </c>
      <c r="R663" t="str">
        <f t="shared" si="36"/>
        <v>TRUE</v>
      </c>
      <c r="S663" t="str">
        <f t="shared" si="37"/>
        <v>TRUE</v>
      </c>
    </row>
    <row r="664" spans="1:19" hidden="1">
      <c r="A664" t="s">
        <v>824</v>
      </c>
      <c r="B664" s="14" t="s">
        <v>144</v>
      </c>
      <c r="C664" s="14" t="s">
        <v>21</v>
      </c>
      <c r="D664" s="14">
        <v>0</v>
      </c>
      <c r="E664" s="14"/>
      <c r="F664" s="14">
        <v>0</v>
      </c>
      <c r="G664" s="14"/>
      <c r="H664" s="14"/>
      <c r="I664" s="8" t="s">
        <v>121</v>
      </c>
      <c r="J664" s="8" t="s">
        <v>38</v>
      </c>
      <c r="K664">
        <v>78.6875</v>
      </c>
      <c r="L664">
        <v>64.3125</v>
      </c>
      <c r="M664" s="14">
        <v>4.5</v>
      </c>
      <c r="N664" s="14">
        <v>1</v>
      </c>
      <c r="Q664" t="str">
        <f t="shared" si="35"/>
        <v xml:space="preserve">XX8X_PV_1231:    Front abuts stile:FALSE       Back abuts stile:FALSE          Panel Section: WHOLE           Stile in the back Width:            Cutout A: B-4354          Cutout B:      F.C.:4.5 in.         C.C.:1 in.   </v>
      </c>
      <c r="R664" t="str">
        <f t="shared" si="36"/>
        <v>FALSE</v>
      </c>
      <c r="S664" t="str">
        <f t="shared" si="37"/>
        <v>FALSE</v>
      </c>
    </row>
    <row r="665" spans="1:19" hidden="1">
      <c r="A665" t="s">
        <v>825</v>
      </c>
      <c r="B665" s="14" t="s">
        <v>144</v>
      </c>
      <c r="C665" s="14" t="s">
        <v>21</v>
      </c>
      <c r="D665" s="14">
        <v>0</v>
      </c>
      <c r="E665" s="14"/>
      <c r="F665" s="14">
        <v>1</v>
      </c>
      <c r="G665" s="14">
        <v>0</v>
      </c>
      <c r="H665" s="14">
        <v>12</v>
      </c>
      <c r="I665" s="8" t="s">
        <v>149</v>
      </c>
      <c r="J665" s="8" t="s">
        <v>38</v>
      </c>
      <c r="K665">
        <v>96.3125</v>
      </c>
      <c r="L665">
        <v>31.875</v>
      </c>
      <c r="M665" s="14">
        <v>9</v>
      </c>
      <c r="N665" s="14">
        <v>1.5625</v>
      </c>
      <c r="Q665" t="str">
        <f t="shared" si="35"/>
        <v xml:space="preserve">XX8X_PV_1232:    Front abuts stile:FALSE       Back abuts stile:TRUE          Panel Section: WHOLE           Stile in the back Width: 12           Cutout A: B-34715          Cutout B:      F.C.:9 in.         C.C.:1.5625 in.   </v>
      </c>
      <c r="R665" t="str">
        <f t="shared" si="36"/>
        <v>FALSE</v>
      </c>
      <c r="S665" t="str">
        <f t="shared" si="37"/>
        <v>TRUE</v>
      </c>
    </row>
    <row r="666" spans="1:19" hidden="1">
      <c r="A666" t="s">
        <v>826</v>
      </c>
      <c r="B666" s="14" t="s">
        <v>144</v>
      </c>
      <c r="C666" s="14" t="s">
        <v>21</v>
      </c>
      <c r="D666" s="14">
        <v>0</v>
      </c>
      <c r="E666" s="14"/>
      <c r="F666" s="14">
        <v>1</v>
      </c>
      <c r="G666" s="14">
        <v>0</v>
      </c>
      <c r="H666" s="14">
        <v>24</v>
      </c>
      <c r="I666" s="8" t="s">
        <v>120</v>
      </c>
      <c r="J666" s="8" t="s">
        <v>38</v>
      </c>
      <c r="K666">
        <v>96</v>
      </c>
      <c r="L666">
        <v>74.25</v>
      </c>
      <c r="M666" s="14">
        <v>9</v>
      </c>
      <c r="N666" s="14">
        <v>1</v>
      </c>
      <c r="Q666" t="str">
        <f t="shared" si="35"/>
        <v xml:space="preserve">XX8X_PV_1233:    Front abuts stile:FALSE       Back abuts stile:TRUE          Panel Section: WHOLE           Stile in the back Width: 24           Cutout A: B-386          Cutout B:      F.C.:9 in.         C.C.:1 in.   </v>
      </c>
      <c r="R666" t="str">
        <f t="shared" si="36"/>
        <v>FALSE</v>
      </c>
      <c r="S666" t="str">
        <f t="shared" si="37"/>
        <v>TRUE</v>
      </c>
    </row>
    <row r="667" spans="1:19" hidden="1">
      <c r="A667" t="s">
        <v>827</v>
      </c>
      <c r="B667" s="14" t="s">
        <v>144</v>
      </c>
      <c r="C667" s="14" t="s">
        <v>21</v>
      </c>
      <c r="D667" s="14">
        <v>0</v>
      </c>
      <c r="E667" s="14"/>
      <c r="F667" s="14">
        <v>1</v>
      </c>
      <c r="G667" s="14">
        <v>0</v>
      </c>
      <c r="H667" s="14"/>
      <c r="I667" s="8" t="s">
        <v>120</v>
      </c>
      <c r="J667" s="8" t="s">
        <v>38</v>
      </c>
      <c r="K667">
        <v>68.8125</v>
      </c>
      <c r="L667">
        <v>32.3125</v>
      </c>
      <c r="M667" s="14">
        <v>1</v>
      </c>
      <c r="N667" s="14">
        <v>4.3125</v>
      </c>
      <c r="Q667" t="str">
        <f t="shared" si="35"/>
        <v xml:space="preserve">XX8X_PV_1234:    Front abuts stile:FALSE       Back abuts stile:TRUE          Panel Section: WHOLE           Stile in the back Width:            Cutout A: B-386          Cutout B:      F.C.:1 in.         C.C.:4.3125 in.   </v>
      </c>
      <c r="R667" t="str">
        <f t="shared" si="36"/>
        <v>FALSE</v>
      </c>
      <c r="S667" t="str">
        <f t="shared" si="37"/>
        <v>TRUE</v>
      </c>
    </row>
    <row r="668" spans="1:19" hidden="1">
      <c r="A668" t="s">
        <v>828</v>
      </c>
      <c r="B668" s="14" t="s">
        <v>144</v>
      </c>
      <c r="C668" s="14" t="s">
        <v>21</v>
      </c>
      <c r="D668" s="14">
        <v>0</v>
      </c>
      <c r="E668" s="14"/>
      <c r="F668" s="14">
        <v>1</v>
      </c>
      <c r="G668" s="14">
        <v>1</v>
      </c>
      <c r="H668" s="14"/>
      <c r="I668" s="8" t="s">
        <v>35</v>
      </c>
      <c r="J668" s="8" t="s">
        <v>38</v>
      </c>
      <c r="K668">
        <v>84.875</v>
      </c>
      <c r="L668">
        <v>79.5625</v>
      </c>
      <c r="M668" s="14">
        <v>12</v>
      </c>
      <c r="N668" s="14">
        <v>2.375</v>
      </c>
      <c r="Q668" t="str">
        <f t="shared" si="35"/>
        <v xml:space="preserve">XX8X_PV_1235:    Front abuts stile:FALSE       Back abuts stile:TRUE          Panel Section: WHOLE           Stile in the back Width:            Cutout A: B-357          Cutout B:      F.C.:12 in.         C.C.:2.375 in.   </v>
      </c>
      <c r="R668" t="str">
        <f t="shared" si="36"/>
        <v>FALSE</v>
      </c>
      <c r="S668" t="str">
        <f t="shared" si="37"/>
        <v>TRUE</v>
      </c>
    </row>
    <row r="669" spans="1:19" hidden="1">
      <c r="A669" t="s">
        <v>829</v>
      </c>
      <c r="B669" s="14" t="s">
        <v>144</v>
      </c>
      <c r="C669" s="14" t="s">
        <v>21</v>
      </c>
      <c r="D669" s="14">
        <v>1</v>
      </c>
      <c r="E669" s="14">
        <v>0</v>
      </c>
      <c r="F669" s="14">
        <v>0</v>
      </c>
      <c r="G669" s="14"/>
      <c r="H669" s="14"/>
      <c r="I669" s="8" t="s">
        <v>120</v>
      </c>
      <c r="J669" s="8" t="s">
        <v>119</v>
      </c>
      <c r="K669">
        <v>42</v>
      </c>
      <c r="L669">
        <v>49.1875</v>
      </c>
      <c r="M669" s="14">
        <v>4.5</v>
      </c>
      <c r="N669" s="14">
        <v>1</v>
      </c>
      <c r="Q669" t="str">
        <f t="shared" si="35"/>
        <v xml:space="preserve">XX8X_PV_1236:    Front abuts stile:TRUE       Back abuts stile:FALSE          Panel Section: WHOLE           Stile in the back Width:            Cutout A: B-386          Cutout B:B-354      F.C.:4.5 in.         C.C.:1 in.   </v>
      </c>
      <c r="R669" t="str">
        <f t="shared" si="36"/>
        <v>TRUE</v>
      </c>
      <c r="S669" t="str">
        <f t="shared" si="37"/>
        <v>FALSE</v>
      </c>
    </row>
    <row r="670" spans="1:19" hidden="1">
      <c r="A670" t="s">
        <v>830</v>
      </c>
      <c r="B670" s="14" t="s">
        <v>144</v>
      </c>
      <c r="C670" s="14" t="s">
        <v>21</v>
      </c>
      <c r="D670" s="14">
        <v>1</v>
      </c>
      <c r="E670" s="14">
        <v>0</v>
      </c>
      <c r="F670" s="14">
        <v>1</v>
      </c>
      <c r="G670" s="14">
        <v>0</v>
      </c>
      <c r="H670" s="14">
        <v>12</v>
      </c>
      <c r="I670" s="8" t="s">
        <v>120</v>
      </c>
      <c r="J670" s="8" t="s">
        <v>38</v>
      </c>
      <c r="K670">
        <v>109.9375</v>
      </c>
      <c r="L670">
        <v>73.75</v>
      </c>
      <c r="M670" s="14">
        <v>4.5</v>
      </c>
      <c r="N670" s="14">
        <v>4.625</v>
      </c>
      <c r="Q670" t="str">
        <f t="shared" si="35"/>
        <v xml:space="preserve">XX8X_PV_1237:    Front abuts stile:TRUE       Back abuts stile:TRUE          Panel Section: WHOLE           Stile in the back Width: 12           Cutout A: B-386          Cutout B:      F.C.:4.5 in.         C.C.:4.625 in.   </v>
      </c>
      <c r="R670" t="str">
        <f t="shared" si="36"/>
        <v>TRUE</v>
      </c>
      <c r="S670" t="str">
        <f t="shared" si="37"/>
        <v>TRUE</v>
      </c>
    </row>
    <row r="671" spans="1:19" hidden="1">
      <c r="A671" t="s">
        <v>831</v>
      </c>
      <c r="B671" s="14" t="s">
        <v>144</v>
      </c>
      <c r="C671" s="14" t="s">
        <v>21</v>
      </c>
      <c r="D671" s="14">
        <v>1</v>
      </c>
      <c r="E671" s="14">
        <v>0</v>
      </c>
      <c r="F671" s="14">
        <v>1</v>
      </c>
      <c r="G671" s="14">
        <v>0</v>
      </c>
      <c r="H671" s="14">
        <v>24</v>
      </c>
      <c r="I671" s="8" t="s">
        <v>120</v>
      </c>
      <c r="J671" s="8" t="s">
        <v>38</v>
      </c>
      <c r="K671">
        <v>95.9375</v>
      </c>
      <c r="L671">
        <v>13.125</v>
      </c>
      <c r="M671" s="14">
        <v>9</v>
      </c>
      <c r="N671" s="14">
        <v>4.875</v>
      </c>
      <c r="Q671" t="str">
        <f t="shared" si="35"/>
        <v xml:space="preserve">XX8X_PV_1238:    Front abuts stile:TRUE       Back abuts stile:TRUE          Panel Section: WHOLE           Stile in the back Width: 24           Cutout A: B-386          Cutout B:      F.C.:9 in.         C.C.:4.875 in.   </v>
      </c>
      <c r="R671" t="str">
        <f t="shared" si="36"/>
        <v>TRUE</v>
      </c>
      <c r="S671" t="str">
        <f t="shared" si="37"/>
        <v>TRUE</v>
      </c>
    </row>
    <row r="672" spans="1:19" hidden="1">
      <c r="A672" t="s">
        <v>832</v>
      </c>
      <c r="B672" s="14" t="s">
        <v>144</v>
      </c>
      <c r="C672" s="14" t="s">
        <v>21</v>
      </c>
      <c r="D672" s="14">
        <v>1</v>
      </c>
      <c r="E672" s="14">
        <v>0</v>
      </c>
      <c r="F672" s="14">
        <v>1</v>
      </c>
      <c r="G672" s="14">
        <v>0</v>
      </c>
      <c r="H672" s="14"/>
      <c r="I672" s="8" t="s">
        <v>150</v>
      </c>
      <c r="J672" s="8" t="s">
        <v>38</v>
      </c>
      <c r="K672">
        <v>42</v>
      </c>
      <c r="L672">
        <v>67.1875</v>
      </c>
      <c r="M672" s="14">
        <v>9</v>
      </c>
      <c r="N672" s="14">
        <v>8.4375</v>
      </c>
      <c r="Q672" t="str">
        <f t="shared" si="35"/>
        <v xml:space="preserve">XX8X_PV_1239:    Front abuts stile:TRUE       Back abuts stile:TRUE          Panel Section: WHOLE           Stile in the back Width:            Cutout A: B-3571          Cutout B:      F.C.:9 in.         C.C.:8.4375 in.   </v>
      </c>
      <c r="R672" t="str">
        <f t="shared" si="36"/>
        <v>TRUE</v>
      </c>
      <c r="S672" t="str">
        <f t="shared" si="37"/>
        <v>TRUE</v>
      </c>
    </row>
    <row r="673" spans="1:19" hidden="1">
      <c r="A673" t="s">
        <v>833</v>
      </c>
      <c r="B673" s="14" t="s">
        <v>144</v>
      </c>
      <c r="C673" s="14" t="s">
        <v>21</v>
      </c>
      <c r="D673" s="14">
        <v>1</v>
      </c>
      <c r="E673" s="14">
        <v>0</v>
      </c>
      <c r="F673" s="14">
        <v>1</v>
      </c>
      <c r="G673" s="14">
        <v>1</v>
      </c>
      <c r="H673" s="14"/>
      <c r="I673" s="8" t="s">
        <v>120</v>
      </c>
      <c r="J673" s="8" t="s">
        <v>38</v>
      </c>
      <c r="K673">
        <v>100.875</v>
      </c>
      <c r="L673">
        <v>14.8125</v>
      </c>
      <c r="M673" s="14">
        <v>1</v>
      </c>
      <c r="N673" s="14">
        <v>5.6875</v>
      </c>
      <c r="Q673" t="str">
        <f t="shared" si="35"/>
        <v xml:space="preserve">XX8X_PV_1240:    Front abuts stile:TRUE       Back abuts stile:TRUE          Panel Section: WHOLE           Stile in the back Width:            Cutout A: B-386          Cutout B:      F.C.:1 in.         C.C.:5.6875 in.   </v>
      </c>
      <c r="R673" t="str">
        <f t="shared" si="36"/>
        <v>TRUE</v>
      </c>
      <c r="S673" t="str">
        <f t="shared" si="37"/>
        <v>TRUE</v>
      </c>
    </row>
    <row r="674" spans="1:19" hidden="1">
      <c r="A674" t="s">
        <v>834</v>
      </c>
      <c r="B674" s="14" t="s">
        <v>144</v>
      </c>
      <c r="C674" s="14" t="s">
        <v>21</v>
      </c>
      <c r="D674" s="14">
        <v>1</v>
      </c>
      <c r="E674" s="14">
        <v>1</v>
      </c>
      <c r="F674" s="14">
        <v>0</v>
      </c>
      <c r="G674" s="14"/>
      <c r="H674" s="14"/>
      <c r="I674" s="8" t="s">
        <v>38</v>
      </c>
      <c r="J674" s="8" t="s">
        <v>38</v>
      </c>
      <c r="K674">
        <v>96</v>
      </c>
      <c r="L674">
        <v>16.8125</v>
      </c>
      <c r="M674" s="14">
        <v>12</v>
      </c>
      <c r="N674" s="14">
        <v>4.1875</v>
      </c>
      <c r="Q674" t="str">
        <f t="shared" si="35"/>
        <v xml:space="preserve">XX8X_PV_1241:    Front abuts stile:TRUE       Back abuts stile:FALSE          Panel Section: WHOLE           Stile in the back Width:            Cutout A:           Cutout B:      F.C.:12 in.         C.C.:4.1875 in.   </v>
      </c>
      <c r="R674" t="str">
        <f t="shared" si="36"/>
        <v>TRUE</v>
      </c>
      <c r="S674" t="str">
        <f t="shared" si="37"/>
        <v>FALSE</v>
      </c>
    </row>
    <row r="675" spans="1:19" hidden="1">
      <c r="A675" t="s">
        <v>835</v>
      </c>
      <c r="B675" s="14" t="s">
        <v>144</v>
      </c>
      <c r="C675" s="14" t="s">
        <v>21</v>
      </c>
      <c r="D675" s="14">
        <v>1</v>
      </c>
      <c r="E675" s="14">
        <v>1</v>
      </c>
      <c r="F675" s="14">
        <v>1</v>
      </c>
      <c r="G675" s="14">
        <v>0</v>
      </c>
      <c r="H675" s="14">
        <v>12</v>
      </c>
      <c r="I675" s="8" t="s">
        <v>38</v>
      </c>
      <c r="J675" s="8" t="s">
        <v>38</v>
      </c>
      <c r="K675">
        <v>60.5</v>
      </c>
      <c r="L675">
        <v>65.1875</v>
      </c>
      <c r="M675" s="14">
        <v>10.875</v>
      </c>
      <c r="N675" s="14">
        <v>1.75</v>
      </c>
      <c r="Q675" t="str">
        <f t="shared" si="35"/>
        <v xml:space="preserve">XX8X_PV_1242:    Front abuts stile:TRUE       Back abuts stile:TRUE          Panel Section: WHOLE           Stile in the back Width: 12           Cutout A:           Cutout B:      F.C.:10.875 in.         C.C.:1.75 in.   </v>
      </c>
      <c r="R675" t="str">
        <f t="shared" si="36"/>
        <v>TRUE</v>
      </c>
      <c r="S675" t="str">
        <f t="shared" si="37"/>
        <v>TRUE</v>
      </c>
    </row>
    <row r="676" spans="1:19" hidden="1">
      <c r="A676" t="s">
        <v>836</v>
      </c>
      <c r="B676" s="14" t="s">
        <v>144</v>
      </c>
      <c r="C676" s="14" t="s">
        <v>21</v>
      </c>
      <c r="D676" s="14">
        <v>1</v>
      </c>
      <c r="E676" s="14">
        <v>1</v>
      </c>
      <c r="F676" s="14">
        <v>1</v>
      </c>
      <c r="G676" s="14">
        <v>0</v>
      </c>
      <c r="H676" s="14">
        <v>24</v>
      </c>
      <c r="I676" s="8" t="s">
        <v>120</v>
      </c>
      <c r="J676" s="8" t="s">
        <v>38</v>
      </c>
      <c r="K676">
        <v>106</v>
      </c>
      <c r="L676">
        <v>49.125</v>
      </c>
      <c r="M676" s="14">
        <v>3.9375</v>
      </c>
      <c r="N676" s="14">
        <v>6.5625</v>
      </c>
      <c r="Q676" t="str">
        <f t="shared" si="35"/>
        <v xml:space="preserve">XX8X_PV_1243:    Front abuts stile:TRUE       Back abuts stile:TRUE          Panel Section: WHOLE           Stile in the back Width: 24           Cutout A: B-386          Cutout B:      F.C.:3.9375 in.         C.C.:6.5625 in.   </v>
      </c>
      <c r="R676" t="str">
        <f t="shared" si="36"/>
        <v>TRUE</v>
      </c>
      <c r="S676" t="str">
        <f t="shared" si="37"/>
        <v>TRUE</v>
      </c>
    </row>
    <row r="677" spans="1:19" hidden="1">
      <c r="A677" t="s">
        <v>837</v>
      </c>
      <c r="B677" s="14" t="s">
        <v>144</v>
      </c>
      <c r="C677" s="14" t="s">
        <v>21</v>
      </c>
      <c r="D677" s="14">
        <v>1</v>
      </c>
      <c r="E677" s="14">
        <v>1</v>
      </c>
      <c r="F677" s="14">
        <v>1</v>
      </c>
      <c r="G677" s="14">
        <v>0</v>
      </c>
      <c r="H677" s="14"/>
      <c r="I677" s="8" t="s">
        <v>38</v>
      </c>
      <c r="J677" s="8" t="s">
        <v>38</v>
      </c>
      <c r="K677">
        <v>50.25</v>
      </c>
      <c r="L677">
        <v>36</v>
      </c>
      <c r="M677" s="14">
        <v>1</v>
      </c>
      <c r="N677" s="14">
        <v>1.8125</v>
      </c>
      <c r="Q677" t="str">
        <f t="shared" si="35"/>
        <v xml:space="preserve">XX8X_PV_1244:    Front abuts stile:TRUE       Back abuts stile:TRUE          Panel Section: WHOLE           Stile in the back Width:            Cutout A:           Cutout B:      F.C.:1 in.         C.C.:1.8125 in.   </v>
      </c>
      <c r="R677" t="str">
        <f t="shared" si="36"/>
        <v>TRUE</v>
      </c>
      <c r="S677" t="str">
        <f t="shared" si="37"/>
        <v>TRUE</v>
      </c>
    </row>
    <row r="678" spans="1:19" hidden="1">
      <c r="A678" t="s">
        <v>838</v>
      </c>
      <c r="B678" s="14" t="s">
        <v>144</v>
      </c>
      <c r="C678" s="14" t="s">
        <v>21</v>
      </c>
      <c r="D678" s="14">
        <v>1</v>
      </c>
      <c r="E678" s="14">
        <v>1</v>
      </c>
      <c r="F678" s="14">
        <v>1</v>
      </c>
      <c r="G678" s="14">
        <v>1</v>
      </c>
      <c r="H678" s="14"/>
      <c r="I678" s="8" t="s">
        <v>148</v>
      </c>
      <c r="J678" s="8" t="s">
        <v>38</v>
      </c>
      <c r="K678">
        <v>51.3125</v>
      </c>
      <c r="L678">
        <v>6.375</v>
      </c>
      <c r="M678" s="14">
        <v>12</v>
      </c>
      <c r="N678" s="14">
        <v>1</v>
      </c>
      <c r="Q678" t="str">
        <f t="shared" si="35"/>
        <v xml:space="preserve">XX8X_PV_1245:    Front abuts stile:TRUE       Back abuts stile:TRUE          Panel Section: WHOLE           Stile in the back Width:            Cutout A: B-3471          Cutout B:      F.C.:12 in.         C.C.:1 in.   </v>
      </c>
      <c r="R678" t="str">
        <f t="shared" si="36"/>
        <v>TRUE</v>
      </c>
      <c r="S678" t="str">
        <f t="shared" si="37"/>
        <v>TRUE</v>
      </c>
    </row>
    <row r="679" spans="1:19" hidden="1">
      <c r="A679" t="s">
        <v>839</v>
      </c>
      <c r="B679" s="14" t="s">
        <v>144</v>
      </c>
      <c r="C679" s="14" t="s">
        <v>156</v>
      </c>
      <c r="D679" s="19">
        <v>0</v>
      </c>
      <c r="E679" s="19"/>
      <c r="F679" s="19">
        <v>0</v>
      </c>
      <c r="G679" s="19"/>
      <c r="H679" s="14"/>
      <c r="I679" s="8" t="s">
        <v>120</v>
      </c>
      <c r="J679" s="8" t="s">
        <v>38</v>
      </c>
      <c r="K679">
        <v>40.1875</v>
      </c>
      <c r="L679">
        <v>12.5625</v>
      </c>
      <c r="M679" s="14">
        <v>4.5</v>
      </c>
      <c r="N679" s="14">
        <v>1.0625</v>
      </c>
      <c r="Q679" t="str">
        <f t="shared" si="35"/>
        <v xml:space="preserve">XX8X_PV_1261:    Front abuts stile:FALSE       Back abuts stile:FALSE          Panel Section: TOP           Stile in the back Width:            Cutout A: B-386          Cutout B:      F.C.:4.5 in.         C.C.:1.0625 in.   </v>
      </c>
      <c r="R679" t="str">
        <f t="shared" si="36"/>
        <v>FALSE</v>
      </c>
      <c r="S679" t="str">
        <f t="shared" si="37"/>
        <v>FALSE</v>
      </c>
    </row>
    <row r="680" spans="1:19" hidden="1">
      <c r="A680" t="s">
        <v>840</v>
      </c>
      <c r="B680" s="14" t="s">
        <v>144</v>
      </c>
      <c r="C680" s="14" t="s">
        <v>156</v>
      </c>
      <c r="D680" s="14">
        <v>0</v>
      </c>
      <c r="E680" s="14"/>
      <c r="F680" s="14">
        <v>1</v>
      </c>
      <c r="G680" s="14">
        <v>0</v>
      </c>
      <c r="H680" s="14">
        <v>12</v>
      </c>
      <c r="I680" s="8" t="s">
        <v>120</v>
      </c>
      <c r="J680" s="8" t="s">
        <v>38</v>
      </c>
      <c r="K680">
        <v>45.0625</v>
      </c>
      <c r="L680">
        <v>30.375</v>
      </c>
      <c r="M680" s="14">
        <v>1</v>
      </c>
      <c r="N680" s="14">
        <v>4.3125</v>
      </c>
      <c r="Q680" t="str">
        <f t="shared" si="35"/>
        <v xml:space="preserve">XX8X_PV_1262:    Front abuts stile:FALSE       Back abuts stile:TRUE          Panel Section: TOP           Stile in the back Width: 12           Cutout A: B-386          Cutout B:      F.C.:1 in.         C.C.:4.3125 in.   </v>
      </c>
      <c r="R680" t="str">
        <f t="shared" si="36"/>
        <v>FALSE</v>
      </c>
      <c r="S680" t="str">
        <f t="shared" si="37"/>
        <v>TRUE</v>
      </c>
    </row>
    <row r="681" spans="1:19" hidden="1">
      <c r="A681" t="s">
        <v>841</v>
      </c>
      <c r="B681" s="14" t="s">
        <v>144</v>
      </c>
      <c r="C681" s="14" t="s">
        <v>156</v>
      </c>
      <c r="D681" s="14">
        <v>0</v>
      </c>
      <c r="E681" s="14"/>
      <c r="F681" s="14">
        <v>1</v>
      </c>
      <c r="G681" s="14">
        <v>0</v>
      </c>
      <c r="H681" s="14">
        <v>24</v>
      </c>
      <c r="I681" s="8" t="s">
        <v>120</v>
      </c>
      <c r="J681" s="8" t="s">
        <v>38</v>
      </c>
      <c r="K681">
        <v>22.375</v>
      </c>
      <c r="L681">
        <v>61.25</v>
      </c>
      <c r="M681" s="14">
        <v>1</v>
      </c>
      <c r="N681" s="14">
        <v>1</v>
      </c>
      <c r="Q681" t="str">
        <f t="shared" si="35"/>
        <v xml:space="preserve">XX8X_PV_1263:    Front abuts stile:FALSE       Back abuts stile:TRUE          Panel Section: TOP           Stile in the back Width: 24           Cutout A: B-386          Cutout B:      F.C.:1 in.         C.C.:1 in.   </v>
      </c>
      <c r="R681" t="str">
        <f t="shared" si="36"/>
        <v>FALSE</v>
      </c>
      <c r="S681" t="str">
        <f t="shared" si="37"/>
        <v>TRUE</v>
      </c>
    </row>
    <row r="682" spans="1:19" hidden="1">
      <c r="A682" t="s">
        <v>842</v>
      </c>
      <c r="B682" s="14" t="s">
        <v>144</v>
      </c>
      <c r="C682" s="14" t="s">
        <v>156</v>
      </c>
      <c r="D682" s="14">
        <v>0</v>
      </c>
      <c r="E682" s="14"/>
      <c r="F682" s="14">
        <v>1</v>
      </c>
      <c r="G682" s="14">
        <v>0</v>
      </c>
      <c r="H682" s="14"/>
      <c r="I682" s="8" t="s">
        <v>35</v>
      </c>
      <c r="J682" s="8" t="s">
        <v>38</v>
      </c>
      <c r="K682">
        <v>10.8125</v>
      </c>
      <c r="L682">
        <v>76.75</v>
      </c>
      <c r="M682" s="14">
        <v>1.3125</v>
      </c>
      <c r="N682" s="14">
        <v>4.25</v>
      </c>
      <c r="Q682" t="str">
        <f t="shared" si="35"/>
        <v xml:space="preserve">XX8X_PV_1264:    Front abuts stile:FALSE       Back abuts stile:TRUE          Panel Section: TOP           Stile in the back Width:            Cutout A: B-357          Cutout B:      F.C.:1.3125 in.         C.C.:4.25 in.   </v>
      </c>
      <c r="R682" t="str">
        <f t="shared" si="36"/>
        <v>FALSE</v>
      </c>
      <c r="S682" t="str">
        <f t="shared" si="37"/>
        <v>TRUE</v>
      </c>
    </row>
    <row r="683" spans="1:19" hidden="1">
      <c r="A683" t="s">
        <v>843</v>
      </c>
      <c r="B683" s="14" t="s">
        <v>144</v>
      </c>
      <c r="C683" s="14" t="s">
        <v>156</v>
      </c>
      <c r="D683" s="14">
        <v>0</v>
      </c>
      <c r="E683" s="14"/>
      <c r="F683" s="14">
        <v>1</v>
      </c>
      <c r="G683" s="14">
        <v>1</v>
      </c>
      <c r="H683" s="14"/>
      <c r="I683" s="8" t="s">
        <v>150</v>
      </c>
      <c r="J683" s="8" t="s">
        <v>38</v>
      </c>
      <c r="K683">
        <v>38.625</v>
      </c>
      <c r="L683">
        <v>6.75</v>
      </c>
      <c r="M683" s="14">
        <v>7.9375</v>
      </c>
      <c r="N683" s="14">
        <v>2.4375</v>
      </c>
      <c r="Q683" t="str">
        <f t="shared" si="35"/>
        <v xml:space="preserve">XX8X_PV_1265:    Front abuts stile:FALSE       Back abuts stile:TRUE          Panel Section: TOP           Stile in the back Width:            Cutout A: B-3571          Cutout B:      F.C.:7.9375 in.         C.C.:2.4375 in.   </v>
      </c>
      <c r="R683" t="str">
        <f t="shared" si="36"/>
        <v>FALSE</v>
      </c>
      <c r="S683" t="str">
        <f t="shared" si="37"/>
        <v>TRUE</v>
      </c>
    </row>
    <row r="684" spans="1:19" hidden="1">
      <c r="A684" t="s">
        <v>844</v>
      </c>
      <c r="B684" s="14" t="s">
        <v>144</v>
      </c>
      <c r="C684" s="14" t="s">
        <v>156</v>
      </c>
      <c r="D684" s="14">
        <v>1</v>
      </c>
      <c r="E684" s="14">
        <v>0</v>
      </c>
      <c r="F684" s="14">
        <v>0</v>
      </c>
      <c r="G684" s="14"/>
      <c r="H684" s="14"/>
      <c r="I684" s="8" t="s">
        <v>150</v>
      </c>
      <c r="J684" s="8" t="s">
        <v>38</v>
      </c>
      <c r="K684">
        <v>15.875</v>
      </c>
      <c r="L684">
        <v>42.8125</v>
      </c>
      <c r="M684" s="14">
        <v>12</v>
      </c>
      <c r="N684" s="14">
        <v>8.375</v>
      </c>
      <c r="Q684" t="str">
        <f t="shared" si="35"/>
        <v xml:space="preserve">XX8X_PV_1266:    Front abuts stile:TRUE       Back abuts stile:FALSE          Panel Section: TOP           Stile in the back Width:            Cutout A: B-3571          Cutout B:      F.C.:12 in.         C.C.:8.375 in.   </v>
      </c>
      <c r="R684" t="str">
        <f t="shared" si="36"/>
        <v>TRUE</v>
      </c>
      <c r="S684" t="str">
        <f t="shared" si="37"/>
        <v>FALSE</v>
      </c>
    </row>
    <row r="685" spans="1:19" hidden="1">
      <c r="A685" t="s">
        <v>845</v>
      </c>
      <c r="B685" s="14" t="s">
        <v>144</v>
      </c>
      <c r="C685" s="14" t="s">
        <v>156</v>
      </c>
      <c r="D685" s="14">
        <v>1</v>
      </c>
      <c r="E685" s="14">
        <v>0</v>
      </c>
      <c r="F685" s="14">
        <v>1</v>
      </c>
      <c r="G685" s="14">
        <v>0</v>
      </c>
      <c r="H685" s="14">
        <v>12</v>
      </c>
      <c r="I685" s="8" t="s">
        <v>38</v>
      </c>
      <c r="J685" s="8" t="s">
        <v>38</v>
      </c>
      <c r="K685">
        <v>47.3125</v>
      </c>
      <c r="L685">
        <v>42.125</v>
      </c>
      <c r="M685" s="14">
        <v>4.5</v>
      </c>
      <c r="N685" s="14">
        <v>5.9375</v>
      </c>
      <c r="Q685" t="str">
        <f t="shared" si="35"/>
        <v xml:space="preserve">XX8X_PV_1267:    Front abuts stile:TRUE       Back abuts stile:TRUE          Panel Section: TOP           Stile in the back Width: 12           Cutout A:           Cutout B:      F.C.:4.5 in.         C.C.:5.9375 in.   </v>
      </c>
      <c r="R685" t="str">
        <f t="shared" si="36"/>
        <v>TRUE</v>
      </c>
      <c r="S685" t="str">
        <f t="shared" si="37"/>
        <v>TRUE</v>
      </c>
    </row>
    <row r="686" spans="1:19" hidden="1">
      <c r="A686" t="s">
        <v>846</v>
      </c>
      <c r="B686" s="14" t="s">
        <v>144</v>
      </c>
      <c r="C686" s="14" t="s">
        <v>156</v>
      </c>
      <c r="D686" s="14">
        <v>1</v>
      </c>
      <c r="E686" s="14">
        <v>0</v>
      </c>
      <c r="F686" s="14">
        <v>1</v>
      </c>
      <c r="G686" s="14">
        <v>0</v>
      </c>
      <c r="H686" s="14">
        <v>24</v>
      </c>
      <c r="I686" s="8" t="s">
        <v>120</v>
      </c>
      <c r="J686" s="8" t="s">
        <v>38</v>
      </c>
      <c r="K686">
        <v>4.375</v>
      </c>
      <c r="L686">
        <v>5.6875</v>
      </c>
      <c r="M686" s="14">
        <v>4.125</v>
      </c>
      <c r="N686" s="14">
        <v>1</v>
      </c>
      <c r="Q686" t="str">
        <f t="shared" si="35"/>
        <v xml:space="preserve">XX8X_PV_1268:    Front abuts stile:TRUE       Back abuts stile:TRUE          Panel Section: TOP           Stile in the back Width: 24           Cutout A: B-386          Cutout B:      F.C.:4.125 in.         C.C.:1 in.   </v>
      </c>
      <c r="R686" t="str">
        <f t="shared" si="36"/>
        <v>TRUE</v>
      </c>
      <c r="S686" t="str">
        <f t="shared" si="37"/>
        <v>TRUE</v>
      </c>
    </row>
    <row r="687" spans="1:19" hidden="1">
      <c r="A687" t="s">
        <v>847</v>
      </c>
      <c r="B687" s="14" t="s">
        <v>144</v>
      </c>
      <c r="C687" s="14" t="s">
        <v>156</v>
      </c>
      <c r="D687" s="14">
        <v>1</v>
      </c>
      <c r="E687" s="14">
        <v>0</v>
      </c>
      <c r="F687" s="14">
        <v>1</v>
      </c>
      <c r="G687" s="14">
        <v>0</v>
      </c>
      <c r="H687" s="14"/>
      <c r="I687" s="8" t="s">
        <v>151</v>
      </c>
      <c r="J687" s="8" t="s">
        <v>38</v>
      </c>
      <c r="K687">
        <v>3.5625</v>
      </c>
      <c r="L687">
        <v>76.5</v>
      </c>
      <c r="M687" s="14">
        <v>12</v>
      </c>
      <c r="N687" s="14">
        <v>1</v>
      </c>
      <c r="Q687" t="str">
        <f t="shared" si="35"/>
        <v xml:space="preserve">XX8X_PV_1269:    Front abuts stile:TRUE       Back abuts stile:TRUE          Panel Section: TOP           Stile in the back Width:            Cutout A: B-35715          Cutout B:      F.C.:12 in.         C.C.:1 in.   </v>
      </c>
      <c r="R687" t="str">
        <f t="shared" si="36"/>
        <v>TRUE</v>
      </c>
      <c r="S687" t="str">
        <f t="shared" si="37"/>
        <v>TRUE</v>
      </c>
    </row>
    <row r="688" spans="1:19" hidden="1">
      <c r="A688" t="s">
        <v>848</v>
      </c>
      <c r="B688" s="14" t="s">
        <v>144</v>
      </c>
      <c r="C688" s="14" t="s">
        <v>156</v>
      </c>
      <c r="D688" s="14">
        <v>1</v>
      </c>
      <c r="E688" s="14">
        <v>0</v>
      </c>
      <c r="F688" s="14">
        <v>1</v>
      </c>
      <c r="G688" s="14">
        <v>1</v>
      </c>
      <c r="H688" s="14"/>
      <c r="I688" s="8" t="s">
        <v>38</v>
      </c>
      <c r="J688" s="8" t="s">
        <v>38</v>
      </c>
      <c r="K688">
        <v>14.3125</v>
      </c>
      <c r="L688">
        <v>16.6875</v>
      </c>
      <c r="M688" s="14">
        <v>12</v>
      </c>
      <c r="N688" s="14">
        <v>5</v>
      </c>
      <c r="Q688" t="str">
        <f t="shared" si="35"/>
        <v xml:space="preserve">XX8X_PV_1270:    Front abuts stile:TRUE       Back abuts stile:TRUE          Panel Section: TOP           Stile in the back Width:            Cutout A:           Cutout B:      F.C.:12 in.         C.C.:5 in.   </v>
      </c>
      <c r="R688" t="str">
        <f t="shared" si="36"/>
        <v>TRUE</v>
      </c>
      <c r="S688" t="str">
        <f t="shared" si="37"/>
        <v>TRUE</v>
      </c>
    </row>
    <row r="689" spans="1:19" hidden="1">
      <c r="A689" t="s">
        <v>849</v>
      </c>
      <c r="B689" s="14" t="s">
        <v>144</v>
      </c>
      <c r="C689" s="14" t="s">
        <v>156</v>
      </c>
      <c r="D689" s="14">
        <v>1</v>
      </c>
      <c r="E689" s="14">
        <v>1</v>
      </c>
      <c r="F689" s="14">
        <v>0</v>
      </c>
      <c r="G689" s="14"/>
      <c r="H689" s="14"/>
      <c r="I689" s="8" t="s">
        <v>38</v>
      </c>
      <c r="J689" s="8" t="s">
        <v>38</v>
      </c>
      <c r="K689">
        <v>38.3125</v>
      </c>
      <c r="L689">
        <v>78.9375</v>
      </c>
      <c r="M689" s="14">
        <v>4.5</v>
      </c>
      <c r="N689" s="14">
        <v>2.9375</v>
      </c>
      <c r="Q689" t="str">
        <f t="shared" si="35"/>
        <v xml:space="preserve">XX8X_PV_1271:    Front abuts stile:TRUE       Back abuts stile:FALSE          Panel Section: TOP           Stile in the back Width:            Cutout A:           Cutout B:      F.C.:4.5 in.         C.C.:2.9375 in.   </v>
      </c>
      <c r="R689" t="str">
        <f t="shared" si="36"/>
        <v>TRUE</v>
      </c>
      <c r="S689" t="str">
        <f t="shared" si="37"/>
        <v>FALSE</v>
      </c>
    </row>
    <row r="690" spans="1:19" hidden="1">
      <c r="A690" t="s">
        <v>850</v>
      </c>
      <c r="B690" s="14" t="s">
        <v>144</v>
      </c>
      <c r="C690" s="14" t="s">
        <v>156</v>
      </c>
      <c r="D690" s="14">
        <v>1</v>
      </c>
      <c r="E690" s="14">
        <v>1</v>
      </c>
      <c r="F690" s="14">
        <v>1</v>
      </c>
      <c r="G690" s="14">
        <v>0</v>
      </c>
      <c r="H690" s="14">
        <v>12</v>
      </c>
      <c r="I690" s="8" t="s">
        <v>149</v>
      </c>
      <c r="J690" s="8" t="s">
        <v>38</v>
      </c>
      <c r="K690">
        <v>21.25</v>
      </c>
      <c r="L690">
        <v>45.0625</v>
      </c>
      <c r="M690" s="14">
        <v>1</v>
      </c>
      <c r="N690" s="14">
        <v>4.6875</v>
      </c>
      <c r="Q690" t="str">
        <f t="shared" si="35"/>
        <v xml:space="preserve">XX8X_PV_1272:    Front abuts stile:TRUE       Back abuts stile:TRUE          Panel Section: TOP           Stile in the back Width: 12           Cutout A: B-34715          Cutout B:      F.C.:1 in.         C.C.:4.6875 in.   </v>
      </c>
      <c r="R690" t="str">
        <f t="shared" si="36"/>
        <v>TRUE</v>
      </c>
      <c r="S690" t="str">
        <f t="shared" si="37"/>
        <v>TRUE</v>
      </c>
    </row>
    <row r="691" spans="1:19" hidden="1">
      <c r="A691" t="s">
        <v>851</v>
      </c>
      <c r="B691" s="14" t="s">
        <v>144</v>
      </c>
      <c r="C691" s="14" t="s">
        <v>156</v>
      </c>
      <c r="D691" s="14">
        <v>1</v>
      </c>
      <c r="E691" s="14">
        <v>1</v>
      </c>
      <c r="F691" s="14">
        <v>1</v>
      </c>
      <c r="G691" s="14">
        <v>0</v>
      </c>
      <c r="H691" s="14">
        <v>24</v>
      </c>
      <c r="I691" s="8" t="s">
        <v>120</v>
      </c>
      <c r="J691" s="8" t="s">
        <v>38</v>
      </c>
      <c r="K691">
        <v>48.125</v>
      </c>
      <c r="L691">
        <v>5.625</v>
      </c>
      <c r="M691" s="14">
        <v>12</v>
      </c>
      <c r="N691" s="14">
        <v>2.875</v>
      </c>
      <c r="Q691" t="str">
        <f t="shared" si="35"/>
        <v xml:space="preserve">XX8X_PV_1273:    Front abuts stile:TRUE       Back abuts stile:TRUE          Panel Section: TOP           Stile in the back Width: 24           Cutout A: B-386          Cutout B:      F.C.:12 in.         C.C.:2.875 in.   </v>
      </c>
      <c r="R691" t="str">
        <f t="shared" si="36"/>
        <v>TRUE</v>
      </c>
      <c r="S691" t="str">
        <f t="shared" si="37"/>
        <v>TRUE</v>
      </c>
    </row>
    <row r="692" spans="1:19" hidden="1">
      <c r="A692" t="s">
        <v>852</v>
      </c>
      <c r="B692" s="14" t="s">
        <v>144</v>
      </c>
      <c r="C692" s="14" t="s">
        <v>156</v>
      </c>
      <c r="D692" s="14">
        <v>1</v>
      </c>
      <c r="E692" s="14">
        <v>1</v>
      </c>
      <c r="F692" s="14">
        <v>1</v>
      </c>
      <c r="G692" s="14">
        <v>0</v>
      </c>
      <c r="H692" s="14"/>
      <c r="I692" s="8" t="s">
        <v>120</v>
      </c>
      <c r="J692" s="8" t="s">
        <v>38</v>
      </c>
      <c r="K692">
        <v>11.6875</v>
      </c>
      <c r="L692">
        <v>65.3125</v>
      </c>
      <c r="M692" s="14">
        <v>4.5</v>
      </c>
      <c r="N692" s="14">
        <v>1</v>
      </c>
      <c r="Q692" t="str">
        <f t="shared" si="35"/>
        <v xml:space="preserve">XX8X_PV_1274:    Front abuts stile:TRUE       Back abuts stile:TRUE          Panel Section: TOP           Stile in the back Width:            Cutout A: B-386          Cutout B:      F.C.:4.5 in.         C.C.:1 in.   </v>
      </c>
      <c r="R692" t="str">
        <f t="shared" si="36"/>
        <v>TRUE</v>
      </c>
      <c r="S692" t="str">
        <f t="shared" si="37"/>
        <v>TRUE</v>
      </c>
    </row>
    <row r="693" spans="1:19" hidden="1">
      <c r="A693" t="s">
        <v>853</v>
      </c>
      <c r="B693" s="14" t="s">
        <v>144</v>
      </c>
      <c r="C693" s="14" t="s">
        <v>156</v>
      </c>
      <c r="D693" s="14">
        <v>1</v>
      </c>
      <c r="E693" s="14">
        <v>1</v>
      </c>
      <c r="F693" s="14">
        <v>1</v>
      </c>
      <c r="G693" s="14">
        <v>1</v>
      </c>
      <c r="H693" s="14"/>
      <c r="I693" s="8" t="s">
        <v>38</v>
      </c>
      <c r="J693" s="8" t="s">
        <v>38</v>
      </c>
      <c r="K693">
        <v>23.5</v>
      </c>
      <c r="L693">
        <v>54</v>
      </c>
      <c r="M693" s="14">
        <v>4.5</v>
      </c>
      <c r="N693" s="14">
        <v>6.8125</v>
      </c>
      <c r="Q693" t="str">
        <f t="shared" si="35"/>
        <v xml:space="preserve">XX8X_PV_1275:    Front abuts stile:TRUE       Back abuts stile:TRUE          Panel Section: TOP           Stile in the back Width:            Cutout A:           Cutout B:      F.C.:4.5 in.         C.C.:6.8125 in.   </v>
      </c>
      <c r="R693" t="str">
        <f t="shared" si="36"/>
        <v>TRUE</v>
      </c>
      <c r="S693" t="str">
        <f t="shared" si="37"/>
        <v>TRUE</v>
      </c>
    </row>
    <row r="694" spans="1:19" hidden="1">
      <c r="A694" t="s">
        <v>854</v>
      </c>
      <c r="B694" s="14" t="s">
        <v>144</v>
      </c>
      <c r="C694" s="14" t="s">
        <v>157</v>
      </c>
      <c r="D694" s="14">
        <v>0</v>
      </c>
      <c r="E694" s="14"/>
      <c r="F694" s="14">
        <v>0</v>
      </c>
      <c r="G694" s="14"/>
      <c r="H694" s="14"/>
      <c r="I694" s="8" t="s">
        <v>120</v>
      </c>
      <c r="J694" s="8" t="s">
        <v>38</v>
      </c>
      <c r="K694">
        <v>60</v>
      </c>
      <c r="L694">
        <v>28.1875</v>
      </c>
      <c r="M694" s="14">
        <v>4.5625</v>
      </c>
      <c r="N694" s="14">
        <v>4.9375</v>
      </c>
      <c r="Q694" t="str">
        <f t="shared" si="35"/>
        <v xml:space="preserve">XX8X_PV_1291:    Front abuts stile:FALSE       Back abuts stile:FALSE          Panel Section: BOTTOM           Stile in the back Width:            Cutout A: B-386          Cutout B:      F.C.:4.5625 in.         C.C.:4.9375 in.   </v>
      </c>
      <c r="R694" t="str">
        <f t="shared" si="36"/>
        <v>FALSE</v>
      </c>
      <c r="S694" t="str">
        <f t="shared" si="37"/>
        <v>FALSE</v>
      </c>
    </row>
    <row r="695" spans="1:19" hidden="1">
      <c r="A695" t="s">
        <v>855</v>
      </c>
      <c r="B695" s="14" t="s">
        <v>144</v>
      </c>
      <c r="C695" s="14" t="s">
        <v>157</v>
      </c>
      <c r="D695" s="14">
        <v>0</v>
      </c>
      <c r="E695" s="14"/>
      <c r="F695" s="14">
        <v>1</v>
      </c>
      <c r="G695" s="14">
        <v>0</v>
      </c>
      <c r="H695" s="14">
        <v>12</v>
      </c>
      <c r="I695" s="8" t="s">
        <v>145</v>
      </c>
      <c r="J695" s="8" t="s">
        <v>38</v>
      </c>
      <c r="K695">
        <v>60</v>
      </c>
      <c r="L695">
        <v>37.625</v>
      </c>
      <c r="M695" s="14">
        <v>9</v>
      </c>
      <c r="N695" s="14">
        <v>1</v>
      </c>
      <c r="Q695" t="str">
        <f t="shared" si="35"/>
        <v xml:space="preserve">XX8X_PV_1292:    Front abuts stile:FALSE       Back abuts stile:TRUE          Panel Section: BOTTOM           Stile in the back Width: 12           Cutout A: B-347          Cutout B:      F.C.:9 in.         C.C.:1 in.   </v>
      </c>
      <c r="R695" t="str">
        <f t="shared" si="36"/>
        <v>FALSE</v>
      </c>
      <c r="S695" t="str">
        <f t="shared" si="37"/>
        <v>TRUE</v>
      </c>
    </row>
    <row r="696" spans="1:19" hidden="1">
      <c r="A696" t="s">
        <v>856</v>
      </c>
      <c r="B696" s="14" t="s">
        <v>144</v>
      </c>
      <c r="C696" s="14" t="s">
        <v>157</v>
      </c>
      <c r="D696" s="14">
        <v>0</v>
      </c>
      <c r="E696" s="14"/>
      <c r="F696" s="14">
        <v>1</v>
      </c>
      <c r="G696" s="14">
        <v>0</v>
      </c>
      <c r="H696" s="14">
        <v>24</v>
      </c>
      <c r="I696" s="8" t="s">
        <v>120</v>
      </c>
      <c r="J696" s="8" t="s">
        <v>38</v>
      </c>
      <c r="K696">
        <v>60</v>
      </c>
      <c r="L696">
        <v>41.5625</v>
      </c>
      <c r="M696" s="14">
        <v>3.75</v>
      </c>
      <c r="N696" s="14">
        <v>8.1875</v>
      </c>
      <c r="Q696" t="str">
        <f t="shared" si="35"/>
        <v xml:space="preserve">XX8X_PV_1293:    Front abuts stile:FALSE       Back abuts stile:TRUE          Panel Section: BOTTOM           Stile in the back Width: 24           Cutout A: B-386          Cutout B:      F.C.:3.75 in.         C.C.:8.1875 in.   </v>
      </c>
      <c r="R696" t="str">
        <f t="shared" si="36"/>
        <v>FALSE</v>
      </c>
      <c r="S696" t="str">
        <f t="shared" si="37"/>
        <v>TRUE</v>
      </c>
    </row>
    <row r="697" spans="1:19" hidden="1">
      <c r="A697" t="s">
        <v>857</v>
      </c>
      <c r="B697" s="14" t="s">
        <v>144</v>
      </c>
      <c r="C697" s="14" t="s">
        <v>157</v>
      </c>
      <c r="D697" s="14">
        <v>0</v>
      </c>
      <c r="E697" s="14"/>
      <c r="F697" s="14">
        <v>1</v>
      </c>
      <c r="G697" s="14">
        <v>0</v>
      </c>
      <c r="H697" s="14"/>
      <c r="I697" s="8" t="s">
        <v>148</v>
      </c>
      <c r="J697" s="8" t="s">
        <v>38</v>
      </c>
      <c r="K697">
        <v>60</v>
      </c>
      <c r="L697">
        <v>33.4375</v>
      </c>
      <c r="M697" s="14">
        <v>7.5</v>
      </c>
      <c r="N697" s="14">
        <v>1</v>
      </c>
      <c r="Q697" t="str">
        <f t="shared" si="35"/>
        <v xml:space="preserve">XX8X_PV_1294:    Front abuts stile:FALSE       Back abuts stile:TRUE          Panel Section: BOTTOM           Stile in the back Width:            Cutout A: B-3471          Cutout B:      F.C.:7.5 in.         C.C.:1 in.   </v>
      </c>
      <c r="R697" t="str">
        <f t="shared" si="36"/>
        <v>FALSE</v>
      </c>
      <c r="S697" t="str">
        <f t="shared" si="37"/>
        <v>TRUE</v>
      </c>
    </row>
    <row r="698" spans="1:19" hidden="1">
      <c r="A698" t="s">
        <v>858</v>
      </c>
      <c r="B698" s="14" t="s">
        <v>144</v>
      </c>
      <c r="C698" s="14" t="s">
        <v>157</v>
      </c>
      <c r="D698" s="14">
        <v>0</v>
      </c>
      <c r="E698" s="14"/>
      <c r="F698" s="14">
        <v>1</v>
      </c>
      <c r="G698" s="14">
        <v>1</v>
      </c>
      <c r="H698" s="14"/>
      <c r="I698" s="8" t="s">
        <v>38</v>
      </c>
      <c r="J698" s="8" t="s">
        <v>38</v>
      </c>
      <c r="K698">
        <v>60</v>
      </c>
      <c r="L698">
        <v>18</v>
      </c>
      <c r="M698" s="14">
        <v>9</v>
      </c>
      <c r="N698" s="14">
        <v>3.3125</v>
      </c>
      <c r="Q698" t="str">
        <f t="shared" si="35"/>
        <v xml:space="preserve">XX8X_PV_1295:    Front abuts stile:FALSE       Back abuts stile:TRUE          Panel Section: BOTTOM           Stile in the back Width:            Cutout A:           Cutout B:      F.C.:9 in.         C.C.:3.3125 in.   </v>
      </c>
      <c r="R698" t="str">
        <f t="shared" si="36"/>
        <v>FALSE</v>
      </c>
      <c r="S698" t="str">
        <f t="shared" si="37"/>
        <v>TRUE</v>
      </c>
    </row>
    <row r="699" spans="1:19" hidden="1">
      <c r="A699" t="s">
        <v>859</v>
      </c>
      <c r="B699" s="14" t="s">
        <v>144</v>
      </c>
      <c r="C699" s="14" t="s">
        <v>157</v>
      </c>
      <c r="D699" s="14">
        <v>1</v>
      </c>
      <c r="E699" s="14">
        <v>0</v>
      </c>
      <c r="F699" s="14">
        <v>0</v>
      </c>
      <c r="G699" s="14"/>
      <c r="H699" s="14"/>
      <c r="I699" s="8" t="s">
        <v>121</v>
      </c>
      <c r="J699" s="8" t="s">
        <v>38</v>
      </c>
      <c r="K699">
        <v>60</v>
      </c>
      <c r="L699">
        <v>49.3125</v>
      </c>
      <c r="M699" s="14">
        <v>2.875</v>
      </c>
      <c r="N699" s="14">
        <v>1.8125</v>
      </c>
      <c r="Q699" t="str">
        <f t="shared" si="35"/>
        <v xml:space="preserve">XX8X_PV_1296:    Front abuts stile:TRUE       Back abuts stile:FALSE          Panel Section: BOTTOM           Stile in the back Width:            Cutout A: B-4354          Cutout B:      F.C.:2.875 in.         C.C.:1.8125 in.   </v>
      </c>
      <c r="R699" t="str">
        <f t="shared" si="36"/>
        <v>TRUE</v>
      </c>
      <c r="S699" t="str">
        <f t="shared" si="37"/>
        <v>FALSE</v>
      </c>
    </row>
    <row r="700" spans="1:19" hidden="1">
      <c r="A700" t="s">
        <v>860</v>
      </c>
      <c r="B700" s="14" t="s">
        <v>144</v>
      </c>
      <c r="C700" s="14" t="s">
        <v>157</v>
      </c>
      <c r="D700" s="14">
        <v>1</v>
      </c>
      <c r="E700" s="14">
        <v>0</v>
      </c>
      <c r="F700" s="14">
        <v>1</v>
      </c>
      <c r="G700" s="14">
        <v>0</v>
      </c>
      <c r="H700" s="14">
        <v>12</v>
      </c>
      <c r="I700" s="8" t="s">
        <v>38</v>
      </c>
      <c r="J700" s="8" t="s">
        <v>38</v>
      </c>
      <c r="K700">
        <v>60</v>
      </c>
      <c r="L700">
        <v>11.5625</v>
      </c>
      <c r="M700" s="14">
        <v>4.5</v>
      </c>
      <c r="N700" s="14">
        <v>6.375</v>
      </c>
      <c r="Q700" t="str">
        <f t="shared" si="35"/>
        <v xml:space="preserve">XX8X_PV_1297:    Front abuts stile:TRUE       Back abuts stile:TRUE          Panel Section: BOTTOM           Stile in the back Width: 12           Cutout A:           Cutout B:      F.C.:4.5 in.         C.C.:6.375 in.   </v>
      </c>
      <c r="R700" t="str">
        <f t="shared" si="36"/>
        <v>TRUE</v>
      </c>
      <c r="S700" t="str">
        <f t="shared" si="37"/>
        <v>TRUE</v>
      </c>
    </row>
    <row r="701" spans="1:19" hidden="1">
      <c r="A701" t="s">
        <v>861</v>
      </c>
      <c r="B701" s="14" t="s">
        <v>144</v>
      </c>
      <c r="C701" s="14" t="s">
        <v>157</v>
      </c>
      <c r="D701" s="14">
        <v>1</v>
      </c>
      <c r="E701" s="14">
        <v>0</v>
      </c>
      <c r="F701" s="14">
        <v>1</v>
      </c>
      <c r="G701" s="14">
        <v>0</v>
      </c>
      <c r="H701" s="14">
        <v>24</v>
      </c>
      <c r="I701" s="8" t="s">
        <v>120</v>
      </c>
      <c r="J701" s="8" t="s">
        <v>38</v>
      </c>
      <c r="K701">
        <v>60</v>
      </c>
      <c r="L701">
        <v>8.625</v>
      </c>
      <c r="M701" s="14">
        <v>9</v>
      </c>
      <c r="N701" s="14">
        <v>1</v>
      </c>
      <c r="Q701" t="str">
        <f t="shared" si="35"/>
        <v xml:space="preserve">XX8X_PV_1298:    Front abuts stile:TRUE       Back abuts stile:TRUE          Panel Section: BOTTOM           Stile in the back Width: 24           Cutout A: B-386          Cutout B:      F.C.:9 in.         C.C.:1 in.   </v>
      </c>
      <c r="R701" t="str">
        <f t="shared" si="36"/>
        <v>TRUE</v>
      </c>
      <c r="S701" t="str">
        <f t="shared" si="37"/>
        <v>TRUE</v>
      </c>
    </row>
    <row r="702" spans="1:19" hidden="1">
      <c r="A702" t="s">
        <v>862</v>
      </c>
      <c r="B702" s="14" t="s">
        <v>144</v>
      </c>
      <c r="C702" s="14" t="s">
        <v>157</v>
      </c>
      <c r="D702" s="14">
        <v>1</v>
      </c>
      <c r="E702" s="14">
        <v>0</v>
      </c>
      <c r="F702" s="14">
        <v>1</v>
      </c>
      <c r="G702" s="14">
        <v>0</v>
      </c>
      <c r="H702" s="14"/>
      <c r="I702" s="8" t="s">
        <v>150</v>
      </c>
      <c r="J702" s="8" t="s">
        <v>38</v>
      </c>
      <c r="K702">
        <v>60</v>
      </c>
      <c r="L702">
        <v>36.3125</v>
      </c>
      <c r="M702" s="14">
        <v>11.3125</v>
      </c>
      <c r="N702" s="14">
        <v>2.25</v>
      </c>
      <c r="Q702" t="str">
        <f t="shared" si="35"/>
        <v xml:space="preserve">XX8X_PV_1299:    Front abuts stile:TRUE       Back abuts stile:TRUE          Panel Section: BOTTOM           Stile in the back Width:            Cutout A: B-3571          Cutout B:      F.C.:11.3125 in.         C.C.:2.25 in.   </v>
      </c>
      <c r="R702" t="str">
        <f t="shared" si="36"/>
        <v>TRUE</v>
      </c>
      <c r="S702" t="str">
        <f t="shared" si="37"/>
        <v>TRUE</v>
      </c>
    </row>
    <row r="703" spans="1:19" hidden="1">
      <c r="A703" t="s">
        <v>863</v>
      </c>
      <c r="B703" s="14" t="s">
        <v>144</v>
      </c>
      <c r="C703" s="14" t="s">
        <v>157</v>
      </c>
      <c r="D703" s="14">
        <v>1</v>
      </c>
      <c r="E703" s="14">
        <v>0</v>
      </c>
      <c r="F703" s="14">
        <v>1</v>
      </c>
      <c r="G703" s="14">
        <v>1</v>
      </c>
      <c r="H703" s="14"/>
      <c r="I703" s="8" t="s">
        <v>38</v>
      </c>
      <c r="J703" s="8" t="s">
        <v>38</v>
      </c>
      <c r="K703">
        <v>60</v>
      </c>
      <c r="L703">
        <v>68.5625</v>
      </c>
      <c r="M703" s="14">
        <v>1.625</v>
      </c>
      <c r="N703" s="14">
        <v>2.5</v>
      </c>
      <c r="Q703" t="str">
        <f t="shared" si="35"/>
        <v xml:space="preserve">XX8X_PV_1300:    Front abuts stile:TRUE       Back abuts stile:TRUE          Panel Section: BOTTOM           Stile in the back Width:            Cutout A:           Cutout B:      F.C.:1.625 in.         C.C.:2.5 in.   </v>
      </c>
      <c r="R703" t="str">
        <f t="shared" si="36"/>
        <v>TRUE</v>
      </c>
      <c r="S703" t="str">
        <f t="shared" si="37"/>
        <v>TRUE</v>
      </c>
    </row>
    <row r="704" spans="1:19" hidden="1">
      <c r="A704" t="s">
        <v>864</v>
      </c>
      <c r="B704" s="14" t="s">
        <v>144</v>
      </c>
      <c r="C704" s="14" t="s">
        <v>157</v>
      </c>
      <c r="D704" s="14">
        <v>1</v>
      </c>
      <c r="E704" s="14">
        <v>1</v>
      </c>
      <c r="F704" s="14">
        <v>0</v>
      </c>
      <c r="G704" s="14"/>
      <c r="H704" s="14"/>
      <c r="I704" s="8" t="s">
        <v>145</v>
      </c>
      <c r="J704" s="8" t="s">
        <v>38</v>
      </c>
      <c r="K704">
        <v>60</v>
      </c>
      <c r="L704">
        <v>60.875</v>
      </c>
      <c r="M704" s="14">
        <v>4.5</v>
      </c>
      <c r="N704" s="14">
        <v>8.375</v>
      </c>
      <c r="Q704" t="str">
        <f t="shared" si="35"/>
        <v xml:space="preserve">XX8X_PV_1301:    Front abuts stile:TRUE       Back abuts stile:FALSE          Panel Section: BOTTOM           Stile in the back Width:            Cutout A: B-347          Cutout B:      F.C.:4.5 in.         C.C.:8.375 in.   </v>
      </c>
      <c r="R704" t="str">
        <f t="shared" si="36"/>
        <v>TRUE</v>
      </c>
      <c r="S704" t="str">
        <f t="shared" si="37"/>
        <v>FALSE</v>
      </c>
    </row>
    <row r="705" spans="1:19" hidden="1">
      <c r="A705" t="s">
        <v>865</v>
      </c>
      <c r="B705" s="14" t="s">
        <v>144</v>
      </c>
      <c r="C705" s="14" t="s">
        <v>157</v>
      </c>
      <c r="D705" s="14">
        <v>1</v>
      </c>
      <c r="E705" s="14">
        <v>1</v>
      </c>
      <c r="F705" s="14">
        <v>1</v>
      </c>
      <c r="G705" s="14">
        <v>0</v>
      </c>
      <c r="H705" s="14">
        <v>12</v>
      </c>
      <c r="I705" s="8" t="s">
        <v>150</v>
      </c>
      <c r="J705" s="8" t="s">
        <v>38</v>
      </c>
      <c r="K705">
        <v>60</v>
      </c>
      <c r="L705">
        <v>68.1875</v>
      </c>
      <c r="M705" s="14">
        <v>11.625</v>
      </c>
      <c r="N705" s="14">
        <v>6.5625</v>
      </c>
      <c r="Q705" t="str">
        <f t="shared" si="35"/>
        <v xml:space="preserve">XX8X_PV_1302:    Front abuts stile:TRUE       Back abuts stile:TRUE          Panel Section: BOTTOM           Stile in the back Width: 12           Cutout A: B-3571          Cutout B:      F.C.:11.625 in.         C.C.:6.5625 in.   </v>
      </c>
      <c r="R705" t="str">
        <f t="shared" si="36"/>
        <v>TRUE</v>
      </c>
      <c r="S705" t="str">
        <f t="shared" si="37"/>
        <v>TRUE</v>
      </c>
    </row>
    <row r="706" spans="1:19" hidden="1">
      <c r="A706" t="s">
        <v>866</v>
      </c>
      <c r="B706" s="14" t="s">
        <v>144</v>
      </c>
      <c r="C706" s="14" t="s">
        <v>157</v>
      </c>
      <c r="D706" s="14">
        <v>1</v>
      </c>
      <c r="E706" s="14">
        <v>1</v>
      </c>
      <c r="F706" s="14">
        <v>1</v>
      </c>
      <c r="G706" s="14">
        <v>0</v>
      </c>
      <c r="H706" s="14">
        <v>24</v>
      </c>
      <c r="I706" s="8" t="s">
        <v>120</v>
      </c>
      <c r="J706" s="8" t="s">
        <v>38</v>
      </c>
      <c r="K706">
        <v>60</v>
      </c>
      <c r="L706">
        <v>48.0625</v>
      </c>
      <c r="M706" s="14">
        <v>9</v>
      </c>
      <c r="N706" s="14">
        <v>1</v>
      </c>
      <c r="Q706" t="str">
        <f t="shared" si="35"/>
        <v xml:space="preserve">XX8X_PV_1303:    Front abuts stile:TRUE       Back abuts stile:TRUE          Panel Section: BOTTOM           Stile in the back Width: 24           Cutout A: B-386          Cutout B:      F.C.:9 in.         C.C.:1 in.   </v>
      </c>
      <c r="R706" t="str">
        <f t="shared" si="36"/>
        <v>TRUE</v>
      </c>
      <c r="S706" t="str">
        <f t="shared" si="37"/>
        <v>TRUE</v>
      </c>
    </row>
    <row r="707" spans="1:19" hidden="1">
      <c r="A707" t="s">
        <v>867</v>
      </c>
      <c r="B707" s="14" t="s">
        <v>144</v>
      </c>
      <c r="C707" s="14" t="s">
        <v>157</v>
      </c>
      <c r="D707" s="14">
        <v>1</v>
      </c>
      <c r="E707" s="14">
        <v>1</v>
      </c>
      <c r="F707" s="14">
        <v>1</v>
      </c>
      <c r="G707" s="14">
        <v>0</v>
      </c>
      <c r="H707" s="14"/>
      <c r="I707" s="8" t="s">
        <v>120</v>
      </c>
      <c r="J707" s="8" t="s">
        <v>38</v>
      </c>
      <c r="K707">
        <v>60</v>
      </c>
      <c r="L707">
        <v>62.75</v>
      </c>
      <c r="M707" s="14">
        <v>5.125</v>
      </c>
      <c r="N707" s="14">
        <v>2.8125</v>
      </c>
      <c r="Q707" t="str">
        <f t="shared" si="35"/>
        <v xml:space="preserve">XX8X_PV_1304:    Front abuts stile:TRUE       Back abuts stile:TRUE          Panel Section: BOTTOM           Stile in the back Width:            Cutout A: B-386          Cutout B:      F.C.:5.125 in.         C.C.:2.8125 in.   </v>
      </c>
      <c r="R707" t="str">
        <f t="shared" si="36"/>
        <v>TRUE</v>
      </c>
      <c r="S707" t="str">
        <f t="shared" si="37"/>
        <v>TRUE</v>
      </c>
    </row>
    <row r="708" spans="1:19" hidden="1">
      <c r="A708" t="s">
        <v>868</v>
      </c>
      <c r="B708" s="14" t="s">
        <v>144</v>
      </c>
      <c r="C708" s="14" t="s">
        <v>157</v>
      </c>
      <c r="D708" s="14">
        <v>1</v>
      </c>
      <c r="E708" s="14">
        <v>1</v>
      </c>
      <c r="F708" s="14">
        <v>1</v>
      </c>
      <c r="G708" s="14">
        <v>1</v>
      </c>
      <c r="H708" s="14"/>
      <c r="I708" s="8" t="s">
        <v>38</v>
      </c>
      <c r="J708" s="8" t="s">
        <v>38</v>
      </c>
      <c r="K708">
        <v>60</v>
      </c>
      <c r="L708">
        <v>38.3125</v>
      </c>
      <c r="M708" s="14">
        <v>1</v>
      </c>
      <c r="N708" s="14">
        <v>6.375</v>
      </c>
      <c r="Q708" t="str">
        <f t="shared" si="35"/>
        <v xml:space="preserve">XX8X_PV_1305:    Front abuts stile:TRUE       Back abuts stile:TRUE          Panel Section: BOTTOM           Stile in the back Width:            Cutout A:           Cutout B:      F.C.:1 in.         C.C.:6.375 in.   </v>
      </c>
      <c r="R708" t="str">
        <f t="shared" si="36"/>
        <v>TRUE</v>
      </c>
      <c r="S708" t="str">
        <f t="shared" si="37"/>
        <v>TRUE</v>
      </c>
    </row>
    <row r="709" spans="1:19" hidden="1">
      <c r="A709" t="s">
        <v>869</v>
      </c>
      <c r="B709" s="14" t="s">
        <v>144</v>
      </c>
      <c r="C709" s="14" t="s">
        <v>21</v>
      </c>
      <c r="D709" s="14">
        <v>0</v>
      </c>
      <c r="E709" s="14"/>
      <c r="F709" s="14">
        <v>0</v>
      </c>
      <c r="G709" s="14"/>
      <c r="H709" s="14"/>
      <c r="I709" s="8" t="s">
        <v>38</v>
      </c>
      <c r="J709" s="8" t="s">
        <v>38</v>
      </c>
      <c r="K709">
        <v>79.0625</v>
      </c>
      <c r="L709">
        <v>9.1875</v>
      </c>
      <c r="M709" s="14">
        <v>4.5</v>
      </c>
      <c r="N709" s="14">
        <v>1</v>
      </c>
      <c r="Q709" t="str">
        <f t="shared" si="35"/>
        <v xml:space="preserve">XX8X_PV_1321:    Front abuts stile:FALSE       Back abuts stile:FALSE          Panel Section: WHOLE           Stile in the back Width:            Cutout A:           Cutout B:      F.C.:4.5 in.         C.C.:1 in.   </v>
      </c>
      <c r="R709" t="str">
        <f t="shared" si="36"/>
        <v>FALSE</v>
      </c>
      <c r="S709" t="str">
        <f t="shared" si="37"/>
        <v>FALSE</v>
      </c>
    </row>
    <row r="710" spans="1:19" hidden="1">
      <c r="A710" t="s">
        <v>870</v>
      </c>
      <c r="B710" s="14" t="s">
        <v>144</v>
      </c>
      <c r="C710" s="14" t="s">
        <v>21</v>
      </c>
      <c r="D710" s="14">
        <v>0</v>
      </c>
      <c r="E710" s="14"/>
      <c r="F710" s="14">
        <v>1</v>
      </c>
      <c r="G710" s="14">
        <v>0</v>
      </c>
      <c r="H710" s="14">
        <v>12</v>
      </c>
      <c r="I710" s="8" t="s">
        <v>120</v>
      </c>
      <c r="J710" s="8" t="s">
        <v>38</v>
      </c>
      <c r="K710">
        <v>89.9375</v>
      </c>
      <c r="L710">
        <v>67.625</v>
      </c>
      <c r="M710" s="14">
        <v>12</v>
      </c>
      <c r="N710" s="14">
        <v>4.25</v>
      </c>
      <c r="Q710" t="str">
        <f t="shared" si="35"/>
        <v xml:space="preserve">XX8X_PV_1322:    Front abuts stile:FALSE       Back abuts stile:TRUE          Panel Section: WHOLE           Stile in the back Width: 12           Cutout A: B-386          Cutout B:      F.C.:12 in.         C.C.:4.25 in.   </v>
      </c>
      <c r="R710" t="str">
        <f t="shared" si="36"/>
        <v>FALSE</v>
      </c>
      <c r="S710" t="str">
        <f t="shared" si="37"/>
        <v>TRUE</v>
      </c>
    </row>
    <row r="711" spans="1:19" hidden="1">
      <c r="A711" t="s">
        <v>871</v>
      </c>
      <c r="B711" s="14" t="s">
        <v>144</v>
      </c>
      <c r="C711" s="14" t="s">
        <v>21</v>
      </c>
      <c r="D711" s="14">
        <v>0</v>
      </c>
      <c r="E711" s="14"/>
      <c r="F711" s="14">
        <v>1</v>
      </c>
      <c r="G711" s="14">
        <v>0</v>
      </c>
      <c r="H711" s="14">
        <v>24</v>
      </c>
      <c r="I711" s="8" t="s">
        <v>120</v>
      </c>
      <c r="J711" s="8" t="s">
        <v>38</v>
      </c>
      <c r="K711">
        <v>55.0625</v>
      </c>
      <c r="L711">
        <v>15.1875</v>
      </c>
      <c r="M711" s="14">
        <v>12</v>
      </c>
      <c r="N711" s="14">
        <v>4.8125</v>
      </c>
      <c r="Q711" t="str">
        <f t="shared" ref="Q711:Q768" si="38">A711&amp;":    Front abuts stile:"&amp;R711&amp;"       Back abuts stile:"&amp;S711&amp;"          Panel Section: "&amp;C711&amp;"           Stile in the back Width: "&amp;H711&amp;"           Cutout A: "&amp;I711&amp;"          Cutout B:"&amp;J711&amp;"      F.C.:"&amp;M711&amp;" in. "&amp;"        C.C.:"&amp;N711&amp;" in. "&amp;"  "</f>
        <v xml:space="preserve">XX8X_PV_1323:    Front abuts stile:FALSE       Back abuts stile:TRUE          Panel Section: WHOLE           Stile in the back Width: 24           Cutout A: B-386          Cutout B:      F.C.:12 in.         C.C.:4.8125 in.   </v>
      </c>
      <c r="R711" t="str">
        <f t="shared" si="36"/>
        <v>FALSE</v>
      </c>
      <c r="S711" t="str">
        <f t="shared" si="37"/>
        <v>TRUE</v>
      </c>
    </row>
    <row r="712" spans="1:19" hidden="1">
      <c r="A712" t="s">
        <v>872</v>
      </c>
      <c r="B712" s="14" t="s">
        <v>144</v>
      </c>
      <c r="C712" s="14" t="s">
        <v>21</v>
      </c>
      <c r="D712" s="14">
        <v>0</v>
      </c>
      <c r="E712" s="14"/>
      <c r="F712" s="14">
        <v>1</v>
      </c>
      <c r="G712" s="14">
        <v>0</v>
      </c>
      <c r="H712" s="14"/>
      <c r="I712" s="8" t="s">
        <v>120</v>
      </c>
      <c r="J712" s="8" t="s">
        <v>38</v>
      </c>
      <c r="K712">
        <v>96</v>
      </c>
      <c r="L712">
        <v>33.75</v>
      </c>
      <c r="M712" s="14">
        <v>5.1875</v>
      </c>
      <c r="N712" s="14">
        <v>1</v>
      </c>
      <c r="Q712" t="str">
        <f t="shared" si="38"/>
        <v xml:space="preserve">XX8X_PV_1324:    Front abuts stile:FALSE       Back abuts stile:TRUE          Panel Section: WHOLE           Stile in the back Width:            Cutout A: B-386          Cutout B:      F.C.:5.1875 in.         C.C.:1 in.   </v>
      </c>
      <c r="R712" t="str">
        <f t="shared" si="36"/>
        <v>FALSE</v>
      </c>
      <c r="S712" t="str">
        <f t="shared" si="37"/>
        <v>TRUE</v>
      </c>
    </row>
    <row r="713" spans="1:19" hidden="1">
      <c r="A713" t="s">
        <v>873</v>
      </c>
      <c r="B713" s="14" t="s">
        <v>144</v>
      </c>
      <c r="C713" s="14" t="s">
        <v>21</v>
      </c>
      <c r="D713" s="14">
        <v>0</v>
      </c>
      <c r="E713" s="14"/>
      <c r="F713" s="14">
        <v>1</v>
      </c>
      <c r="G713" s="14">
        <v>1</v>
      </c>
      <c r="H713" s="14"/>
      <c r="I713" s="8" t="s">
        <v>150</v>
      </c>
      <c r="J713" s="8" t="s">
        <v>38</v>
      </c>
      <c r="K713">
        <v>68.1875</v>
      </c>
      <c r="L713">
        <v>56.3125</v>
      </c>
      <c r="M713" s="14">
        <v>4.5</v>
      </c>
      <c r="N713" s="14">
        <v>6</v>
      </c>
      <c r="Q713" t="str">
        <f t="shared" si="38"/>
        <v xml:space="preserve">XX8X_PV_1325:    Front abuts stile:FALSE       Back abuts stile:TRUE          Panel Section: WHOLE           Stile in the back Width:            Cutout A: B-3571          Cutout B:      F.C.:4.5 in.         C.C.:6 in.   </v>
      </c>
      <c r="R713" t="str">
        <f t="shared" si="36"/>
        <v>FALSE</v>
      </c>
      <c r="S713" t="str">
        <f t="shared" si="37"/>
        <v>TRUE</v>
      </c>
    </row>
    <row r="714" spans="1:19" hidden="1">
      <c r="A714" t="s">
        <v>874</v>
      </c>
      <c r="B714" s="14" t="s">
        <v>144</v>
      </c>
      <c r="C714" s="14" t="s">
        <v>21</v>
      </c>
      <c r="D714" s="14">
        <v>1</v>
      </c>
      <c r="E714" s="14">
        <v>0</v>
      </c>
      <c r="F714" s="14">
        <v>0</v>
      </c>
      <c r="G714" s="14"/>
      <c r="H714" s="14"/>
      <c r="I714" s="8" t="s">
        <v>38</v>
      </c>
      <c r="J714" s="8" t="s">
        <v>38</v>
      </c>
      <c r="K714">
        <v>100.875</v>
      </c>
      <c r="L714">
        <v>41.375</v>
      </c>
      <c r="M714" s="14">
        <v>9</v>
      </c>
      <c r="N714" s="14">
        <v>6.1875</v>
      </c>
      <c r="Q714" t="str">
        <f t="shared" si="38"/>
        <v xml:space="preserve">XX8X_PV_1326:    Front abuts stile:TRUE       Back abuts stile:FALSE          Panel Section: WHOLE           Stile in the back Width:            Cutout A:           Cutout B:      F.C.:9 in.         C.C.:6.1875 in.   </v>
      </c>
      <c r="R714" t="str">
        <f t="shared" si="36"/>
        <v>TRUE</v>
      </c>
      <c r="S714" t="str">
        <f t="shared" si="37"/>
        <v>FALSE</v>
      </c>
    </row>
    <row r="715" spans="1:19" hidden="1">
      <c r="A715" t="s">
        <v>875</v>
      </c>
      <c r="B715" s="14" t="s">
        <v>144</v>
      </c>
      <c r="C715" s="14" t="s">
        <v>21</v>
      </c>
      <c r="D715" s="14">
        <v>1</v>
      </c>
      <c r="E715" s="14">
        <v>0</v>
      </c>
      <c r="F715" s="14">
        <v>1</v>
      </c>
      <c r="G715" s="14">
        <v>0</v>
      </c>
      <c r="H715" s="14">
        <v>12</v>
      </c>
      <c r="I715" s="8" t="s">
        <v>120</v>
      </c>
      <c r="J715" s="8" t="s">
        <v>38</v>
      </c>
      <c r="K715">
        <v>67.9375</v>
      </c>
      <c r="L715">
        <v>30.0625</v>
      </c>
      <c r="M715" s="14">
        <v>6.625</v>
      </c>
      <c r="N715" s="14">
        <v>4.8125</v>
      </c>
      <c r="Q715" t="str">
        <f t="shared" si="38"/>
        <v xml:space="preserve">XX8X_PV_1327:    Front abuts stile:TRUE       Back abuts stile:TRUE          Panel Section: WHOLE           Stile in the back Width: 12           Cutout A: B-386          Cutout B:      F.C.:6.625 in.         C.C.:4.8125 in.   </v>
      </c>
      <c r="R715" t="str">
        <f t="shared" si="36"/>
        <v>TRUE</v>
      </c>
      <c r="S715" t="str">
        <f t="shared" si="37"/>
        <v>TRUE</v>
      </c>
    </row>
    <row r="716" spans="1:19" hidden="1">
      <c r="A716" t="s">
        <v>876</v>
      </c>
      <c r="B716" s="14" t="s">
        <v>144</v>
      </c>
      <c r="C716" s="14" t="s">
        <v>21</v>
      </c>
      <c r="D716" s="14">
        <v>1</v>
      </c>
      <c r="E716" s="14">
        <v>0</v>
      </c>
      <c r="F716" s="14">
        <v>1</v>
      </c>
      <c r="G716" s="14">
        <v>0</v>
      </c>
      <c r="H716" s="14">
        <v>24</v>
      </c>
      <c r="I716" s="8" t="s">
        <v>120</v>
      </c>
      <c r="J716" s="8" t="s">
        <v>38</v>
      </c>
      <c r="K716">
        <v>64.0625</v>
      </c>
      <c r="L716">
        <v>16.4375</v>
      </c>
      <c r="M716" s="14">
        <v>10.625</v>
      </c>
      <c r="N716" s="14">
        <v>2.4375</v>
      </c>
      <c r="Q716" t="str">
        <f t="shared" si="38"/>
        <v xml:space="preserve">XX8X_PV_1328:    Front abuts stile:TRUE       Back abuts stile:TRUE          Panel Section: WHOLE           Stile in the back Width: 24           Cutout A: B-386          Cutout B:      F.C.:10.625 in.         C.C.:2.4375 in.   </v>
      </c>
      <c r="R716" t="str">
        <f t="shared" si="36"/>
        <v>TRUE</v>
      </c>
      <c r="S716" t="str">
        <f t="shared" si="37"/>
        <v>TRUE</v>
      </c>
    </row>
    <row r="717" spans="1:19" hidden="1">
      <c r="A717" t="s">
        <v>877</v>
      </c>
      <c r="B717" s="14" t="s">
        <v>144</v>
      </c>
      <c r="C717" s="14" t="s">
        <v>21</v>
      </c>
      <c r="D717" s="14">
        <v>1</v>
      </c>
      <c r="E717" s="14">
        <v>0</v>
      </c>
      <c r="F717" s="14">
        <v>1</v>
      </c>
      <c r="G717" s="14">
        <v>0</v>
      </c>
      <c r="H717" s="14"/>
      <c r="I717" s="8" t="s">
        <v>38</v>
      </c>
      <c r="J717" s="8" t="s">
        <v>38</v>
      </c>
      <c r="K717">
        <v>96</v>
      </c>
      <c r="L717">
        <v>18.375</v>
      </c>
      <c r="M717" s="14">
        <v>4.25</v>
      </c>
      <c r="N717" s="14">
        <v>6.5625</v>
      </c>
      <c r="Q717" t="str">
        <f t="shared" si="38"/>
        <v xml:space="preserve">XX8X_PV_1329:    Front abuts stile:TRUE       Back abuts stile:TRUE          Panel Section: WHOLE           Stile in the back Width:            Cutout A:           Cutout B:      F.C.:4.25 in.         C.C.:6.5625 in.   </v>
      </c>
      <c r="R717" t="str">
        <f t="shared" si="36"/>
        <v>TRUE</v>
      </c>
      <c r="S717" t="str">
        <f t="shared" si="37"/>
        <v>TRUE</v>
      </c>
    </row>
    <row r="718" spans="1:19" hidden="1">
      <c r="A718" t="s">
        <v>878</v>
      </c>
      <c r="B718" s="14" t="s">
        <v>144</v>
      </c>
      <c r="C718" s="14" t="s">
        <v>21</v>
      </c>
      <c r="D718" s="14">
        <v>1</v>
      </c>
      <c r="E718" s="14">
        <v>0</v>
      </c>
      <c r="F718" s="14">
        <v>1</v>
      </c>
      <c r="G718" s="14">
        <v>1</v>
      </c>
      <c r="H718" s="14"/>
      <c r="I718" s="8" t="s">
        <v>35</v>
      </c>
      <c r="J718" s="8" t="s">
        <v>38</v>
      </c>
      <c r="K718">
        <v>57.5</v>
      </c>
      <c r="L718">
        <v>71.8125</v>
      </c>
      <c r="M718" s="14">
        <v>4.5</v>
      </c>
      <c r="N718" s="14">
        <v>1</v>
      </c>
      <c r="Q718" t="str">
        <f t="shared" si="38"/>
        <v xml:space="preserve">XX8X_PV_1330:    Front abuts stile:TRUE       Back abuts stile:TRUE          Panel Section: WHOLE           Stile in the back Width:            Cutout A: B-357          Cutout B:      F.C.:4.5 in.         C.C.:1 in.   </v>
      </c>
      <c r="R718" t="str">
        <f t="shared" si="36"/>
        <v>TRUE</v>
      </c>
      <c r="S718" t="str">
        <f t="shared" si="37"/>
        <v>TRUE</v>
      </c>
    </row>
    <row r="719" spans="1:19" hidden="1">
      <c r="A719" t="s">
        <v>879</v>
      </c>
      <c r="B719" s="14" t="s">
        <v>144</v>
      </c>
      <c r="C719" s="14" t="s">
        <v>21</v>
      </c>
      <c r="D719" s="14">
        <v>1</v>
      </c>
      <c r="E719" s="14">
        <v>1</v>
      </c>
      <c r="F719" s="14">
        <v>0</v>
      </c>
      <c r="G719" s="14"/>
      <c r="H719" s="14"/>
      <c r="I719" s="8" t="s">
        <v>120</v>
      </c>
      <c r="J719" s="8" t="s">
        <v>38</v>
      </c>
      <c r="K719">
        <v>105.875</v>
      </c>
      <c r="L719">
        <v>57.3125</v>
      </c>
      <c r="M719" s="14">
        <v>9</v>
      </c>
      <c r="N719" s="14">
        <v>3.375</v>
      </c>
      <c r="Q719" t="str">
        <f t="shared" si="38"/>
        <v xml:space="preserve">XX8X_PV_1331:    Front abuts stile:TRUE       Back abuts stile:FALSE          Panel Section: WHOLE           Stile in the back Width:            Cutout A: B-386          Cutout B:      F.C.:9 in.         C.C.:3.375 in.   </v>
      </c>
      <c r="R719" t="str">
        <f t="shared" si="36"/>
        <v>TRUE</v>
      </c>
      <c r="S719" t="str">
        <f t="shared" si="37"/>
        <v>FALSE</v>
      </c>
    </row>
    <row r="720" spans="1:19" hidden="1">
      <c r="A720" t="s">
        <v>880</v>
      </c>
      <c r="B720" s="14" t="s">
        <v>144</v>
      </c>
      <c r="C720" s="14" t="s">
        <v>21</v>
      </c>
      <c r="D720" s="14">
        <v>1</v>
      </c>
      <c r="E720" s="14">
        <v>1</v>
      </c>
      <c r="F720" s="14">
        <v>1</v>
      </c>
      <c r="G720" s="14">
        <v>0</v>
      </c>
      <c r="H720" s="14">
        <v>12</v>
      </c>
      <c r="I720" s="8" t="s">
        <v>38</v>
      </c>
      <c r="J720" s="8" t="s">
        <v>38</v>
      </c>
      <c r="K720">
        <v>96</v>
      </c>
      <c r="L720">
        <v>12.375</v>
      </c>
      <c r="M720" s="14">
        <v>1</v>
      </c>
      <c r="N720" s="14">
        <v>4.8125</v>
      </c>
      <c r="Q720" t="str">
        <f t="shared" si="38"/>
        <v xml:space="preserve">XX8X_PV_1332:    Front abuts stile:TRUE       Back abuts stile:TRUE          Panel Section: WHOLE           Stile in the back Width: 12           Cutout A:           Cutout B:      F.C.:1 in.         C.C.:4.8125 in.   </v>
      </c>
      <c r="R720" t="str">
        <f t="shared" si="36"/>
        <v>TRUE</v>
      </c>
      <c r="S720" t="str">
        <f t="shared" si="37"/>
        <v>TRUE</v>
      </c>
    </row>
    <row r="721" spans="1:19" hidden="1">
      <c r="A721" t="s">
        <v>881</v>
      </c>
      <c r="B721" s="14" t="s">
        <v>144</v>
      </c>
      <c r="C721" s="14" t="s">
        <v>21</v>
      </c>
      <c r="D721" s="14">
        <v>1</v>
      </c>
      <c r="E721" s="14">
        <v>1</v>
      </c>
      <c r="F721" s="14">
        <v>1</v>
      </c>
      <c r="G721" s="14">
        <v>0</v>
      </c>
      <c r="H721" s="14">
        <v>24</v>
      </c>
      <c r="I721" s="8" t="s">
        <v>120</v>
      </c>
      <c r="J721" s="8" t="s">
        <v>38</v>
      </c>
      <c r="K721">
        <v>38.625</v>
      </c>
      <c r="L721">
        <v>43.4375</v>
      </c>
      <c r="M721" s="14">
        <v>5.5</v>
      </c>
      <c r="N721" s="14">
        <v>1</v>
      </c>
      <c r="Q721" t="str">
        <f t="shared" si="38"/>
        <v xml:space="preserve">XX8X_PV_1333:    Front abuts stile:TRUE       Back abuts stile:TRUE          Panel Section: WHOLE           Stile in the back Width: 24           Cutout A: B-386          Cutout B:      F.C.:5.5 in.         C.C.:1 in.   </v>
      </c>
      <c r="R721" t="str">
        <f t="shared" si="36"/>
        <v>TRUE</v>
      </c>
      <c r="S721" t="str">
        <f t="shared" si="37"/>
        <v>TRUE</v>
      </c>
    </row>
    <row r="722" spans="1:19" hidden="1">
      <c r="A722" t="s">
        <v>882</v>
      </c>
      <c r="B722" s="14" t="s">
        <v>144</v>
      </c>
      <c r="C722" s="14" t="s">
        <v>21</v>
      </c>
      <c r="D722" s="14">
        <v>1</v>
      </c>
      <c r="E722" s="14">
        <v>1</v>
      </c>
      <c r="F722" s="14">
        <v>1</v>
      </c>
      <c r="G722" s="14">
        <v>0</v>
      </c>
      <c r="H722" s="14"/>
      <c r="I722" s="8" t="s">
        <v>150</v>
      </c>
      <c r="J722" s="8" t="s">
        <v>38</v>
      </c>
      <c r="K722">
        <v>62</v>
      </c>
      <c r="L722">
        <v>33.875</v>
      </c>
      <c r="M722" s="14">
        <v>9</v>
      </c>
      <c r="N722" s="14">
        <v>5.1875</v>
      </c>
      <c r="Q722" t="str">
        <f t="shared" si="38"/>
        <v xml:space="preserve">XX8X_PV_1334:    Front abuts stile:TRUE       Back abuts stile:TRUE          Panel Section: WHOLE           Stile in the back Width:            Cutout A: B-3571          Cutout B:      F.C.:9 in.         C.C.:5.1875 in.   </v>
      </c>
      <c r="R722" t="str">
        <f t="shared" si="36"/>
        <v>TRUE</v>
      </c>
      <c r="S722" t="str">
        <f t="shared" si="37"/>
        <v>TRUE</v>
      </c>
    </row>
    <row r="723" spans="1:19" hidden="1">
      <c r="A723" t="s">
        <v>883</v>
      </c>
      <c r="B723" s="14" t="s">
        <v>144</v>
      </c>
      <c r="C723" s="14" t="s">
        <v>21</v>
      </c>
      <c r="D723" s="14">
        <v>1</v>
      </c>
      <c r="E723" s="14">
        <v>1</v>
      </c>
      <c r="F723" s="14">
        <v>1</v>
      </c>
      <c r="G723" s="14">
        <v>1</v>
      </c>
      <c r="H723" s="14"/>
      <c r="I723" s="8" t="s">
        <v>120</v>
      </c>
      <c r="J723" s="8" t="s">
        <v>38</v>
      </c>
      <c r="K723">
        <v>36.125</v>
      </c>
      <c r="L723">
        <v>78.9375</v>
      </c>
      <c r="M723" s="14">
        <v>9</v>
      </c>
      <c r="N723" s="14">
        <v>2.25</v>
      </c>
      <c r="Q723" t="str">
        <f t="shared" si="38"/>
        <v xml:space="preserve">XX8X_PV_1335:    Front abuts stile:TRUE       Back abuts stile:TRUE          Panel Section: WHOLE           Stile in the back Width:            Cutout A: B-386          Cutout B:      F.C.:9 in.         C.C.:2.25 in.   </v>
      </c>
      <c r="R723" t="str">
        <f t="shared" ref="R723:R768" si="39">IF(D723=1, "TRUE", "FALSE")</f>
        <v>TRUE</v>
      </c>
      <c r="S723" t="str">
        <f t="shared" ref="S723:S768" si="40">IF(F723=1, "TRUE", "FALSE")</f>
        <v>TRUE</v>
      </c>
    </row>
    <row r="724" spans="1:19" hidden="1">
      <c r="A724" t="s">
        <v>884</v>
      </c>
      <c r="B724" s="14" t="s">
        <v>144</v>
      </c>
      <c r="C724" s="14" t="s">
        <v>156</v>
      </c>
      <c r="D724" s="19">
        <v>0</v>
      </c>
      <c r="E724" s="19"/>
      <c r="F724" s="19">
        <v>0</v>
      </c>
      <c r="G724" s="19"/>
      <c r="H724" s="14"/>
      <c r="I724" s="8" t="s">
        <v>38</v>
      </c>
      <c r="J724" s="8" t="s">
        <v>38</v>
      </c>
      <c r="K724">
        <v>31</v>
      </c>
      <c r="L724">
        <v>23</v>
      </c>
      <c r="M724" s="14">
        <v>1.5</v>
      </c>
      <c r="N724" s="14">
        <v>1</v>
      </c>
      <c r="Q724" t="str">
        <f t="shared" si="38"/>
        <v xml:space="preserve">XX8X_PV_1351:    Front abuts stile:FALSE       Back abuts stile:FALSE          Panel Section: TOP           Stile in the back Width:            Cutout A:           Cutout B:      F.C.:1.5 in.         C.C.:1 in.   </v>
      </c>
      <c r="R724" t="str">
        <f t="shared" si="39"/>
        <v>FALSE</v>
      </c>
      <c r="S724" t="str">
        <f t="shared" si="40"/>
        <v>FALSE</v>
      </c>
    </row>
    <row r="725" spans="1:19" hidden="1">
      <c r="A725" t="s">
        <v>885</v>
      </c>
      <c r="B725" s="14" t="s">
        <v>144</v>
      </c>
      <c r="C725" s="14" t="s">
        <v>156</v>
      </c>
      <c r="D725" s="14">
        <v>0</v>
      </c>
      <c r="E725" s="14"/>
      <c r="F725" s="14">
        <v>1</v>
      </c>
      <c r="G725" s="14">
        <v>0</v>
      </c>
      <c r="H725" s="14">
        <v>12</v>
      </c>
      <c r="I725" s="8" t="s">
        <v>120</v>
      </c>
      <c r="J725" s="8" t="s">
        <v>38</v>
      </c>
      <c r="K725">
        <v>23.9375</v>
      </c>
      <c r="L725">
        <v>69.0625</v>
      </c>
      <c r="M725" s="14">
        <v>3.5</v>
      </c>
      <c r="N725" s="14">
        <v>7.0625</v>
      </c>
      <c r="Q725" t="str">
        <f t="shared" si="38"/>
        <v xml:space="preserve">XX8X_PV_1352:    Front abuts stile:FALSE       Back abuts stile:TRUE          Panel Section: TOP           Stile in the back Width: 12           Cutout A: B-386          Cutout B:      F.C.:3.5 in.         C.C.:7.0625 in.   </v>
      </c>
      <c r="R725" t="str">
        <f t="shared" si="39"/>
        <v>FALSE</v>
      </c>
      <c r="S725" t="str">
        <f t="shared" si="40"/>
        <v>TRUE</v>
      </c>
    </row>
    <row r="726" spans="1:19" hidden="1">
      <c r="A726" t="s">
        <v>886</v>
      </c>
      <c r="B726" s="14" t="s">
        <v>144</v>
      </c>
      <c r="C726" s="14" t="s">
        <v>156</v>
      </c>
      <c r="D726" s="14">
        <v>0</v>
      </c>
      <c r="E726" s="14"/>
      <c r="F726" s="14">
        <v>1</v>
      </c>
      <c r="G726" s="14">
        <v>0</v>
      </c>
      <c r="H726" s="14">
        <v>24</v>
      </c>
      <c r="I726" s="8" t="s">
        <v>120</v>
      </c>
      <c r="J726" s="8" t="s">
        <v>38</v>
      </c>
      <c r="K726">
        <v>8.5625</v>
      </c>
      <c r="L726">
        <v>73.75</v>
      </c>
      <c r="M726" s="14">
        <v>3</v>
      </c>
      <c r="N726" s="14">
        <v>1</v>
      </c>
      <c r="Q726" t="str">
        <f t="shared" si="38"/>
        <v xml:space="preserve">XX8X_PV_1353:    Front abuts stile:FALSE       Back abuts stile:TRUE          Panel Section: TOP           Stile in the back Width: 24           Cutout A: B-386          Cutout B:      F.C.:3 in.         C.C.:1 in.   </v>
      </c>
      <c r="R726" t="str">
        <f t="shared" si="39"/>
        <v>FALSE</v>
      </c>
      <c r="S726" t="str">
        <f t="shared" si="40"/>
        <v>TRUE</v>
      </c>
    </row>
    <row r="727" spans="1:19" hidden="1">
      <c r="A727" t="s">
        <v>887</v>
      </c>
      <c r="B727" s="14" t="s">
        <v>144</v>
      </c>
      <c r="C727" s="14" t="s">
        <v>156</v>
      </c>
      <c r="D727" s="14">
        <v>0</v>
      </c>
      <c r="E727" s="14"/>
      <c r="F727" s="14">
        <v>1</v>
      </c>
      <c r="G727" s="14">
        <v>0</v>
      </c>
      <c r="H727" s="14"/>
      <c r="I727" s="8" t="s">
        <v>35</v>
      </c>
      <c r="J727" s="8" t="s">
        <v>38</v>
      </c>
      <c r="K727">
        <v>20.0625</v>
      </c>
      <c r="L727">
        <v>29.625</v>
      </c>
      <c r="M727" s="14">
        <v>9</v>
      </c>
      <c r="N727" s="14">
        <v>2.4375</v>
      </c>
      <c r="Q727" t="str">
        <f t="shared" si="38"/>
        <v xml:space="preserve">XX8X_PV_1354:    Front abuts stile:FALSE       Back abuts stile:TRUE          Panel Section: TOP           Stile in the back Width:            Cutout A: B-357          Cutout B:      F.C.:9 in.         C.C.:2.4375 in.   </v>
      </c>
      <c r="R727" t="str">
        <f t="shared" si="39"/>
        <v>FALSE</v>
      </c>
      <c r="S727" t="str">
        <f t="shared" si="40"/>
        <v>TRUE</v>
      </c>
    </row>
    <row r="728" spans="1:19" hidden="1">
      <c r="A728" t="s">
        <v>888</v>
      </c>
      <c r="B728" s="14" t="s">
        <v>144</v>
      </c>
      <c r="C728" s="14" t="s">
        <v>156</v>
      </c>
      <c r="D728" s="14">
        <v>0</v>
      </c>
      <c r="E728" s="14"/>
      <c r="F728" s="14">
        <v>1</v>
      </c>
      <c r="G728" s="14">
        <v>1</v>
      </c>
      <c r="H728" s="14"/>
      <c r="I728" s="8" t="s">
        <v>151</v>
      </c>
      <c r="J728" s="8" t="s">
        <v>38</v>
      </c>
      <c r="K728">
        <v>25</v>
      </c>
      <c r="L728">
        <v>52.75</v>
      </c>
      <c r="M728" s="14">
        <v>1.1875</v>
      </c>
      <c r="N728" s="14">
        <v>4.6875</v>
      </c>
      <c r="Q728" t="str">
        <f t="shared" si="38"/>
        <v xml:space="preserve">XX8X_PV_1355:    Front abuts stile:FALSE       Back abuts stile:TRUE          Panel Section: TOP           Stile in the back Width:            Cutout A: B-35715          Cutout B:      F.C.:1.1875 in.         C.C.:4.6875 in.   </v>
      </c>
      <c r="R728" t="str">
        <f t="shared" si="39"/>
        <v>FALSE</v>
      </c>
      <c r="S728" t="str">
        <f t="shared" si="40"/>
        <v>TRUE</v>
      </c>
    </row>
    <row r="729" spans="1:19" hidden="1">
      <c r="A729" t="s">
        <v>889</v>
      </c>
      <c r="B729" s="14" t="s">
        <v>144</v>
      </c>
      <c r="C729" s="14" t="s">
        <v>156</v>
      </c>
      <c r="D729" s="14">
        <v>1</v>
      </c>
      <c r="E729" s="14">
        <v>0</v>
      </c>
      <c r="F729" s="14">
        <v>0</v>
      </c>
      <c r="G729" s="14"/>
      <c r="H729" s="14"/>
      <c r="I729" s="8" t="s">
        <v>119</v>
      </c>
      <c r="J729" s="8" t="s">
        <v>120</v>
      </c>
      <c r="K729">
        <v>11.4375</v>
      </c>
      <c r="L729">
        <v>68.25</v>
      </c>
      <c r="M729" s="14">
        <v>1</v>
      </c>
      <c r="N729" s="14">
        <v>1</v>
      </c>
      <c r="Q729" t="str">
        <f t="shared" si="38"/>
        <v xml:space="preserve">XX8X_PV_1356:    Front abuts stile:TRUE       Back abuts stile:FALSE          Panel Section: TOP           Stile in the back Width:            Cutout A: B-354          Cutout B:B-386      F.C.:1 in.         C.C.:1 in.   </v>
      </c>
      <c r="R729" t="str">
        <f t="shared" si="39"/>
        <v>TRUE</v>
      </c>
      <c r="S729" t="str">
        <f t="shared" si="40"/>
        <v>FALSE</v>
      </c>
    </row>
    <row r="730" spans="1:19" hidden="1">
      <c r="A730" t="s">
        <v>890</v>
      </c>
      <c r="B730" s="14" t="s">
        <v>144</v>
      </c>
      <c r="C730" s="14" t="s">
        <v>156</v>
      </c>
      <c r="D730" s="14">
        <v>1</v>
      </c>
      <c r="E730" s="14">
        <v>0</v>
      </c>
      <c r="F730" s="14">
        <v>1</v>
      </c>
      <c r="G730" s="14">
        <v>0</v>
      </c>
      <c r="H730" s="14">
        <v>12</v>
      </c>
      <c r="I730" s="8" t="s">
        <v>120</v>
      </c>
      <c r="J730" s="8" t="s">
        <v>38</v>
      </c>
      <c r="K730">
        <v>11.25</v>
      </c>
      <c r="L730">
        <v>19.9375</v>
      </c>
      <c r="M730" s="14">
        <v>4.3125</v>
      </c>
      <c r="N730" s="14">
        <v>1</v>
      </c>
      <c r="Q730" t="str">
        <f t="shared" si="38"/>
        <v xml:space="preserve">XX8X_PV_1357:    Front abuts stile:TRUE       Back abuts stile:TRUE          Panel Section: TOP           Stile in the back Width: 12           Cutout A: B-386          Cutout B:      F.C.:4.3125 in.         C.C.:1 in.   </v>
      </c>
      <c r="R730" t="str">
        <f t="shared" si="39"/>
        <v>TRUE</v>
      </c>
      <c r="S730" t="str">
        <f t="shared" si="40"/>
        <v>TRUE</v>
      </c>
    </row>
    <row r="731" spans="1:19" hidden="1">
      <c r="A731" t="s">
        <v>891</v>
      </c>
      <c r="B731" s="14" t="s">
        <v>144</v>
      </c>
      <c r="C731" s="14" t="s">
        <v>156</v>
      </c>
      <c r="D731" s="14">
        <v>1</v>
      </c>
      <c r="E731" s="14">
        <v>0</v>
      </c>
      <c r="F731" s="14">
        <v>1</v>
      </c>
      <c r="G731" s="14">
        <v>0</v>
      </c>
      <c r="H731" s="14">
        <v>24</v>
      </c>
      <c r="I731" s="8" t="s">
        <v>120</v>
      </c>
      <c r="J731" s="8" t="s">
        <v>38</v>
      </c>
      <c r="K731">
        <v>48.9375</v>
      </c>
      <c r="L731">
        <v>55.625</v>
      </c>
      <c r="M731" s="14">
        <v>1.3125</v>
      </c>
      <c r="N731" s="14">
        <v>4.6875</v>
      </c>
      <c r="Q731" t="str">
        <f t="shared" si="38"/>
        <v xml:space="preserve">XX8X_PV_1358:    Front abuts stile:TRUE       Back abuts stile:TRUE          Panel Section: TOP           Stile in the back Width: 24           Cutout A: B-386          Cutout B:      F.C.:1.3125 in.         C.C.:4.6875 in.   </v>
      </c>
      <c r="R731" t="str">
        <f t="shared" si="39"/>
        <v>TRUE</v>
      </c>
      <c r="S731" t="str">
        <f t="shared" si="40"/>
        <v>TRUE</v>
      </c>
    </row>
    <row r="732" spans="1:19" hidden="1">
      <c r="A732" t="s">
        <v>892</v>
      </c>
      <c r="B732" s="14" t="s">
        <v>144</v>
      </c>
      <c r="C732" s="14" t="s">
        <v>156</v>
      </c>
      <c r="D732" s="14">
        <v>1</v>
      </c>
      <c r="E732" s="14">
        <v>0</v>
      </c>
      <c r="F732" s="14">
        <v>1</v>
      </c>
      <c r="G732" s="14">
        <v>0</v>
      </c>
      <c r="H732" s="14"/>
      <c r="I732" s="8" t="s">
        <v>38</v>
      </c>
      <c r="J732" s="8" t="s">
        <v>38</v>
      </c>
      <c r="K732">
        <v>46.125</v>
      </c>
      <c r="L732">
        <v>5.5625</v>
      </c>
      <c r="M732" s="14">
        <v>4.5</v>
      </c>
      <c r="N732" s="14">
        <v>1</v>
      </c>
      <c r="Q732" t="str">
        <f t="shared" si="38"/>
        <v xml:space="preserve">XX8X_PV_1359:    Front abuts stile:TRUE       Back abuts stile:TRUE          Panel Section: TOP           Stile in the back Width:            Cutout A:           Cutout B:      F.C.:4.5 in.         C.C.:1 in.   </v>
      </c>
      <c r="R732" t="str">
        <f t="shared" si="39"/>
        <v>TRUE</v>
      </c>
      <c r="S732" t="str">
        <f t="shared" si="40"/>
        <v>TRUE</v>
      </c>
    </row>
    <row r="733" spans="1:19" hidden="1">
      <c r="A733" t="s">
        <v>893</v>
      </c>
      <c r="B733" s="14" t="s">
        <v>144</v>
      </c>
      <c r="C733" s="14" t="s">
        <v>156</v>
      </c>
      <c r="D733" s="14">
        <v>1</v>
      </c>
      <c r="E733" s="14">
        <v>0</v>
      </c>
      <c r="F733" s="14">
        <v>1</v>
      </c>
      <c r="G733" s="14">
        <v>1</v>
      </c>
      <c r="H733" s="14"/>
      <c r="I733" s="8" t="s">
        <v>120</v>
      </c>
      <c r="J733" s="8" t="s">
        <v>38</v>
      </c>
      <c r="K733">
        <v>34</v>
      </c>
      <c r="L733">
        <v>7.25</v>
      </c>
      <c r="M733" s="14">
        <v>4.5</v>
      </c>
      <c r="N733" s="14">
        <v>7.9375</v>
      </c>
      <c r="Q733" t="str">
        <f t="shared" si="38"/>
        <v xml:space="preserve">XX8X_PV_1360:    Front abuts stile:TRUE       Back abuts stile:TRUE          Panel Section: TOP           Stile in the back Width:            Cutout A: B-386          Cutout B:      F.C.:4.5 in.         C.C.:7.9375 in.   </v>
      </c>
      <c r="R733" t="str">
        <f t="shared" si="39"/>
        <v>TRUE</v>
      </c>
      <c r="S733" t="str">
        <f t="shared" si="40"/>
        <v>TRUE</v>
      </c>
    </row>
    <row r="734" spans="1:19" hidden="1">
      <c r="A734" t="s">
        <v>894</v>
      </c>
      <c r="B734" s="14" t="s">
        <v>144</v>
      </c>
      <c r="C734" s="14" t="s">
        <v>156</v>
      </c>
      <c r="D734" s="14">
        <v>1</v>
      </c>
      <c r="E734" s="14">
        <v>1</v>
      </c>
      <c r="F734" s="14">
        <v>0</v>
      </c>
      <c r="G734" s="14"/>
      <c r="H734" s="14"/>
      <c r="I734" s="8" t="s">
        <v>121</v>
      </c>
      <c r="J734" s="8" t="s">
        <v>38</v>
      </c>
      <c r="K734">
        <v>12.125</v>
      </c>
      <c r="L734">
        <v>40.25</v>
      </c>
      <c r="M734" s="14">
        <v>6.25</v>
      </c>
      <c r="N734" s="14">
        <v>4.5625</v>
      </c>
      <c r="Q734" t="str">
        <f t="shared" si="38"/>
        <v xml:space="preserve">XX8X_PV_1361:    Front abuts stile:TRUE       Back abuts stile:FALSE          Panel Section: TOP           Stile in the back Width:            Cutout A: B-4354          Cutout B:      F.C.:6.25 in.         C.C.:4.5625 in.   </v>
      </c>
      <c r="R734" t="str">
        <f t="shared" si="39"/>
        <v>TRUE</v>
      </c>
      <c r="S734" t="str">
        <f t="shared" si="40"/>
        <v>FALSE</v>
      </c>
    </row>
    <row r="735" spans="1:19" hidden="1">
      <c r="A735" t="s">
        <v>895</v>
      </c>
      <c r="B735" s="14" t="s">
        <v>144</v>
      </c>
      <c r="C735" s="14" t="s">
        <v>156</v>
      </c>
      <c r="D735" s="14">
        <v>1</v>
      </c>
      <c r="E735" s="14">
        <v>1</v>
      </c>
      <c r="F735" s="14">
        <v>1</v>
      </c>
      <c r="G735" s="14">
        <v>0</v>
      </c>
      <c r="H735" s="14">
        <v>12</v>
      </c>
      <c r="I735" s="8" t="s">
        <v>149</v>
      </c>
      <c r="J735" s="8" t="s">
        <v>38</v>
      </c>
      <c r="K735">
        <v>46.9375</v>
      </c>
      <c r="L735">
        <v>12.3125</v>
      </c>
      <c r="M735" s="14">
        <v>12</v>
      </c>
      <c r="N735" s="14">
        <v>3.4375</v>
      </c>
      <c r="Q735" t="str">
        <f t="shared" si="38"/>
        <v xml:space="preserve">XX8X_PV_1362:    Front abuts stile:TRUE       Back abuts stile:TRUE          Panel Section: TOP           Stile in the back Width: 12           Cutout A: B-34715          Cutout B:      F.C.:12 in.         C.C.:3.4375 in.   </v>
      </c>
      <c r="R735" t="str">
        <f t="shared" si="39"/>
        <v>TRUE</v>
      </c>
      <c r="S735" t="str">
        <f t="shared" si="40"/>
        <v>TRUE</v>
      </c>
    </row>
    <row r="736" spans="1:19" hidden="1">
      <c r="A736" t="s">
        <v>896</v>
      </c>
      <c r="B736" s="14" t="s">
        <v>144</v>
      </c>
      <c r="C736" s="14" t="s">
        <v>156</v>
      </c>
      <c r="D736" s="14">
        <v>1</v>
      </c>
      <c r="E736" s="14">
        <v>1</v>
      </c>
      <c r="F736" s="14">
        <v>1</v>
      </c>
      <c r="G736" s="14">
        <v>0</v>
      </c>
      <c r="H736" s="14">
        <v>24</v>
      </c>
      <c r="I736" s="8" t="s">
        <v>38</v>
      </c>
      <c r="J736" s="8" t="s">
        <v>38</v>
      </c>
      <c r="K736">
        <v>43</v>
      </c>
      <c r="L736">
        <v>15.0625</v>
      </c>
      <c r="M736" s="14">
        <v>12</v>
      </c>
      <c r="N736" s="14">
        <v>2.75</v>
      </c>
      <c r="Q736" t="str">
        <f t="shared" si="38"/>
        <v xml:space="preserve">XX8X_PV_1363:    Front abuts stile:TRUE       Back abuts stile:TRUE          Panel Section: TOP           Stile in the back Width: 24           Cutout A:           Cutout B:      F.C.:12 in.         C.C.:2.75 in.   </v>
      </c>
      <c r="R736" t="str">
        <f t="shared" si="39"/>
        <v>TRUE</v>
      </c>
      <c r="S736" t="str">
        <f t="shared" si="40"/>
        <v>TRUE</v>
      </c>
    </row>
    <row r="737" spans="1:19" hidden="1">
      <c r="A737" t="s">
        <v>897</v>
      </c>
      <c r="B737" s="14" t="s">
        <v>144</v>
      </c>
      <c r="C737" s="14" t="s">
        <v>156</v>
      </c>
      <c r="D737" s="14">
        <v>1</v>
      </c>
      <c r="E737" s="14">
        <v>1</v>
      </c>
      <c r="F737" s="14">
        <v>1</v>
      </c>
      <c r="G737" s="14">
        <v>0</v>
      </c>
      <c r="H737" s="14"/>
      <c r="I737" s="8" t="s">
        <v>38</v>
      </c>
      <c r="J737" s="8" t="s">
        <v>38</v>
      </c>
      <c r="K737">
        <v>49.625</v>
      </c>
      <c r="L737">
        <v>32.875</v>
      </c>
      <c r="M737" s="14">
        <v>1.1875</v>
      </c>
      <c r="N737" s="14">
        <v>1.6875</v>
      </c>
      <c r="Q737" t="str">
        <f t="shared" si="38"/>
        <v xml:space="preserve">XX8X_PV_1364:    Front abuts stile:TRUE       Back abuts stile:TRUE          Panel Section: TOP           Stile in the back Width:            Cutout A:           Cutout B:      F.C.:1.1875 in.         C.C.:1.6875 in.   </v>
      </c>
      <c r="R737" t="str">
        <f t="shared" si="39"/>
        <v>TRUE</v>
      </c>
      <c r="S737" t="str">
        <f t="shared" si="40"/>
        <v>TRUE</v>
      </c>
    </row>
    <row r="738" spans="1:19" hidden="1">
      <c r="A738" t="s">
        <v>898</v>
      </c>
      <c r="B738" s="14" t="s">
        <v>144</v>
      </c>
      <c r="C738" s="14" t="s">
        <v>156</v>
      </c>
      <c r="D738" s="14">
        <v>1</v>
      </c>
      <c r="E738" s="14">
        <v>1</v>
      </c>
      <c r="F738" s="14">
        <v>1</v>
      </c>
      <c r="G738" s="14">
        <v>1</v>
      </c>
      <c r="H738" s="14"/>
      <c r="I738" s="8" t="s">
        <v>38</v>
      </c>
      <c r="J738" s="8" t="s">
        <v>38</v>
      </c>
      <c r="K738">
        <v>7.625</v>
      </c>
      <c r="L738">
        <v>61.1875</v>
      </c>
      <c r="M738" s="14">
        <v>12</v>
      </c>
      <c r="N738" s="14">
        <v>4.5</v>
      </c>
      <c r="Q738" t="str">
        <f t="shared" si="38"/>
        <v xml:space="preserve">XX8X_PV_1365:    Front abuts stile:TRUE       Back abuts stile:TRUE          Panel Section: TOP           Stile in the back Width:            Cutout A:           Cutout B:      F.C.:12 in.         C.C.:4.5 in.   </v>
      </c>
      <c r="R738" t="str">
        <f t="shared" si="39"/>
        <v>TRUE</v>
      </c>
      <c r="S738" t="str">
        <f t="shared" si="40"/>
        <v>TRUE</v>
      </c>
    </row>
    <row r="739" spans="1:19" hidden="1">
      <c r="A739" t="s">
        <v>899</v>
      </c>
      <c r="B739" s="14" t="s">
        <v>144</v>
      </c>
      <c r="C739" s="14" t="s">
        <v>157</v>
      </c>
      <c r="D739" s="14">
        <v>0</v>
      </c>
      <c r="E739" s="14"/>
      <c r="F739" s="14">
        <v>0</v>
      </c>
      <c r="G739" s="14"/>
      <c r="H739" s="14"/>
      <c r="I739" s="8" t="s">
        <v>38</v>
      </c>
      <c r="J739" s="8" t="s">
        <v>38</v>
      </c>
      <c r="K739">
        <v>60</v>
      </c>
      <c r="L739">
        <v>51.875</v>
      </c>
      <c r="M739" s="14">
        <v>12</v>
      </c>
      <c r="N739" s="14">
        <v>6.4375</v>
      </c>
      <c r="Q739" t="str">
        <f t="shared" si="38"/>
        <v xml:space="preserve">XX8X_PV_1381:    Front abuts stile:FALSE       Back abuts stile:FALSE          Panel Section: BOTTOM           Stile in the back Width:            Cutout A:           Cutout B:      F.C.:12 in.         C.C.:6.4375 in.   </v>
      </c>
      <c r="R739" t="str">
        <f t="shared" si="39"/>
        <v>FALSE</v>
      </c>
      <c r="S739" t="str">
        <f t="shared" si="40"/>
        <v>FALSE</v>
      </c>
    </row>
    <row r="740" spans="1:19" hidden="1">
      <c r="A740" t="s">
        <v>900</v>
      </c>
      <c r="B740" s="14" t="s">
        <v>144</v>
      </c>
      <c r="C740" s="14" t="s">
        <v>157</v>
      </c>
      <c r="D740" s="14">
        <v>0</v>
      </c>
      <c r="E740" s="14"/>
      <c r="F740" s="14">
        <v>1</v>
      </c>
      <c r="G740" s="14">
        <v>0</v>
      </c>
      <c r="H740" s="14">
        <v>12</v>
      </c>
      <c r="I740" s="8" t="s">
        <v>120</v>
      </c>
      <c r="J740" s="8" t="s">
        <v>38</v>
      </c>
      <c r="K740">
        <v>60</v>
      </c>
      <c r="L740">
        <v>33.125</v>
      </c>
      <c r="M740" s="14">
        <v>9</v>
      </c>
      <c r="N740" s="14">
        <v>5.3125</v>
      </c>
      <c r="Q740" t="str">
        <f t="shared" si="38"/>
        <v xml:space="preserve">XX8X_PV_1382:    Front abuts stile:FALSE       Back abuts stile:TRUE          Panel Section: BOTTOM           Stile in the back Width: 12           Cutout A: B-386          Cutout B:      F.C.:9 in.         C.C.:5.3125 in.   </v>
      </c>
      <c r="R740" t="str">
        <f t="shared" si="39"/>
        <v>FALSE</v>
      </c>
      <c r="S740" t="str">
        <f t="shared" si="40"/>
        <v>TRUE</v>
      </c>
    </row>
    <row r="741" spans="1:19" hidden="1">
      <c r="A741" t="s">
        <v>901</v>
      </c>
      <c r="B741" s="14" t="s">
        <v>144</v>
      </c>
      <c r="C741" s="14" t="s">
        <v>157</v>
      </c>
      <c r="D741" s="14">
        <v>0</v>
      </c>
      <c r="E741" s="14"/>
      <c r="F741" s="14">
        <v>1</v>
      </c>
      <c r="G741" s="14">
        <v>0</v>
      </c>
      <c r="H741" s="14">
        <v>24</v>
      </c>
      <c r="I741" s="8" t="s">
        <v>120</v>
      </c>
      <c r="J741" s="8" t="s">
        <v>38</v>
      </c>
      <c r="K741">
        <v>60</v>
      </c>
      <c r="L741">
        <v>70.25</v>
      </c>
      <c r="M741" s="14">
        <v>1</v>
      </c>
      <c r="N741" s="14">
        <v>6.75</v>
      </c>
      <c r="Q741" t="str">
        <f t="shared" si="38"/>
        <v xml:space="preserve">XX8X_PV_1383:    Front abuts stile:FALSE       Back abuts stile:TRUE          Panel Section: BOTTOM           Stile in the back Width: 24           Cutout A: B-386          Cutout B:      F.C.:1 in.         C.C.:6.75 in.   </v>
      </c>
      <c r="R741" t="str">
        <f t="shared" si="39"/>
        <v>FALSE</v>
      </c>
      <c r="S741" t="str">
        <f t="shared" si="40"/>
        <v>TRUE</v>
      </c>
    </row>
    <row r="742" spans="1:19" hidden="1">
      <c r="A742" t="s">
        <v>902</v>
      </c>
      <c r="B742" s="14" t="s">
        <v>144</v>
      </c>
      <c r="C742" s="14" t="s">
        <v>157</v>
      </c>
      <c r="D742" s="14">
        <v>0</v>
      </c>
      <c r="E742" s="14"/>
      <c r="F742" s="14">
        <v>1</v>
      </c>
      <c r="G742" s="14">
        <v>0</v>
      </c>
      <c r="H742" s="14"/>
      <c r="I742" s="8" t="s">
        <v>38</v>
      </c>
      <c r="J742" s="8" t="s">
        <v>38</v>
      </c>
      <c r="K742">
        <v>60</v>
      </c>
      <c r="L742">
        <v>30.5</v>
      </c>
      <c r="M742" s="14">
        <v>9</v>
      </c>
      <c r="N742" s="14">
        <v>7.375</v>
      </c>
      <c r="Q742" t="str">
        <f t="shared" si="38"/>
        <v xml:space="preserve">XX8X_PV_1384:    Front abuts stile:FALSE       Back abuts stile:TRUE          Panel Section: BOTTOM           Stile in the back Width:            Cutout A:           Cutout B:      F.C.:9 in.         C.C.:7.375 in.   </v>
      </c>
      <c r="R742" t="str">
        <f t="shared" si="39"/>
        <v>FALSE</v>
      </c>
      <c r="S742" t="str">
        <f t="shared" si="40"/>
        <v>TRUE</v>
      </c>
    </row>
    <row r="743" spans="1:19" hidden="1">
      <c r="A743" t="s">
        <v>903</v>
      </c>
      <c r="B743" s="14" t="s">
        <v>144</v>
      </c>
      <c r="C743" s="14" t="s">
        <v>157</v>
      </c>
      <c r="D743" s="14">
        <v>0</v>
      </c>
      <c r="E743" s="14"/>
      <c r="F743" s="14">
        <v>1</v>
      </c>
      <c r="G743" s="14">
        <v>1</v>
      </c>
      <c r="H743" s="14"/>
      <c r="I743" s="8" t="s">
        <v>151</v>
      </c>
      <c r="J743" s="8" t="s">
        <v>38</v>
      </c>
      <c r="K743">
        <v>60</v>
      </c>
      <c r="L743">
        <v>46.125</v>
      </c>
      <c r="M743" s="14">
        <v>4.5</v>
      </c>
      <c r="N743" s="14">
        <v>1</v>
      </c>
      <c r="Q743" t="str">
        <f t="shared" si="38"/>
        <v xml:space="preserve">XX8X_PV_1385:    Front abuts stile:FALSE       Back abuts stile:TRUE          Panel Section: BOTTOM           Stile in the back Width:            Cutout A: B-35715          Cutout B:      F.C.:4.5 in.         C.C.:1 in.   </v>
      </c>
      <c r="R743" t="str">
        <f t="shared" si="39"/>
        <v>FALSE</v>
      </c>
      <c r="S743" t="str">
        <f t="shared" si="40"/>
        <v>TRUE</v>
      </c>
    </row>
    <row r="744" spans="1:19" hidden="1">
      <c r="A744" t="s">
        <v>904</v>
      </c>
      <c r="B744" s="14" t="s">
        <v>144</v>
      </c>
      <c r="C744" s="14" t="s">
        <v>157</v>
      </c>
      <c r="D744" s="14">
        <v>1</v>
      </c>
      <c r="E744" s="14">
        <v>0</v>
      </c>
      <c r="F744" s="14">
        <v>0</v>
      </c>
      <c r="G744" s="14"/>
      <c r="H744" s="14"/>
      <c r="I744" s="8" t="s">
        <v>120</v>
      </c>
      <c r="J744" s="8" t="s">
        <v>119</v>
      </c>
      <c r="K744">
        <v>60</v>
      </c>
      <c r="L744">
        <v>65.5625</v>
      </c>
      <c r="M744" s="14">
        <v>4.0625</v>
      </c>
      <c r="N744" s="14">
        <v>6.5625</v>
      </c>
      <c r="Q744" t="str">
        <f t="shared" si="38"/>
        <v xml:space="preserve">XX8X_PV_1386:    Front abuts stile:TRUE       Back abuts stile:FALSE          Panel Section: BOTTOM           Stile in the back Width:            Cutout A: B-386          Cutout B:B-354      F.C.:4.0625 in.         C.C.:6.5625 in.   </v>
      </c>
      <c r="R744" t="str">
        <f t="shared" si="39"/>
        <v>TRUE</v>
      </c>
      <c r="S744" t="str">
        <f t="shared" si="40"/>
        <v>FALSE</v>
      </c>
    </row>
    <row r="745" spans="1:19" hidden="1">
      <c r="A745" t="s">
        <v>905</v>
      </c>
      <c r="B745" s="14" t="s">
        <v>144</v>
      </c>
      <c r="C745" s="14" t="s">
        <v>157</v>
      </c>
      <c r="D745" s="14">
        <v>1</v>
      </c>
      <c r="E745" s="14">
        <v>0</v>
      </c>
      <c r="F745" s="14">
        <v>1</v>
      </c>
      <c r="G745" s="14">
        <v>0</v>
      </c>
      <c r="H745" s="14">
        <v>12</v>
      </c>
      <c r="I745" s="8" t="s">
        <v>150</v>
      </c>
      <c r="J745" s="8" t="s">
        <v>38</v>
      </c>
      <c r="K745">
        <v>60</v>
      </c>
      <c r="L745">
        <v>53.5625</v>
      </c>
      <c r="M745" s="14">
        <v>4.5</v>
      </c>
      <c r="N745" s="14">
        <v>2.8125</v>
      </c>
      <c r="Q745" t="str">
        <f t="shared" si="38"/>
        <v xml:space="preserve">XX8X_PV_1387:    Front abuts stile:TRUE       Back abuts stile:TRUE          Panel Section: BOTTOM           Stile in the back Width: 12           Cutout A: B-3571          Cutout B:      F.C.:4.5 in.         C.C.:2.8125 in.   </v>
      </c>
      <c r="R745" t="str">
        <f t="shared" si="39"/>
        <v>TRUE</v>
      </c>
      <c r="S745" t="str">
        <f t="shared" si="40"/>
        <v>TRUE</v>
      </c>
    </row>
    <row r="746" spans="1:19" hidden="1">
      <c r="A746" t="s">
        <v>906</v>
      </c>
      <c r="B746" s="14" t="s">
        <v>144</v>
      </c>
      <c r="C746" s="14" t="s">
        <v>157</v>
      </c>
      <c r="D746" s="14">
        <v>1</v>
      </c>
      <c r="E746" s="14">
        <v>0</v>
      </c>
      <c r="F746" s="14">
        <v>1</v>
      </c>
      <c r="G746" s="14">
        <v>0</v>
      </c>
      <c r="H746" s="14">
        <v>24</v>
      </c>
      <c r="I746" s="8" t="s">
        <v>120</v>
      </c>
      <c r="J746" s="8" t="s">
        <v>38</v>
      </c>
      <c r="K746">
        <v>60</v>
      </c>
      <c r="L746">
        <v>43.8125</v>
      </c>
      <c r="M746" s="14">
        <v>9</v>
      </c>
      <c r="N746" s="14">
        <v>1</v>
      </c>
      <c r="Q746" t="str">
        <f t="shared" si="38"/>
        <v xml:space="preserve">XX8X_PV_1388:    Front abuts stile:TRUE       Back abuts stile:TRUE          Panel Section: BOTTOM           Stile in the back Width: 24           Cutout A: B-386          Cutout B:      F.C.:9 in.         C.C.:1 in.   </v>
      </c>
      <c r="R746" t="str">
        <f t="shared" si="39"/>
        <v>TRUE</v>
      </c>
      <c r="S746" t="str">
        <f t="shared" si="40"/>
        <v>TRUE</v>
      </c>
    </row>
    <row r="747" spans="1:19" hidden="1">
      <c r="A747" t="s">
        <v>907</v>
      </c>
      <c r="B747" s="14" t="s">
        <v>144</v>
      </c>
      <c r="C747" s="14" t="s">
        <v>157</v>
      </c>
      <c r="D747" s="14">
        <v>1</v>
      </c>
      <c r="E747" s="14">
        <v>0</v>
      </c>
      <c r="F747" s="14">
        <v>1</v>
      </c>
      <c r="G747" s="14">
        <v>0</v>
      </c>
      <c r="H747" s="14"/>
      <c r="I747" s="8" t="s">
        <v>35</v>
      </c>
      <c r="J747" s="8" t="s">
        <v>38</v>
      </c>
      <c r="K747">
        <v>60</v>
      </c>
      <c r="L747">
        <v>13.875</v>
      </c>
      <c r="M747" s="14">
        <v>9</v>
      </c>
      <c r="N747" s="14">
        <v>1.5</v>
      </c>
      <c r="Q747" t="str">
        <f t="shared" si="38"/>
        <v xml:space="preserve">XX8X_PV_1389:    Front abuts stile:TRUE       Back abuts stile:TRUE          Panel Section: BOTTOM           Stile in the back Width:            Cutout A: B-357          Cutout B:      F.C.:9 in.         C.C.:1.5 in.   </v>
      </c>
      <c r="R747" t="str">
        <f t="shared" si="39"/>
        <v>TRUE</v>
      </c>
      <c r="S747" t="str">
        <f t="shared" si="40"/>
        <v>TRUE</v>
      </c>
    </row>
    <row r="748" spans="1:19" hidden="1">
      <c r="A748" t="s">
        <v>908</v>
      </c>
      <c r="B748" s="14" t="s">
        <v>144</v>
      </c>
      <c r="C748" s="14" t="s">
        <v>157</v>
      </c>
      <c r="D748" s="14">
        <v>1</v>
      </c>
      <c r="E748" s="14">
        <v>0</v>
      </c>
      <c r="F748" s="14">
        <v>1</v>
      </c>
      <c r="G748" s="14">
        <v>1</v>
      </c>
      <c r="H748" s="14"/>
      <c r="I748" s="8" t="s">
        <v>38</v>
      </c>
      <c r="J748" s="8" t="s">
        <v>38</v>
      </c>
      <c r="K748">
        <v>60</v>
      </c>
      <c r="L748">
        <v>78.375</v>
      </c>
      <c r="M748" s="14">
        <v>4.5</v>
      </c>
      <c r="N748" s="14">
        <v>1</v>
      </c>
      <c r="Q748" t="str">
        <f t="shared" si="38"/>
        <v xml:space="preserve">XX8X_PV_1390:    Front abuts stile:TRUE       Back abuts stile:TRUE          Panel Section: BOTTOM           Stile in the back Width:            Cutout A:           Cutout B:      F.C.:4.5 in.         C.C.:1 in.   </v>
      </c>
      <c r="R748" t="str">
        <f t="shared" si="39"/>
        <v>TRUE</v>
      </c>
      <c r="S748" t="str">
        <f t="shared" si="40"/>
        <v>TRUE</v>
      </c>
    </row>
    <row r="749" spans="1:19" hidden="1">
      <c r="A749" t="s">
        <v>909</v>
      </c>
      <c r="B749" s="14" t="s">
        <v>144</v>
      </c>
      <c r="C749" s="14" t="s">
        <v>157</v>
      </c>
      <c r="D749" s="14">
        <v>1</v>
      </c>
      <c r="E749" s="14">
        <v>1</v>
      </c>
      <c r="F749" s="14">
        <v>0</v>
      </c>
      <c r="G749" s="14"/>
      <c r="H749" s="14"/>
      <c r="I749" s="8" t="s">
        <v>38</v>
      </c>
      <c r="J749" s="8" t="s">
        <v>38</v>
      </c>
      <c r="K749">
        <v>60</v>
      </c>
      <c r="L749">
        <v>21.6875</v>
      </c>
      <c r="M749" s="14">
        <v>3</v>
      </c>
      <c r="N749" s="14">
        <v>6.9375</v>
      </c>
      <c r="Q749" t="str">
        <f t="shared" si="38"/>
        <v xml:space="preserve">XX8X_PV_1391:    Front abuts stile:TRUE       Back abuts stile:FALSE          Panel Section: BOTTOM           Stile in the back Width:            Cutout A:           Cutout B:      F.C.:3 in.         C.C.:6.9375 in.   </v>
      </c>
      <c r="R749" t="str">
        <f t="shared" si="39"/>
        <v>TRUE</v>
      </c>
      <c r="S749" t="str">
        <f t="shared" si="40"/>
        <v>FALSE</v>
      </c>
    </row>
    <row r="750" spans="1:19" hidden="1">
      <c r="A750" t="s">
        <v>910</v>
      </c>
      <c r="B750" s="14" t="s">
        <v>144</v>
      </c>
      <c r="C750" s="14" t="s">
        <v>157</v>
      </c>
      <c r="D750" s="14">
        <v>1</v>
      </c>
      <c r="E750" s="14">
        <v>1</v>
      </c>
      <c r="F750" s="14">
        <v>1</v>
      </c>
      <c r="G750" s="14">
        <v>0</v>
      </c>
      <c r="H750" s="14">
        <v>12</v>
      </c>
      <c r="I750" s="8" t="s">
        <v>145</v>
      </c>
      <c r="J750" s="8" t="s">
        <v>38</v>
      </c>
      <c r="K750">
        <v>60</v>
      </c>
      <c r="L750">
        <v>41.5625</v>
      </c>
      <c r="M750" s="14">
        <v>4.5</v>
      </c>
      <c r="N750" s="14">
        <v>1</v>
      </c>
      <c r="Q750" t="str">
        <f t="shared" si="38"/>
        <v xml:space="preserve">XX8X_PV_1392:    Front abuts stile:TRUE       Back abuts stile:TRUE          Panel Section: BOTTOM           Stile in the back Width: 12           Cutout A: B-347          Cutout B:      F.C.:4.5 in.         C.C.:1 in.   </v>
      </c>
      <c r="R750" t="str">
        <f t="shared" si="39"/>
        <v>TRUE</v>
      </c>
      <c r="S750" t="str">
        <f t="shared" si="40"/>
        <v>TRUE</v>
      </c>
    </row>
    <row r="751" spans="1:19" hidden="1">
      <c r="A751" t="s">
        <v>911</v>
      </c>
      <c r="B751" s="14" t="s">
        <v>144</v>
      </c>
      <c r="C751" s="14" t="s">
        <v>157</v>
      </c>
      <c r="D751" s="14">
        <v>1</v>
      </c>
      <c r="E751" s="14">
        <v>1</v>
      </c>
      <c r="F751" s="14">
        <v>1</v>
      </c>
      <c r="G751" s="14">
        <v>0</v>
      </c>
      <c r="H751" s="14">
        <v>24</v>
      </c>
      <c r="I751" s="8" t="s">
        <v>120</v>
      </c>
      <c r="J751" s="8" t="s">
        <v>38</v>
      </c>
      <c r="K751">
        <v>60</v>
      </c>
      <c r="L751">
        <v>13.5625</v>
      </c>
      <c r="M751" s="14">
        <v>9</v>
      </c>
      <c r="N751" s="14">
        <v>1</v>
      </c>
      <c r="Q751" t="str">
        <f t="shared" si="38"/>
        <v xml:space="preserve">XX8X_PV_1393:    Front abuts stile:TRUE       Back abuts stile:TRUE          Panel Section: BOTTOM           Stile in the back Width: 24           Cutout A: B-386          Cutout B:      F.C.:9 in.         C.C.:1 in.   </v>
      </c>
      <c r="R751" t="str">
        <f t="shared" si="39"/>
        <v>TRUE</v>
      </c>
      <c r="S751" t="str">
        <f t="shared" si="40"/>
        <v>TRUE</v>
      </c>
    </row>
    <row r="752" spans="1:19" hidden="1">
      <c r="A752" t="s">
        <v>912</v>
      </c>
      <c r="B752" s="14" t="s">
        <v>144</v>
      </c>
      <c r="C752" s="14" t="s">
        <v>157</v>
      </c>
      <c r="D752" s="14">
        <v>1</v>
      </c>
      <c r="E752" s="14">
        <v>1</v>
      </c>
      <c r="F752" s="14">
        <v>1</v>
      </c>
      <c r="G752" s="14">
        <v>0</v>
      </c>
      <c r="H752" s="14"/>
      <c r="I752" s="8" t="s">
        <v>150</v>
      </c>
      <c r="J752" s="8" t="s">
        <v>38</v>
      </c>
      <c r="K752">
        <v>60</v>
      </c>
      <c r="L752">
        <v>26.625</v>
      </c>
      <c r="M752" s="14">
        <v>1.8125</v>
      </c>
      <c r="N752" s="14">
        <v>1</v>
      </c>
      <c r="Q752" t="str">
        <f t="shared" si="38"/>
        <v xml:space="preserve">XX8X_PV_1394:    Front abuts stile:TRUE       Back abuts stile:TRUE          Panel Section: BOTTOM           Stile in the back Width:            Cutout A: B-3571          Cutout B:      F.C.:1.8125 in.         C.C.:1 in.   </v>
      </c>
      <c r="R752" t="str">
        <f t="shared" si="39"/>
        <v>TRUE</v>
      </c>
      <c r="S752" t="str">
        <f t="shared" si="40"/>
        <v>TRUE</v>
      </c>
    </row>
    <row r="753" spans="1:19" hidden="1">
      <c r="A753" t="s">
        <v>913</v>
      </c>
      <c r="B753" s="14" t="s">
        <v>144</v>
      </c>
      <c r="C753" s="14" t="s">
        <v>157</v>
      </c>
      <c r="D753" s="14">
        <v>1</v>
      </c>
      <c r="E753" s="14">
        <v>1</v>
      </c>
      <c r="F753" s="14">
        <v>1</v>
      </c>
      <c r="G753" s="14">
        <v>1</v>
      </c>
      <c r="H753" s="14"/>
      <c r="I753" s="8" t="s">
        <v>38</v>
      </c>
      <c r="J753" s="8" t="s">
        <v>38</v>
      </c>
      <c r="K753">
        <v>60</v>
      </c>
      <c r="L753">
        <v>60.1875</v>
      </c>
      <c r="M753" s="14">
        <v>1.5625</v>
      </c>
      <c r="N753" s="14">
        <v>4.9375</v>
      </c>
      <c r="Q753" t="str">
        <f t="shared" si="38"/>
        <v xml:space="preserve">XX8X_PV_1395:    Front abuts stile:TRUE       Back abuts stile:TRUE          Panel Section: BOTTOM           Stile in the back Width:            Cutout A:           Cutout B:      F.C.:1.5625 in.         C.C.:4.9375 in.   </v>
      </c>
      <c r="R753" t="str">
        <f t="shared" si="39"/>
        <v>TRUE</v>
      </c>
      <c r="S753" t="str">
        <f t="shared" si="40"/>
        <v>TRUE</v>
      </c>
    </row>
    <row r="754" spans="1:19" hidden="1">
      <c r="A754" t="s">
        <v>914</v>
      </c>
      <c r="B754" s="14" t="s">
        <v>144</v>
      </c>
      <c r="C754" s="14" t="s">
        <v>21</v>
      </c>
      <c r="D754" s="14">
        <v>0</v>
      </c>
      <c r="E754" s="14"/>
      <c r="F754" s="14">
        <v>0</v>
      </c>
      <c r="G754" s="14"/>
      <c r="H754" s="14"/>
      <c r="I754" s="8" t="s">
        <v>148</v>
      </c>
      <c r="J754" s="8" t="s">
        <v>38</v>
      </c>
      <c r="K754">
        <v>96</v>
      </c>
      <c r="L754">
        <v>9.4375</v>
      </c>
      <c r="M754" s="14">
        <v>12</v>
      </c>
      <c r="N754" s="14">
        <v>1.5</v>
      </c>
      <c r="Q754" t="str">
        <f t="shared" si="38"/>
        <v xml:space="preserve">XX8X_PV_1411:    Front abuts stile:FALSE       Back abuts stile:FALSE          Panel Section: WHOLE           Stile in the back Width:            Cutout A: B-3471          Cutout B:      F.C.:12 in.         C.C.:1.5 in.   </v>
      </c>
      <c r="R754" t="str">
        <f t="shared" si="39"/>
        <v>FALSE</v>
      </c>
      <c r="S754" t="str">
        <f t="shared" si="40"/>
        <v>FALSE</v>
      </c>
    </row>
    <row r="755" spans="1:19" hidden="1">
      <c r="A755" t="s">
        <v>915</v>
      </c>
      <c r="B755" s="14" t="s">
        <v>144</v>
      </c>
      <c r="C755" s="14" t="s">
        <v>21</v>
      </c>
      <c r="D755" s="14">
        <v>0</v>
      </c>
      <c r="E755" s="14"/>
      <c r="F755" s="14">
        <v>1</v>
      </c>
      <c r="G755" s="14">
        <v>0</v>
      </c>
      <c r="H755" s="14">
        <v>12</v>
      </c>
      <c r="I755" s="8" t="s">
        <v>145</v>
      </c>
      <c r="J755" s="8" t="s">
        <v>38</v>
      </c>
      <c r="K755">
        <v>47.625</v>
      </c>
      <c r="L755">
        <v>76.875</v>
      </c>
      <c r="M755" s="14">
        <v>5.875</v>
      </c>
      <c r="N755" s="14">
        <v>1</v>
      </c>
      <c r="Q755" t="str">
        <f t="shared" si="38"/>
        <v xml:space="preserve">XX8X_PV_1412:    Front abuts stile:FALSE       Back abuts stile:TRUE          Panel Section: WHOLE           Stile in the back Width: 12           Cutout A: B-347          Cutout B:      F.C.:5.875 in.         C.C.:1 in.   </v>
      </c>
      <c r="R755" t="str">
        <f t="shared" si="39"/>
        <v>FALSE</v>
      </c>
      <c r="S755" t="str">
        <f t="shared" si="40"/>
        <v>TRUE</v>
      </c>
    </row>
    <row r="756" spans="1:19" hidden="1">
      <c r="A756" t="s">
        <v>916</v>
      </c>
      <c r="B756" s="14" t="s">
        <v>144</v>
      </c>
      <c r="C756" s="14" t="s">
        <v>21</v>
      </c>
      <c r="D756" s="14">
        <v>0</v>
      </c>
      <c r="E756" s="14"/>
      <c r="F756" s="14">
        <v>1</v>
      </c>
      <c r="G756" s="14">
        <v>0</v>
      </c>
      <c r="H756" s="14">
        <v>24</v>
      </c>
      <c r="I756" s="8" t="s">
        <v>120</v>
      </c>
      <c r="J756" s="8" t="s">
        <v>38</v>
      </c>
      <c r="K756">
        <v>96</v>
      </c>
      <c r="L756">
        <v>49.6875</v>
      </c>
      <c r="M756" s="14">
        <v>9</v>
      </c>
      <c r="N756" s="14">
        <v>2.8125</v>
      </c>
      <c r="Q756" t="str">
        <f t="shared" si="38"/>
        <v xml:space="preserve">XX8X_PV_1413:    Front abuts stile:FALSE       Back abuts stile:TRUE          Panel Section: WHOLE           Stile in the back Width: 24           Cutout A: B-386          Cutout B:      F.C.:9 in.         C.C.:2.8125 in.   </v>
      </c>
      <c r="R756" t="str">
        <f t="shared" si="39"/>
        <v>FALSE</v>
      </c>
      <c r="S756" t="str">
        <f t="shared" si="40"/>
        <v>TRUE</v>
      </c>
    </row>
    <row r="757" spans="1:19" hidden="1">
      <c r="A757" t="s">
        <v>917</v>
      </c>
      <c r="B757" s="14" t="s">
        <v>144</v>
      </c>
      <c r="C757" s="14" t="s">
        <v>21</v>
      </c>
      <c r="D757" s="14">
        <v>0</v>
      </c>
      <c r="E757" s="14"/>
      <c r="F757" s="14">
        <v>1</v>
      </c>
      <c r="G757" s="14">
        <v>0</v>
      </c>
      <c r="H757" s="14"/>
      <c r="I757" s="8" t="s">
        <v>149</v>
      </c>
      <c r="J757" s="8" t="s">
        <v>38</v>
      </c>
      <c r="K757">
        <v>47.75</v>
      </c>
      <c r="L757">
        <v>5.5</v>
      </c>
      <c r="M757" s="14">
        <v>12</v>
      </c>
      <c r="N757" s="14">
        <v>1</v>
      </c>
      <c r="Q757" t="str">
        <f t="shared" si="38"/>
        <v xml:space="preserve">XX8X_PV_1414:    Front abuts stile:FALSE       Back abuts stile:TRUE          Panel Section: WHOLE           Stile in the back Width:            Cutout A: B-34715          Cutout B:      F.C.:12 in.         C.C.:1 in.   </v>
      </c>
      <c r="R757" t="str">
        <f t="shared" si="39"/>
        <v>FALSE</v>
      </c>
      <c r="S757" t="str">
        <f t="shared" si="40"/>
        <v>TRUE</v>
      </c>
    </row>
    <row r="758" spans="1:19" hidden="1">
      <c r="A758" t="s">
        <v>918</v>
      </c>
      <c r="B758" s="14" t="s">
        <v>144</v>
      </c>
      <c r="C758" s="14" t="s">
        <v>21</v>
      </c>
      <c r="D758" s="14">
        <v>0</v>
      </c>
      <c r="E758" s="14"/>
      <c r="F758" s="14">
        <v>1</v>
      </c>
      <c r="G758" s="14">
        <v>1</v>
      </c>
      <c r="H758" s="14"/>
      <c r="I758" s="8" t="s">
        <v>120</v>
      </c>
      <c r="J758" s="8" t="s">
        <v>38</v>
      </c>
      <c r="K758">
        <v>96</v>
      </c>
      <c r="L758">
        <v>34.9375</v>
      </c>
      <c r="M758" s="14">
        <v>12</v>
      </c>
      <c r="N758" s="14">
        <v>1.4375</v>
      </c>
      <c r="Q758" t="str">
        <f t="shared" si="38"/>
        <v xml:space="preserve">XX8X_PV_1415:    Front abuts stile:FALSE       Back abuts stile:TRUE          Panel Section: WHOLE           Stile in the back Width:            Cutout A: B-386          Cutout B:      F.C.:12 in.         C.C.:1.4375 in.   </v>
      </c>
      <c r="R758" t="str">
        <f t="shared" si="39"/>
        <v>FALSE</v>
      </c>
      <c r="S758" t="str">
        <f t="shared" si="40"/>
        <v>TRUE</v>
      </c>
    </row>
    <row r="759" spans="1:19" hidden="1">
      <c r="A759" t="s">
        <v>919</v>
      </c>
      <c r="B759" s="14" t="s">
        <v>144</v>
      </c>
      <c r="C759" s="14" t="s">
        <v>21</v>
      </c>
      <c r="D759" s="14">
        <v>1</v>
      </c>
      <c r="E759" s="14">
        <v>0</v>
      </c>
      <c r="F759" s="14">
        <v>0</v>
      </c>
      <c r="G759" s="14"/>
      <c r="H759" s="14"/>
      <c r="I759" s="8" t="s">
        <v>145</v>
      </c>
      <c r="J759" s="8" t="s">
        <v>38</v>
      </c>
      <c r="K759">
        <v>49.6875</v>
      </c>
      <c r="L759">
        <v>9.125</v>
      </c>
      <c r="M759" s="14">
        <v>9</v>
      </c>
      <c r="N759" s="14">
        <v>1</v>
      </c>
      <c r="Q759" t="str">
        <f t="shared" si="38"/>
        <v xml:space="preserve">XX8X_PV_1416:    Front abuts stile:TRUE       Back abuts stile:FALSE          Panel Section: WHOLE           Stile in the back Width:            Cutout A: B-347          Cutout B:      F.C.:9 in.         C.C.:1 in.   </v>
      </c>
      <c r="R759" t="str">
        <f t="shared" si="39"/>
        <v>TRUE</v>
      </c>
      <c r="S759" t="str">
        <f t="shared" si="40"/>
        <v>FALSE</v>
      </c>
    </row>
    <row r="760" spans="1:19" hidden="1">
      <c r="A760" t="s">
        <v>920</v>
      </c>
      <c r="B760" s="14" t="s">
        <v>144</v>
      </c>
      <c r="C760" s="14" t="s">
        <v>21</v>
      </c>
      <c r="D760" s="14">
        <v>1</v>
      </c>
      <c r="E760" s="14">
        <v>0</v>
      </c>
      <c r="F760" s="14">
        <v>1</v>
      </c>
      <c r="G760" s="14">
        <v>0</v>
      </c>
      <c r="H760" s="14">
        <v>12</v>
      </c>
      <c r="I760" s="8" t="s">
        <v>151</v>
      </c>
      <c r="J760" s="8" t="s">
        <v>38</v>
      </c>
      <c r="K760">
        <v>96</v>
      </c>
      <c r="L760">
        <v>68.25</v>
      </c>
      <c r="M760" s="14">
        <v>12</v>
      </c>
      <c r="N760" s="14">
        <v>4.125</v>
      </c>
      <c r="Q760" t="str">
        <f t="shared" si="38"/>
        <v xml:space="preserve">XX8X_PV_1417:    Front abuts stile:TRUE       Back abuts stile:TRUE          Panel Section: WHOLE           Stile in the back Width: 12           Cutout A: B-35715          Cutout B:      F.C.:12 in.         C.C.:4.125 in.   </v>
      </c>
      <c r="R760" t="str">
        <f t="shared" si="39"/>
        <v>TRUE</v>
      </c>
      <c r="S760" t="str">
        <f t="shared" si="40"/>
        <v>TRUE</v>
      </c>
    </row>
    <row r="761" spans="1:19" hidden="1">
      <c r="A761" t="s">
        <v>921</v>
      </c>
      <c r="B761" s="14" t="s">
        <v>144</v>
      </c>
      <c r="C761" s="14" t="s">
        <v>21</v>
      </c>
      <c r="D761" s="14">
        <v>1</v>
      </c>
      <c r="E761" s="14">
        <v>0</v>
      </c>
      <c r="F761" s="14">
        <v>1</v>
      </c>
      <c r="G761" s="14">
        <v>0</v>
      </c>
      <c r="H761" s="14">
        <v>24</v>
      </c>
      <c r="I761" s="8" t="s">
        <v>120</v>
      </c>
      <c r="J761" s="8" t="s">
        <v>38</v>
      </c>
      <c r="K761">
        <v>68.0625</v>
      </c>
      <c r="L761">
        <v>17.6875</v>
      </c>
      <c r="M761" s="14">
        <v>1.9375</v>
      </c>
      <c r="N761" s="14">
        <v>1.875</v>
      </c>
      <c r="Q761" t="str">
        <f t="shared" si="38"/>
        <v xml:space="preserve">XX8X_PV_1418:    Front abuts stile:TRUE       Back abuts stile:TRUE          Panel Section: WHOLE           Stile in the back Width: 24           Cutout A: B-386          Cutout B:      F.C.:1.9375 in.         C.C.:1.875 in.   </v>
      </c>
      <c r="R761" t="str">
        <f t="shared" si="39"/>
        <v>TRUE</v>
      </c>
      <c r="S761" t="str">
        <f t="shared" si="40"/>
        <v>TRUE</v>
      </c>
    </row>
    <row r="762" spans="1:19" hidden="1">
      <c r="A762" t="s">
        <v>922</v>
      </c>
      <c r="B762" s="14" t="s">
        <v>144</v>
      </c>
      <c r="C762" s="14" t="s">
        <v>21</v>
      </c>
      <c r="D762" s="14">
        <v>1</v>
      </c>
      <c r="E762" s="14">
        <v>0</v>
      </c>
      <c r="F762" s="14">
        <v>1</v>
      </c>
      <c r="G762" s="14">
        <v>0</v>
      </c>
      <c r="H762" s="14"/>
      <c r="I762" s="8" t="s">
        <v>150</v>
      </c>
      <c r="J762" s="8" t="s">
        <v>38</v>
      </c>
      <c r="K762">
        <v>96</v>
      </c>
      <c r="L762">
        <v>20.5</v>
      </c>
      <c r="M762" s="14">
        <v>9</v>
      </c>
      <c r="N762" s="14">
        <v>5.0625</v>
      </c>
      <c r="Q762" t="str">
        <f t="shared" si="38"/>
        <v xml:space="preserve">XX8X_PV_1419:    Front abuts stile:TRUE       Back abuts stile:TRUE          Panel Section: WHOLE           Stile in the back Width:            Cutout A: B-3571          Cutout B:      F.C.:9 in.         C.C.:5.0625 in.   </v>
      </c>
      <c r="R762" t="str">
        <f t="shared" si="39"/>
        <v>TRUE</v>
      </c>
      <c r="S762" t="str">
        <f t="shared" si="40"/>
        <v>TRUE</v>
      </c>
    </row>
    <row r="763" spans="1:19" hidden="1">
      <c r="A763" t="s">
        <v>923</v>
      </c>
      <c r="B763" s="14" t="s">
        <v>144</v>
      </c>
      <c r="C763" s="14" t="s">
        <v>21</v>
      </c>
      <c r="D763" s="14">
        <v>1</v>
      </c>
      <c r="E763" s="14">
        <v>0</v>
      </c>
      <c r="F763" s="14">
        <v>1</v>
      </c>
      <c r="G763" s="14">
        <v>1</v>
      </c>
      <c r="H763" s="14"/>
      <c r="I763" s="8" t="s">
        <v>120</v>
      </c>
      <c r="J763" s="8" t="s">
        <v>38</v>
      </c>
      <c r="K763">
        <v>96</v>
      </c>
      <c r="L763">
        <v>6.625</v>
      </c>
      <c r="M763" s="14">
        <v>9</v>
      </c>
      <c r="N763" s="14">
        <v>1</v>
      </c>
      <c r="Q763" t="str">
        <f t="shared" si="38"/>
        <v xml:space="preserve">XX8X_PV_1420:    Front abuts stile:TRUE       Back abuts stile:TRUE          Panel Section: WHOLE           Stile in the back Width:            Cutout A: B-386          Cutout B:      F.C.:9 in.         C.C.:1 in.   </v>
      </c>
      <c r="R763" t="str">
        <f t="shared" si="39"/>
        <v>TRUE</v>
      </c>
      <c r="S763" t="str">
        <f t="shared" si="40"/>
        <v>TRUE</v>
      </c>
    </row>
    <row r="764" spans="1:19" hidden="1">
      <c r="A764" t="s">
        <v>924</v>
      </c>
      <c r="B764" s="14" t="s">
        <v>144</v>
      </c>
      <c r="C764" s="14" t="s">
        <v>21</v>
      </c>
      <c r="D764" s="14">
        <v>1</v>
      </c>
      <c r="E764" s="14">
        <v>1</v>
      </c>
      <c r="F764" s="14">
        <v>0</v>
      </c>
      <c r="G764" s="14"/>
      <c r="H764" s="14"/>
      <c r="I764" s="8" t="s">
        <v>121</v>
      </c>
      <c r="J764" s="8" t="s">
        <v>38</v>
      </c>
      <c r="K764">
        <v>96</v>
      </c>
      <c r="L764">
        <v>79.5</v>
      </c>
      <c r="M764" s="14">
        <v>12</v>
      </c>
      <c r="N764" s="14">
        <v>1.6875</v>
      </c>
      <c r="Q764" t="str">
        <f t="shared" si="38"/>
        <v xml:space="preserve">XX8X_PV_1421:    Front abuts stile:TRUE       Back abuts stile:FALSE          Panel Section: WHOLE           Stile in the back Width:            Cutout A: B-4354          Cutout B:      F.C.:12 in.         C.C.:1.6875 in.   </v>
      </c>
      <c r="R764" t="str">
        <f t="shared" si="39"/>
        <v>TRUE</v>
      </c>
      <c r="S764" t="str">
        <f t="shared" si="40"/>
        <v>FALSE</v>
      </c>
    </row>
    <row r="765" spans="1:19" hidden="1">
      <c r="A765" t="s">
        <v>925</v>
      </c>
      <c r="B765" s="14" t="s">
        <v>144</v>
      </c>
      <c r="C765" s="14" t="s">
        <v>21</v>
      </c>
      <c r="D765" s="14">
        <v>1</v>
      </c>
      <c r="E765" s="14">
        <v>1</v>
      </c>
      <c r="F765" s="14">
        <v>1</v>
      </c>
      <c r="G765" s="14">
        <v>0</v>
      </c>
      <c r="H765" s="14">
        <v>12</v>
      </c>
      <c r="I765" s="8" t="s">
        <v>145</v>
      </c>
      <c r="J765" s="8" t="s">
        <v>38</v>
      </c>
      <c r="K765">
        <v>104.6875</v>
      </c>
      <c r="L765">
        <v>58.6875</v>
      </c>
      <c r="M765" s="14">
        <v>12</v>
      </c>
      <c r="N765" s="14">
        <v>2.4375</v>
      </c>
      <c r="Q765" t="str">
        <f t="shared" si="38"/>
        <v xml:space="preserve">XX8X_PV_1422:    Front abuts stile:TRUE       Back abuts stile:TRUE          Panel Section: WHOLE           Stile in the back Width: 12           Cutout A: B-347          Cutout B:      F.C.:12 in.         C.C.:2.4375 in.   </v>
      </c>
      <c r="R765" t="str">
        <f t="shared" si="39"/>
        <v>TRUE</v>
      </c>
      <c r="S765" t="str">
        <f t="shared" si="40"/>
        <v>TRUE</v>
      </c>
    </row>
    <row r="766" spans="1:19" hidden="1">
      <c r="A766" t="s">
        <v>926</v>
      </c>
      <c r="B766" s="14" t="s">
        <v>144</v>
      </c>
      <c r="C766" s="14" t="s">
        <v>21</v>
      </c>
      <c r="D766" s="14">
        <v>1</v>
      </c>
      <c r="E766" s="14">
        <v>1</v>
      </c>
      <c r="F766" s="14">
        <v>1</v>
      </c>
      <c r="G766" s="14">
        <v>0</v>
      </c>
      <c r="H766" s="14">
        <v>24</v>
      </c>
      <c r="I766" s="8" t="s">
        <v>120</v>
      </c>
      <c r="J766" s="8" t="s">
        <v>38</v>
      </c>
      <c r="K766">
        <v>88.5625</v>
      </c>
      <c r="L766">
        <v>38.0625</v>
      </c>
      <c r="M766" s="14">
        <v>4.5</v>
      </c>
      <c r="N766" s="14">
        <v>5.875</v>
      </c>
      <c r="Q766" t="str">
        <f t="shared" si="38"/>
        <v xml:space="preserve">XX8X_PV_1423:    Front abuts stile:TRUE       Back abuts stile:TRUE          Panel Section: WHOLE           Stile in the back Width: 24           Cutout A: B-386          Cutout B:      F.C.:4.5 in.         C.C.:5.875 in.   </v>
      </c>
      <c r="R766" t="str">
        <f t="shared" si="39"/>
        <v>TRUE</v>
      </c>
      <c r="S766" t="str">
        <f t="shared" si="40"/>
        <v>TRUE</v>
      </c>
    </row>
    <row r="767" spans="1:19" hidden="1">
      <c r="A767" t="s">
        <v>927</v>
      </c>
      <c r="B767" s="14" t="s">
        <v>144</v>
      </c>
      <c r="C767" s="14" t="s">
        <v>21</v>
      </c>
      <c r="D767" s="14">
        <v>1</v>
      </c>
      <c r="E767" s="14">
        <v>1</v>
      </c>
      <c r="F767" s="14">
        <v>1</v>
      </c>
      <c r="G767" s="14">
        <v>0</v>
      </c>
      <c r="H767" s="14"/>
      <c r="I767" s="8" t="s">
        <v>151</v>
      </c>
      <c r="J767" s="8" t="s">
        <v>38</v>
      </c>
      <c r="K767">
        <v>96</v>
      </c>
      <c r="L767">
        <v>23</v>
      </c>
      <c r="M767" s="14">
        <v>9</v>
      </c>
      <c r="N767" s="14">
        <v>4.6875</v>
      </c>
      <c r="Q767" t="str">
        <f t="shared" si="38"/>
        <v xml:space="preserve">XX8X_PV_1424:    Front abuts stile:TRUE       Back abuts stile:TRUE          Panel Section: WHOLE           Stile in the back Width:            Cutout A: B-35715          Cutout B:      F.C.:9 in.         C.C.:4.6875 in.   </v>
      </c>
      <c r="R767" t="str">
        <f t="shared" si="39"/>
        <v>TRUE</v>
      </c>
      <c r="S767" t="str">
        <f t="shared" si="40"/>
        <v>TRUE</v>
      </c>
    </row>
    <row r="768" spans="1:19" hidden="1">
      <c r="A768" t="s">
        <v>928</v>
      </c>
      <c r="B768" s="14" t="s">
        <v>144</v>
      </c>
      <c r="C768" s="14" t="s">
        <v>21</v>
      </c>
      <c r="D768" s="14">
        <v>1</v>
      </c>
      <c r="E768" s="14">
        <v>1</v>
      </c>
      <c r="F768" s="14">
        <v>1</v>
      </c>
      <c r="G768" s="14">
        <v>1</v>
      </c>
      <c r="H768" s="14"/>
      <c r="I768" s="8" t="s">
        <v>38</v>
      </c>
      <c r="J768" s="8" t="s">
        <v>38</v>
      </c>
      <c r="K768">
        <v>96</v>
      </c>
      <c r="L768">
        <v>30.375</v>
      </c>
      <c r="M768" s="14">
        <v>9.125</v>
      </c>
      <c r="N768" s="14">
        <v>1</v>
      </c>
      <c r="Q768" t="str">
        <f t="shared" si="38"/>
        <v xml:space="preserve">XX8X_PV_1425:    Front abuts stile:TRUE       Back abuts stile:TRUE          Panel Section: WHOLE           Stile in the back Width:            Cutout A:           Cutout B:      F.C.:9.125 in.         C.C.:1 in.   </v>
      </c>
      <c r="R768" t="str">
        <f t="shared" si="39"/>
        <v>TRUE</v>
      </c>
      <c r="S768" t="str">
        <f t="shared" si="40"/>
        <v>TRUE</v>
      </c>
    </row>
  </sheetData>
  <sheetProtection algorithmName="SHA-512" hashValue="+UQlKFq6ngjbNXUPQWyHVnmeFCQ5cMkLVOF5OfNvNzXt7nhMldfwmQLD3gohPg2rPkOq6lXW8TP1fGpQ7223wg==" saltValue="YDQntpFx3lpDKvfngOqpEQ==" spinCount="100000" sheet="1" objects="1" scenarios="1"/>
  <autoFilter ref="A3:K768" xr:uid="{E629106A-13DD-4325-A544-45F415BC929C}">
    <filterColumn colId="1">
      <filters>
        <filter val="Yes"/>
      </filters>
    </filterColumn>
  </autoFilter>
  <conditionalFormatting sqref="A4:N768">
    <cfRule type="expression" dxfId="0" priority="1">
      <formula>$B4="Yes"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92FB7-CD34-443D-AA79-3A2BF2D7081A}">
  <sheetPr codeName="Sheet6"/>
  <dimension ref="A1:K28"/>
  <sheetViews>
    <sheetView showGridLines="0" zoomScale="57" workbookViewId="0">
      <selection activeCell="F16" sqref="F16:K28"/>
    </sheetView>
  </sheetViews>
  <sheetFormatPr defaultRowHeight="14.45"/>
  <cols>
    <col min="1" max="1" width="15.42578125" bestFit="1" customWidth="1"/>
    <col min="2" max="2" width="15.7109375" bestFit="1" customWidth="1"/>
    <col min="8" max="11" width="20.5703125" customWidth="1"/>
  </cols>
  <sheetData>
    <row r="1" spans="1:11" ht="57.95">
      <c r="A1" s="62" t="s">
        <v>160</v>
      </c>
      <c r="B1" t="s">
        <v>143</v>
      </c>
      <c r="F1" s="2" t="s">
        <v>116</v>
      </c>
      <c r="G1" s="2" t="s">
        <v>1654</v>
      </c>
      <c r="H1" s="34" t="s">
        <v>133</v>
      </c>
      <c r="I1" s="35" t="s">
        <v>141</v>
      </c>
      <c r="J1" s="35" t="s">
        <v>134</v>
      </c>
      <c r="K1" s="35" t="s">
        <v>135</v>
      </c>
    </row>
    <row r="2" spans="1:11">
      <c r="F2" t="s">
        <v>119</v>
      </c>
      <c r="G2" s="14">
        <v>1</v>
      </c>
      <c r="H2" s="65" t="s">
        <v>143</v>
      </c>
      <c r="I2" s="65" t="s">
        <v>143</v>
      </c>
      <c r="J2" s="64" t="s">
        <v>144</v>
      </c>
      <c r="K2" s="64" t="s">
        <v>144</v>
      </c>
    </row>
    <row r="3" spans="1:11">
      <c r="A3" s="62" t="s">
        <v>1655</v>
      </c>
      <c r="B3" t="s">
        <v>1656</v>
      </c>
      <c r="F3" t="s">
        <v>120</v>
      </c>
      <c r="G3" s="14">
        <v>10</v>
      </c>
      <c r="H3" s="65" t="s">
        <v>143</v>
      </c>
      <c r="I3" s="65" t="s">
        <v>143</v>
      </c>
      <c r="J3" s="65" t="s">
        <v>143</v>
      </c>
      <c r="K3" s="65" t="s">
        <v>143</v>
      </c>
    </row>
    <row r="4" spans="1:11">
      <c r="A4" s="63"/>
      <c r="B4">
        <v>8</v>
      </c>
      <c r="F4" t="s">
        <v>121</v>
      </c>
      <c r="G4" s="14">
        <v>1</v>
      </c>
      <c r="H4" s="65" t="s">
        <v>143</v>
      </c>
      <c r="I4" s="65" t="s">
        <v>143</v>
      </c>
      <c r="J4" s="64" t="s">
        <v>144</v>
      </c>
      <c r="K4" s="64" t="s">
        <v>144</v>
      </c>
    </row>
    <row r="5" spans="1:11">
      <c r="A5" s="63" t="s">
        <v>145</v>
      </c>
      <c r="B5">
        <v>1</v>
      </c>
      <c r="G5" s="14"/>
    </row>
    <row r="6" spans="1:11">
      <c r="A6" s="63" t="s">
        <v>148</v>
      </c>
      <c r="B6">
        <v>3</v>
      </c>
      <c r="F6" t="s">
        <v>145</v>
      </c>
      <c r="G6" s="14">
        <v>1</v>
      </c>
      <c r="H6" s="65" t="s">
        <v>143</v>
      </c>
      <c r="I6" s="65" t="s">
        <v>143</v>
      </c>
      <c r="J6" s="65" t="s">
        <v>143</v>
      </c>
      <c r="K6" s="64" t="s">
        <v>144</v>
      </c>
    </row>
    <row r="7" spans="1:11">
      <c r="A7" s="63" t="s">
        <v>119</v>
      </c>
      <c r="B7">
        <v>1</v>
      </c>
      <c r="F7" t="s">
        <v>35</v>
      </c>
      <c r="G7" s="14">
        <v>2</v>
      </c>
      <c r="H7" s="65" t="s">
        <v>143</v>
      </c>
      <c r="I7" s="65" t="s">
        <v>143</v>
      </c>
      <c r="J7" s="65" t="s">
        <v>143</v>
      </c>
      <c r="K7" s="64" t="s">
        <v>144</v>
      </c>
    </row>
    <row r="8" spans="1:11">
      <c r="A8" s="63" t="s">
        <v>35</v>
      </c>
      <c r="B8">
        <v>2</v>
      </c>
      <c r="G8" s="14"/>
    </row>
    <row r="9" spans="1:11">
      <c r="A9" s="63" t="s">
        <v>150</v>
      </c>
      <c r="B9">
        <v>2</v>
      </c>
      <c r="F9" t="s">
        <v>148</v>
      </c>
      <c r="G9" s="14">
        <v>3</v>
      </c>
      <c r="H9" s="65" t="s">
        <v>143</v>
      </c>
      <c r="I9" s="65" t="s">
        <v>143</v>
      </c>
      <c r="J9" s="65" t="s">
        <v>143</v>
      </c>
      <c r="K9" s="64" t="s">
        <v>144</v>
      </c>
    </row>
    <row r="10" spans="1:11">
      <c r="A10" s="63" t="s">
        <v>151</v>
      </c>
      <c r="B10">
        <v>3</v>
      </c>
      <c r="F10" t="s">
        <v>149</v>
      </c>
      <c r="G10" s="14">
        <v>0</v>
      </c>
      <c r="H10" s="65" t="s">
        <v>143</v>
      </c>
      <c r="I10" s="65" t="s">
        <v>143</v>
      </c>
      <c r="J10" s="65" t="s">
        <v>143</v>
      </c>
      <c r="K10" s="64" t="s">
        <v>144</v>
      </c>
    </row>
    <row r="11" spans="1:11">
      <c r="A11" s="63" t="s">
        <v>120</v>
      </c>
      <c r="B11">
        <v>10</v>
      </c>
      <c r="F11" t="s">
        <v>150</v>
      </c>
      <c r="G11" s="14">
        <v>2</v>
      </c>
      <c r="H11" s="65" t="s">
        <v>143</v>
      </c>
      <c r="I11" s="65" t="s">
        <v>143</v>
      </c>
      <c r="J11" s="65" t="s">
        <v>143</v>
      </c>
      <c r="K11" s="64" t="s">
        <v>144</v>
      </c>
    </row>
    <row r="12" spans="1:11">
      <c r="A12" s="63" t="s">
        <v>121</v>
      </c>
      <c r="B12">
        <v>1</v>
      </c>
      <c r="F12" t="s">
        <v>151</v>
      </c>
      <c r="G12" s="14">
        <v>3</v>
      </c>
      <c r="H12" s="65" t="s">
        <v>143</v>
      </c>
      <c r="I12" s="65" t="s">
        <v>143</v>
      </c>
      <c r="J12" s="65" t="s">
        <v>143</v>
      </c>
      <c r="K12" s="64" t="s">
        <v>144</v>
      </c>
    </row>
    <row r="13" spans="1:11">
      <c r="A13" s="63" t="s">
        <v>1657</v>
      </c>
      <c r="B13">
        <v>31</v>
      </c>
    </row>
    <row r="16" spans="1:11" ht="21">
      <c r="F16" s="66" t="s">
        <v>1658</v>
      </c>
    </row>
    <row r="17" spans="6:11" ht="57.95">
      <c r="F17" s="2" t="s">
        <v>116</v>
      </c>
      <c r="G17" s="2" t="s">
        <v>1654</v>
      </c>
      <c r="H17" s="34" t="s">
        <v>133</v>
      </c>
      <c r="I17" s="35" t="s">
        <v>141</v>
      </c>
      <c r="J17" s="35" t="s">
        <v>134</v>
      </c>
      <c r="K17" s="35" t="s">
        <v>135</v>
      </c>
    </row>
    <row r="18" spans="6:11">
      <c r="F18" t="s">
        <v>119</v>
      </c>
      <c r="G18" s="14">
        <v>1</v>
      </c>
      <c r="H18" s="65"/>
      <c r="I18" s="65"/>
      <c r="J18" s="64" t="s">
        <v>144</v>
      </c>
      <c r="K18" s="64" t="s">
        <v>144</v>
      </c>
    </row>
    <row r="19" spans="6:11">
      <c r="F19" t="s">
        <v>120</v>
      </c>
      <c r="G19" s="14">
        <v>10</v>
      </c>
      <c r="H19" s="65"/>
      <c r="I19" s="65"/>
      <c r="J19" s="65"/>
      <c r="K19" s="65"/>
    </row>
    <row r="20" spans="6:11">
      <c r="F20" t="s">
        <v>121</v>
      </c>
      <c r="G20" s="14">
        <v>1</v>
      </c>
      <c r="H20" s="65"/>
      <c r="I20" s="65"/>
      <c r="J20" s="64" t="s">
        <v>144</v>
      </c>
      <c r="K20" s="64" t="s">
        <v>144</v>
      </c>
    </row>
    <row r="21" spans="6:11">
      <c r="G21" s="14"/>
    </row>
    <row r="22" spans="6:11">
      <c r="F22" t="s">
        <v>145</v>
      </c>
      <c r="G22" s="14">
        <v>1</v>
      </c>
      <c r="H22" s="65"/>
      <c r="I22" s="65"/>
      <c r="J22" s="65"/>
      <c r="K22" s="64" t="s">
        <v>144</v>
      </c>
    </row>
    <row r="23" spans="6:11">
      <c r="F23" t="s">
        <v>35</v>
      </c>
      <c r="G23" s="14">
        <v>2</v>
      </c>
      <c r="H23" s="65"/>
      <c r="I23" s="65"/>
      <c r="J23" s="65"/>
      <c r="K23" s="64" t="s">
        <v>144</v>
      </c>
    </row>
    <row r="24" spans="6:11">
      <c r="G24" s="14"/>
    </row>
    <row r="25" spans="6:11">
      <c r="F25" t="s">
        <v>148</v>
      </c>
      <c r="G25" s="14">
        <v>3</v>
      </c>
      <c r="H25" s="65"/>
      <c r="I25" s="65"/>
      <c r="J25" s="65"/>
      <c r="K25" s="64" t="s">
        <v>144</v>
      </c>
    </row>
    <row r="26" spans="6:11">
      <c r="F26" t="s">
        <v>149</v>
      </c>
      <c r="G26" s="14">
        <v>0</v>
      </c>
      <c r="H26" s="65"/>
      <c r="I26" s="65"/>
      <c r="J26" s="65"/>
      <c r="K26" s="64" t="s">
        <v>144</v>
      </c>
    </row>
    <row r="27" spans="6:11">
      <c r="F27" t="s">
        <v>150</v>
      </c>
      <c r="G27" s="14">
        <v>2</v>
      </c>
      <c r="H27" s="65"/>
      <c r="I27" s="65"/>
      <c r="J27" s="65"/>
      <c r="K27" s="64" t="s">
        <v>144</v>
      </c>
    </row>
    <row r="28" spans="6:11">
      <c r="F28" t="s">
        <v>151</v>
      </c>
      <c r="G28" s="14">
        <v>3</v>
      </c>
      <c r="H28" s="65"/>
      <c r="I28" s="65"/>
      <c r="J28" s="65"/>
      <c r="K28" s="64" t="s">
        <v>144</v>
      </c>
    </row>
  </sheetData>
  <sheetProtection algorithmName="SHA-512" hashValue="DNikAFsGDOKa7vJRuZi7YyHWQ21jL0+JPGXWMdMkRcT9lJ1ajfnGtkntX3rKao9JiQQc5spofNl+zDbfA1af5Q==" saltValue="KIrut5mtUd9948OsRKk0aQ==" spinCount="100000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E19BD-518E-4108-8FBD-D1576FE2E24C}">
  <sheetPr codeName="Sheet7"/>
  <dimension ref="A1:AH1486"/>
  <sheetViews>
    <sheetView topLeftCell="A292" workbookViewId="0">
      <selection activeCell="A312" sqref="A312:XFD312"/>
    </sheetView>
  </sheetViews>
  <sheetFormatPr defaultColWidth="8.5703125" defaultRowHeight="14.45"/>
  <cols>
    <col min="1" max="1" width="14.7109375" customWidth="1"/>
    <col min="2" max="34" width="13" customWidth="1"/>
  </cols>
  <sheetData>
    <row r="1" spans="1:34">
      <c r="A1" t="s">
        <v>159</v>
      </c>
      <c r="B1" t="s">
        <v>9</v>
      </c>
      <c r="C1" t="s">
        <v>13</v>
      </c>
      <c r="D1" t="s">
        <v>15</v>
      </c>
      <c r="E1" t="s">
        <v>17</v>
      </c>
      <c r="F1" t="s">
        <v>19</v>
      </c>
      <c r="G1" t="s">
        <v>22</v>
      </c>
      <c r="H1" t="s">
        <v>25</v>
      </c>
      <c r="I1" t="s">
        <v>27</v>
      </c>
      <c r="J1" t="s">
        <v>29</v>
      </c>
      <c r="K1" t="s">
        <v>31</v>
      </c>
      <c r="L1" t="s">
        <v>33</v>
      </c>
      <c r="M1" t="s">
        <v>36</v>
      </c>
      <c r="N1" t="s">
        <v>39</v>
      </c>
      <c r="O1" t="s">
        <v>42</v>
      </c>
      <c r="P1" t="s">
        <v>44</v>
      </c>
      <c r="Q1" t="s">
        <v>46</v>
      </c>
      <c r="R1" t="s">
        <v>48</v>
      </c>
      <c r="S1" t="s">
        <v>51</v>
      </c>
      <c r="T1" t="s">
        <v>53</v>
      </c>
      <c r="U1" t="s">
        <v>56</v>
      </c>
      <c r="V1" t="s">
        <v>58</v>
      </c>
      <c r="W1" t="s">
        <v>60</v>
      </c>
      <c r="X1" t="s">
        <v>62</v>
      </c>
      <c r="Y1" t="s">
        <v>64</v>
      </c>
      <c r="Z1" t="s">
        <v>67</v>
      </c>
      <c r="AA1" t="s">
        <v>71</v>
      </c>
      <c r="AB1" t="s">
        <v>73</v>
      </c>
      <c r="AC1" t="s">
        <v>75</v>
      </c>
      <c r="AD1" t="s">
        <v>77</v>
      </c>
      <c r="AE1" t="s">
        <v>79</v>
      </c>
      <c r="AF1" t="s">
        <v>81</v>
      </c>
      <c r="AG1" t="s">
        <v>83</v>
      </c>
      <c r="AH1" t="s">
        <v>85</v>
      </c>
    </row>
    <row r="2" spans="1:34">
      <c r="A2" t="s">
        <v>164</v>
      </c>
      <c r="B2">
        <v>7.875</v>
      </c>
      <c r="C2">
        <v>6</v>
      </c>
      <c r="D2">
        <v>1</v>
      </c>
      <c r="E2">
        <v>12</v>
      </c>
      <c r="F2" t="s">
        <v>156</v>
      </c>
      <c r="G2">
        <v>0</v>
      </c>
      <c r="I2">
        <v>0</v>
      </c>
      <c r="L2" t="s">
        <v>120</v>
      </c>
      <c r="M2" t="s">
        <v>119</v>
      </c>
      <c r="N2">
        <v>0.5</v>
      </c>
      <c r="O2">
        <v>0.38</v>
      </c>
      <c r="P2">
        <v>3.5</v>
      </c>
      <c r="Q2">
        <v>3.5</v>
      </c>
      <c r="R2">
        <v>0</v>
      </c>
      <c r="S2">
        <v>4</v>
      </c>
      <c r="T2">
        <v>0.5</v>
      </c>
      <c r="U2">
        <v>0</v>
      </c>
      <c r="V2">
        <v>0</v>
      </c>
      <c r="W2">
        <v>0</v>
      </c>
      <c r="X2">
        <v>0</v>
      </c>
      <c r="Y2">
        <v>0.5</v>
      </c>
      <c r="Z2">
        <v>0.5</v>
      </c>
    </row>
    <row r="3" spans="1:34">
      <c r="A3" t="s">
        <v>165</v>
      </c>
      <c r="B3">
        <v>28.0625</v>
      </c>
      <c r="C3">
        <v>54.25</v>
      </c>
      <c r="D3">
        <v>2.0625</v>
      </c>
      <c r="E3">
        <v>1</v>
      </c>
      <c r="F3" t="s">
        <v>156</v>
      </c>
      <c r="G3">
        <v>0</v>
      </c>
      <c r="I3">
        <v>1</v>
      </c>
      <c r="J3">
        <v>0</v>
      </c>
      <c r="K3">
        <v>12</v>
      </c>
      <c r="L3" t="s">
        <v>120</v>
      </c>
      <c r="N3">
        <v>0.5</v>
      </c>
      <c r="O3">
        <v>0.38</v>
      </c>
      <c r="P3">
        <v>3.5</v>
      </c>
      <c r="Q3">
        <v>2.4375</v>
      </c>
      <c r="R3">
        <v>3.5</v>
      </c>
      <c r="S3">
        <v>4</v>
      </c>
      <c r="T3">
        <v>0.5</v>
      </c>
      <c r="U3">
        <v>0</v>
      </c>
      <c r="V3">
        <v>0</v>
      </c>
      <c r="W3">
        <v>0</v>
      </c>
      <c r="X3">
        <v>0</v>
      </c>
      <c r="Y3">
        <v>0.5</v>
      </c>
      <c r="Z3">
        <v>0.5</v>
      </c>
    </row>
    <row r="4" spans="1:34">
      <c r="A4" t="s">
        <v>166</v>
      </c>
      <c r="B4">
        <v>38.1875</v>
      </c>
      <c r="C4">
        <v>56</v>
      </c>
      <c r="D4">
        <v>1</v>
      </c>
      <c r="E4">
        <v>3.75</v>
      </c>
      <c r="F4" t="s">
        <v>156</v>
      </c>
      <c r="G4">
        <v>0</v>
      </c>
      <c r="I4">
        <v>1</v>
      </c>
      <c r="J4">
        <v>0</v>
      </c>
      <c r="K4">
        <v>24</v>
      </c>
      <c r="L4" t="s">
        <v>120</v>
      </c>
      <c r="N4">
        <v>0.5</v>
      </c>
      <c r="O4">
        <v>0.38</v>
      </c>
      <c r="P4">
        <v>3.5</v>
      </c>
      <c r="Q4">
        <v>3.5</v>
      </c>
      <c r="R4">
        <v>0.75</v>
      </c>
      <c r="S4">
        <v>4</v>
      </c>
      <c r="T4">
        <v>0.5</v>
      </c>
      <c r="U4">
        <v>0</v>
      </c>
      <c r="V4">
        <v>0</v>
      </c>
      <c r="W4">
        <v>0</v>
      </c>
      <c r="X4">
        <v>0</v>
      </c>
      <c r="Y4">
        <v>0.5</v>
      </c>
      <c r="Z4">
        <v>0.5</v>
      </c>
    </row>
    <row r="5" spans="1:34">
      <c r="A5" t="s">
        <v>167</v>
      </c>
      <c r="B5">
        <v>28.1875</v>
      </c>
      <c r="C5">
        <v>74.75</v>
      </c>
      <c r="D5">
        <v>9</v>
      </c>
      <c r="E5">
        <v>1.6875</v>
      </c>
      <c r="F5" t="s">
        <v>156</v>
      </c>
      <c r="G5">
        <v>0</v>
      </c>
      <c r="I5">
        <v>1</v>
      </c>
      <c r="J5">
        <v>0</v>
      </c>
      <c r="N5">
        <v>0.5</v>
      </c>
      <c r="O5">
        <v>0.38</v>
      </c>
      <c r="P5">
        <v>3.5</v>
      </c>
      <c r="Q5">
        <v>-4.5</v>
      </c>
      <c r="R5">
        <v>2.8125</v>
      </c>
      <c r="S5">
        <v>4</v>
      </c>
      <c r="T5">
        <v>0.5</v>
      </c>
      <c r="U5">
        <v>0</v>
      </c>
      <c r="V5">
        <v>0</v>
      </c>
      <c r="W5">
        <v>0</v>
      </c>
      <c r="X5">
        <v>0</v>
      </c>
      <c r="Y5">
        <v>0.5</v>
      </c>
      <c r="Z5">
        <v>0.5</v>
      </c>
    </row>
    <row r="6" spans="1:34">
      <c r="A6" t="s">
        <v>168</v>
      </c>
      <c r="B6">
        <v>20.1875</v>
      </c>
      <c r="C6">
        <v>62</v>
      </c>
      <c r="D6">
        <v>4.5</v>
      </c>
      <c r="E6">
        <v>4.875</v>
      </c>
      <c r="F6" t="s">
        <v>156</v>
      </c>
      <c r="G6">
        <v>0</v>
      </c>
      <c r="I6">
        <v>1</v>
      </c>
      <c r="J6">
        <v>1</v>
      </c>
      <c r="N6">
        <v>0.5</v>
      </c>
      <c r="O6">
        <v>0.38</v>
      </c>
      <c r="P6">
        <v>3.5</v>
      </c>
      <c r="Q6">
        <v>0</v>
      </c>
      <c r="R6">
        <v>0</v>
      </c>
      <c r="S6">
        <v>4</v>
      </c>
      <c r="T6">
        <v>0.5</v>
      </c>
      <c r="U6">
        <v>0</v>
      </c>
      <c r="V6">
        <v>0</v>
      </c>
      <c r="W6">
        <v>0</v>
      </c>
      <c r="X6">
        <v>0</v>
      </c>
      <c r="Y6">
        <v>0.5</v>
      </c>
      <c r="Z6">
        <v>0.5</v>
      </c>
    </row>
    <row r="7" spans="1:34">
      <c r="A7" t="s">
        <v>169</v>
      </c>
      <c r="B7">
        <v>19.125</v>
      </c>
      <c r="C7">
        <v>25.5625</v>
      </c>
      <c r="D7">
        <v>1</v>
      </c>
      <c r="E7">
        <v>1</v>
      </c>
      <c r="F7" t="s">
        <v>156</v>
      </c>
      <c r="G7">
        <v>1</v>
      </c>
      <c r="H7">
        <v>0</v>
      </c>
      <c r="I7">
        <v>0</v>
      </c>
      <c r="L7" t="s">
        <v>119</v>
      </c>
      <c r="N7">
        <v>0.5</v>
      </c>
      <c r="O7">
        <v>0.38</v>
      </c>
      <c r="P7">
        <v>3.5</v>
      </c>
      <c r="Q7">
        <v>3.5</v>
      </c>
      <c r="R7">
        <v>3.5</v>
      </c>
      <c r="S7">
        <v>4</v>
      </c>
      <c r="T7">
        <v>0.5</v>
      </c>
      <c r="U7">
        <v>0</v>
      </c>
      <c r="V7">
        <v>0</v>
      </c>
      <c r="W7">
        <v>0</v>
      </c>
      <c r="X7">
        <v>0</v>
      </c>
      <c r="Y7">
        <v>0.5</v>
      </c>
      <c r="Z7">
        <v>0.5</v>
      </c>
    </row>
    <row r="8" spans="1:34">
      <c r="A8" t="s">
        <v>170</v>
      </c>
      <c r="B8">
        <v>36.8125</v>
      </c>
      <c r="C8">
        <v>48.5625</v>
      </c>
      <c r="D8">
        <v>1.8125</v>
      </c>
      <c r="E8">
        <v>11.9375</v>
      </c>
      <c r="F8" t="s">
        <v>156</v>
      </c>
      <c r="G8">
        <v>1</v>
      </c>
      <c r="H8">
        <v>0</v>
      </c>
      <c r="I8">
        <v>1</v>
      </c>
      <c r="J8">
        <v>0</v>
      </c>
      <c r="K8">
        <v>12</v>
      </c>
      <c r="N8">
        <v>0.5</v>
      </c>
      <c r="O8">
        <v>0.38</v>
      </c>
      <c r="P8">
        <v>3.5</v>
      </c>
      <c r="Q8">
        <v>2.6875</v>
      </c>
      <c r="R8">
        <v>0</v>
      </c>
      <c r="S8">
        <v>4</v>
      </c>
      <c r="T8">
        <v>0.5</v>
      </c>
      <c r="U8">
        <v>0</v>
      </c>
      <c r="V8">
        <v>0</v>
      </c>
      <c r="W8">
        <v>0</v>
      </c>
      <c r="X8">
        <v>0</v>
      </c>
      <c r="Y8">
        <v>0.5</v>
      </c>
      <c r="Z8">
        <v>0.5</v>
      </c>
    </row>
    <row r="9" spans="1:34">
      <c r="A9" t="s">
        <v>171</v>
      </c>
      <c r="B9">
        <v>7.6875</v>
      </c>
      <c r="C9">
        <v>56.875</v>
      </c>
      <c r="D9">
        <v>6.375</v>
      </c>
      <c r="E9">
        <v>2.625</v>
      </c>
      <c r="F9" t="s">
        <v>156</v>
      </c>
      <c r="G9">
        <v>1</v>
      </c>
      <c r="H9">
        <v>0</v>
      </c>
      <c r="I9">
        <v>1</v>
      </c>
      <c r="J9">
        <v>0</v>
      </c>
      <c r="K9">
        <v>24</v>
      </c>
      <c r="L9" t="s">
        <v>120</v>
      </c>
      <c r="N9">
        <v>0.5</v>
      </c>
      <c r="O9">
        <v>0.38</v>
      </c>
      <c r="P9">
        <v>3.5</v>
      </c>
      <c r="Q9">
        <v>-1.875</v>
      </c>
      <c r="R9">
        <v>1.875</v>
      </c>
      <c r="S9">
        <v>4</v>
      </c>
      <c r="T9">
        <v>0.5</v>
      </c>
      <c r="U9">
        <v>0</v>
      </c>
      <c r="V9">
        <v>0</v>
      </c>
      <c r="W9">
        <v>0</v>
      </c>
      <c r="X9">
        <v>0</v>
      </c>
      <c r="Y9">
        <v>0.5</v>
      </c>
      <c r="Z9">
        <v>0.5</v>
      </c>
    </row>
    <row r="10" spans="1:34">
      <c r="A10" t="s">
        <v>172</v>
      </c>
      <c r="B10">
        <v>7.875</v>
      </c>
      <c r="C10">
        <v>51.125</v>
      </c>
      <c r="D10">
        <v>12</v>
      </c>
      <c r="E10">
        <v>2.9375</v>
      </c>
      <c r="F10" t="s">
        <v>156</v>
      </c>
      <c r="G10">
        <v>1</v>
      </c>
      <c r="H10">
        <v>0</v>
      </c>
      <c r="I10">
        <v>1</v>
      </c>
      <c r="J10">
        <v>0</v>
      </c>
      <c r="N10">
        <v>0.5</v>
      </c>
      <c r="O10">
        <v>0.38</v>
      </c>
      <c r="P10">
        <v>3.5</v>
      </c>
      <c r="Q10">
        <v>-7.5</v>
      </c>
      <c r="R10">
        <v>1.5625</v>
      </c>
      <c r="S10">
        <v>4</v>
      </c>
      <c r="T10">
        <v>0.5</v>
      </c>
      <c r="U10">
        <v>0</v>
      </c>
      <c r="V10">
        <v>0</v>
      </c>
      <c r="W10">
        <v>0</v>
      </c>
      <c r="X10">
        <v>0</v>
      </c>
      <c r="Y10">
        <v>0.5</v>
      </c>
      <c r="Z10">
        <v>0.5</v>
      </c>
    </row>
    <row r="11" spans="1:34">
      <c r="A11" t="s">
        <v>173</v>
      </c>
      <c r="B11">
        <v>36.9375</v>
      </c>
      <c r="C11">
        <v>54.25</v>
      </c>
      <c r="D11">
        <v>7.6875</v>
      </c>
      <c r="E11">
        <v>4</v>
      </c>
      <c r="F11" t="s">
        <v>156</v>
      </c>
      <c r="G11">
        <v>1</v>
      </c>
      <c r="H11">
        <v>0</v>
      </c>
      <c r="I11">
        <v>1</v>
      </c>
      <c r="J11">
        <v>1</v>
      </c>
      <c r="N11">
        <v>0.5</v>
      </c>
      <c r="O11">
        <v>0.38</v>
      </c>
      <c r="P11">
        <v>3.5</v>
      </c>
      <c r="Q11">
        <v>-3.1875</v>
      </c>
      <c r="R11">
        <v>0.5</v>
      </c>
      <c r="S11">
        <v>4</v>
      </c>
      <c r="T11">
        <v>0.5</v>
      </c>
      <c r="U11">
        <v>0</v>
      </c>
      <c r="V11">
        <v>0</v>
      </c>
      <c r="W11">
        <v>0</v>
      </c>
      <c r="X11">
        <v>1</v>
      </c>
      <c r="Y11">
        <v>0.5</v>
      </c>
      <c r="Z11">
        <v>0.5</v>
      </c>
    </row>
    <row r="12" spans="1:34">
      <c r="A12" t="s">
        <v>174</v>
      </c>
      <c r="B12">
        <v>24.1875</v>
      </c>
      <c r="C12">
        <v>63.0625</v>
      </c>
      <c r="D12">
        <v>9</v>
      </c>
      <c r="E12">
        <v>1</v>
      </c>
      <c r="F12" t="s">
        <v>156</v>
      </c>
      <c r="G12">
        <v>1</v>
      </c>
      <c r="H12">
        <v>1</v>
      </c>
      <c r="I12">
        <v>0</v>
      </c>
      <c r="N12">
        <v>0.5</v>
      </c>
      <c r="O12">
        <v>0.38</v>
      </c>
      <c r="P12">
        <v>3.5</v>
      </c>
      <c r="Q12">
        <v>-4.5</v>
      </c>
      <c r="R12">
        <v>3.5</v>
      </c>
      <c r="S12">
        <v>4</v>
      </c>
      <c r="T12">
        <v>0.5</v>
      </c>
      <c r="U12">
        <v>0</v>
      </c>
      <c r="V12">
        <v>0</v>
      </c>
      <c r="W12">
        <v>1</v>
      </c>
      <c r="X12">
        <v>0</v>
      </c>
      <c r="Y12">
        <v>0.5</v>
      </c>
      <c r="Z12">
        <v>0.5</v>
      </c>
    </row>
    <row r="13" spans="1:34">
      <c r="A13" t="s">
        <v>175</v>
      </c>
      <c r="B13">
        <v>32.3125</v>
      </c>
      <c r="C13">
        <v>29.4375</v>
      </c>
      <c r="D13">
        <v>9</v>
      </c>
      <c r="E13">
        <v>1</v>
      </c>
      <c r="F13" t="s">
        <v>156</v>
      </c>
      <c r="G13">
        <v>1</v>
      </c>
      <c r="H13">
        <v>1</v>
      </c>
      <c r="I13">
        <v>1</v>
      </c>
      <c r="J13">
        <v>0</v>
      </c>
      <c r="K13">
        <v>12</v>
      </c>
      <c r="L13" t="s">
        <v>35</v>
      </c>
      <c r="N13">
        <v>0.5</v>
      </c>
      <c r="O13">
        <v>0.38</v>
      </c>
      <c r="P13">
        <v>3.5</v>
      </c>
      <c r="Q13">
        <v>-4.5</v>
      </c>
      <c r="R13">
        <v>3.5</v>
      </c>
      <c r="S13">
        <v>4</v>
      </c>
      <c r="T13">
        <v>0.5</v>
      </c>
      <c r="U13">
        <v>0</v>
      </c>
      <c r="V13">
        <v>0</v>
      </c>
      <c r="W13">
        <v>1</v>
      </c>
      <c r="X13">
        <v>0</v>
      </c>
      <c r="Y13">
        <v>0.5</v>
      </c>
      <c r="Z13">
        <v>0.5</v>
      </c>
    </row>
    <row r="14" spans="1:34">
      <c r="A14" t="s">
        <v>176</v>
      </c>
      <c r="B14">
        <v>18.125</v>
      </c>
      <c r="C14">
        <v>47.6875</v>
      </c>
      <c r="D14">
        <v>9.375</v>
      </c>
      <c r="E14">
        <v>4.9375</v>
      </c>
      <c r="F14" t="s">
        <v>156</v>
      </c>
      <c r="G14">
        <v>1</v>
      </c>
      <c r="H14">
        <v>1</v>
      </c>
      <c r="I14">
        <v>1</v>
      </c>
      <c r="J14">
        <v>0</v>
      </c>
      <c r="K14">
        <v>24</v>
      </c>
      <c r="L14" t="s">
        <v>120</v>
      </c>
      <c r="N14">
        <v>0.5</v>
      </c>
      <c r="O14">
        <v>0.38</v>
      </c>
      <c r="P14">
        <v>3.5</v>
      </c>
      <c r="Q14">
        <v>-4.875</v>
      </c>
      <c r="R14">
        <v>0</v>
      </c>
      <c r="S14">
        <v>4</v>
      </c>
      <c r="T14">
        <v>0.5</v>
      </c>
      <c r="U14">
        <v>0</v>
      </c>
      <c r="V14">
        <v>0</v>
      </c>
      <c r="W14">
        <v>0</v>
      </c>
      <c r="X14">
        <v>0</v>
      </c>
      <c r="Y14">
        <v>0.5</v>
      </c>
      <c r="Z14">
        <v>0.5</v>
      </c>
    </row>
    <row r="15" spans="1:34">
      <c r="A15" t="s">
        <v>177</v>
      </c>
      <c r="B15">
        <v>18.125</v>
      </c>
      <c r="C15">
        <v>76.1875</v>
      </c>
      <c r="D15">
        <v>1</v>
      </c>
      <c r="E15">
        <v>1</v>
      </c>
      <c r="F15" t="s">
        <v>156</v>
      </c>
      <c r="G15">
        <v>1</v>
      </c>
      <c r="H15">
        <v>1</v>
      </c>
      <c r="I15">
        <v>1</v>
      </c>
      <c r="J15">
        <v>0</v>
      </c>
      <c r="N15">
        <v>0.5</v>
      </c>
      <c r="O15">
        <v>0.38</v>
      </c>
      <c r="P15">
        <v>3.5</v>
      </c>
      <c r="Q15">
        <v>3.5</v>
      </c>
      <c r="R15">
        <v>3.5</v>
      </c>
      <c r="S15">
        <v>4</v>
      </c>
      <c r="T15">
        <v>0.5</v>
      </c>
      <c r="U15">
        <v>0</v>
      </c>
      <c r="V15">
        <v>0</v>
      </c>
      <c r="W15">
        <v>1</v>
      </c>
      <c r="X15">
        <v>0</v>
      </c>
      <c r="Y15">
        <v>0.5</v>
      </c>
      <c r="Z15">
        <v>0.5</v>
      </c>
    </row>
    <row r="16" spans="1:34">
      <c r="A16" t="s">
        <v>178</v>
      </c>
      <c r="B16">
        <v>48.5625</v>
      </c>
      <c r="C16">
        <v>24.875</v>
      </c>
      <c r="D16">
        <v>4.625</v>
      </c>
      <c r="E16">
        <v>4.875</v>
      </c>
      <c r="F16" t="s">
        <v>156</v>
      </c>
      <c r="G16">
        <v>1</v>
      </c>
      <c r="H16">
        <v>1</v>
      </c>
      <c r="I16">
        <v>1</v>
      </c>
      <c r="J16">
        <v>1</v>
      </c>
      <c r="N16">
        <v>0.5</v>
      </c>
      <c r="O16">
        <v>0.38</v>
      </c>
      <c r="P16">
        <v>3.5</v>
      </c>
      <c r="Q16">
        <v>-0.125</v>
      </c>
      <c r="R16">
        <v>0</v>
      </c>
      <c r="S16">
        <v>4</v>
      </c>
      <c r="T16">
        <v>0.5</v>
      </c>
      <c r="U16">
        <v>0</v>
      </c>
      <c r="V16">
        <v>0</v>
      </c>
      <c r="W16">
        <v>0</v>
      </c>
      <c r="X16">
        <v>0</v>
      </c>
      <c r="Y16">
        <v>0.5</v>
      </c>
      <c r="Z16">
        <v>0.5</v>
      </c>
    </row>
    <row r="17" spans="1:26">
      <c r="A17" t="s">
        <v>179</v>
      </c>
      <c r="B17">
        <v>19.375</v>
      </c>
      <c r="C17">
        <v>57.0625</v>
      </c>
      <c r="D17">
        <v>4.5</v>
      </c>
      <c r="E17">
        <v>6.5</v>
      </c>
      <c r="F17" t="s">
        <v>156</v>
      </c>
      <c r="G17">
        <v>0</v>
      </c>
      <c r="I17">
        <v>0</v>
      </c>
      <c r="L17" t="s">
        <v>148</v>
      </c>
      <c r="N17">
        <v>0.5</v>
      </c>
      <c r="O17">
        <v>0.38</v>
      </c>
      <c r="P17">
        <v>3.5</v>
      </c>
      <c r="Q17">
        <v>0</v>
      </c>
      <c r="R17">
        <v>0</v>
      </c>
      <c r="S17">
        <v>4</v>
      </c>
      <c r="T17">
        <v>0.5</v>
      </c>
      <c r="U17">
        <v>0</v>
      </c>
      <c r="V17">
        <v>0</v>
      </c>
      <c r="W17">
        <v>0</v>
      </c>
      <c r="X17">
        <v>0</v>
      </c>
      <c r="Y17">
        <v>0.5</v>
      </c>
      <c r="Z17">
        <v>0.5</v>
      </c>
    </row>
    <row r="18" spans="1:26">
      <c r="A18" t="s">
        <v>180</v>
      </c>
      <c r="B18">
        <v>48.375</v>
      </c>
      <c r="C18">
        <v>39.125</v>
      </c>
      <c r="D18">
        <v>1</v>
      </c>
      <c r="E18">
        <v>1.75</v>
      </c>
      <c r="F18" t="s">
        <v>156</v>
      </c>
      <c r="G18">
        <v>0</v>
      </c>
      <c r="I18">
        <v>1</v>
      </c>
      <c r="J18">
        <v>0</v>
      </c>
      <c r="K18">
        <v>12</v>
      </c>
      <c r="L18" t="s">
        <v>145</v>
      </c>
      <c r="N18">
        <v>0.5</v>
      </c>
      <c r="O18">
        <v>0.38</v>
      </c>
      <c r="P18">
        <v>3.5</v>
      </c>
      <c r="Q18">
        <v>3.5</v>
      </c>
      <c r="R18">
        <v>2.75</v>
      </c>
      <c r="S18">
        <v>4</v>
      </c>
      <c r="T18">
        <v>0.5</v>
      </c>
      <c r="U18">
        <v>0</v>
      </c>
      <c r="V18">
        <v>0</v>
      </c>
      <c r="W18">
        <v>0</v>
      </c>
      <c r="X18">
        <v>0</v>
      </c>
      <c r="Y18">
        <v>0.5</v>
      </c>
      <c r="Z18">
        <v>0.5</v>
      </c>
    </row>
    <row r="19" spans="1:26">
      <c r="A19" t="s">
        <v>181</v>
      </c>
      <c r="B19">
        <v>43</v>
      </c>
      <c r="C19">
        <v>63.6875</v>
      </c>
      <c r="D19">
        <v>2.6875</v>
      </c>
      <c r="E19">
        <v>1</v>
      </c>
      <c r="F19" t="s">
        <v>156</v>
      </c>
      <c r="G19">
        <v>0</v>
      </c>
      <c r="I19">
        <v>1</v>
      </c>
      <c r="J19">
        <v>0</v>
      </c>
      <c r="K19">
        <v>24</v>
      </c>
      <c r="L19" t="s">
        <v>120</v>
      </c>
      <c r="N19">
        <v>0.5</v>
      </c>
      <c r="O19">
        <v>0.38</v>
      </c>
      <c r="P19">
        <v>3.5</v>
      </c>
      <c r="Q19">
        <v>1.8125</v>
      </c>
      <c r="R19">
        <v>3.5</v>
      </c>
      <c r="S19">
        <v>4</v>
      </c>
      <c r="T19">
        <v>0.5</v>
      </c>
      <c r="U19">
        <v>0</v>
      </c>
      <c r="V19">
        <v>0</v>
      </c>
      <c r="W19">
        <v>0</v>
      </c>
      <c r="X19">
        <v>0</v>
      </c>
      <c r="Y19">
        <v>0.5</v>
      </c>
      <c r="Z19">
        <v>0.5</v>
      </c>
    </row>
    <row r="20" spans="1:26">
      <c r="A20" t="s">
        <v>182</v>
      </c>
      <c r="B20">
        <v>37.5625</v>
      </c>
      <c r="C20">
        <v>62.75</v>
      </c>
      <c r="D20">
        <v>12</v>
      </c>
      <c r="E20">
        <v>2.125</v>
      </c>
      <c r="F20" t="s">
        <v>156</v>
      </c>
      <c r="G20">
        <v>0</v>
      </c>
      <c r="I20">
        <v>1</v>
      </c>
      <c r="J20">
        <v>0</v>
      </c>
      <c r="N20">
        <v>0.5</v>
      </c>
      <c r="O20">
        <v>0.38</v>
      </c>
      <c r="P20">
        <v>3.5</v>
      </c>
      <c r="Q20">
        <v>-7.5</v>
      </c>
      <c r="R20">
        <v>2.375</v>
      </c>
      <c r="S20">
        <v>4</v>
      </c>
      <c r="T20">
        <v>0.5</v>
      </c>
      <c r="U20">
        <v>0</v>
      </c>
      <c r="V20">
        <v>0</v>
      </c>
      <c r="W20">
        <v>0</v>
      </c>
      <c r="X20">
        <v>0</v>
      </c>
      <c r="Y20">
        <v>0.5</v>
      </c>
      <c r="Z20">
        <v>0.5</v>
      </c>
    </row>
    <row r="21" spans="1:26">
      <c r="A21" t="s">
        <v>183</v>
      </c>
      <c r="B21">
        <v>16.625</v>
      </c>
      <c r="C21">
        <v>61.6875</v>
      </c>
      <c r="D21">
        <v>1</v>
      </c>
      <c r="E21">
        <v>4.5</v>
      </c>
      <c r="F21" t="s">
        <v>156</v>
      </c>
      <c r="G21">
        <v>0</v>
      </c>
      <c r="I21">
        <v>1</v>
      </c>
      <c r="J21">
        <v>1</v>
      </c>
      <c r="N21">
        <v>0.5</v>
      </c>
      <c r="O21">
        <v>0.38</v>
      </c>
      <c r="P21">
        <v>3.5</v>
      </c>
      <c r="Q21">
        <v>3.5</v>
      </c>
      <c r="R21">
        <v>0</v>
      </c>
      <c r="S21">
        <v>4</v>
      </c>
      <c r="T21">
        <v>0.5</v>
      </c>
      <c r="U21">
        <v>0</v>
      </c>
      <c r="V21">
        <v>0</v>
      </c>
      <c r="W21">
        <v>0</v>
      </c>
      <c r="X21">
        <v>0</v>
      </c>
      <c r="Y21">
        <v>0.5</v>
      </c>
      <c r="Z21">
        <v>0.5</v>
      </c>
    </row>
    <row r="22" spans="1:26">
      <c r="A22" t="s">
        <v>184</v>
      </c>
      <c r="B22">
        <v>14.8125</v>
      </c>
      <c r="C22">
        <v>52.9375</v>
      </c>
      <c r="D22">
        <v>12</v>
      </c>
      <c r="E22">
        <v>3.8125</v>
      </c>
      <c r="F22" t="s">
        <v>156</v>
      </c>
      <c r="G22">
        <v>1</v>
      </c>
      <c r="H22">
        <v>0</v>
      </c>
      <c r="I22">
        <v>0</v>
      </c>
      <c r="L22" t="s">
        <v>35</v>
      </c>
      <c r="N22">
        <v>0.5</v>
      </c>
      <c r="O22">
        <v>0.38</v>
      </c>
      <c r="P22">
        <v>3.5</v>
      </c>
      <c r="Q22">
        <v>-7.5</v>
      </c>
      <c r="R22">
        <v>0.6875</v>
      </c>
      <c r="S22">
        <v>4</v>
      </c>
      <c r="T22">
        <v>0.5</v>
      </c>
      <c r="U22">
        <v>0</v>
      </c>
      <c r="V22">
        <v>0</v>
      </c>
      <c r="W22">
        <v>0</v>
      </c>
      <c r="X22">
        <v>0</v>
      </c>
      <c r="Y22">
        <v>0.5</v>
      </c>
      <c r="Z22">
        <v>0.5</v>
      </c>
    </row>
    <row r="23" spans="1:26">
      <c r="A23" t="s">
        <v>185</v>
      </c>
      <c r="B23">
        <v>40.0625</v>
      </c>
      <c r="C23">
        <v>70.1875</v>
      </c>
      <c r="D23">
        <v>1</v>
      </c>
      <c r="E23">
        <v>1.25</v>
      </c>
      <c r="F23" t="s">
        <v>156</v>
      </c>
      <c r="G23">
        <v>1</v>
      </c>
      <c r="H23">
        <v>0</v>
      </c>
      <c r="I23">
        <v>1</v>
      </c>
      <c r="J23">
        <v>0</v>
      </c>
      <c r="K23">
        <v>12</v>
      </c>
      <c r="L23" t="s">
        <v>151</v>
      </c>
      <c r="N23">
        <v>0.5</v>
      </c>
      <c r="O23">
        <v>0.38</v>
      </c>
      <c r="P23">
        <v>3.5</v>
      </c>
      <c r="Q23">
        <v>3.5</v>
      </c>
      <c r="R23">
        <v>3.25</v>
      </c>
      <c r="S23">
        <v>4</v>
      </c>
      <c r="T23">
        <v>0.5</v>
      </c>
      <c r="U23">
        <v>0</v>
      </c>
      <c r="V23">
        <v>0</v>
      </c>
      <c r="W23">
        <v>0</v>
      </c>
      <c r="X23">
        <v>0</v>
      </c>
      <c r="Y23">
        <v>0.5</v>
      </c>
      <c r="Z23">
        <v>0.5</v>
      </c>
    </row>
    <row r="24" spans="1:26">
      <c r="A24" t="s">
        <v>186</v>
      </c>
      <c r="B24">
        <v>8.875</v>
      </c>
      <c r="C24">
        <v>44.5</v>
      </c>
      <c r="D24">
        <v>1.6875</v>
      </c>
      <c r="E24">
        <v>3.3125</v>
      </c>
      <c r="F24" t="s">
        <v>156</v>
      </c>
      <c r="G24">
        <v>1</v>
      </c>
      <c r="H24">
        <v>0</v>
      </c>
      <c r="I24">
        <v>1</v>
      </c>
      <c r="J24">
        <v>0</v>
      </c>
      <c r="K24">
        <v>24</v>
      </c>
      <c r="L24" t="s">
        <v>120</v>
      </c>
      <c r="N24">
        <v>0.5</v>
      </c>
      <c r="O24">
        <v>0.38</v>
      </c>
      <c r="P24">
        <v>3.5</v>
      </c>
      <c r="Q24">
        <v>2.8125</v>
      </c>
      <c r="R24">
        <v>1.1875</v>
      </c>
      <c r="S24">
        <v>4</v>
      </c>
      <c r="T24">
        <v>0.5</v>
      </c>
      <c r="U24">
        <v>0</v>
      </c>
      <c r="V24">
        <v>0</v>
      </c>
      <c r="W24">
        <v>0</v>
      </c>
      <c r="X24">
        <v>0</v>
      </c>
      <c r="Y24">
        <v>0.5</v>
      </c>
      <c r="Z24">
        <v>0.5</v>
      </c>
    </row>
    <row r="25" spans="1:26">
      <c r="A25" t="s">
        <v>187</v>
      </c>
      <c r="B25">
        <v>22.4375</v>
      </c>
      <c r="C25">
        <v>43.0625</v>
      </c>
      <c r="D25">
        <v>9</v>
      </c>
      <c r="E25">
        <v>7.3125</v>
      </c>
      <c r="F25" t="s">
        <v>156</v>
      </c>
      <c r="G25">
        <v>1</v>
      </c>
      <c r="H25">
        <v>0</v>
      </c>
      <c r="I25">
        <v>1</v>
      </c>
      <c r="J25">
        <v>0</v>
      </c>
      <c r="N25">
        <v>0.5</v>
      </c>
      <c r="O25">
        <v>0.38</v>
      </c>
      <c r="P25">
        <v>3.5</v>
      </c>
      <c r="Q25">
        <v>-4.5</v>
      </c>
      <c r="R25">
        <v>0</v>
      </c>
      <c r="S25">
        <v>4</v>
      </c>
      <c r="T25">
        <v>0.5</v>
      </c>
      <c r="U25">
        <v>0</v>
      </c>
      <c r="V25">
        <v>0</v>
      </c>
      <c r="W25">
        <v>0</v>
      </c>
      <c r="X25">
        <v>0</v>
      </c>
      <c r="Y25">
        <v>0.5</v>
      </c>
      <c r="Z25">
        <v>0.5</v>
      </c>
    </row>
    <row r="26" spans="1:26">
      <c r="A26" t="s">
        <v>188</v>
      </c>
      <c r="B26">
        <v>24.375</v>
      </c>
      <c r="C26">
        <v>55.1875</v>
      </c>
      <c r="D26">
        <v>1</v>
      </c>
      <c r="E26">
        <v>2.4375</v>
      </c>
      <c r="F26" t="s">
        <v>156</v>
      </c>
      <c r="G26">
        <v>1</v>
      </c>
      <c r="H26">
        <v>0</v>
      </c>
      <c r="I26">
        <v>1</v>
      </c>
      <c r="J26">
        <v>1</v>
      </c>
      <c r="N26">
        <v>0.5</v>
      </c>
      <c r="O26">
        <v>0.38</v>
      </c>
      <c r="P26">
        <v>3.5</v>
      </c>
      <c r="Q26">
        <v>3.5</v>
      </c>
      <c r="R26">
        <v>2.0625</v>
      </c>
      <c r="S26">
        <v>4</v>
      </c>
      <c r="T26">
        <v>0.5</v>
      </c>
      <c r="U26">
        <v>0</v>
      </c>
      <c r="V26">
        <v>0</v>
      </c>
      <c r="W26">
        <v>0</v>
      </c>
      <c r="X26">
        <v>1</v>
      </c>
      <c r="Y26">
        <v>0.5</v>
      </c>
      <c r="Z26">
        <v>0.5</v>
      </c>
    </row>
    <row r="27" spans="1:26">
      <c r="A27" t="s">
        <v>189</v>
      </c>
      <c r="B27">
        <v>35</v>
      </c>
      <c r="C27">
        <v>28.1875</v>
      </c>
      <c r="D27">
        <v>4.5</v>
      </c>
      <c r="E27">
        <v>1</v>
      </c>
      <c r="F27" t="s">
        <v>156</v>
      </c>
      <c r="G27">
        <v>1</v>
      </c>
      <c r="H27">
        <v>1</v>
      </c>
      <c r="I27">
        <v>0</v>
      </c>
      <c r="L27" t="s">
        <v>35</v>
      </c>
      <c r="N27">
        <v>0.5</v>
      </c>
      <c r="O27">
        <v>0.38</v>
      </c>
      <c r="P27">
        <v>3.5</v>
      </c>
      <c r="Q27">
        <v>0</v>
      </c>
      <c r="R27">
        <v>3.5</v>
      </c>
      <c r="S27">
        <v>4</v>
      </c>
      <c r="T27">
        <v>0.5</v>
      </c>
      <c r="U27">
        <v>0</v>
      </c>
      <c r="V27">
        <v>0</v>
      </c>
      <c r="W27">
        <v>1</v>
      </c>
      <c r="X27">
        <v>0</v>
      </c>
      <c r="Y27">
        <v>0.5</v>
      </c>
      <c r="Z27">
        <v>0.5</v>
      </c>
    </row>
    <row r="28" spans="1:26">
      <c r="A28" t="s">
        <v>190</v>
      </c>
      <c r="B28">
        <v>43.75</v>
      </c>
      <c r="C28">
        <v>60</v>
      </c>
      <c r="D28">
        <v>4.5</v>
      </c>
      <c r="E28">
        <v>1.875</v>
      </c>
      <c r="F28" t="s">
        <v>156</v>
      </c>
      <c r="G28">
        <v>1</v>
      </c>
      <c r="H28">
        <v>1</v>
      </c>
      <c r="I28">
        <v>1</v>
      </c>
      <c r="J28">
        <v>0</v>
      </c>
      <c r="K28">
        <v>12</v>
      </c>
      <c r="L28" t="s">
        <v>145</v>
      </c>
      <c r="N28">
        <v>0.5</v>
      </c>
      <c r="O28">
        <v>0.38</v>
      </c>
      <c r="P28">
        <v>3.5</v>
      </c>
      <c r="Q28">
        <v>0</v>
      </c>
      <c r="R28">
        <v>2.625</v>
      </c>
      <c r="S28">
        <v>4</v>
      </c>
      <c r="T28">
        <v>0.5</v>
      </c>
      <c r="U28">
        <v>0</v>
      </c>
      <c r="V28">
        <v>0</v>
      </c>
      <c r="W28">
        <v>1</v>
      </c>
      <c r="X28">
        <v>0</v>
      </c>
      <c r="Y28">
        <v>0.5</v>
      </c>
      <c r="Z28">
        <v>0.5</v>
      </c>
    </row>
    <row r="29" spans="1:26">
      <c r="A29" t="s">
        <v>191</v>
      </c>
      <c r="B29">
        <v>8.5</v>
      </c>
      <c r="C29">
        <v>48.875</v>
      </c>
      <c r="D29">
        <v>1</v>
      </c>
      <c r="E29">
        <v>1</v>
      </c>
      <c r="F29" t="s">
        <v>156</v>
      </c>
      <c r="G29">
        <v>1</v>
      </c>
      <c r="H29">
        <v>1</v>
      </c>
      <c r="I29">
        <v>1</v>
      </c>
      <c r="J29">
        <v>0</v>
      </c>
      <c r="K29">
        <v>24</v>
      </c>
      <c r="L29" t="s">
        <v>120</v>
      </c>
      <c r="N29">
        <v>0.5</v>
      </c>
      <c r="O29">
        <v>0.38</v>
      </c>
      <c r="P29">
        <v>3.5</v>
      </c>
      <c r="Q29">
        <v>3.5</v>
      </c>
      <c r="R29">
        <v>3.5</v>
      </c>
      <c r="S29">
        <v>4</v>
      </c>
      <c r="T29">
        <v>0.5</v>
      </c>
      <c r="U29">
        <v>0</v>
      </c>
      <c r="V29">
        <v>0</v>
      </c>
      <c r="W29">
        <v>1</v>
      </c>
      <c r="X29">
        <v>0</v>
      </c>
      <c r="Y29">
        <v>0.5</v>
      </c>
      <c r="Z29">
        <v>0.5</v>
      </c>
    </row>
    <row r="30" spans="1:26">
      <c r="A30" t="s">
        <v>192</v>
      </c>
      <c r="B30">
        <v>42.5625</v>
      </c>
      <c r="C30">
        <v>21</v>
      </c>
      <c r="D30">
        <v>1</v>
      </c>
      <c r="E30">
        <v>6.8125</v>
      </c>
      <c r="F30" t="s">
        <v>156</v>
      </c>
      <c r="G30">
        <v>1</v>
      </c>
      <c r="H30">
        <v>1</v>
      </c>
      <c r="I30">
        <v>1</v>
      </c>
      <c r="J30">
        <v>0</v>
      </c>
      <c r="N30">
        <v>0.5</v>
      </c>
      <c r="O30">
        <v>0.38</v>
      </c>
      <c r="P30">
        <v>3.5</v>
      </c>
      <c r="Q30">
        <v>3.5</v>
      </c>
      <c r="R30">
        <v>0</v>
      </c>
      <c r="S30">
        <v>4</v>
      </c>
      <c r="T30">
        <v>0.5</v>
      </c>
      <c r="U30">
        <v>0</v>
      </c>
      <c r="V30">
        <v>0</v>
      </c>
      <c r="W30">
        <v>0</v>
      </c>
      <c r="X30">
        <v>0</v>
      </c>
      <c r="Y30">
        <v>0.5</v>
      </c>
      <c r="Z30">
        <v>0.5</v>
      </c>
    </row>
    <row r="31" spans="1:26">
      <c r="A31" t="s">
        <v>193</v>
      </c>
      <c r="B31">
        <v>8.6875</v>
      </c>
      <c r="C31">
        <v>6.5625</v>
      </c>
      <c r="D31">
        <v>12</v>
      </c>
      <c r="E31">
        <v>2.5</v>
      </c>
      <c r="F31" t="s">
        <v>156</v>
      </c>
      <c r="G31">
        <v>1</v>
      </c>
      <c r="H31">
        <v>1</v>
      </c>
      <c r="I31">
        <v>1</v>
      </c>
      <c r="J31">
        <v>1</v>
      </c>
      <c r="N31">
        <v>0.5</v>
      </c>
      <c r="O31">
        <v>0.38</v>
      </c>
      <c r="P31">
        <v>3.5</v>
      </c>
      <c r="Q31">
        <v>-7.5</v>
      </c>
      <c r="R31">
        <v>2</v>
      </c>
      <c r="S31">
        <v>4</v>
      </c>
      <c r="T31">
        <v>0.5</v>
      </c>
      <c r="U31">
        <v>0</v>
      </c>
      <c r="V31">
        <v>0</v>
      </c>
      <c r="W31">
        <v>1</v>
      </c>
      <c r="X31">
        <v>1</v>
      </c>
      <c r="Y31">
        <v>0.5</v>
      </c>
      <c r="Z31">
        <v>0.5</v>
      </c>
    </row>
    <row r="32" spans="1:26">
      <c r="A32" t="s">
        <v>194</v>
      </c>
      <c r="B32">
        <v>60</v>
      </c>
      <c r="C32">
        <v>28.6875</v>
      </c>
      <c r="D32">
        <v>9</v>
      </c>
      <c r="E32">
        <v>7.9375</v>
      </c>
      <c r="F32" t="s">
        <v>157</v>
      </c>
      <c r="G32">
        <v>0</v>
      </c>
      <c r="I32">
        <v>0</v>
      </c>
      <c r="N32">
        <v>0.5</v>
      </c>
      <c r="O32">
        <v>0.38</v>
      </c>
      <c r="P32">
        <v>3.5</v>
      </c>
      <c r="Q32">
        <v>-4.5</v>
      </c>
      <c r="R32">
        <v>0</v>
      </c>
      <c r="S32">
        <v>4</v>
      </c>
      <c r="T32">
        <v>0.5</v>
      </c>
      <c r="U32">
        <v>0</v>
      </c>
      <c r="V32">
        <v>0</v>
      </c>
      <c r="W32">
        <v>0</v>
      </c>
      <c r="X32">
        <v>0</v>
      </c>
      <c r="Y32">
        <v>0.5</v>
      </c>
      <c r="Z32">
        <v>0.5</v>
      </c>
    </row>
    <row r="33" spans="1:34">
      <c r="A33" t="s">
        <v>195</v>
      </c>
      <c r="B33">
        <v>60</v>
      </c>
      <c r="C33">
        <v>70.5</v>
      </c>
      <c r="D33">
        <v>4.5</v>
      </c>
      <c r="E33">
        <v>1</v>
      </c>
      <c r="F33" t="s">
        <v>157</v>
      </c>
      <c r="G33">
        <v>0</v>
      </c>
      <c r="I33">
        <v>1</v>
      </c>
      <c r="J33">
        <v>0</v>
      </c>
      <c r="K33">
        <v>12</v>
      </c>
      <c r="L33" t="s">
        <v>151</v>
      </c>
      <c r="N33">
        <v>0.5</v>
      </c>
      <c r="O33">
        <v>0.38</v>
      </c>
      <c r="P33">
        <v>3.5</v>
      </c>
      <c r="Q33">
        <v>0</v>
      </c>
      <c r="R33">
        <v>3.5</v>
      </c>
      <c r="S33">
        <v>4</v>
      </c>
      <c r="T33">
        <v>0.5</v>
      </c>
      <c r="U33">
        <v>0</v>
      </c>
      <c r="V33">
        <v>0</v>
      </c>
      <c r="W33">
        <v>0</v>
      </c>
      <c r="X33">
        <v>0</v>
      </c>
      <c r="Y33">
        <v>0.5</v>
      </c>
      <c r="Z33">
        <v>0.5</v>
      </c>
      <c r="AA33">
        <v>15.5</v>
      </c>
      <c r="AB33">
        <v>28.875</v>
      </c>
      <c r="AC33">
        <v>9</v>
      </c>
      <c r="AD33">
        <v>13.5</v>
      </c>
    </row>
    <row r="34" spans="1:34">
      <c r="A34" t="s">
        <v>196</v>
      </c>
      <c r="B34">
        <v>60</v>
      </c>
      <c r="C34">
        <v>33.6875</v>
      </c>
      <c r="D34">
        <v>8.8125</v>
      </c>
      <c r="E34">
        <v>1</v>
      </c>
      <c r="F34" t="s">
        <v>157</v>
      </c>
      <c r="G34">
        <v>0</v>
      </c>
      <c r="I34">
        <v>1</v>
      </c>
      <c r="J34">
        <v>0</v>
      </c>
      <c r="K34">
        <v>24</v>
      </c>
      <c r="N34">
        <v>0.5</v>
      </c>
      <c r="O34">
        <v>0.38</v>
      </c>
      <c r="P34">
        <v>3.5</v>
      </c>
      <c r="Q34">
        <v>-4.3125</v>
      </c>
      <c r="R34">
        <v>3.5</v>
      </c>
      <c r="S34">
        <v>4</v>
      </c>
      <c r="T34">
        <v>0.5</v>
      </c>
      <c r="U34">
        <v>0</v>
      </c>
      <c r="V34">
        <v>0</v>
      </c>
      <c r="W34">
        <v>0</v>
      </c>
      <c r="X34">
        <v>0</v>
      </c>
      <c r="Y34">
        <v>0.5</v>
      </c>
      <c r="Z34">
        <v>0.5</v>
      </c>
    </row>
    <row r="35" spans="1:34">
      <c r="A35" t="s">
        <v>197</v>
      </c>
      <c r="B35">
        <v>60</v>
      </c>
      <c r="C35">
        <v>72.5625</v>
      </c>
      <c r="D35">
        <v>5.5</v>
      </c>
      <c r="E35">
        <v>7.8125</v>
      </c>
      <c r="F35" t="s">
        <v>157</v>
      </c>
      <c r="G35">
        <v>0</v>
      </c>
      <c r="I35">
        <v>1</v>
      </c>
      <c r="J35">
        <v>0</v>
      </c>
      <c r="N35">
        <v>0.5</v>
      </c>
      <c r="O35">
        <v>0.38</v>
      </c>
      <c r="P35">
        <v>3.5</v>
      </c>
      <c r="Q35">
        <v>-1</v>
      </c>
      <c r="R35">
        <v>0</v>
      </c>
      <c r="S35">
        <v>4</v>
      </c>
      <c r="T35">
        <v>0.5</v>
      </c>
      <c r="U35">
        <v>0</v>
      </c>
      <c r="V35">
        <v>0</v>
      </c>
      <c r="W35">
        <v>0</v>
      </c>
      <c r="X35">
        <v>0</v>
      </c>
      <c r="Y35">
        <v>0.5</v>
      </c>
      <c r="Z35">
        <v>0.5</v>
      </c>
    </row>
    <row r="36" spans="1:34">
      <c r="A36" t="s">
        <v>198</v>
      </c>
      <c r="B36">
        <v>60</v>
      </c>
      <c r="C36">
        <v>79</v>
      </c>
      <c r="D36">
        <v>7.125</v>
      </c>
      <c r="E36">
        <v>4.125</v>
      </c>
      <c r="F36" t="s">
        <v>157</v>
      </c>
      <c r="G36">
        <v>0</v>
      </c>
      <c r="I36">
        <v>1</v>
      </c>
      <c r="J36">
        <v>1</v>
      </c>
      <c r="N36">
        <v>0.5</v>
      </c>
      <c r="O36">
        <v>0.38</v>
      </c>
      <c r="P36">
        <v>3.5</v>
      </c>
      <c r="Q36">
        <v>-2.625</v>
      </c>
      <c r="R36">
        <v>0.375</v>
      </c>
      <c r="S36">
        <v>4</v>
      </c>
      <c r="T36">
        <v>0.5</v>
      </c>
      <c r="U36">
        <v>0</v>
      </c>
      <c r="V36">
        <v>0</v>
      </c>
      <c r="W36">
        <v>0</v>
      </c>
      <c r="X36">
        <v>0</v>
      </c>
      <c r="Y36">
        <v>0.5</v>
      </c>
      <c r="Z36">
        <v>0.5</v>
      </c>
    </row>
    <row r="37" spans="1:34">
      <c r="A37" t="s">
        <v>199</v>
      </c>
      <c r="B37">
        <v>60</v>
      </c>
      <c r="C37">
        <v>26.5</v>
      </c>
      <c r="D37">
        <v>12</v>
      </c>
      <c r="E37">
        <v>2.375</v>
      </c>
      <c r="F37" t="s">
        <v>157</v>
      </c>
      <c r="G37">
        <v>1</v>
      </c>
      <c r="H37">
        <v>0</v>
      </c>
      <c r="I37">
        <v>0</v>
      </c>
      <c r="L37" t="s">
        <v>119</v>
      </c>
      <c r="M37" t="s">
        <v>120</v>
      </c>
      <c r="N37">
        <v>0.5</v>
      </c>
      <c r="O37">
        <v>0.38</v>
      </c>
      <c r="P37">
        <v>3.5</v>
      </c>
      <c r="Q37">
        <v>-7.5</v>
      </c>
      <c r="R37">
        <v>2.125</v>
      </c>
      <c r="S37">
        <v>4</v>
      </c>
      <c r="T37">
        <v>0.5</v>
      </c>
      <c r="U37">
        <v>0</v>
      </c>
      <c r="V37">
        <v>0</v>
      </c>
      <c r="W37">
        <v>0</v>
      </c>
      <c r="X37">
        <v>0</v>
      </c>
      <c r="Y37">
        <v>0.5</v>
      </c>
      <c r="Z37">
        <v>0.5</v>
      </c>
      <c r="AA37">
        <v>11</v>
      </c>
      <c r="AB37">
        <v>15.5</v>
      </c>
      <c r="AC37">
        <v>14.5</v>
      </c>
      <c r="AD37">
        <v>2.75</v>
      </c>
      <c r="AE37">
        <v>11.5</v>
      </c>
      <c r="AF37">
        <v>10.875</v>
      </c>
      <c r="AG37">
        <v>28.94</v>
      </c>
      <c r="AH37">
        <v>6</v>
      </c>
    </row>
    <row r="38" spans="1:34">
      <c r="A38" t="s">
        <v>200</v>
      </c>
      <c r="B38">
        <v>60</v>
      </c>
      <c r="C38">
        <v>55.4375</v>
      </c>
      <c r="D38">
        <v>4.5</v>
      </c>
      <c r="E38">
        <v>1.125</v>
      </c>
      <c r="F38" t="s">
        <v>157</v>
      </c>
      <c r="G38">
        <v>1</v>
      </c>
      <c r="H38">
        <v>0</v>
      </c>
      <c r="I38">
        <v>1</v>
      </c>
      <c r="J38">
        <v>0</v>
      </c>
      <c r="K38">
        <v>12</v>
      </c>
      <c r="L38" t="s">
        <v>145</v>
      </c>
      <c r="N38">
        <v>0.5</v>
      </c>
      <c r="O38">
        <v>0.38</v>
      </c>
      <c r="P38">
        <v>3.5</v>
      </c>
      <c r="Q38">
        <v>0</v>
      </c>
      <c r="R38">
        <v>3.375</v>
      </c>
      <c r="S38">
        <v>4</v>
      </c>
      <c r="T38">
        <v>0.5</v>
      </c>
      <c r="U38">
        <v>0</v>
      </c>
      <c r="V38">
        <v>0</v>
      </c>
      <c r="W38">
        <v>0</v>
      </c>
      <c r="X38">
        <v>0</v>
      </c>
      <c r="Y38">
        <v>0.5</v>
      </c>
      <c r="Z38">
        <v>0.5</v>
      </c>
      <c r="AA38">
        <v>15.5</v>
      </c>
      <c r="AB38">
        <v>28.875</v>
      </c>
      <c r="AC38">
        <v>14</v>
      </c>
      <c r="AD38">
        <v>25.63</v>
      </c>
    </row>
    <row r="39" spans="1:34">
      <c r="A39" t="s">
        <v>201</v>
      </c>
      <c r="B39">
        <v>60</v>
      </c>
      <c r="C39">
        <v>79.875</v>
      </c>
      <c r="D39">
        <v>1</v>
      </c>
      <c r="E39">
        <v>4.125</v>
      </c>
      <c r="F39" t="s">
        <v>157</v>
      </c>
      <c r="G39">
        <v>1</v>
      </c>
      <c r="H39">
        <v>0</v>
      </c>
      <c r="I39">
        <v>1</v>
      </c>
      <c r="J39">
        <v>0</v>
      </c>
      <c r="K39">
        <v>24</v>
      </c>
      <c r="L39" t="s">
        <v>120</v>
      </c>
      <c r="N39">
        <v>0.5</v>
      </c>
      <c r="O39">
        <v>0.38</v>
      </c>
      <c r="P39">
        <v>3.5</v>
      </c>
      <c r="Q39">
        <v>3.5</v>
      </c>
      <c r="R39">
        <v>0.375</v>
      </c>
      <c r="S39">
        <v>4</v>
      </c>
      <c r="T39">
        <v>0.5</v>
      </c>
      <c r="U39">
        <v>1</v>
      </c>
      <c r="V39">
        <v>1</v>
      </c>
      <c r="W39">
        <v>0</v>
      </c>
      <c r="X39">
        <v>0</v>
      </c>
      <c r="Y39">
        <v>0</v>
      </c>
      <c r="Z39">
        <v>0</v>
      </c>
      <c r="AA39">
        <v>11.5</v>
      </c>
      <c r="AB39">
        <v>10.875</v>
      </c>
      <c r="AC39">
        <v>4.9400000000000004</v>
      </c>
      <c r="AD39">
        <v>17</v>
      </c>
    </row>
    <row r="40" spans="1:34">
      <c r="A40" t="s">
        <v>202</v>
      </c>
      <c r="B40">
        <v>60</v>
      </c>
      <c r="C40">
        <v>63.6875</v>
      </c>
      <c r="D40">
        <v>1</v>
      </c>
      <c r="E40">
        <v>6.625</v>
      </c>
      <c r="F40" t="s">
        <v>157</v>
      </c>
      <c r="G40">
        <v>1</v>
      </c>
      <c r="H40">
        <v>0</v>
      </c>
      <c r="I40">
        <v>1</v>
      </c>
      <c r="J40">
        <v>0</v>
      </c>
      <c r="N40">
        <v>0.5</v>
      </c>
      <c r="O40">
        <v>0.38</v>
      </c>
      <c r="P40">
        <v>3.5</v>
      </c>
      <c r="Q40">
        <v>3.5</v>
      </c>
      <c r="R40">
        <v>0</v>
      </c>
      <c r="S40">
        <v>4</v>
      </c>
      <c r="T40">
        <v>0.5</v>
      </c>
      <c r="U40">
        <v>1</v>
      </c>
      <c r="V40">
        <v>1</v>
      </c>
      <c r="W40">
        <v>0</v>
      </c>
      <c r="X40">
        <v>0</v>
      </c>
      <c r="Y40">
        <v>0</v>
      </c>
      <c r="Z40">
        <v>0</v>
      </c>
    </row>
    <row r="41" spans="1:34">
      <c r="A41" t="s">
        <v>203</v>
      </c>
      <c r="B41">
        <v>60</v>
      </c>
      <c r="C41">
        <v>26.5625</v>
      </c>
      <c r="D41">
        <v>9</v>
      </c>
      <c r="E41">
        <v>1</v>
      </c>
      <c r="F41" t="s">
        <v>157</v>
      </c>
      <c r="G41">
        <v>1</v>
      </c>
      <c r="H41">
        <v>0</v>
      </c>
      <c r="I41">
        <v>1</v>
      </c>
      <c r="J41">
        <v>1</v>
      </c>
      <c r="N41">
        <v>0.5</v>
      </c>
      <c r="O41">
        <v>0.38</v>
      </c>
      <c r="P41">
        <v>3.5</v>
      </c>
      <c r="Q41">
        <v>-4.5</v>
      </c>
      <c r="R41">
        <v>3.5</v>
      </c>
      <c r="S41">
        <v>4</v>
      </c>
      <c r="T41">
        <v>0.5</v>
      </c>
      <c r="U41">
        <v>0</v>
      </c>
      <c r="V41">
        <v>0</v>
      </c>
      <c r="W41">
        <v>0</v>
      </c>
      <c r="X41">
        <v>0</v>
      </c>
      <c r="Y41">
        <v>0.5</v>
      </c>
      <c r="Z41">
        <v>0.5</v>
      </c>
    </row>
    <row r="42" spans="1:34">
      <c r="A42" t="s">
        <v>204</v>
      </c>
      <c r="B42">
        <v>60</v>
      </c>
      <c r="C42">
        <v>45.75</v>
      </c>
      <c r="D42">
        <v>12</v>
      </c>
      <c r="E42">
        <v>1.25</v>
      </c>
      <c r="F42" t="s">
        <v>157</v>
      </c>
      <c r="G42">
        <v>1</v>
      </c>
      <c r="H42">
        <v>1</v>
      </c>
      <c r="I42">
        <v>0</v>
      </c>
      <c r="L42" t="s">
        <v>150</v>
      </c>
      <c r="N42">
        <v>0.5</v>
      </c>
      <c r="O42">
        <v>0.38</v>
      </c>
      <c r="P42">
        <v>3.5</v>
      </c>
      <c r="Q42">
        <v>-7.5</v>
      </c>
      <c r="R42">
        <v>3.25</v>
      </c>
      <c r="S42">
        <v>4</v>
      </c>
      <c r="T42">
        <v>0.5</v>
      </c>
      <c r="U42">
        <v>0</v>
      </c>
      <c r="V42">
        <v>0</v>
      </c>
      <c r="W42">
        <v>0</v>
      </c>
      <c r="X42">
        <v>0</v>
      </c>
      <c r="Y42">
        <v>0.5</v>
      </c>
      <c r="Z42">
        <v>0.5</v>
      </c>
      <c r="AA42">
        <v>15.5</v>
      </c>
      <c r="AB42">
        <v>28.875</v>
      </c>
      <c r="AC42">
        <v>21</v>
      </c>
      <c r="AD42">
        <v>6</v>
      </c>
    </row>
    <row r="43" spans="1:34">
      <c r="A43" t="s">
        <v>205</v>
      </c>
      <c r="B43">
        <v>60</v>
      </c>
      <c r="C43">
        <v>6.75</v>
      </c>
      <c r="D43">
        <v>2.5</v>
      </c>
      <c r="E43">
        <v>3.375</v>
      </c>
      <c r="F43" t="s">
        <v>157</v>
      </c>
      <c r="G43">
        <v>1</v>
      </c>
      <c r="H43">
        <v>1</v>
      </c>
      <c r="I43">
        <v>1</v>
      </c>
      <c r="J43">
        <v>0</v>
      </c>
      <c r="K43">
        <v>12</v>
      </c>
      <c r="L43" t="s">
        <v>149</v>
      </c>
      <c r="N43">
        <v>0.5</v>
      </c>
      <c r="O43">
        <v>0.38</v>
      </c>
      <c r="P43">
        <v>3.5</v>
      </c>
      <c r="Q43">
        <v>2</v>
      </c>
      <c r="R43">
        <v>1.125</v>
      </c>
      <c r="S43">
        <v>4</v>
      </c>
      <c r="T43">
        <v>0.5</v>
      </c>
      <c r="U43">
        <v>1</v>
      </c>
      <c r="V43">
        <v>1</v>
      </c>
      <c r="W43">
        <v>0</v>
      </c>
      <c r="X43">
        <v>0</v>
      </c>
      <c r="Y43">
        <v>0</v>
      </c>
      <c r="Z43">
        <v>0</v>
      </c>
      <c r="AA43">
        <v>15.5</v>
      </c>
      <c r="AB43">
        <v>28.875</v>
      </c>
      <c r="AC43">
        <v>9</v>
      </c>
      <c r="AD43">
        <v>15.5</v>
      </c>
    </row>
    <row r="44" spans="1:34">
      <c r="A44" t="s">
        <v>206</v>
      </c>
      <c r="B44">
        <v>60</v>
      </c>
      <c r="C44">
        <v>32.875</v>
      </c>
      <c r="D44">
        <v>12</v>
      </c>
      <c r="E44">
        <v>2.8125</v>
      </c>
      <c r="F44" t="s">
        <v>157</v>
      </c>
      <c r="G44">
        <v>1</v>
      </c>
      <c r="H44">
        <v>1</v>
      </c>
      <c r="I44">
        <v>1</v>
      </c>
      <c r="J44">
        <v>0</v>
      </c>
      <c r="K44">
        <v>24</v>
      </c>
      <c r="L44" t="s">
        <v>120</v>
      </c>
      <c r="N44">
        <v>0.5</v>
      </c>
      <c r="O44">
        <v>0.38</v>
      </c>
      <c r="P44">
        <v>3.5</v>
      </c>
      <c r="Q44">
        <v>-7.5</v>
      </c>
      <c r="R44">
        <v>1.6875</v>
      </c>
      <c r="S44">
        <v>4</v>
      </c>
      <c r="T44">
        <v>0.5</v>
      </c>
      <c r="U44">
        <v>0</v>
      </c>
      <c r="V44">
        <v>0</v>
      </c>
      <c r="W44">
        <v>0</v>
      </c>
      <c r="X44">
        <v>0</v>
      </c>
      <c r="Y44">
        <v>0.5</v>
      </c>
      <c r="Z44">
        <v>0.5</v>
      </c>
      <c r="AA44">
        <v>11.5</v>
      </c>
      <c r="AB44">
        <v>10.875</v>
      </c>
      <c r="AC44">
        <v>4.9400000000000004</v>
      </c>
      <c r="AD44">
        <v>6</v>
      </c>
    </row>
    <row r="45" spans="1:34">
      <c r="A45" t="s">
        <v>207</v>
      </c>
      <c r="B45">
        <v>60</v>
      </c>
      <c r="C45">
        <v>12.125</v>
      </c>
      <c r="D45">
        <v>4.5</v>
      </c>
      <c r="E45">
        <v>4.6875</v>
      </c>
      <c r="F45" t="s">
        <v>157</v>
      </c>
      <c r="G45">
        <v>1</v>
      </c>
      <c r="H45">
        <v>1</v>
      </c>
      <c r="I45">
        <v>1</v>
      </c>
      <c r="J45">
        <v>0</v>
      </c>
      <c r="N45">
        <v>0.5</v>
      </c>
      <c r="O45">
        <v>0.38</v>
      </c>
      <c r="P45">
        <v>3.5</v>
      </c>
      <c r="Q45">
        <v>0</v>
      </c>
      <c r="R45">
        <v>0</v>
      </c>
      <c r="S45">
        <v>4</v>
      </c>
      <c r="T45">
        <v>0.5</v>
      </c>
      <c r="U45">
        <v>0</v>
      </c>
      <c r="V45">
        <v>0</v>
      </c>
      <c r="W45">
        <v>0</v>
      </c>
      <c r="X45">
        <v>0</v>
      </c>
      <c r="Y45">
        <v>0.5</v>
      </c>
      <c r="Z45">
        <v>0.5</v>
      </c>
    </row>
    <row r="46" spans="1:34">
      <c r="A46" t="s">
        <v>208</v>
      </c>
      <c r="B46">
        <v>60</v>
      </c>
      <c r="C46">
        <v>62.6875</v>
      </c>
      <c r="D46">
        <v>1</v>
      </c>
      <c r="E46">
        <v>5.5625</v>
      </c>
      <c r="F46" t="s">
        <v>157</v>
      </c>
      <c r="G46">
        <v>1</v>
      </c>
      <c r="H46">
        <v>1</v>
      </c>
      <c r="I46">
        <v>1</v>
      </c>
      <c r="J46">
        <v>1</v>
      </c>
      <c r="N46">
        <v>0.5</v>
      </c>
      <c r="O46">
        <v>0.38</v>
      </c>
      <c r="P46">
        <v>3.5</v>
      </c>
      <c r="Q46">
        <v>3.5</v>
      </c>
      <c r="R46">
        <v>0</v>
      </c>
      <c r="S46">
        <v>4</v>
      </c>
      <c r="T46">
        <v>0.5</v>
      </c>
      <c r="U46">
        <v>1</v>
      </c>
      <c r="V46">
        <v>1</v>
      </c>
      <c r="W46">
        <v>0</v>
      </c>
      <c r="X46">
        <v>0</v>
      </c>
      <c r="Y46">
        <v>0</v>
      </c>
      <c r="Z46">
        <v>0</v>
      </c>
    </row>
    <row r="47" spans="1:34">
      <c r="A47" t="s">
        <v>209</v>
      </c>
      <c r="B47">
        <v>60</v>
      </c>
      <c r="C47">
        <v>44.3125</v>
      </c>
      <c r="D47">
        <v>12</v>
      </c>
      <c r="E47">
        <v>3.8125</v>
      </c>
      <c r="F47" t="s">
        <v>157</v>
      </c>
      <c r="G47">
        <v>0</v>
      </c>
      <c r="I47">
        <v>0</v>
      </c>
      <c r="L47" t="s">
        <v>120</v>
      </c>
      <c r="M47" t="s">
        <v>119</v>
      </c>
      <c r="N47">
        <v>0.5</v>
      </c>
      <c r="O47">
        <v>0.38</v>
      </c>
      <c r="P47">
        <v>3.5</v>
      </c>
      <c r="Q47">
        <v>-7.5</v>
      </c>
      <c r="R47">
        <v>0.6875</v>
      </c>
      <c r="S47">
        <v>4</v>
      </c>
      <c r="T47">
        <v>0.5</v>
      </c>
      <c r="U47">
        <v>0</v>
      </c>
      <c r="V47">
        <v>0</v>
      </c>
      <c r="W47">
        <v>0</v>
      </c>
      <c r="X47">
        <v>0</v>
      </c>
      <c r="Y47">
        <v>0.5</v>
      </c>
      <c r="Z47">
        <v>0.5</v>
      </c>
      <c r="AA47">
        <v>11.5</v>
      </c>
      <c r="AB47">
        <v>10.875</v>
      </c>
      <c r="AC47">
        <v>28.94</v>
      </c>
      <c r="AD47">
        <v>6</v>
      </c>
      <c r="AE47">
        <v>11</v>
      </c>
      <c r="AF47">
        <v>15.5</v>
      </c>
      <c r="AG47">
        <v>14.5</v>
      </c>
      <c r="AH47">
        <v>2.75</v>
      </c>
    </row>
    <row r="48" spans="1:34">
      <c r="A48" t="s">
        <v>210</v>
      </c>
      <c r="B48">
        <v>60</v>
      </c>
      <c r="C48">
        <v>42.125</v>
      </c>
      <c r="D48">
        <v>9.9375</v>
      </c>
      <c r="E48">
        <v>3.125</v>
      </c>
      <c r="F48" t="s">
        <v>157</v>
      </c>
      <c r="G48">
        <v>0</v>
      </c>
      <c r="I48">
        <v>1</v>
      </c>
      <c r="J48">
        <v>0</v>
      </c>
      <c r="K48">
        <v>12</v>
      </c>
      <c r="N48">
        <v>0.5</v>
      </c>
      <c r="O48">
        <v>0.38</v>
      </c>
      <c r="P48">
        <v>3.5</v>
      </c>
      <c r="Q48">
        <v>-5.4375</v>
      </c>
      <c r="R48">
        <v>1.375</v>
      </c>
      <c r="S48">
        <v>4</v>
      </c>
      <c r="T48">
        <v>0.5</v>
      </c>
      <c r="U48">
        <v>0</v>
      </c>
      <c r="V48">
        <v>0</v>
      </c>
      <c r="W48">
        <v>0</v>
      </c>
      <c r="X48">
        <v>0</v>
      </c>
      <c r="Y48">
        <v>0.5</v>
      </c>
      <c r="Z48">
        <v>0.5</v>
      </c>
    </row>
    <row r="49" spans="1:34">
      <c r="A49" t="s">
        <v>211</v>
      </c>
      <c r="B49">
        <v>60</v>
      </c>
      <c r="C49">
        <v>60.8125</v>
      </c>
      <c r="D49">
        <v>5.875</v>
      </c>
      <c r="E49">
        <v>2.625</v>
      </c>
      <c r="F49" t="s">
        <v>157</v>
      </c>
      <c r="G49">
        <v>0</v>
      </c>
      <c r="I49">
        <v>1</v>
      </c>
      <c r="J49">
        <v>0</v>
      </c>
      <c r="K49">
        <v>24</v>
      </c>
      <c r="N49">
        <v>0.5</v>
      </c>
      <c r="O49">
        <v>0.38</v>
      </c>
      <c r="P49">
        <v>3.5</v>
      </c>
      <c r="Q49">
        <v>-1.375</v>
      </c>
      <c r="R49">
        <v>1.875</v>
      </c>
      <c r="S49">
        <v>4</v>
      </c>
      <c r="T49">
        <v>0.5</v>
      </c>
      <c r="U49">
        <v>0</v>
      </c>
      <c r="V49">
        <v>0</v>
      </c>
      <c r="W49">
        <v>0</v>
      </c>
      <c r="X49">
        <v>0</v>
      </c>
      <c r="Y49">
        <v>0.5</v>
      </c>
      <c r="Z49">
        <v>0.5</v>
      </c>
    </row>
    <row r="50" spans="1:34">
      <c r="A50" t="s">
        <v>212</v>
      </c>
      <c r="B50">
        <v>60</v>
      </c>
      <c r="C50">
        <v>53.5625</v>
      </c>
      <c r="D50">
        <v>9.75</v>
      </c>
      <c r="E50">
        <v>1.6875</v>
      </c>
      <c r="F50" t="s">
        <v>157</v>
      </c>
      <c r="G50">
        <v>0</v>
      </c>
      <c r="I50">
        <v>1</v>
      </c>
      <c r="J50">
        <v>0</v>
      </c>
      <c r="N50">
        <v>0.5</v>
      </c>
      <c r="O50">
        <v>0.38</v>
      </c>
      <c r="P50">
        <v>3.5</v>
      </c>
      <c r="Q50">
        <v>-5.25</v>
      </c>
      <c r="R50">
        <v>2.8125</v>
      </c>
      <c r="S50">
        <v>4</v>
      </c>
      <c r="T50">
        <v>0.5</v>
      </c>
      <c r="U50">
        <v>0</v>
      </c>
      <c r="V50">
        <v>0</v>
      </c>
      <c r="W50">
        <v>0</v>
      </c>
      <c r="X50">
        <v>0</v>
      </c>
      <c r="Y50">
        <v>0.5</v>
      </c>
      <c r="Z50">
        <v>0.5</v>
      </c>
    </row>
    <row r="51" spans="1:34">
      <c r="A51" t="s">
        <v>213</v>
      </c>
      <c r="B51">
        <v>60</v>
      </c>
      <c r="C51">
        <v>72.375</v>
      </c>
      <c r="D51">
        <v>4.5</v>
      </c>
      <c r="E51">
        <v>4.9375</v>
      </c>
      <c r="F51" t="s">
        <v>157</v>
      </c>
      <c r="G51">
        <v>0</v>
      </c>
      <c r="I51">
        <v>1</v>
      </c>
      <c r="J51">
        <v>1</v>
      </c>
      <c r="N51">
        <v>0.5</v>
      </c>
      <c r="O51">
        <v>0.38</v>
      </c>
      <c r="P51">
        <v>3.5</v>
      </c>
      <c r="Q51">
        <v>0</v>
      </c>
      <c r="R51">
        <v>0</v>
      </c>
      <c r="S51">
        <v>4</v>
      </c>
      <c r="T51">
        <v>0.5</v>
      </c>
      <c r="U51">
        <v>0</v>
      </c>
      <c r="V51">
        <v>0</v>
      </c>
      <c r="W51">
        <v>0</v>
      </c>
      <c r="X51">
        <v>0</v>
      </c>
      <c r="Y51">
        <v>0.5</v>
      </c>
      <c r="Z51">
        <v>0.5</v>
      </c>
    </row>
    <row r="52" spans="1:34">
      <c r="A52" t="s">
        <v>214</v>
      </c>
      <c r="B52">
        <v>60</v>
      </c>
      <c r="C52">
        <v>64.5625</v>
      </c>
      <c r="D52">
        <v>12</v>
      </c>
      <c r="E52">
        <v>4.3125</v>
      </c>
      <c r="F52" t="s">
        <v>157</v>
      </c>
      <c r="G52">
        <v>1</v>
      </c>
      <c r="H52">
        <v>0</v>
      </c>
      <c r="I52">
        <v>0</v>
      </c>
      <c r="L52" t="s">
        <v>119</v>
      </c>
      <c r="M52" t="s">
        <v>120</v>
      </c>
      <c r="N52">
        <v>0.5</v>
      </c>
      <c r="O52">
        <v>0.38</v>
      </c>
      <c r="P52">
        <v>3.5</v>
      </c>
      <c r="Q52">
        <v>-7.5</v>
      </c>
      <c r="R52">
        <v>0.1875</v>
      </c>
      <c r="S52">
        <v>4</v>
      </c>
      <c r="T52">
        <v>0.5</v>
      </c>
      <c r="U52">
        <v>0</v>
      </c>
      <c r="V52">
        <v>0</v>
      </c>
      <c r="W52">
        <v>0</v>
      </c>
      <c r="X52">
        <v>0</v>
      </c>
      <c r="Y52">
        <v>0.5</v>
      </c>
      <c r="Z52">
        <v>0.5</v>
      </c>
      <c r="AA52">
        <v>11</v>
      </c>
      <c r="AB52">
        <v>15.5</v>
      </c>
      <c r="AC52">
        <v>14.5</v>
      </c>
      <c r="AD52">
        <v>2.75</v>
      </c>
      <c r="AE52">
        <v>11.5</v>
      </c>
      <c r="AF52">
        <v>10.875</v>
      </c>
      <c r="AG52">
        <v>28.94</v>
      </c>
      <c r="AH52">
        <v>6</v>
      </c>
    </row>
    <row r="53" spans="1:34">
      <c r="A53" t="s">
        <v>215</v>
      </c>
      <c r="B53">
        <v>60</v>
      </c>
      <c r="C53">
        <v>10.0625</v>
      </c>
      <c r="D53">
        <v>10.8125</v>
      </c>
      <c r="E53">
        <v>2.5625</v>
      </c>
      <c r="F53" t="s">
        <v>157</v>
      </c>
      <c r="G53">
        <v>1</v>
      </c>
      <c r="H53">
        <v>0</v>
      </c>
      <c r="I53">
        <v>1</v>
      </c>
      <c r="J53">
        <v>0</v>
      </c>
      <c r="K53">
        <v>12</v>
      </c>
      <c r="N53">
        <v>0.5</v>
      </c>
      <c r="O53">
        <v>0.38</v>
      </c>
      <c r="P53">
        <v>3.5</v>
      </c>
      <c r="Q53">
        <v>-6.3125</v>
      </c>
      <c r="R53">
        <v>1.9375</v>
      </c>
      <c r="S53">
        <v>4</v>
      </c>
      <c r="T53">
        <v>0.5</v>
      </c>
      <c r="U53">
        <v>0</v>
      </c>
      <c r="V53">
        <v>0</v>
      </c>
      <c r="W53">
        <v>0</v>
      </c>
      <c r="X53">
        <v>0</v>
      </c>
      <c r="Y53">
        <v>0.5</v>
      </c>
      <c r="Z53">
        <v>0.5</v>
      </c>
    </row>
    <row r="54" spans="1:34">
      <c r="A54" t="s">
        <v>216</v>
      </c>
      <c r="B54">
        <v>60</v>
      </c>
      <c r="C54">
        <v>43.875</v>
      </c>
      <c r="D54">
        <v>1</v>
      </c>
      <c r="E54">
        <v>4.6875</v>
      </c>
      <c r="F54" t="s">
        <v>157</v>
      </c>
      <c r="G54">
        <v>1</v>
      </c>
      <c r="H54">
        <v>0</v>
      </c>
      <c r="I54">
        <v>1</v>
      </c>
      <c r="J54">
        <v>0</v>
      </c>
      <c r="K54">
        <v>24</v>
      </c>
      <c r="L54" t="s">
        <v>120</v>
      </c>
      <c r="N54">
        <v>0.5</v>
      </c>
      <c r="O54">
        <v>0.38</v>
      </c>
      <c r="P54">
        <v>3.5</v>
      </c>
      <c r="Q54">
        <v>3.5</v>
      </c>
      <c r="R54">
        <v>0</v>
      </c>
      <c r="S54">
        <v>4</v>
      </c>
      <c r="T54">
        <v>0.5</v>
      </c>
      <c r="U54">
        <v>1</v>
      </c>
      <c r="V54">
        <v>1</v>
      </c>
      <c r="W54">
        <v>0</v>
      </c>
      <c r="X54">
        <v>0</v>
      </c>
      <c r="Y54">
        <v>0</v>
      </c>
      <c r="Z54">
        <v>0</v>
      </c>
      <c r="AA54">
        <v>11.5</v>
      </c>
      <c r="AB54">
        <v>10.875</v>
      </c>
      <c r="AC54">
        <v>4.9400000000000004</v>
      </c>
      <c r="AD54">
        <v>17</v>
      </c>
    </row>
    <row r="55" spans="1:34">
      <c r="A55" t="s">
        <v>217</v>
      </c>
      <c r="B55">
        <v>60</v>
      </c>
      <c r="C55">
        <v>46.5625</v>
      </c>
      <c r="D55">
        <v>9</v>
      </c>
      <c r="E55">
        <v>1</v>
      </c>
      <c r="F55" t="s">
        <v>157</v>
      </c>
      <c r="G55">
        <v>1</v>
      </c>
      <c r="H55">
        <v>0</v>
      </c>
      <c r="I55">
        <v>1</v>
      </c>
      <c r="J55">
        <v>0</v>
      </c>
      <c r="N55">
        <v>0.5</v>
      </c>
      <c r="O55">
        <v>0.38</v>
      </c>
      <c r="P55">
        <v>3.5</v>
      </c>
      <c r="Q55">
        <v>-4.5</v>
      </c>
      <c r="R55">
        <v>3.5</v>
      </c>
      <c r="S55">
        <v>4</v>
      </c>
      <c r="T55">
        <v>0.5</v>
      </c>
      <c r="U55">
        <v>0</v>
      </c>
      <c r="V55">
        <v>0</v>
      </c>
      <c r="W55">
        <v>0</v>
      </c>
      <c r="X55">
        <v>0</v>
      </c>
      <c r="Y55">
        <v>0.5</v>
      </c>
      <c r="Z55">
        <v>0.5</v>
      </c>
    </row>
    <row r="56" spans="1:34">
      <c r="A56" t="s">
        <v>218</v>
      </c>
      <c r="B56">
        <v>60</v>
      </c>
      <c r="C56">
        <v>42.625</v>
      </c>
      <c r="D56">
        <v>1</v>
      </c>
      <c r="E56">
        <v>2.625</v>
      </c>
      <c r="F56" t="s">
        <v>157</v>
      </c>
      <c r="G56">
        <v>1</v>
      </c>
      <c r="H56">
        <v>0</v>
      </c>
      <c r="I56">
        <v>1</v>
      </c>
      <c r="J56">
        <v>1</v>
      </c>
      <c r="N56">
        <v>0.5</v>
      </c>
      <c r="O56">
        <v>0.38</v>
      </c>
      <c r="P56">
        <v>3.5</v>
      </c>
      <c r="Q56">
        <v>3.5</v>
      </c>
      <c r="R56">
        <v>1.875</v>
      </c>
      <c r="S56">
        <v>4</v>
      </c>
      <c r="T56">
        <v>0.5</v>
      </c>
      <c r="U56">
        <v>1</v>
      </c>
      <c r="V56">
        <v>1</v>
      </c>
      <c r="W56">
        <v>0</v>
      </c>
      <c r="X56">
        <v>0</v>
      </c>
      <c r="Y56">
        <v>0</v>
      </c>
      <c r="Z56">
        <v>0</v>
      </c>
    </row>
    <row r="57" spans="1:34">
      <c r="A57" t="s">
        <v>219</v>
      </c>
      <c r="B57">
        <v>60</v>
      </c>
      <c r="C57">
        <v>41.1875</v>
      </c>
      <c r="D57">
        <v>4.5</v>
      </c>
      <c r="E57">
        <v>5.375</v>
      </c>
      <c r="F57" t="s">
        <v>157</v>
      </c>
      <c r="G57">
        <v>1</v>
      </c>
      <c r="H57">
        <v>1</v>
      </c>
      <c r="I57">
        <v>0</v>
      </c>
      <c r="L57" t="s">
        <v>119</v>
      </c>
      <c r="N57">
        <v>0.5</v>
      </c>
      <c r="O57">
        <v>0.38</v>
      </c>
      <c r="P57">
        <v>3.5</v>
      </c>
      <c r="Q57">
        <v>0</v>
      </c>
      <c r="R57">
        <v>0</v>
      </c>
      <c r="S57">
        <v>4</v>
      </c>
      <c r="T57">
        <v>0.5</v>
      </c>
      <c r="U57">
        <v>0</v>
      </c>
      <c r="V57">
        <v>0</v>
      </c>
      <c r="W57">
        <v>0</v>
      </c>
      <c r="X57">
        <v>0</v>
      </c>
      <c r="Y57">
        <v>0.5</v>
      </c>
      <c r="Z57">
        <v>0.5</v>
      </c>
      <c r="AA57">
        <v>11</v>
      </c>
      <c r="AB57">
        <v>15.5</v>
      </c>
      <c r="AC57">
        <v>14.5</v>
      </c>
      <c r="AD57">
        <v>10.25</v>
      </c>
    </row>
    <row r="58" spans="1:34">
      <c r="A58" t="s">
        <v>220</v>
      </c>
      <c r="B58">
        <v>60</v>
      </c>
      <c r="C58">
        <v>48.125</v>
      </c>
      <c r="D58">
        <v>4.375</v>
      </c>
      <c r="E58">
        <v>1</v>
      </c>
      <c r="F58" t="s">
        <v>157</v>
      </c>
      <c r="G58">
        <v>1</v>
      </c>
      <c r="H58">
        <v>1</v>
      </c>
      <c r="I58">
        <v>1</v>
      </c>
      <c r="J58">
        <v>0</v>
      </c>
      <c r="K58">
        <v>12</v>
      </c>
      <c r="L58" t="s">
        <v>150</v>
      </c>
      <c r="N58">
        <v>0.5</v>
      </c>
      <c r="O58">
        <v>0.38</v>
      </c>
      <c r="P58">
        <v>3.5</v>
      </c>
      <c r="Q58">
        <v>0.125</v>
      </c>
      <c r="R58">
        <v>3.5</v>
      </c>
      <c r="S58">
        <v>4</v>
      </c>
      <c r="T58">
        <v>0.5</v>
      </c>
      <c r="U58">
        <v>1</v>
      </c>
      <c r="V58">
        <v>1</v>
      </c>
      <c r="W58">
        <v>0</v>
      </c>
      <c r="X58">
        <v>0</v>
      </c>
      <c r="Y58">
        <v>0</v>
      </c>
      <c r="Z58">
        <v>0</v>
      </c>
      <c r="AA58">
        <v>15.5</v>
      </c>
      <c r="AB58">
        <v>28.875</v>
      </c>
      <c r="AC58">
        <v>9</v>
      </c>
      <c r="AD58">
        <v>13.625</v>
      </c>
    </row>
    <row r="59" spans="1:34">
      <c r="A59" t="s">
        <v>221</v>
      </c>
      <c r="B59">
        <v>60</v>
      </c>
      <c r="C59">
        <v>17.25</v>
      </c>
      <c r="D59">
        <v>1</v>
      </c>
      <c r="E59">
        <v>4.875</v>
      </c>
      <c r="F59" t="s">
        <v>157</v>
      </c>
      <c r="G59">
        <v>1</v>
      </c>
      <c r="H59">
        <v>1</v>
      </c>
      <c r="I59">
        <v>1</v>
      </c>
      <c r="J59">
        <v>0</v>
      </c>
      <c r="K59">
        <v>24</v>
      </c>
      <c r="N59">
        <v>0.5</v>
      </c>
      <c r="O59">
        <v>0.38</v>
      </c>
      <c r="P59">
        <v>3.5</v>
      </c>
      <c r="Q59">
        <v>3.5</v>
      </c>
      <c r="R59">
        <v>0</v>
      </c>
      <c r="S59">
        <v>4</v>
      </c>
      <c r="T59">
        <v>0.5</v>
      </c>
      <c r="U59">
        <v>1</v>
      </c>
      <c r="V59">
        <v>1</v>
      </c>
      <c r="W59">
        <v>0</v>
      </c>
      <c r="X59">
        <v>0</v>
      </c>
      <c r="Y59">
        <v>0</v>
      </c>
      <c r="Z59">
        <v>0</v>
      </c>
    </row>
    <row r="60" spans="1:34">
      <c r="A60" t="s">
        <v>222</v>
      </c>
      <c r="B60">
        <v>60</v>
      </c>
      <c r="C60">
        <v>35.125</v>
      </c>
      <c r="D60">
        <v>3.875</v>
      </c>
      <c r="E60">
        <v>1.875</v>
      </c>
      <c r="F60" t="s">
        <v>157</v>
      </c>
      <c r="G60">
        <v>1</v>
      </c>
      <c r="H60">
        <v>1</v>
      </c>
      <c r="I60">
        <v>1</v>
      </c>
      <c r="J60">
        <v>0</v>
      </c>
      <c r="N60">
        <v>0.5</v>
      </c>
      <c r="O60">
        <v>0.38</v>
      </c>
      <c r="P60">
        <v>3.5</v>
      </c>
      <c r="Q60">
        <v>0.625</v>
      </c>
      <c r="R60">
        <v>2.625</v>
      </c>
      <c r="S60">
        <v>4</v>
      </c>
      <c r="T60">
        <v>0.5</v>
      </c>
      <c r="U60">
        <v>1</v>
      </c>
      <c r="V60">
        <v>1</v>
      </c>
      <c r="W60">
        <v>0</v>
      </c>
      <c r="X60">
        <v>0</v>
      </c>
      <c r="Y60">
        <v>0</v>
      </c>
      <c r="Z60">
        <v>0</v>
      </c>
    </row>
    <row r="61" spans="1:34">
      <c r="A61" t="s">
        <v>223</v>
      </c>
      <c r="B61">
        <v>60</v>
      </c>
      <c r="C61">
        <v>77.875</v>
      </c>
      <c r="D61">
        <v>1</v>
      </c>
      <c r="E61">
        <v>1.625</v>
      </c>
      <c r="F61" t="s">
        <v>157</v>
      </c>
      <c r="G61">
        <v>1</v>
      </c>
      <c r="H61">
        <v>1</v>
      </c>
      <c r="I61">
        <v>1</v>
      </c>
      <c r="J61">
        <v>1</v>
      </c>
      <c r="N61">
        <v>0.5</v>
      </c>
      <c r="O61">
        <v>0.38</v>
      </c>
      <c r="P61">
        <v>3.5</v>
      </c>
      <c r="Q61">
        <v>3.5</v>
      </c>
      <c r="R61">
        <v>2.875</v>
      </c>
      <c r="S61">
        <v>4</v>
      </c>
      <c r="T61">
        <v>0.5</v>
      </c>
      <c r="U61">
        <v>1</v>
      </c>
      <c r="V61">
        <v>1</v>
      </c>
      <c r="W61">
        <v>0</v>
      </c>
      <c r="X61">
        <v>0</v>
      </c>
      <c r="Y61">
        <v>0</v>
      </c>
      <c r="Z61">
        <v>0</v>
      </c>
    </row>
    <row r="62" spans="1:34">
      <c r="A62" t="s">
        <v>224</v>
      </c>
      <c r="B62">
        <v>37.1875</v>
      </c>
      <c r="C62">
        <v>52.8125</v>
      </c>
      <c r="D62">
        <v>4.4375</v>
      </c>
      <c r="E62">
        <v>5.6875</v>
      </c>
      <c r="F62" t="s">
        <v>21</v>
      </c>
      <c r="G62">
        <v>0</v>
      </c>
      <c r="I62">
        <v>0</v>
      </c>
      <c r="N62">
        <v>0.5</v>
      </c>
      <c r="O62">
        <v>0.38</v>
      </c>
      <c r="P62">
        <v>3.5</v>
      </c>
      <c r="Q62">
        <v>6.25E-2</v>
      </c>
      <c r="R62">
        <v>0</v>
      </c>
      <c r="S62">
        <v>4</v>
      </c>
      <c r="T62">
        <v>0.5</v>
      </c>
      <c r="U62">
        <v>0</v>
      </c>
      <c r="V62">
        <v>0</v>
      </c>
      <c r="W62">
        <v>0</v>
      </c>
      <c r="X62">
        <v>0</v>
      </c>
      <c r="Y62">
        <v>0.5</v>
      </c>
      <c r="Z62">
        <v>0.5</v>
      </c>
    </row>
    <row r="63" spans="1:34">
      <c r="A63" t="s">
        <v>225</v>
      </c>
      <c r="B63">
        <v>96</v>
      </c>
      <c r="C63">
        <v>71.125</v>
      </c>
      <c r="D63">
        <v>1.25</v>
      </c>
      <c r="E63">
        <v>1</v>
      </c>
      <c r="F63" t="s">
        <v>21</v>
      </c>
      <c r="G63">
        <v>0</v>
      </c>
      <c r="I63">
        <v>1</v>
      </c>
      <c r="J63">
        <v>0</v>
      </c>
      <c r="K63">
        <v>12</v>
      </c>
      <c r="L63" t="s">
        <v>35</v>
      </c>
      <c r="N63">
        <v>0.5</v>
      </c>
      <c r="O63">
        <v>0.38</v>
      </c>
      <c r="P63">
        <v>3.5</v>
      </c>
      <c r="Q63">
        <v>3.25</v>
      </c>
      <c r="R63">
        <v>3.5</v>
      </c>
      <c r="S63">
        <v>4</v>
      </c>
      <c r="T63">
        <v>0.5</v>
      </c>
      <c r="U63">
        <v>0</v>
      </c>
      <c r="V63">
        <v>1</v>
      </c>
      <c r="W63">
        <v>0</v>
      </c>
      <c r="X63">
        <v>0</v>
      </c>
      <c r="Y63">
        <v>0.5</v>
      </c>
      <c r="Z63">
        <v>0</v>
      </c>
      <c r="AA63">
        <v>15.5</v>
      </c>
      <c r="AB63">
        <v>28.875</v>
      </c>
      <c r="AC63">
        <v>14</v>
      </c>
      <c r="AD63">
        <v>28.88</v>
      </c>
    </row>
    <row r="64" spans="1:34">
      <c r="A64" t="s">
        <v>226</v>
      </c>
      <c r="B64">
        <v>96</v>
      </c>
      <c r="C64">
        <v>9.3125</v>
      </c>
      <c r="D64">
        <v>6.1875</v>
      </c>
      <c r="E64">
        <v>3.375</v>
      </c>
      <c r="F64" t="s">
        <v>21</v>
      </c>
      <c r="G64">
        <v>0</v>
      </c>
      <c r="I64">
        <v>1</v>
      </c>
      <c r="J64">
        <v>0</v>
      </c>
      <c r="K64">
        <v>24</v>
      </c>
      <c r="N64">
        <v>0.5</v>
      </c>
      <c r="O64">
        <v>0.38</v>
      </c>
      <c r="P64">
        <v>3.5</v>
      </c>
      <c r="Q64">
        <v>-1.6875</v>
      </c>
      <c r="R64">
        <v>1.125</v>
      </c>
      <c r="S64">
        <v>4</v>
      </c>
      <c r="T64">
        <v>0.5</v>
      </c>
      <c r="U64">
        <v>0</v>
      </c>
      <c r="V64">
        <v>0</v>
      </c>
      <c r="W64">
        <v>0</v>
      </c>
      <c r="X64">
        <v>0</v>
      </c>
      <c r="Y64">
        <v>0.5</v>
      </c>
      <c r="Z64">
        <v>0.5</v>
      </c>
    </row>
    <row r="65" spans="1:34">
      <c r="A65" t="s">
        <v>227</v>
      </c>
      <c r="B65">
        <v>82.6875</v>
      </c>
      <c r="C65">
        <v>47.125</v>
      </c>
      <c r="D65">
        <v>6.5625</v>
      </c>
      <c r="E65">
        <v>4.9375</v>
      </c>
      <c r="F65" t="s">
        <v>21</v>
      </c>
      <c r="G65">
        <v>0</v>
      </c>
      <c r="I65">
        <v>1</v>
      </c>
      <c r="J65">
        <v>0</v>
      </c>
      <c r="N65">
        <v>0.5</v>
      </c>
      <c r="O65">
        <v>0.38</v>
      </c>
      <c r="P65">
        <v>3.5</v>
      </c>
      <c r="Q65">
        <v>-2.0625</v>
      </c>
      <c r="R65">
        <v>0</v>
      </c>
      <c r="S65">
        <v>4</v>
      </c>
      <c r="T65">
        <v>0.5</v>
      </c>
      <c r="U65">
        <v>0</v>
      </c>
      <c r="V65">
        <v>0</v>
      </c>
      <c r="W65">
        <v>0</v>
      </c>
      <c r="X65">
        <v>0</v>
      </c>
      <c r="Y65">
        <v>0.5</v>
      </c>
      <c r="Z65">
        <v>0.5</v>
      </c>
    </row>
    <row r="66" spans="1:34">
      <c r="A66" t="s">
        <v>228</v>
      </c>
      <c r="B66">
        <v>82.75</v>
      </c>
      <c r="C66">
        <v>40.75</v>
      </c>
      <c r="D66">
        <v>1</v>
      </c>
      <c r="E66">
        <v>8.3125</v>
      </c>
      <c r="F66" t="s">
        <v>21</v>
      </c>
      <c r="G66">
        <v>0</v>
      </c>
      <c r="I66">
        <v>1</v>
      </c>
      <c r="J66">
        <v>1</v>
      </c>
      <c r="N66">
        <v>0.5</v>
      </c>
      <c r="O66">
        <v>0.38</v>
      </c>
      <c r="P66">
        <v>3.5</v>
      </c>
      <c r="Q66">
        <v>3.5</v>
      </c>
      <c r="R66">
        <v>0</v>
      </c>
      <c r="S66">
        <v>4</v>
      </c>
      <c r="T66">
        <v>0.5</v>
      </c>
      <c r="U66">
        <v>0</v>
      </c>
      <c r="V66">
        <v>1</v>
      </c>
      <c r="W66">
        <v>0</v>
      </c>
      <c r="X66">
        <v>0</v>
      </c>
      <c r="Y66">
        <v>0.5</v>
      </c>
      <c r="Z66">
        <v>0</v>
      </c>
    </row>
    <row r="67" spans="1:34">
      <c r="A67" t="s">
        <v>229</v>
      </c>
      <c r="B67">
        <v>78.5625</v>
      </c>
      <c r="C67">
        <v>25.625</v>
      </c>
      <c r="D67">
        <v>2.0625</v>
      </c>
      <c r="E67">
        <v>4.3125</v>
      </c>
      <c r="F67" t="s">
        <v>21</v>
      </c>
      <c r="G67">
        <v>1</v>
      </c>
      <c r="H67">
        <v>0</v>
      </c>
      <c r="I67">
        <v>0</v>
      </c>
      <c r="N67">
        <v>0.5</v>
      </c>
      <c r="O67">
        <v>0.38</v>
      </c>
      <c r="P67">
        <v>3.5</v>
      </c>
      <c r="Q67">
        <v>2.4375</v>
      </c>
      <c r="R67">
        <v>0.1875</v>
      </c>
      <c r="S67">
        <v>4</v>
      </c>
      <c r="T67">
        <v>0.5</v>
      </c>
      <c r="U67">
        <v>1</v>
      </c>
      <c r="V67">
        <v>0</v>
      </c>
      <c r="W67">
        <v>0</v>
      </c>
      <c r="X67">
        <v>0</v>
      </c>
      <c r="Y67">
        <v>0</v>
      </c>
      <c r="Z67">
        <v>0.5</v>
      </c>
    </row>
    <row r="68" spans="1:34">
      <c r="A68" t="s">
        <v>230</v>
      </c>
      <c r="B68">
        <v>60.75</v>
      </c>
      <c r="C68">
        <v>35.5625</v>
      </c>
      <c r="D68">
        <v>4.5</v>
      </c>
      <c r="E68">
        <v>1.25</v>
      </c>
      <c r="F68" t="s">
        <v>21</v>
      </c>
      <c r="G68">
        <v>1</v>
      </c>
      <c r="H68">
        <v>0</v>
      </c>
      <c r="I68">
        <v>1</v>
      </c>
      <c r="J68">
        <v>0</v>
      </c>
      <c r="K68">
        <v>12</v>
      </c>
      <c r="L68" t="s">
        <v>149</v>
      </c>
      <c r="N68">
        <v>0.5</v>
      </c>
      <c r="O68">
        <v>0.38</v>
      </c>
      <c r="P68">
        <v>3.5</v>
      </c>
      <c r="Q68">
        <v>0</v>
      </c>
      <c r="R68">
        <v>3.25</v>
      </c>
      <c r="S68">
        <v>4</v>
      </c>
      <c r="T68">
        <v>0.5</v>
      </c>
      <c r="U68">
        <v>0</v>
      </c>
      <c r="V68">
        <v>0</v>
      </c>
      <c r="W68">
        <v>0</v>
      </c>
      <c r="X68">
        <v>0</v>
      </c>
      <c r="Y68">
        <v>0.5</v>
      </c>
      <c r="Z68">
        <v>0.5</v>
      </c>
      <c r="AA68">
        <v>15.5</v>
      </c>
      <c r="AB68">
        <v>28.875</v>
      </c>
      <c r="AC68">
        <v>9</v>
      </c>
      <c r="AD68">
        <v>13.5</v>
      </c>
    </row>
    <row r="69" spans="1:34">
      <c r="A69" t="s">
        <v>231</v>
      </c>
      <c r="B69">
        <v>69.4375</v>
      </c>
      <c r="C69">
        <v>55.625</v>
      </c>
      <c r="D69">
        <v>1</v>
      </c>
      <c r="E69">
        <v>7</v>
      </c>
      <c r="F69" t="s">
        <v>21</v>
      </c>
      <c r="G69">
        <v>1</v>
      </c>
      <c r="H69">
        <v>0</v>
      </c>
      <c r="I69">
        <v>1</v>
      </c>
      <c r="J69">
        <v>0</v>
      </c>
      <c r="K69">
        <v>24</v>
      </c>
      <c r="L69" t="s">
        <v>120</v>
      </c>
      <c r="N69">
        <v>0.5</v>
      </c>
      <c r="O69">
        <v>0.38</v>
      </c>
      <c r="P69">
        <v>3.5</v>
      </c>
      <c r="Q69">
        <v>3.5</v>
      </c>
      <c r="R69">
        <v>0</v>
      </c>
      <c r="S69">
        <v>4</v>
      </c>
      <c r="T69">
        <v>0.5</v>
      </c>
      <c r="U69">
        <v>1</v>
      </c>
      <c r="V69">
        <v>1</v>
      </c>
      <c r="W69">
        <v>0</v>
      </c>
      <c r="X69">
        <v>0</v>
      </c>
      <c r="Y69">
        <v>0</v>
      </c>
      <c r="Z69">
        <v>0</v>
      </c>
      <c r="AA69">
        <v>11.5</v>
      </c>
      <c r="AB69">
        <v>10.875</v>
      </c>
      <c r="AC69">
        <v>4.9400000000000004</v>
      </c>
      <c r="AD69">
        <v>17</v>
      </c>
    </row>
    <row r="70" spans="1:34">
      <c r="A70" t="s">
        <v>232</v>
      </c>
      <c r="B70">
        <v>96</v>
      </c>
      <c r="C70">
        <v>63.5</v>
      </c>
      <c r="D70">
        <v>12</v>
      </c>
      <c r="E70">
        <v>8.375</v>
      </c>
      <c r="F70" t="s">
        <v>21</v>
      </c>
      <c r="G70">
        <v>1</v>
      </c>
      <c r="H70">
        <v>0</v>
      </c>
      <c r="I70">
        <v>1</v>
      </c>
      <c r="J70">
        <v>0</v>
      </c>
      <c r="N70">
        <v>0.5</v>
      </c>
      <c r="O70">
        <v>0.38</v>
      </c>
      <c r="P70">
        <v>3.5</v>
      </c>
      <c r="Q70">
        <v>-7.5</v>
      </c>
      <c r="R70">
        <v>0</v>
      </c>
      <c r="S70">
        <v>4</v>
      </c>
      <c r="T70">
        <v>0.5</v>
      </c>
      <c r="U70">
        <v>0</v>
      </c>
      <c r="V70">
        <v>0</v>
      </c>
      <c r="W70">
        <v>0</v>
      </c>
      <c r="X70">
        <v>0</v>
      </c>
      <c r="Y70">
        <v>0.5</v>
      </c>
      <c r="Z70">
        <v>0.5</v>
      </c>
    </row>
    <row r="71" spans="1:34">
      <c r="A71" t="s">
        <v>233</v>
      </c>
      <c r="B71">
        <v>96</v>
      </c>
      <c r="C71">
        <v>75.75</v>
      </c>
      <c r="D71">
        <v>1</v>
      </c>
      <c r="E71">
        <v>1.3125</v>
      </c>
      <c r="F71" t="s">
        <v>21</v>
      </c>
      <c r="G71">
        <v>1</v>
      </c>
      <c r="H71">
        <v>0</v>
      </c>
      <c r="I71">
        <v>1</v>
      </c>
      <c r="J71">
        <v>1</v>
      </c>
      <c r="N71">
        <v>0.5</v>
      </c>
      <c r="O71">
        <v>0.38</v>
      </c>
      <c r="P71">
        <v>3.5</v>
      </c>
      <c r="Q71">
        <v>3.5</v>
      </c>
      <c r="R71">
        <v>3.1875</v>
      </c>
      <c r="S71">
        <v>4</v>
      </c>
      <c r="T71">
        <v>0.5</v>
      </c>
      <c r="U71">
        <v>1</v>
      </c>
      <c r="V71">
        <v>1</v>
      </c>
      <c r="W71">
        <v>0</v>
      </c>
      <c r="X71">
        <v>1</v>
      </c>
      <c r="Y71">
        <v>0</v>
      </c>
      <c r="Z71">
        <v>0</v>
      </c>
    </row>
    <row r="72" spans="1:34">
      <c r="A72" t="s">
        <v>234</v>
      </c>
      <c r="B72">
        <v>108.4375</v>
      </c>
      <c r="C72">
        <v>49.0625</v>
      </c>
      <c r="D72">
        <v>9</v>
      </c>
      <c r="E72">
        <v>1</v>
      </c>
      <c r="F72" t="s">
        <v>21</v>
      </c>
      <c r="G72">
        <v>1</v>
      </c>
      <c r="H72">
        <v>1</v>
      </c>
      <c r="I72">
        <v>0</v>
      </c>
      <c r="L72" t="s">
        <v>119</v>
      </c>
      <c r="M72" t="s">
        <v>120</v>
      </c>
      <c r="N72">
        <v>0.5</v>
      </c>
      <c r="O72">
        <v>0.38</v>
      </c>
      <c r="P72">
        <v>3.5</v>
      </c>
      <c r="Q72">
        <v>-4.5</v>
      </c>
      <c r="R72">
        <v>3.5</v>
      </c>
      <c r="S72">
        <v>4</v>
      </c>
      <c r="T72">
        <v>0.5</v>
      </c>
      <c r="U72">
        <v>0</v>
      </c>
      <c r="V72">
        <v>0</v>
      </c>
      <c r="W72">
        <v>1</v>
      </c>
      <c r="X72">
        <v>0</v>
      </c>
      <c r="Y72">
        <v>0.5</v>
      </c>
      <c r="Z72">
        <v>0.5</v>
      </c>
      <c r="AA72">
        <v>11</v>
      </c>
      <c r="AB72">
        <v>15.5</v>
      </c>
      <c r="AC72">
        <v>14.5</v>
      </c>
      <c r="AD72">
        <v>5.75</v>
      </c>
      <c r="AE72">
        <v>11.5</v>
      </c>
      <c r="AF72">
        <v>10.875</v>
      </c>
      <c r="AG72">
        <v>28.94</v>
      </c>
      <c r="AH72">
        <v>9</v>
      </c>
    </row>
    <row r="73" spans="1:34">
      <c r="A73" t="s">
        <v>235</v>
      </c>
      <c r="B73">
        <v>96</v>
      </c>
      <c r="C73">
        <v>10.75</v>
      </c>
      <c r="D73">
        <v>12</v>
      </c>
      <c r="E73">
        <v>1.0625</v>
      </c>
      <c r="F73" t="s">
        <v>21</v>
      </c>
      <c r="G73">
        <v>1</v>
      </c>
      <c r="H73">
        <v>1</v>
      </c>
      <c r="I73">
        <v>1</v>
      </c>
      <c r="J73">
        <v>0</v>
      </c>
      <c r="K73">
        <v>12</v>
      </c>
      <c r="N73">
        <v>0.5</v>
      </c>
      <c r="O73">
        <v>0.38</v>
      </c>
      <c r="P73">
        <v>3.5</v>
      </c>
      <c r="Q73">
        <v>-7.5</v>
      </c>
      <c r="R73">
        <v>3.4375</v>
      </c>
      <c r="S73">
        <v>4</v>
      </c>
      <c r="T73">
        <v>0.5</v>
      </c>
      <c r="U73">
        <v>0</v>
      </c>
      <c r="V73">
        <v>0</v>
      </c>
      <c r="W73">
        <v>1</v>
      </c>
      <c r="X73">
        <v>0</v>
      </c>
      <c r="Y73">
        <v>0.5</v>
      </c>
      <c r="Z73">
        <v>0.5</v>
      </c>
    </row>
    <row r="74" spans="1:34">
      <c r="A74" t="s">
        <v>236</v>
      </c>
      <c r="B74">
        <v>96</v>
      </c>
      <c r="C74">
        <v>58.625</v>
      </c>
      <c r="D74">
        <v>1</v>
      </c>
      <c r="E74">
        <v>1.375</v>
      </c>
      <c r="F74" t="s">
        <v>21</v>
      </c>
      <c r="G74">
        <v>1</v>
      </c>
      <c r="H74">
        <v>1</v>
      </c>
      <c r="I74">
        <v>1</v>
      </c>
      <c r="J74">
        <v>0</v>
      </c>
      <c r="K74">
        <v>24</v>
      </c>
      <c r="L74" t="s">
        <v>120</v>
      </c>
      <c r="N74">
        <v>0.5</v>
      </c>
      <c r="O74">
        <v>0.38</v>
      </c>
      <c r="P74">
        <v>3.5</v>
      </c>
      <c r="Q74">
        <v>3.5</v>
      </c>
      <c r="R74">
        <v>3.125</v>
      </c>
      <c r="S74">
        <v>4</v>
      </c>
      <c r="T74">
        <v>0.5</v>
      </c>
      <c r="U74">
        <v>1</v>
      </c>
      <c r="V74">
        <v>1</v>
      </c>
      <c r="W74">
        <v>1</v>
      </c>
      <c r="X74">
        <v>0</v>
      </c>
      <c r="Y74">
        <v>0</v>
      </c>
      <c r="Z74">
        <v>0</v>
      </c>
      <c r="AA74">
        <v>11.5</v>
      </c>
      <c r="AB74">
        <v>10.875</v>
      </c>
      <c r="AC74">
        <v>4.9400000000000004</v>
      </c>
      <c r="AD74">
        <v>17</v>
      </c>
    </row>
    <row r="75" spans="1:34">
      <c r="A75" t="s">
        <v>237</v>
      </c>
      <c r="B75">
        <v>76.5</v>
      </c>
      <c r="C75">
        <v>30.875</v>
      </c>
      <c r="D75">
        <v>9.4375</v>
      </c>
      <c r="E75">
        <v>2.4375</v>
      </c>
      <c r="F75" t="s">
        <v>21</v>
      </c>
      <c r="G75">
        <v>1</v>
      </c>
      <c r="H75">
        <v>1</v>
      </c>
      <c r="I75">
        <v>1</v>
      </c>
      <c r="J75">
        <v>0</v>
      </c>
      <c r="N75">
        <v>0.5</v>
      </c>
      <c r="O75">
        <v>0.38</v>
      </c>
      <c r="P75">
        <v>3.5</v>
      </c>
      <c r="Q75">
        <v>-4.9375</v>
      </c>
      <c r="R75">
        <v>2.0625</v>
      </c>
      <c r="S75">
        <v>4</v>
      </c>
      <c r="T75">
        <v>0.5</v>
      </c>
      <c r="U75">
        <v>0</v>
      </c>
      <c r="V75">
        <v>0</v>
      </c>
      <c r="W75">
        <v>1</v>
      </c>
      <c r="X75">
        <v>0</v>
      </c>
      <c r="Y75">
        <v>0.5</v>
      </c>
      <c r="Z75">
        <v>0.5</v>
      </c>
    </row>
    <row r="76" spans="1:34">
      <c r="A76" t="s">
        <v>238</v>
      </c>
      <c r="B76">
        <v>51.125</v>
      </c>
      <c r="C76">
        <v>39.6875</v>
      </c>
      <c r="D76">
        <v>1</v>
      </c>
      <c r="E76">
        <v>1.3125</v>
      </c>
      <c r="F76" t="s">
        <v>21</v>
      </c>
      <c r="G76">
        <v>1</v>
      </c>
      <c r="H76">
        <v>1</v>
      </c>
      <c r="I76">
        <v>1</v>
      </c>
      <c r="J76">
        <v>1</v>
      </c>
      <c r="N76">
        <v>0.5</v>
      </c>
      <c r="O76">
        <v>0.38</v>
      </c>
      <c r="P76">
        <v>3.5</v>
      </c>
      <c r="Q76">
        <v>3.5</v>
      </c>
      <c r="R76">
        <v>3.1875</v>
      </c>
      <c r="S76">
        <v>4</v>
      </c>
      <c r="T76">
        <v>0.5</v>
      </c>
      <c r="U76">
        <v>1</v>
      </c>
      <c r="V76">
        <v>1</v>
      </c>
      <c r="W76">
        <v>1</v>
      </c>
      <c r="X76">
        <v>1</v>
      </c>
      <c r="Y76">
        <v>0</v>
      </c>
      <c r="Z76">
        <v>0</v>
      </c>
    </row>
    <row r="77" spans="1:34">
      <c r="A77" t="s">
        <v>239</v>
      </c>
      <c r="B77">
        <v>49.9375</v>
      </c>
      <c r="C77">
        <v>66.375</v>
      </c>
      <c r="D77">
        <v>4.625</v>
      </c>
      <c r="E77">
        <v>1</v>
      </c>
      <c r="F77" t="s">
        <v>21</v>
      </c>
      <c r="G77">
        <v>0</v>
      </c>
      <c r="I77">
        <v>0</v>
      </c>
      <c r="L77" t="s">
        <v>120</v>
      </c>
      <c r="M77" t="s">
        <v>119</v>
      </c>
      <c r="N77">
        <v>0.5</v>
      </c>
      <c r="O77">
        <v>0.38</v>
      </c>
      <c r="P77">
        <v>3.5</v>
      </c>
      <c r="Q77">
        <v>-0.125</v>
      </c>
      <c r="R77">
        <v>3.5</v>
      </c>
      <c r="S77">
        <v>4</v>
      </c>
      <c r="T77">
        <v>0.5</v>
      </c>
      <c r="U77">
        <v>0</v>
      </c>
      <c r="V77">
        <v>0</v>
      </c>
      <c r="W77">
        <v>0</v>
      </c>
      <c r="X77">
        <v>0</v>
      </c>
      <c r="Y77">
        <v>0.5</v>
      </c>
      <c r="Z77">
        <v>0.5</v>
      </c>
      <c r="AA77">
        <v>11.5</v>
      </c>
      <c r="AB77">
        <v>10.875</v>
      </c>
      <c r="AC77">
        <v>28.94</v>
      </c>
      <c r="AD77">
        <v>13.375</v>
      </c>
      <c r="AE77">
        <v>11</v>
      </c>
      <c r="AF77">
        <v>15.5</v>
      </c>
      <c r="AG77">
        <v>14.5</v>
      </c>
      <c r="AH77">
        <v>10.125</v>
      </c>
    </row>
    <row r="78" spans="1:34">
      <c r="A78" t="s">
        <v>240</v>
      </c>
      <c r="B78">
        <v>96</v>
      </c>
      <c r="C78">
        <v>79.3125</v>
      </c>
      <c r="D78">
        <v>10.375</v>
      </c>
      <c r="E78">
        <v>2.25</v>
      </c>
      <c r="F78" t="s">
        <v>21</v>
      </c>
      <c r="G78">
        <v>0</v>
      </c>
      <c r="I78">
        <v>1</v>
      </c>
      <c r="J78">
        <v>0</v>
      </c>
      <c r="K78">
        <v>12</v>
      </c>
      <c r="N78">
        <v>0.5</v>
      </c>
      <c r="O78">
        <v>0.38</v>
      </c>
      <c r="P78">
        <v>3.5</v>
      </c>
      <c r="Q78">
        <v>-5.875</v>
      </c>
      <c r="R78">
        <v>2.25</v>
      </c>
      <c r="S78">
        <v>4</v>
      </c>
      <c r="T78">
        <v>0.5</v>
      </c>
      <c r="U78">
        <v>0</v>
      </c>
      <c r="V78">
        <v>0</v>
      </c>
      <c r="W78">
        <v>0</v>
      </c>
      <c r="X78">
        <v>0</v>
      </c>
      <c r="Y78">
        <v>0.5</v>
      </c>
      <c r="Z78">
        <v>0.5</v>
      </c>
    </row>
    <row r="79" spans="1:34">
      <c r="A79" t="s">
        <v>241</v>
      </c>
      <c r="B79">
        <v>96</v>
      </c>
      <c r="C79">
        <v>57.1875</v>
      </c>
      <c r="D79">
        <v>4.5</v>
      </c>
      <c r="E79">
        <v>6.5</v>
      </c>
      <c r="F79" t="s">
        <v>21</v>
      </c>
      <c r="G79">
        <v>0</v>
      </c>
      <c r="I79">
        <v>1</v>
      </c>
      <c r="J79">
        <v>0</v>
      </c>
      <c r="K79">
        <v>24</v>
      </c>
      <c r="L79" t="s">
        <v>120</v>
      </c>
      <c r="N79">
        <v>0.5</v>
      </c>
      <c r="O79">
        <v>0.38</v>
      </c>
      <c r="P79">
        <v>3.5</v>
      </c>
      <c r="Q79">
        <v>0</v>
      </c>
      <c r="R79">
        <v>0</v>
      </c>
      <c r="S79">
        <v>4</v>
      </c>
      <c r="T79">
        <v>0.5</v>
      </c>
      <c r="U79">
        <v>0</v>
      </c>
      <c r="V79">
        <v>0</v>
      </c>
      <c r="W79">
        <v>0</v>
      </c>
      <c r="X79">
        <v>0</v>
      </c>
      <c r="Y79">
        <v>0.5</v>
      </c>
      <c r="Z79">
        <v>0.5</v>
      </c>
      <c r="AA79">
        <v>11.5</v>
      </c>
      <c r="AB79">
        <v>10.875</v>
      </c>
      <c r="AC79">
        <v>4.9400000000000004</v>
      </c>
      <c r="AD79">
        <v>13.5</v>
      </c>
    </row>
    <row r="80" spans="1:34">
      <c r="A80" t="s">
        <v>242</v>
      </c>
      <c r="B80">
        <v>37.6875</v>
      </c>
      <c r="C80">
        <v>70.375</v>
      </c>
      <c r="D80">
        <v>1</v>
      </c>
      <c r="E80">
        <v>5</v>
      </c>
      <c r="F80" t="s">
        <v>21</v>
      </c>
      <c r="G80">
        <v>0</v>
      </c>
      <c r="I80">
        <v>1</v>
      </c>
      <c r="J80">
        <v>0</v>
      </c>
      <c r="N80">
        <v>0.5</v>
      </c>
      <c r="O80">
        <v>0.38</v>
      </c>
      <c r="P80">
        <v>3.5</v>
      </c>
      <c r="Q80">
        <v>3.5</v>
      </c>
      <c r="R80">
        <v>0</v>
      </c>
      <c r="S80">
        <v>4</v>
      </c>
      <c r="T80">
        <v>0.5</v>
      </c>
      <c r="U80">
        <v>0</v>
      </c>
      <c r="V80">
        <v>1</v>
      </c>
      <c r="W80">
        <v>0</v>
      </c>
      <c r="X80">
        <v>0</v>
      </c>
      <c r="Y80">
        <v>0.5</v>
      </c>
      <c r="Z80">
        <v>0</v>
      </c>
    </row>
    <row r="81" spans="1:34">
      <c r="A81" t="s">
        <v>243</v>
      </c>
      <c r="B81">
        <v>76.5</v>
      </c>
      <c r="C81">
        <v>5.5</v>
      </c>
      <c r="D81">
        <v>4.4375</v>
      </c>
      <c r="E81">
        <v>8.25</v>
      </c>
      <c r="F81" t="s">
        <v>21</v>
      </c>
      <c r="G81">
        <v>0</v>
      </c>
      <c r="I81">
        <v>1</v>
      </c>
      <c r="J81">
        <v>1</v>
      </c>
      <c r="N81">
        <v>0.5</v>
      </c>
      <c r="O81">
        <v>0.38</v>
      </c>
      <c r="P81">
        <v>3.5</v>
      </c>
      <c r="Q81">
        <v>6.25E-2</v>
      </c>
      <c r="R81">
        <v>0</v>
      </c>
      <c r="S81">
        <v>4</v>
      </c>
      <c r="T81">
        <v>0.5</v>
      </c>
      <c r="U81">
        <v>0</v>
      </c>
      <c r="V81">
        <v>1</v>
      </c>
      <c r="W81">
        <v>0</v>
      </c>
      <c r="X81">
        <v>0</v>
      </c>
      <c r="Y81">
        <v>0.5</v>
      </c>
      <c r="Z81">
        <v>0</v>
      </c>
    </row>
    <row r="82" spans="1:34">
      <c r="A82" t="s">
        <v>244</v>
      </c>
      <c r="B82">
        <v>96</v>
      </c>
      <c r="C82">
        <v>46.5</v>
      </c>
      <c r="D82">
        <v>4.5</v>
      </c>
      <c r="E82">
        <v>2.9375</v>
      </c>
      <c r="F82" t="s">
        <v>21</v>
      </c>
      <c r="G82">
        <v>1</v>
      </c>
      <c r="H82">
        <v>0</v>
      </c>
      <c r="I82">
        <v>0</v>
      </c>
      <c r="L82" t="s">
        <v>151</v>
      </c>
      <c r="N82">
        <v>0.5</v>
      </c>
      <c r="O82">
        <v>0.38</v>
      </c>
      <c r="P82">
        <v>3.5</v>
      </c>
      <c r="Q82">
        <v>0</v>
      </c>
      <c r="R82">
        <v>1.5625</v>
      </c>
      <c r="S82">
        <v>4</v>
      </c>
      <c r="T82">
        <v>0.5</v>
      </c>
      <c r="U82">
        <v>0</v>
      </c>
      <c r="V82">
        <v>0</v>
      </c>
      <c r="W82">
        <v>0</v>
      </c>
      <c r="X82">
        <v>0</v>
      </c>
      <c r="Y82">
        <v>0.5</v>
      </c>
      <c r="Z82">
        <v>0.5</v>
      </c>
      <c r="AA82">
        <v>15.5</v>
      </c>
      <c r="AB82">
        <v>28.875</v>
      </c>
      <c r="AC82">
        <v>21</v>
      </c>
      <c r="AD82">
        <v>13.5</v>
      </c>
    </row>
    <row r="83" spans="1:34">
      <c r="A83" t="s">
        <v>245</v>
      </c>
      <c r="B83">
        <v>67.5</v>
      </c>
      <c r="C83">
        <v>6.625</v>
      </c>
      <c r="D83">
        <v>12</v>
      </c>
      <c r="E83">
        <v>4.8125</v>
      </c>
      <c r="F83" t="s">
        <v>21</v>
      </c>
      <c r="G83">
        <v>1</v>
      </c>
      <c r="H83">
        <v>0</v>
      </c>
      <c r="I83">
        <v>1</v>
      </c>
      <c r="J83">
        <v>0</v>
      </c>
      <c r="K83">
        <v>12</v>
      </c>
      <c r="L83" t="s">
        <v>120</v>
      </c>
      <c r="N83">
        <v>0.5</v>
      </c>
      <c r="O83">
        <v>0.38</v>
      </c>
      <c r="P83">
        <v>3.5</v>
      </c>
      <c r="Q83">
        <v>-7.5</v>
      </c>
      <c r="R83">
        <v>0</v>
      </c>
      <c r="S83">
        <v>4</v>
      </c>
      <c r="T83">
        <v>0.5</v>
      </c>
      <c r="U83">
        <v>0</v>
      </c>
      <c r="V83">
        <v>0</v>
      </c>
      <c r="W83">
        <v>0</v>
      </c>
      <c r="X83">
        <v>0</v>
      </c>
      <c r="Y83">
        <v>0.5</v>
      </c>
      <c r="Z83">
        <v>0.5</v>
      </c>
      <c r="AA83">
        <v>11.5</v>
      </c>
      <c r="AB83">
        <v>10.875</v>
      </c>
      <c r="AC83">
        <v>16.940000000000001</v>
      </c>
      <c r="AD83">
        <v>6</v>
      </c>
    </row>
    <row r="84" spans="1:34">
      <c r="A84" t="s">
        <v>246</v>
      </c>
      <c r="B84">
        <v>56.5625</v>
      </c>
      <c r="C84">
        <v>54.375</v>
      </c>
      <c r="D84">
        <v>1</v>
      </c>
      <c r="E84">
        <v>5.0625</v>
      </c>
      <c r="F84" t="s">
        <v>21</v>
      </c>
      <c r="G84">
        <v>1</v>
      </c>
      <c r="H84">
        <v>0</v>
      </c>
      <c r="I84">
        <v>1</v>
      </c>
      <c r="J84">
        <v>0</v>
      </c>
      <c r="K84">
        <v>24</v>
      </c>
      <c r="L84" t="s">
        <v>120</v>
      </c>
      <c r="N84">
        <v>0.5</v>
      </c>
      <c r="O84">
        <v>0.38</v>
      </c>
      <c r="P84">
        <v>3.5</v>
      </c>
      <c r="Q84">
        <v>3.5</v>
      </c>
      <c r="R84">
        <v>0</v>
      </c>
      <c r="S84">
        <v>4</v>
      </c>
      <c r="T84">
        <v>0.5</v>
      </c>
      <c r="U84">
        <v>1</v>
      </c>
      <c r="V84">
        <v>1</v>
      </c>
      <c r="W84">
        <v>0</v>
      </c>
      <c r="X84">
        <v>0</v>
      </c>
      <c r="Y84">
        <v>0</v>
      </c>
      <c r="Z84">
        <v>0</v>
      </c>
      <c r="AA84">
        <v>11.5</v>
      </c>
      <c r="AB84">
        <v>10.875</v>
      </c>
      <c r="AC84">
        <v>4.9400000000000004</v>
      </c>
      <c r="AD84">
        <v>17</v>
      </c>
    </row>
    <row r="85" spans="1:34">
      <c r="A85" t="s">
        <v>247</v>
      </c>
      <c r="B85">
        <v>74.375</v>
      </c>
      <c r="C85">
        <v>52.6875</v>
      </c>
      <c r="D85">
        <v>9</v>
      </c>
      <c r="E85">
        <v>4.25</v>
      </c>
      <c r="F85" t="s">
        <v>21</v>
      </c>
      <c r="G85">
        <v>1</v>
      </c>
      <c r="H85">
        <v>0</v>
      </c>
      <c r="I85">
        <v>1</v>
      </c>
      <c r="J85">
        <v>0</v>
      </c>
      <c r="N85">
        <v>0.5</v>
      </c>
      <c r="O85">
        <v>0.38</v>
      </c>
      <c r="P85">
        <v>3.5</v>
      </c>
      <c r="Q85">
        <v>-4.5</v>
      </c>
      <c r="R85">
        <v>0.25</v>
      </c>
      <c r="S85">
        <v>4</v>
      </c>
      <c r="T85">
        <v>0.5</v>
      </c>
      <c r="U85">
        <v>0</v>
      </c>
      <c r="V85">
        <v>0</v>
      </c>
      <c r="W85">
        <v>0</v>
      </c>
      <c r="X85">
        <v>0</v>
      </c>
      <c r="Y85">
        <v>0.5</v>
      </c>
      <c r="Z85">
        <v>0.5</v>
      </c>
    </row>
    <row r="86" spans="1:34">
      <c r="A86" t="s">
        <v>248</v>
      </c>
      <c r="B86">
        <v>43.4375</v>
      </c>
      <c r="C86">
        <v>34.4375</v>
      </c>
      <c r="D86">
        <v>12</v>
      </c>
      <c r="E86">
        <v>1.0625</v>
      </c>
      <c r="F86" t="s">
        <v>21</v>
      </c>
      <c r="G86">
        <v>1</v>
      </c>
      <c r="H86">
        <v>0</v>
      </c>
      <c r="I86">
        <v>1</v>
      </c>
      <c r="J86">
        <v>1</v>
      </c>
      <c r="N86">
        <v>0.5</v>
      </c>
      <c r="O86">
        <v>0.38</v>
      </c>
      <c r="P86">
        <v>3.5</v>
      </c>
      <c r="Q86">
        <v>-7.5</v>
      </c>
      <c r="R86">
        <v>3.4375</v>
      </c>
      <c r="S86">
        <v>4</v>
      </c>
      <c r="T86">
        <v>0.5</v>
      </c>
      <c r="U86">
        <v>0</v>
      </c>
      <c r="V86">
        <v>0</v>
      </c>
      <c r="W86">
        <v>0</v>
      </c>
      <c r="X86">
        <v>1</v>
      </c>
      <c r="Y86">
        <v>0.5</v>
      </c>
      <c r="Z86">
        <v>0.5</v>
      </c>
    </row>
    <row r="87" spans="1:34">
      <c r="A87" t="s">
        <v>249</v>
      </c>
      <c r="B87">
        <v>96</v>
      </c>
      <c r="C87">
        <v>43.1875</v>
      </c>
      <c r="D87">
        <v>1.5625</v>
      </c>
      <c r="E87">
        <v>1</v>
      </c>
      <c r="F87" t="s">
        <v>21</v>
      </c>
      <c r="G87">
        <v>1</v>
      </c>
      <c r="H87">
        <v>1</v>
      </c>
      <c r="I87">
        <v>0</v>
      </c>
      <c r="L87" t="s">
        <v>121</v>
      </c>
      <c r="M87" t="s">
        <v>120</v>
      </c>
      <c r="N87">
        <v>0.5</v>
      </c>
      <c r="O87">
        <v>0.38</v>
      </c>
      <c r="P87">
        <v>3.5</v>
      </c>
      <c r="Q87">
        <v>2.9375</v>
      </c>
      <c r="R87">
        <v>3.5</v>
      </c>
      <c r="S87">
        <v>4</v>
      </c>
      <c r="T87">
        <v>0.5</v>
      </c>
      <c r="U87">
        <v>1</v>
      </c>
      <c r="V87">
        <v>0</v>
      </c>
      <c r="W87">
        <v>1</v>
      </c>
      <c r="X87">
        <v>0</v>
      </c>
      <c r="Y87">
        <v>0</v>
      </c>
      <c r="Z87">
        <v>0.5</v>
      </c>
      <c r="AA87">
        <v>11</v>
      </c>
      <c r="AB87">
        <v>9.375</v>
      </c>
      <c r="AC87">
        <v>14.5</v>
      </c>
      <c r="AD87">
        <v>17.1875</v>
      </c>
      <c r="AE87">
        <v>11.5</v>
      </c>
      <c r="AF87">
        <v>10.875</v>
      </c>
      <c r="AG87">
        <v>28.94</v>
      </c>
      <c r="AH87">
        <v>16.4375</v>
      </c>
    </row>
    <row r="88" spans="1:34">
      <c r="A88" t="s">
        <v>250</v>
      </c>
      <c r="B88">
        <v>94.125</v>
      </c>
      <c r="C88">
        <v>53.9375</v>
      </c>
      <c r="D88">
        <v>9</v>
      </c>
      <c r="E88">
        <v>1</v>
      </c>
      <c r="F88" t="s">
        <v>21</v>
      </c>
      <c r="G88">
        <v>1</v>
      </c>
      <c r="H88">
        <v>1</v>
      </c>
      <c r="I88">
        <v>1</v>
      </c>
      <c r="J88">
        <v>0</v>
      </c>
      <c r="K88">
        <v>12</v>
      </c>
      <c r="L88" t="s">
        <v>150</v>
      </c>
      <c r="N88">
        <v>0.5</v>
      </c>
      <c r="O88">
        <v>0.38</v>
      </c>
      <c r="P88">
        <v>3.5</v>
      </c>
      <c r="Q88">
        <v>-4.5</v>
      </c>
      <c r="R88">
        <v>3.5</v>
      </c>
      <c r="S88">
        <v>4</v>
      </c>
      <c r="T88">
        <v>0.5</v>
      </c>
      <c r="U88">
        <v>0</v>
      </c>
      <c r="V88">
        <v>0</v>
      </c>
      <c r="W88">
        <v>1</v>
      </c>
      <c r="X88">
        <v>0</v>
      </c>
      <c r="Y88">
        <v>0.5</v>
      </c>
      <c r="Z88">
        <v>0.5</v>
      </c>
      <c r="AA88">
        <v>15.5</v>
      </c>
      <c r="AB88">
        <v>28.875</v>
      </c>
      <c r="AC88">
        <v>9</v>
      </c>
      <c r="AD88">
        <v>9</v>
      </c>
    </row>
    <row r="89" spans="1:34">
      <c r="A89" t="s">
        <v>251</v>
      </c>
      <c r="B89">
        <v>109.3125</v>
      </c>
      <c r="C89">
        <v>66.9375</v>
      </c>
      <c r="D89">
        <v>12</v>
      </c>
      <c r="E89">
        <v>3.875</v>
      </c>
      <c r="F89" t="s">
        <v>21</v>
      </c>
      <c r="G89">
        <v>1</v>
      </c>
      <c r="H89">
        <v>1</v>
      </c>
      <c r="I89">
        <v>1</v>
      </c>
      <c r="J89">
        <v>0</v>
      </c>
      <c r="K89">
        <v>24</v>
      </c>
      <c r="L89" t="s">
        <v>120</v>
      </c>
      <c r="N89">
        <v>0.5</v>
      </c>
      <c r="O89">
        <v>0.38</v>
      </c>
      <c r="P89">
        <v>3.5</v>
      </c>
      <c r="Q89">
        <v>-7.5</v>
      </c>
      <c r="R89">
        <v>0.625</v>
      </c>
      <c r="S89">
        <v>4</v>
      </c>
      <c r="T89">
        <v>0.5</v>
      </c>
      <c r="U89">
        <v>0</v>
      </c>
      <c r="V89">
        <v>0</v>
      </c>
      <c r="W89">
        <v>1</v>
      </c>
      <c r="X89">
        <v>0</v>
      </c>
      <c r="Y89">
        <v>0.5</v>
      </c>
      <c r="Z89">
        <v>0.5</v>
      </c>
      <c r="AA89">
        <v>11.5</v>
      </c>
      <c r="AB89">
        <v>10.875</v>
      </c>
      <c r="AC89">
        <v>4.9400000000000004</v>
      </c>
      <c r="AD89">
        <v>6</v>
      </c>
    </row>
    <row r="90" spans="1:34">
      <c r="A90" t="s">
        <v>252</v>
      </c>
      <c r="B90">
        <v>83.1875</v>
      </c>
      <c r="C90">
        <v>42.625</v>
      </c>
      <c r="D90">
        <v>1.0625</v>
      </c>
      <c r="E90">
        <v>3.75</v>
      </c>
      <c r="F90" t="s">
        <v>21</v>
      </c>
      <c r="G90">
        <v>1</v>
      </c>
      <c r="H90">
        <v>1</v>
      </c>
      <c r="I90">
        <v>1</v>
      </c>
      <c r="J90">
        <v>0</v>
      </c>
      <c r="N90">
        <v>0.5</v>
      </c>
      <c r="O90">
        <v>0.38</v>
      </c>
      <c r="P90">
        <v>3.5</v>
      </c>
      <c r="Q90">
        <v>3.4375</v>
      </c>
      <c r="R90">
        <v>0.75</v>
      </c>
      <c r="S90">
        <v>4</v>
      </c>
      <c r="T90">
        <v>0.5</v>
      </c>
      <c r="U90">
        <v>1</v>
      </c>
      <c r="V90">
        <v>1</v>
      </c>
      <c r="W90">
        <v>1</v>
      </c>
      <c r="X90">
        <v>0</v>
      </c>
      <c r="Y90">
        <v>0</v>
      </c>
      <c r="Z90">
        <v>0</v>
      </c>
    </row>
    <row r="91" spans="1:34">
      <c r="A91" t="s">
        <v>253</v>
      </c>
      <c r="B91">
        <v>38.375</v>
      </c>
      <c r="C91">
        <v>73.9375</v>
      </c>
      <c r="D91">
        <v>1</v>
      </c>
      <c r="E91">
        <v>2.1875</v>
      </c>
      <c r="F91" t="s">
        <v>21</v>
      </c>
      <c r="G91">
        <v>1</v>
      </c>
      <c r="H91">
        <v>1</v>
      </c>
      <c r="I91">
        <v>1</v>
      </c>
      <c r="J91">
        <v>1</v>
      </c>
      <c r="N91">
        <v>0.5</v>
      </c>
      <c r="O91">
        <v>0.38</v>
      </c>
      <c r="P91">
        <v>3.5</v>
      </c>
      <c r="Q91">
        <v>3.5</v>
      </c>
      <c r="R91">
        <v>2.3125</v>
      </c>
      <c r="S91">
        <v>4</v>
      </c>
      <c r="T91">
        <v>0.5</v>
      </c>
      <c r="U91">
        <v>1</v>
      </c>
      <c r="V91">
        <v>1</v>
      </c>
      <c r="W91">
        <v>1</v>
      </c>
      <c r="X91">
        <v>1</v>
      </c>
      <c r="Y91">
        <v>0</v>
      </c>
      <c r="Z91">
        <v>0</v>
      </c>
    </row>
    <row r="92" spans="1:34">
      <c r="A92" t="s">
        <v>254</v>
      </c>
      <c r="B92">
        <v>34.5</v>
      </c>
      <c r="C92">
        <v>43.9375</v>
      </c>
      <c r="D92">
        <v>2.75</v>
      </c>
      <c r="E92">
        <v>4.8125</v>
      </c>
      <c r="F92" t="s">
        <v>156</v>
      </c>
      <c r="G92">
        <v>0</v>
      </c>
      <c r="I92">
        <v>0</v>
      </c>
      <c r="L92" t="s">
        <v>119</v>
      </c>
      <c r="M92" t="s">
        <v>120</v>
      </c>
      <c r="N92">
        <v>0.5</v>
      </c>
      <c r="O92">
        <v>0.38</v>
      </c>
      <c r="P92">
        <v>3.5</v>
      </c>
      <c r="Q92">
        <v>1.75</v>
      </c>
      <c r="R92">
        <v>0</v>
      </c>
      <c r="S92">
        <v>4</v>
      </c>
      <c r="T92">
        <v>0.5</v>
      </c>
      <c r="U92">
        <v>0</v>
      </c>
      <c r="V92">
        <v>0</v>
      </c>
      <c r="W92">
        <v>0</v>
      </c>
      <c r="X92">
        <v>0</v>
      </c>
      <c r="Y92">
        <v>0.5</v>
      </c>
      <c r="Z92">
        <v>0.5</v>
      </c>
    </row>
    <row r="93" spans="1:34">
      <c r="A93" t="s">
        <v>255</v>
      </c>
      <c r="B93">
        <v>26.75</v>
      </c>
      <c r="C93">
        <v>65</v>
      </c>
      <c r="D93">
        <v>9</v>
      </c>
      <c r="E93">
        <v>4.5625</v>
      </c>
      <c r="F93" t="s">
        <v>156</v>
      </c>
      <c r="G93">
        <v>0</v>
      </c>
      <c r="I93">
        <v>1</v>
      </c>
      <c r="J93">
        <v>0</v>
      </c>
      <c r="K93">
        <v>12</v>
      </c>
      <c r="N93">
        <v>0.5</v>
      </c>
      <c r="O93">
        <v>0.38</v>
      </c>
      <c r="P93">
        <v>3.5</v>
      </c>
      <c r="Q93">
        <v>-4.5</v>
      </c>
      <c r="R93">
        <v>0</v>
      </c>
      <c r="S93">
        <v>4</v>
      </c>
      <c r="T93">
        <v>0.5</v>
      </c>
      <c r="U93">
        <v>0</v>
      </c>
      <c r="V93">
        <v>0</v>
      </c>
      <c r="W93">
        <v>0</v>
      </c>
      <c r="X93">
        <v>0</v>
      </c>
      <c r="Y93">
        <v>0.5</v>
      </c>
      <c r="Z93">
        <v>0.5</v>
      </c>
    </row>
    <row r="94" spans="1:34">
      <c r="A94" t="s">
        <v>256</v>
      </c>
      <c r="B94">
        <v>44.6875</v>
      </c>
      <c r="C94">
        <v>55.25</v>
      </c>
      <c r="D94">
        <v>1</v>
      </c>
      <c r="E94">
        <v>6.875</v>
      </c>
      <c r="F94" t="s">
        <v>156</v>
      </c>
      <c r="G94">
        <v>0</v>
      </c>
      <c r="I94">
        <v>1</v>
      </c>
      <c r="J94">
        <v>0</v>
      </c>
      <c r="K94">
        <v>24</v>
      </c>
      <c r="L94" t="s">
        <v>120</v>
      </c>
      <c r="N94">
        <v>0.5</v>
      </c>
      <c r="O94">
        <v>0.38</v>
      </c>
      <c r="P94">
        <v>3.5</v>
      </c>
      <c r="Q94">
        <v>3.5</v>
      </c>
      <c r="R94">
        <v>0</v>
      </c>
      <c r="S94">
        <v>4</v>
      </c>
      <c r="T94">
        <v>0.5</v>
      </c>
      <c r="U94">
        <v>0</v>
      </c>
      <c r="V94">
        <v>0</v>
      </c>
      <c r="W94">
        <v>0</v>
      </c>
      <c r="X94">
        <v>0</v>
      </c>
      <c r="Y94">
        <v>0.5</v>
      </c>
      <c r="Z94">
        <v>0.5</v>
      </c>
    </row>
    <row r="95" spans="1:34">
      <c r="A95" t="s">
        <v>257</v>
      </c>
      <c r="B95">
        <v>16.875</v>
      </c>
      <c r="C95">
        <v>46.5</v>
      </c>
      <c r="D95">
        <v>1.625</v>
      </c>
      <c r="E95">
        <v>1.3125</v>
      </c>
      <c r="F95" t="s">
        <v>156</v>
      </c>
      <c r="G95">
        <v>0</v>
      </c>
      <c r="I95">
        <v>1</v>
      </c>
      <c r="J95">
        <v>0</v>
      </c>
      <c r="N95">
        <v>0.5</v>
      </c>
      <c r="O95">
        <v>0.38</v>
      </c>
      <c r="P95">
        <v>3.5</v>
      </c>
      <c r="Q95">
        <v>2.875</v>
      </c>
      <c r="R95">
        <v>3.1875</v>
      </c>
      <c r="S95">
        <v>4</v>
      </c>
      <c r="T95">
        <v>0.5</v>
      </c>
      <c r="U95">
        <v>0</v>
      </c>
      <c r="V95">
        <v>0</v>
      </c>
      <c r="W95">
        <v>0</v>
      </c>
      <c r="X95">
        <v>0</v>
      </c>
      <c r="Y95">
        <v>0.5</v>
      </c>
      <c r="Z95">
        <v>0.5</v>
      </c>
    </row>
    <row r="96" spans="1:34">
      <c r="A96" t="s">
        <v>258</v>
      </c>
      <c r="B96">
        <v>25</v>
      </c>
      <c r="C96">
        <v>75.3125</v>
      </c>
      <c r="D96">
        <v>1</v>
      </c>
      <c r="E96">
        <v>1</v>
      </c>
      <c r="F96" t="s">
        <v>156</v>
      </c>
      <c r="G96">
        <v>0</v>
      </c>
      <c r="I96">
        <v>1</v>
      </c>
      <c r="J96">
        <v>1</v>
      </c>
      <c r="N96">
        <v>0.5</v>
      </c>
      <c r="O96">
        <v>0.38</v>
      </c>
      <c r="P96">
        <v>3.5</v>
      </c>
      <c r="Q96">
        <v>3.5</v>
      </c>
      <c r="R96">
        <v>3.5</v>
      </c>
      <c r="S96">
        <v>4</v>
      </c>
      <c r="T96">
        <v>0.5</v>
      </c>
      <c r="U96">
        <v>0</v>
      </c>
      <c r="V96">
        <v>0</v>
      </c>
      <c r="W96">
        <v>0</v>
      </c>
      <c r="X96">
        <v>1</v>
      </c>
      <c r="Y96">
        <v>0.5</v>
      </c>
      <c r="Z96">
        <v>0.5</v>
      </c>
    </row>
    <row r="97" spans="1:30">
      <c r="A97" t="s">
        <v>259</v>
      </c>
      <c r="B97">
        <v>25.9375</v>
      </c>
      <c r="C97">
        <v>18.9375</v>
      </c>
      <c r="D97">
        <v>8.375</v>
      </c>
      <c r="E97">
        <v>4.4375</v>
      </c>
      <c r="F97" t="s">
        <v>156</v>
      </c>
      <c r="G97">
        <v>1</v>
      </c>
      <c r="H97">
        <v>0</v>
      </c>
      <c r="I97">
        <v>0</v>
      </c>
      <c r="N97">
        <v>0.5</v>
      </c>
      <c r="O97">
        <v>0.38</v>
      </c>
      <c r="P97">
        <v>3.5</v>
      </c>
      <c r="Q97">
        <v>-3.875</v>
      </c>
      <c r="R97">
        <v>6.25E-2</v>
      </c>
      <c r="S97">
        <v>4</v>
      </c>
      <c r="T97">
        <v>0.5</v>
      </c>
      <c r="U97">
        <v>0</v>
      </c>
      <c r="V97">
        <v>0</v>
      </c>
      <c r="W97">
        <v>0</v>
      </c>
      <c r="X97">
        <v>0</v>
      </c>
      <c r="Y97">
        <v>0.5</v>
      </c>
      <c r="Z97">
        <v>0.5</v>
      </c>
    </row>
    <row r="98" spans="1:30">
      <c r="A98" t="s">
        <v>260</v>
      </c>
      <c r="B98">
        <v>16.0625</v>
      </c>
      <c r="C98">
        <v>46.5</v>
      </c>
      <c r="D98">
        <v>4.5</v>
      </c>
      <c r="E98">
        <v>3.1875</v>
      </c>
      <c r="F98" t="s">
        <v>156</v>
      </c>
      <c r="G98">
        <v>1</v>
      </c>
      <c r="H98">
        <v>0</v>
      </c>
      <c r="I98">
        <v>1</v>
      </c>
      <c r="J98">
        <v>0</v>
      </c>
      <c r="K98">
        <v>12</v>
      </c>
      <c r="L98" t="s">
        <v>148</v>
      </c>
      <c r="N98">
        <v>0.5</v>
      </c>
      <c r="O98">
        <v>0.38</v>
      </c>
      <c r="P98">
        <v>3.5</v>
      </c>
      <c r="Q98">
        <v>0</v>
      </c>
      <c r="R98">
        <v>1.3125</v>
      </c>
      <c r="S98">
        <v>4</v>
      </c>
      <c r="T98">
        <v>0.5</v>
      </c>
      <c r="U98">
        <v>0</v>
      </c>
      <c r="V98">
        <v>0</v>
      </c>
      <c r="W98">
        <v>0</v>
      </c>
      <c r="X98">
        <v>0</v>
      </c>
      <c r="Y98">
        <v>0.5</v>
      </c>
      <c r="Z98">
        <v>0.5</v>
      </c>
    </row>
    <row r="99" spans="1:30">
      <c r="A99" t="s">
        <v>261</v>
      </c>
      <c r="B99">
        <v>38.8125</v>
      </c>
      <c r="C99">
        <v>70.9375</v>
      </c>
      <c r="D99">
        <v>4.5</v>
      </c>
      <c r="E99">
        <v>5.875</v>
      </c>
      <c r="F99" t="s">
        <v>156</v>
      </c>
      <c r="G99">
        <v>1</v>
      </c>
      <c r="H99">
        <v>0</v>
      </c>
      <c r="I99">
        <v>1</v>
      </c>
      <c r="J99">
        <v>0</v>
      </c>
      <c r="K99">
        <v>24</v>
      </c>
      <c r="L99" t="s">
        <v>120</v>
      </c>
      <c r="N99">
        <v>0.5</v>
      </c>
      <c r="O99">
        <v>0.38</v>
      </c>
      <c r="P99">
        <v>3.5</v>
      </c>
      <c r="Q99">
        <v>0</v>
      </c>
      <c r="R99">
        <v>0</v>
      </c>
      <c r="S99">
        <v>4</v>
      </c>
      <c r="T99">
        <v>0.5</v>
      </c>
      <c r="U99">
        <v>0</v>
      </c>
      <c r="V99">
        <v>0</v>
      </c>
      <c r="W99">
        <v>0</v>
      </c>
      <c r="X99">
        <v>0</v>
      </c>
      <c r="Y99">
        <v>0.5</v>
      </c>
      <c r="Z99">
        <v>0.5</v>
      </c>
    </row>
    <row r="100" spans="1:30">
      <c r="A100" t="s">
        <v>262</v>
      </c>
      <c r="B100">
        <v>47</v>
      </c>
      <c r="C100">
        <v>18.75</v>
      </c>
      <c r="D100">
        <v>1</v>
      </c>
      <c r="E100">
        <v>4.1875</v>
      </c>
      <c r="F100" t="s">
        <v>156</v>
      </c>
      <c r="G100">
        <v>1</v>
      </c>
      <c r="H100">
        <v>0</v>
      </c>
      <c r="I100">
        <v>1</v>
      </c>
      <c r="J100">
        <v>0</v>
      </c>
      <c r="N100">
        <v>0.5</v>
      </c>
      <c r="O100">
        <v>0.38</v>
      </c>
      <c r="P100">
        <v>3.5</v>
      </c>
      <c r="Q100">
        <v>3.5</v>
      </c>
      <c r="R100">
        <v>0.3125</v>
      </c>
      <c r="S100">
        <v>4</v>
      </c>
      <c r="T100">
        <v>0.5</v>
      </c>
      <c r="U100">
        <v>0</v>
      </c>
      <c r="V100">
        <v>0</v>
      </c>
      <c r="W100">
        <v>0</v>
      </c>
      <c r="X100">
        <v>0</v>
      </c>
      <c r="Y100">
        <v>0.5</v>
      </c>
      <c r="Z100">
        <v>0.5</v>
      </c>
    </row>
    <row r="101" spans="1:30">
      <c r="A101" t="s">
        <v>263</v>
      </c>
      <c r="B101">
        <v>6.4375</v>
      </c>
      <c r="C101">
        <v>58.75</v>
      </c>
      <c r="D101">
        <v>1</v>
      </c>
      <c r="E101">
        <v>3.1875</v>
      </c>
      <c r="F101" t="s">
        <v>156</v>
      </c>
      <c r="G101">
        <v>1</v>
      </c>
      <c r="H101">
        <v>0</v>
      </c>
      <c r="I101">
        <v>1</v>
      </c>
      <c r="J101">
        <v>1</v>
      </c>
      <c r="N101">
        <v>0.5</v>
      </c>
      <c r="O101">
        <v>0.38</v>
      </c>
      <c r="P101">
        <v>3.5</v>
      </c>
      <c r="Q101">
        <v>3.5</v>
      </c>
      <c r="R101">
        <v>1.3125</v>
      </c>
      <c r="S101">
        <v>4</v>
      </c>
      <c r="T101">
        <v>0.5</v>
      </c>
      <c r="U101">
        <v>0</v>
      </c>
      <c r="V101">
        <v>0</v>
      </c>
      <c r="W101">
        <v>0</v>
      </c>
      <c r="X101">
        <v>1</v>
      </c>
      <c r="Y101">
        <v>0.5</v>
      </c>
      <c r="Z101">
        <v>0.5</v>
      </c>
    </row>
    <row r="102" spans="1:30">
      <c r="A102" t="s">
        <v>264</v>
      </c>
      <c r="B102">
        <v>13.4375</v>
      </c>
      <c r="C102">
        <v>51.6875</v>
      </c>
      <c r="D102">
        <v>4.5</v>
      </c>
      <c r="E102">
        <v>1</v>
      </c>
      <c r="F102" t="s">
        <v>156</v>
      </c>
      <c r="G102">
        <v>1</v>
      </c>
      <c r="H102">
        <v>1</v>
      </c>
      <c r="I102">
        <v>0</v>
      </c>
      <c r="L102" t="s">
        <v>148</v>
      </c>
      <c r="N102">
        <v>0.5</v>
      </c>
      <c r="O102">
        <v>0.38</v>
      </c>
      <c r="P102">
        <v>3.5</v>
      </c>
      <c r="Q102">
        <v>0</v>
      </c>
      <c r="R102">
        <v>3.5</v>
      </c>
      <c r="S102">
        <v>4</v>
      </c>
      <c r="T102">
        <v>0.5</v>
      </c>
      <c r="U102">
        <v>0</v>
      </c>
      <c r="V102">
        <v>0</v>
      </c>
      <c r="W102">
        <v>1</v>
      </c>
      <c r="X102">
        <v>0</v>
      </c>
      <c r="Y102">
        <v>0.5</v>
      </c>
      <c r="Z102">
        <v>0.5</v>
      </c>
    </row>
    <row r="103" spans="1:30">
      <c r="A103" t="s">
        <v>265</v>
      </c>
      <c r="B103">
        <v>12.6875</v>
      </c>
      <c r="C103">
        <v>76.6875</v>
      </c>
      <c r="D103">
        <v>1</v>
      </c>
      <c r="E103">
        <v>4.5625</v>
      </c>
      <c r="F103" t="s">
        <v>156</v>
      </c>
      <c r="G103">
        <v>1</v>
      </c>
      <c r="H103">
        <v>1</v>
      </c>
      <c r="I103">
        <v>1</v>
      </c>
      <c r="J103">
        <v>0</v>
      </c>
      <c r="K103">
        <v>12</v>
      </c>
      <c r="L103" t="s">
        <v>150</v>
      </c>
      <c r="N103">
        <v>0.5</v>
      </c>
      <c r="O103">
        <v>0.38</v>
      </c>
      <c r="P103">
        <v>3.5</v>
      </c>
      <c r="Q103">
        <v>3.5</v>
      </c>
      <c r="R103">
        <v>0</v>
      </c>
      <c r="S103">
        <v>4</v>
      </c>
      <c r="T103">
        <v>0.5</v>
      </c>
      <c r="U103">
        <v>0</v>
      </c>
      <c r="V103">
        <v>0</v>
      </c>
      <c r="W103">
        <v>0</v>
      </c>
      <c r="X103">
        <v>0</v>
      </c>
      <c r="Y103">
        <v>0.5</v>
      </c>
      <c r="Z103">
        <v>0.5</v>
      </c>
    </row>
    <row r="104" spans="1:30">
      <c r="A104" t="s">
        <v>266</v>
      </c>
      <c r="B104">
        <v>24.75</v>
      </c>
      <c r="C104">
        <v>58.375</v>
      </c>
      <c r="D104">
        <v>8.1875</v>
      </c>
      <c r="E104">
        <v>3.125</v>
      </c>
      <c r="F104" t="s">
        <v>156</v>
      </c>
      <c r="G104">
        <v>1</v>
      </c>
      <c r="H104">
        <v>1</v>
      </c>
      <c r="I104">
        <v>1</v>
      </c>
      <c r="J104">
        <v>0</v>
      </c>
      <c r="K104">
        <v>24</v>
      </c>
      <c r="L104" t="s">
        <v>120</v>
      </c>
      <c r="N104">
        <v>0.5</v>
      </c>
      <c r="O104">
        <v>0.38</v>
      </c>
      <c r="P104">
        <v>3.5</v>
      </c>
      <c r="Q104">
        <v>-3.6875</v>
      </c>
      <c r="R104">
        <v>1.375</v>
      </c>
      <c r="S104">
        <v>4</v>
      </c>
      <c r="T104">
        <v>0.5</v>
      </c>
      <c r="U104">
        <v>0</v>
      </c>
      <c r="V104">
        <v>0</v>
      </c>
      <c r="W104">
        <v>1</v>
      </c>
      <c r="X104">
        <v>0</v>
      </c>
      <c r="Y104">
        <v>0.5</v>
      </c>
      <c r="Z104">
        <v>0.5</v>
      </c>
    </row>
    <row r="105" spans="1:30">
      <c r="A105" t="s">
        <v>267</v>
      </c>
      <c r="B105">
        <v>21.4375</v>
      </c>
      <c r="C105">
        <v>55</v>
      </c>
      <c r="D105">
        <v>8.75</v>
      </c>
      <c r="E105">
        <v>4.0625</v>
      </c>
      <c r="F105" t="s">
        <v>156</v>
      </c>
      <c r="G105">
        <v>1</v>
      </c>
      <c r="H105">
        <v>1</v>
      </c>
      <c r="I105">
        <v>1</v>
      </c>
      <c r="J105">
        <v>0</v>
      </c>
      <c r="N105">
        <v>0.5</v>
      </c>
      <c r="O105">
        <v>0.38</v>
      </c>
      <c r="P105">
        <v>3.5</v>
      </c>
      <c r="Q105">
        <v>-4.25</v>
      </c>
      <c r="R105">
        <v>0.4375</v>
      </c>
      <c r="S105">
        <v>4</v>
      </c>
      <c r="T105">
        <v>0.5</v>
      </c>
      <c r="U105">
        <v>0</v>
      </c>
      <c r="V105">
        <v>0</v>
      </c>
      <c r="W105">
        <v>1</v>
      </c>
      <c r="X105">
        <v>0</v>
      </c>
      <c r="Y105">
        <v>0.5</v>
      </c>
      <c r="Z105">
        <v>0.5</v>
      </c>
    </row>
    <row r="106" spans="1:30">
      <c r="A106" t="s">
        <v>268</v>
      </c>
      <c r="B106">
        <v>9.4375</v>
      </c>
      <c r="C106">
        <v>64.9375</v>
      </c>
      <c r="D106">
        <v>4.9375</v>
      </c>
      <c r="E106">
        <v>4.625</v>
      </c>
      <c r="F106" t="s">
        <v>156</v>
      </c>
      <c r="G106">
        <v>1</v>
      </c>
      <c r="H106">
        <v>1</v>
      </c>
      <c r="I106">
        <v>1</v>
      </c>
      <c r="J106">
        <v>1</v>
      </c>
      <c r="N106">
        <v>0.5</v>
      </c>
      <c r="O106">
        <v>0.38</v>
      </c>
      <c r="P106">
        <v>3.5</v>
      </c>
      <c r="Q106">
        <v>-0.4375</v>
      </c>
      <c r="R106">
        <v>0</v>
      </c>
      <c r="S106">
        <v>4</v>
      </c>
      <c r="T106">
        <v>0.5</v>
      </c>
      <c r="U106">
        <v>0</v>
      </c>
      <c r="V106">
        <v>0</v>
      </c>
      <c r="W106">
        <v>0</v>
      </c>
      <c r="X106">
        <v>0</v>
      </c>
      <c r="Y106">
        <v>0.5</v>
      </c>
      <c r="Z106">
        <v>0.5</v>
      </c>
    </row>
    <row r="107" spans="1:30">
      <c r="A107" t="s">
        <v>269</v>
      </c>
      <c r="B107">
        <v>60</v>
      </c>
      <c r="C107">
        <v>67.75</v>
      </c>
      <c r="D107">
        <v>8.8125</v>
      </c>
      <c r="E107">
        <v>4.5625</v>
      </c>
      <c r="F107" t="s">
        <v>157</v>
      </c>
      <c r="G107">
        <v>0</v>
      </c>
      <c r="I107">
        <v>0</v>
      </c>
      <c r="L107" t="s">
        <v>119</v>
      </c>
      <c r="N107">
        <v>0.5</v>
      </c>
      <c r="O107">
        <v>0.38</v>
      </c>
      <c r="P107">
        <v>3.5</v>
      </c>
      <c r="Q107">
        <v>-4.3125</v>
      </c>
      <c r="R107">
        <v>0</v>
      </c>
      <c r="S107">
        <v>4</v>
      </c>
      <c r="T107">
        <v>0.5</v>
      </c>
      <c r="U107">
        <v>0</v>
      </c>
      <c r="V107">
        <v>0</v>
      </c>
      <c r="W107">
        <v>0</v>
      </c>
      <c r="X107">
        <v>0</v>
      </c>
      <c r="Y107">
        <v>0.5</v>
      </c>
      <c r="Z107">
        <v>0.5</v>
      </c>
      <c r="AA107">
        <v>11</v>
      </c>
      <c r="AB107">
        <v>15.5</v>
      </c>
      <c r="AC107">
        <v>14.5</v>
      </c>
      <c r="AD107">
        <v>5.9375</v>
      </c>
    </row>
    <row r="108" spans="1:30">
      <c r="A108" t="s">
        <v>270</v>
      </c>
      <c r="B108">
        <v>60</v>
      </c>
      <c r="C108">
        <v>73.125</v>
      </c>
      <c r="D108">
        <v>3.9375</v>
      </c>
      <c r="E108">
        <v>1.8125</v>
      </c>
      <c r="F108" t="s">
        <v>157</v>
      </c>
      <c r="G108">
        <v>0</v>
      </c>
      <c r="I108">
        <v>1</v>
      </c>
      <c r="J108">
        <v>0</v>
      </c>
      <c r="K108">
        <v>12</v>
      </c>
      <c r="L108" t="s">
        <v>35</v>
      </c>
      <c r="N108">
        <v>0.5</v>
      </c>
      <c r="O108">
        <v>0.38</v>
      </c>
      <c r="P108">
        <v>3.5</v>
      </c>
      <c r="Q108">
        <v>0.5625</v>
      </c>
      <c r="R108">
        <v>2.6875</v>
      </c>
      <c r="S108">
        <v>4</v>
      </c>
      <c r="T108">
        <v>0.5</v>
      </c>
      <c r="U108">
        <v>0</v>
      </c>
      <c r="V108">
        <v>1</v>
      </c>
      <c r="W108">
        <v>0</v>
      </c>
      <c r="X108">
        <v>0</v>
      </c>
      <c r="Y108">
        <v>0.5</v>
      </c>
      <c r="Z108">
        <v>0</v>
      </c>
      <c r="AA108">
        <v>15.5</v>
      </c>
      <c r="AB108">
        <v>28.875</v>
      </c>
      <c r="AC108">
        <v>14</v>
      </c>
      <c r="AD108">
        <v>26.192499999999999</v>
      </c>
    </row>
    <row r="109" spans="1:30">
      <c r="A109" t="s">
        <v>271</v>
      </c>
      <c r="B109">
        <v>60</v>
      </c>
      <c r="C109">
        <v>61.3125</v>
      </c>
      <c r="D109">
        <v>9.375</v>
      </c>
      <c r="E109">
        <v>1</v>
      </c>
      <c r="F109" t="s">
        <v>157</v>
      </c>
      <c r="G109">
        <v>0</v>
      </c>
      <c r="I109">
        <v>1</v>
      </c>
      <c r="J109">
        <v>0</v>
      </c>
      <c r="K109">
        <v>24</v>
      </c>
      <c r="L109" t="s">
        <v>120</v>
      </c>
      <c r="N109">
        <v>0.5</v>
      </c>
      <c r="O109">
        <v>0.38</v>
      </c>
      <c r="P109">
        <v>3.5</v>
      </c>
      <c r="Q109">
        <v>-4.875</v>
      </c>
      <c r="R109">
        <v>3.5</v>
      </c>
      <c r="S109">
        <v>4</v>
      </c>
      <c r="T109">
        <v>0.5</v>
      </c>
      <c r="U109">
        <v>0</v>
      </c>
      <c r="V109">
        <v>0</v>
      </c>
      <c r="W109">
        <v>0</v>
      </c>
      <c r="X109">
        <v>0</v>
      </c>
      <c r="Y109">
        <v>0.5</v>
      </c>
      <c r="Z109">
        <v>0.5</v>
      </c>
      <c r="AA109">
        <v>11.5</v>
      </c>
      <c r="AB109">
        <v>10.875</v>
      </c>
      <c r="AC109">
        <v>4.9400000000000004</v>
      </c>
      <c r="AD109">
        <v>8.625</v>
      </c>
    </row>
    <row r="110" spans="1:30">
      <c r="A110" t="s">
        <v>272</v>
      </c>
      <c r="B110">
        <v>60</v>
      </c>
      <c r="C110">
        <v>38</v>
      </c>
      <c r="D110">
        <v>3.875</v>
      </c>
      <c r="E110">
        <v>5.5</v>
      </c>
      <c r="F110" t="s">
        <v>157</v>
      </c>
      <c r="G110">
        <v>0</v>
      </c>
      <c r="I110">
        <v>1</v>
      </c>
      <c r="J110">
        <v>0</v>
      </c>
      <c r="N110">
        <v>0.5</v>
      </c>
      <c r="O110">
        <v>0.38</v>
      </c>
      <c r="P110">
        <v>3.5</v>
      </c>
      <c r="Q110">
        <v>0.625</v>
      </c>
      <c r="R110">
        <v>0</v>
      </c>
      <c r="S110">
        <v>4</v>
      </c>
      <c r="T110">
        <v>0.5</v>
      </c>
      <c r="U110">
        <v>0</v>
      </c>
      <c r="V110">
        <v>1</v>
      </c>
      <c r="W110">
        <v>0</v>
      </c>
      <c r="X110">
        <v>0</v>
      </c>
      <c r="Y110">
        <v>0.5</v>
      </c>
      <c r="Z110">
        <v>0</v>
      </c>
    </row>
    <row r="111" spans="1:30">
      <c r="A111" t="s">
        <v>273</v>
      </c>
      <c r="B111">
        <v>60</v>
      </c>
      <c r="C111">
        <v>45.5625</v>
      </c>
      <c r="D111">
        <v>1.125</v>
      </c>
      <c r="E111">
        <v>1.9375</v>
      </c>
      <c r="F111" t="s">
        <v>157</v>
      </c>
      <c r="G111">
        <v>0</v>
      </c>
      <c r="I111">
        <v>1</v>
      </c>
      <c r="J111">
        <v>1</v>
      </c>
      <c r="N111">
        <v>0.5</v>
      </c>
      <c r="O111">
        <v>0.38</v>
      </c>
      <c r="P111">
        <v>3.5</v>
      </c>
      <c r="Q111">
        <v>3.375</v>
      </c>
      <c r="R111">
        <v>2.5625</v>
      </c>
      <c r="S111">
        <v>4</v>
      </c>
      <c r="T111">
        <v>0.5</v>
      </c>
      <c r="U111">
        <v>0</v>
      </c>
      <c r="V111">
        <v>1</v>
      </c>
      <c r="W111">
        <v>0</v>
      </c>
      <c r="X111">
        <v>0</v>
      </c>
      <c r="Y111">
        <v>0.5</v>
      </c>
      <c r="Z111">
        <v>0</v>
      </c>
    </row>
    <row r="112" spans="1:30">
      <c r="A112" t="s">
        <v>274</v>
      </c>
      <c r="B112">
        <v>60</v>
      </c>
      <c r="C112">
        <v>53.4375</v>
      </c>
      <c r="D112">
        <v>4.5</v>
      </c>
      <c r="E112">
        <v>2.125</v>
      </c>
      <c r="F112" t="s">
        <v>157</v>
      </c>
      <c r="G112">
        <v>1</v>
      </c>
      <c r="H112">
        <v>0</v>
      </c>
      <c r="I112">
        <v>0</v>
      </c>
      <c r="L112" t="s">
        <v>145</v>
      </c>
      <c r="N112">
        <v>0.5</v>
      </c>
      <c r="O112">
        <v>0.38</v>
      </c>
      <c r="P112">
        <v>3.5</v>
      </c>
      <c r="Q112">
        <v>0</v>
      </c>
      <c r="R112">
        <v>2.375</v>
      </c>
      <c r="S112">
        <v>4</v>
      </c>
      <c r="T112">
        <v>0.5</v>
      </c>
      <c r="U112">
        <v>0</v>
      </c>
      <c r="V112">
        <v>0</v>
      </c>
      <c r="W112">
        <v>0</v>
      </c>
      <c r="X112">
        <v>0</v>
      </c>
      <c r="Y112">
        <v>0.5</v>
      </c>
      <c r="Z112">
        <v>0.5</v>
      </c>
      <c r="AA112">
        <v>15.5</v>
      </c>
      <c r="AB112">
        <v>28.875</v>
      </c>
      <c r="AC112">
        <v>26</v>
      </c>
      <c r="AD112">
        <v>25.63</v>
      </c>
    </row>
    <row r="113" spans="1:30">
      <c r="A113" t="s">
        <v>275</v>
      </c>
      <c r="B113">
        <v>60</v>
      </c>
      <c r="C113">
        <v>64.0625</v>
      </c>
      <c r="D113">
        <v>3.125</v>
      </c>
      <c r="E113">
        <v>4.625</v>
      </c>
      <c r="F113" t="s">
        <v>157</v>
      </c>
      <c r="G113">
        <v>1</v>
      </c>
      <c r="H113">
        <v>0</v>
      </c>
      <c r="I113">
        <v>1</v>
      </c>
      <c r="J113">
        <v>0</v>
      </c>
      <c r="K113">
        <v>12</v>
      </c>
      <c r="L113" t="s">
        <v>145</v>
      </c>
      <c r="N113">
        <v>0.5</v>
      </c>
      <c r="O113">
        <v>0.38</v>
      </c>
      <c r="P113">
        <v>3.5</v>
      </c>
      <c r="Q113">
        <v>1.375</v>
      </c>
      <c r="R113">
        <v>0</v>
      </c>
      <c r="S113">
        <v>4</v>
      </c>
      <c r="T113">
        <v>0.5</v>
      </c>
      <c r="U113">
        <v>1</v>
      </c>
      <c r="V113">
        <v>1</v>
      </c>
      <c r="W113">
        <v>0</v>
      </c>
      <c r="X113">
        <v>0</v>
      </c>
      <c r="Y113">
        <v>0</v>
      </c>
      <c r="Z113">
        <v>0</v>
      </c>
      <c r="AA113">
        <v>15.5</v>
      </c>
      <c r="AB113">
        <v>28.875</v>
      </c>
      <c r="AC113">
        <v>14</v>
      </c>
      <c r="AD113">
        <v>27.004999999999999</v>
      </c>
    </row>
    <row r="114" spans="1:30">
      <c r="A114" t="s">
        <v>276</v>
      </c>
      <c r="B114">
        <v>60</v>
      </c>
      <c r="C114">
        <v>59.75</v>
      </c>
      <c r="D114">
        <v>11.6875</v>
      </c>
      <c r="E114">
        <v>1</v>
      </c>
      <c r="F114" t="s">
        <v>157</v>
      </c>
      <c r="G114">
        <v>1</v>
      </c>
      <c r="H114">
        <v>0</v>
      </c>
      <c r="I114">
        <v>1</v>
      </c>
      <c r="J114">
        <v>0</v>
      </c>
      <c r="K114">
        <v>24</v>
      </c>
      <c r="L114" t="s">
        <v>120</v>
      </c>
      <c r="N114">
        <v>0.5</v>
      </c>
      <c r="O114">
        <v>0.38</v>
      </c>
      <c r="P114">
        <v>3.5</v>
      </c>
      <c r="Q114">
        <v>-7.1875</v>
      </c>
      <c r="R114">
        <v>3.5</v>
      </c>
      <c r="S114">
        <v>4</v>
      </c>
      <c r="T114">
        <v>0.5</v>
      </c>
      <c r="U114">
        <v>0</v>
      </c>
      <c r="V114">
        <v>0</v>
      </c>
      <c r="W114">
        <v>0</v>
      </c>
      <c r="X114">
        <v>0</v>
      </c>
      <c r="Y114">
        <v>0.5</v>
      </c>
      <c r="Z114">
        <v>0.5</v>
      </c>
      <c r="AA114">
        <v>11.5</v>
      </c>
      <c r="AB114">
        <v>10.875</v>
      </c>
      <c r="AC114">
        <v>4.9400000000000004</v>
      </c>
      <c r="AD114">
        <v>6.3125</v>
      </c>
    </row>
    <row r="115" spans="1:30">
      <c r="A115" t="s">
        <v>277</v>
      </c>
      <c r="B115">
        <v>60</v>
      </c>
      <c r="C115">
        <v>58.75</v>
      </c>
      <c r="D115">
        <v>6.875</v>
      </c>
      <c r="E115">
        <v>2.1875</v>
      </c>
      <c r="F115" t="s">
        <v>157</v>
      </c>
      <c r="G115">
        <v>1</v>
      </c>
      <c r="H115">
        <v>0</v>
      </c>
      <c r="I115">
        <v>1</v>
      </c>
      <c r="J115">
        <v>0</v>
      </c>
      <c r="N115">
        <v>0.5</v>
      </c>
      <c r="O115">
        <v>0.38</v>
      </c>
      <c r="P115">
        <v>3.5</v>
      </c>
      <c r="Q115">
        <v>-2.375</v>
      </c>
      <c r="R115">
        <v>2.3125</v>
      </c>
      <c r="S115">
        <v>4</v>
      </c>
      <c r="T115">
        <v>0.5</v>
      </c>
      <c r="U115">
        <v>0</v>
      </c>
      <c r="V115">
        <v>0</v>
      </c>
      <c r="W115">
        <v>0</v>
      </c>
      <c r="X115">
        <v>0</v>
      </c>
      <c r="Y115">
        <v>0.5</v>
      </c>
      <c r="Z115">
        <v>0.5</v>
      </c>
    </row>
    <row r="116" spans="1:30">
      <c r="A116" t="s">
        <v>278</v>
      </c>
      <c r="B116">
        <v>60</v>
      </c>
      <c r="C116">
        <v>72.5625</v>
      </c>
      <c r="D116">
        <v>9</v>
      </c>
      <c r="E116">
        <v>1</v>
      </c>
      <c r="F116" t="s">
        <v>157</v>
      </c>
      <c r="G116">
        <v>1</v>
      </c>
      <c r="H116">
        <v>0</v>
      </c>
      <c r="I116">
        <v>1</v>
      </c>
      <c r="J116">
        <v>1</v>
      </c>
      <c r="N116">
        <v>0.5</v>
      </c>
      <c r="O116">
        <v>0.38</v>
      </c>
      <c r="P116">
        <v>3.5</v>
      </c>
      <c r="Q116">
        <v>-4.5</v>
      </c>
      <c r="R116">
        <v>3.5</v>
      </c>
      <c r="S116">
        <v>4</v>
      </c>
      <c r="T116">
        <v>0.5</v>
      </c>
      <c r="U116">
        <v>0</v>
      </c>
      <c r="V116">
        <v>0</v>
      </c>
      <c r="W116">
        <v>0</v>
      </c>
      <c r="X116">
        <v>0</v>
      </c>
      <c r="Y116">
        <v>0.5</v>
      </c>
      <c r="Z116">
        <v>0.5</v>
      </c>
    </row>
    <row r="117" spans="1:30">
      <c r="A117" t="s">
        <v>279</v>
      </c>
      <c r="B117">
        <v>60</v>
      </c>
      <c r="C117">
        <v>72.0625</v>
      </c>
      <c r="D117">
        <v>12</v>
      </c>
      <c r="E117">
        <v>3.375</v>
      </c>
      <c r="F117" t="s">
        <v>157</v>
      </c>
      <c r="G117">
        <v>1</v>
      </c>
      <c r="H117">
        <v>1</v>
      </c>
      <c r="I117">
        <v>0</v>
      </c>
      <c r="L117" t="s">
        <v>121</v>
      </c>
      <c r="N117">
        <v>0.5</v>
      </c>
      <c r="O117">
        <v>0.38</v>
      </c>
      <c r="P117">
        <v>3.5</v>
      </c>
      <c r="Q117">
        <v>-7.5</v>
      </c>
      <c r="R117">
        <v>1.125</v>
      </c>
      <c r="S117">
        <v>4</v>
      </c>
      <c r="T117">
        <v>0.5</v>
      </c>
      <c r="U117">
        <v>0</v>
      </c>
      <c r="V117">
        <v>0</v>
      </c>
      <c r="W117">
        <v>0</v>
      </c>
      <c r="X117">
        <v>0</v>
      </c>
      <c r="Y117">
        <v>0.5</v>
      </c>
      <c r="Z117">
        <v>0.5</v>
      </c>
      <c r="AA117">
        <v>11</v>
      </c>
      <c r="AB117">
        <v>9.375</v>
      </c>
      <c r="AC117">
        <v>14.5</v>
      </c>
      <c r="AD117">
        <v>6.75</v>
      </c>
    </row>
    <row r="118" spans="1:30">
      <c r="A118" t="s">
        <v>280</v>
      </c>
      <c r="B118">
        <v>60</v>
      </c>
      <c r="C118">
        <v>45.6875</v>
      </c>
      <c r="D118">
        <v>5.875</v>
      </c>
      <c r="E118">
        <v>3.8125</v>
      </c>
      <c r="F118" t="s">
        <v>157</v>
      </c>
      <c r="G118">
        <v>1</v>
      </c>
      <c r="H118">
        <v>1</v>
      </c>
      <c r="I118">
        <v>1</v>
      </c>
      <c r="J118">
        <v>0</v>
      </c>
      <c r="K118">
        <v>12</v>
      </c>
      <c r="L118" t="s">
        <v>35</v>
      </c>
      <c r="N118">
        <v>0.5</v>
      </c>
      <c r="O118">
        <v>0.38</v>
      </c>
      <c r="P118">
        <v>3.5</v>
      </c>
      <c r="Q118">
        <v>-1.375</v>
      </c>
      <c r="R118">
        <v>0.6875</v>
      </c>
      <c r="S118">
        <v>4</v>
      </c>
      <c r="T118">
        <v>0.5</v>
      </c>
      <c r="U118">
        <v>0</v>
      </c>
      <c r="V118">
        <v>0</v>
      </c>
      <c r="W118">
        <v>0</v>
      </c>
      <c r="X118">
        <v>0</v>
      </c>
      <c r="Y118">
        <v>0.5</v>
      </c>
      <c r="Z118">
        <v>0.5</v>
      </c>
      <c r="AA118">
        <v>15.5</v>
      </c>
      <c r="AB118">
        <v>28.875</v>
      </c>
      <c r="AC118">
        <v>14</v>
      </c>
      <c r="AD118">
        <v>24.254999999999999</v>
      </c>
    </row>
    <row r="119" spans="1:30">
      <c r="A119" t="s">
        <v>281</v>
      </c>
      <c r="B119">
        <v>60</v>
      </c>
      <c r="C119">
        <v>60.4375</v>
      </c>
      <c r="D119">
        <v>12</v>
      </c>
      <c r="E119">
        <v>1</v>
      </c>
      <c r="F119" t="s">
        <v>157</v>
      </c>
      <c r="G119">
        <v>1</v>
      </c>
      <c r="H119">
        <v>1</v>
      </c>
      <c r="I119">
        <v>1</v>
      </c>
      <c r="J119">
        <v>0</v>
      </c>
      <c r="K119">
        <v>24</v>
      </c>
      <c r="L119" t="s">
        <v>120</v>
      </c>
      <c r="N119">
        <v>0.5</v>
      </c>
      <c r="O119">
        <v>0.38</v>
      </c>
      <c r="P119">
        <v>3.5</v>
      </c>
      <c r="Q119">
        <v>-7.5</v>
      </c>
      <c r="R119">
        <v>3.5</v>
      </c>
      <c r="S119">
        <v>4</v>
      </c>
      <c r="T119">
        <v>0.5</v>
      </c>
      <c r="U119">
        <v>0</v>
      </c>
      <c r="V119">
        <v>0</v>
      </c>
      <c r="W119">
        <v>0</v>
      </c>
      <c r="X119">
        <v>0</v>
      </c>
      <c r="Y119">
        <v>0.5</v>
      </c>
      <c r="Z119">
        <v>0.5</v>
      </c>
      <c r="AA119">
        <v>11.5</v>
      </c>
      <c r="AB119">
        <v>10.875</v>
      </c>
      <c r="AC119">
        <v>4.9400000000000004</v>
      </c>
      <c r="AD119">
        <v>6</v>
      </c>
    </row>
    <row r="120" spans="1:30">
      <c r="A120" t="s">
        <v>282</v>
      </c>
      <c r="B120">
        <v>60</v>
      </c>
      <c r="C120">
        <v>54.1875</v>
      </c>
      <c r="D120">
        <v>2.875</v>
      </c>
      <c r="E120">
        <v>3.4375</v>
      </c>
      <c r="F120" t="s">
        <v>157</v>
      </c>
      <c r="G120">
        <v>1</v>
      </c>
      <c r="H120">
        <v>1</v>
      </c>
      <c r="I120">
        <v>1</v>
      </c>
      <c r="J120">
        <v>0</v>
      </c>
      <c r="N120">
        <v>0.5</v>
      </c>
      <c r="O120">
        <v>0.38</v>
      </c>
      <c r="P120">
        <v>3.5</v>
      </c>
      <c r="Q120">
        <v>1.625</v>
      </c>
      <c r="R120">
        <v>1.0625</v>
      </c>
      <c r="S120">
        <v>4</v>
      </c>
      <c r="T120">
        <v>0.5</v>
      </c>
      <c r="U120">
        <v>1</v>
      </c>
      <c r="V120">
        <v>1</v>
      </c>
      <c r="W120">
        <v>0</v>
      </c>
      <c r="X120">
        <v>0</v>
      </c>
      <c r="Y120">
        <v>0</v>
      </c>
      <c r="Z120">
        <v>0</v>
      </c>
    </row>
    <row r="121" spans="1:30">
      <c r="A121" t="s">
        <v>283</v>
      </c>
      <c r="B121">
        <v>60</v>
      </c>
      <c r="C121">
        <v>67.25</v>
      </c>
      <c r="D121">
        <v>9</v>
      </c>
      <c r="E121">
        <v>6.9375</v>
      </c>
      <c r="F121" t="s">
        <v>157</v>
      </c>
      <c r="G121">
        <v>1</v>
      </c>
      <c r="H121">
        <v>1</v>
      </c>
      <c r="I121">
        <v>1</v>
      </c>
      <c r="J121">
        <v>1</v>
      </c>
      <c r="N121">
        <v>0.5</v>
      </c>
      <c r="O121">
        <v>0.38</v>
      </c>
      <c r="P121">
        <v>3.5</v>
      </c>
      <c r="Q121">
        <v>-4.5</v>
      </c>
      <c r="R121">
        <v>0</v>
      </c>
      <c r="S121">
        <v>4</v>
      </c>
      <c r="T121">
        <v>0.5</v>
      </c>
      <c r="U121">
        <v>0</v>
      </c>
      <c r="V121">
        <v>0</v>
      </c>
      <c r="W121">
        <v>0</v>
      </c>
      <c r="X121">
        <v>0</v>
      </c>
      <c r="Y121">
        <v>0.5</v>
      </c>
      <c r="Z121">
        <v>0.5</v>
      </c>
    </row>
    <row r="122" spans="1:30">
      <c r="A122" t="s">
        <v>284</v>
      </c>
      <c r="B122">
        <v>95.25</v>
      </c>
      <c r="C122">
        <v>67.25</v>
      </c>
      <c r="D122">
        <v>3.3125</v>
      </c>
      <c r="E122">
        <v>3.25</v>
      </c>
      <c r="F122" t="s">
        <v>21</v>
      </c>
      <c r="G122">
        <v>0</v>
      </c>
      <c r="I122">
        <v>0</v>
      </c>
      <c r="L122" t="s">
        <v>150</v>
      </c>
      <c r="N122">
        <v>0.5</v>
      </c>
      <c r="O122">
        <v>0.38</v>
      </c>
      <c r="P122">
        <v>3.5</v>
      </c>
      <c r="Q122">
        <v>1.1875</v>
      </c>
      <c r="R122">
        <v>1.25</v>
      </c>
      <c r="S122">
        <v>4</v>
      </c>
      <c r="T122">
        <v>0.5</v>
      </c>
      <c r="U122">
        <v>0</v>
      </c>
      <c r="V122">
        <v>0</v>
      </c>
      <c r="W122">
        <v>0</v>
      </c>
      <c r="X122">
        <v>0</v>
      </c>
      <c r="Y122">
        <v>0.5</v>
      </c>
      <c r="Z122">
        <v>0.5</v>
      </c>
      <c r="AA122">
        <v>15.5</v>
      </c>
      <c r="AB122">
        <v>28.875</v>
      </c>
      <c r="AC122">
        <v>21</v>
      </c>
      <c r="AD122">
        <v>14.6875</v>
      </c>
    </row>
    <row r="123" spans="1:30">
      <c r="A123" t="s">
        <v>285</v>
      </c>
      <c r="B123">
        <v>86.625</v>
      </c>
      <c r="C123">
        <v>45.0625</v>
      </c>
      <c r="D123">
        <v>4.5</v>
      </c>
      <c r="E123">
        <v>1</v>
      </c>
      <c r="F123" t="s">
        <v>21</v>
      </c>
      <c r="G123">
        <v>0</v>
      </c>
      <c r="I123">
        <v>1</v>
      </c>
      <c r="J123">
        <v>0</v>
      </c>
      <c r="K123">
        <v>12</v>
      </c>
      <c r="N123">
        <v>0.5</v>
      </c>
      <c r="O123">
        <v>0.38</v>
      </c>
      <c r="P123">
        <v>3.5</v>
      </c>
      <c r="Q123">
        <v>0</v>
      </c>
      <c r="R123">
        <v>3.5</v>
      </c>
      <c r="S123">
        <v>4</v>
      </c>
      <c r="T123">
        <v>0.5</v>
      </c>
      <c r="U123">
        <v>0</v>
      </c>
      <c r="V123">
        <v>0</v>
      </c>
      <c r="W123">
        <v>0</v>
      </c>
      <c r="X123">
        <v>0</v>
      </c>
      <c r="Y123">
        <v>0.5</v>
      </c>
      <c r="Z123">
        <v>0.5</v>
      </c>
    </row>
    <row r="124" spans="1:30">
      <c r="A124" t="s">
        <v>286</v>
      </c>
      <c r="B124">
        <v>109.5</v>
      </c>
      <c r="C124">
        <v>45.125</v>
      </c>
      <c r="D124">
        <v>1</v>
      </c>
      <c r="E124">
        <v>1</v>
      </c>
      <c r="F124" t="s">
        <v>21</v>
      </c>
      <c r="G124">
        <v>0</v>
      </c>
      <c r="I124">
        <v>1</v>
      </c>
      <c r="J124">
        <v>0</v>
      </c>
      <c r="K124">
        <v>24</v>
      </c>
      <c r="L124" t="s">
        <v>120</v>
      </c>
      <c r="N124">
        <v>0.5</v>
      </c>
      <c r="O124">
        <v>0.38</v>
      </c>
      <c r="P124">
        <v>3.5</v>
      </c>
      <c r="Q124">
        <v>3.5</v>
      </c>
      <c r="R124">
        <v>3.5</v>
      </c>
      <c r="S124">
        <v>4</v>
      </c>
      <c r="T124">
        <v>0.5</v>
      </c>
      <c r="U124">
        <v>0</v>
      </c>
      <c r="V124">
        <v>1</v>
      </c>
      <c r="W124">
        <v>0</v>
      </c>
      <c r="X124">
        <v>0</v>
      </c>
      <c r="Y124">
        <v>0.5</v>
      </c>
      <c r="Z124">
        <v>0</v>
      </c>
      <c r="AA124">
        <v>11.5</v>
      </c>
      <c r="AB124">
        <v>10.875</v>
      </c>
      <c r="AC124">
        <v>4.9400000000000004</v>
      </c>
      <c r="AD124">
        <v>17</v>
      </c>
    </row>
    <row r="125" spans="1:30">
      <c r="A125" t="s">
        <v>287</v>
      </c>
      <c r="B125">
        <v>96</v>
      </c>
      <c r="C125">
        <v>53.9375</v>
      </c>
      <c r="D125">
        <v>5.4375</v>
      </c>
      <c r="E125">
        <v>2.125</v>
      </c>
      <c r="F125" t="s">
        <v>21</v>
      </c>
      <c r="G125">
        <v>0</v>
      </c>
      <c r="I125">
        <v>1</v>
      </c>
      <c r="J125">
        <v>0</v>
      </c>
      <c r="N125">
        <v>0.5</v>
      </c>
      <c r="O125">
        <v>0.38</v>
      </c>
      <c r="P125">
        <v>3.5</v>
      </c>
      <c r="Q125">
        <v>-0.9375</v>
      </c>
      <c r="R125">
        <v>2.375</v>
      </c>
      <c r="S125">
        <v>4</v>
      </c>
      <c r="T125">
        <v>0.5</v>
      </c>
      <c r="U125">
        <v>0</v>
      </c>
      <c r="V125">
        <v>0</v>
      </c>
      <c r="W125">
        <v>0</v>
      </c>
      <c r="X125">
        <v>0</v>
      </c>
      <c r="Y125">
        <v>0.5</v>
      </c>
      <c r="Z125">
        <v>0.5</v>
      </c>
    </row>
    <row r="126" spans="1:30">
      <c r="A126" t="s">
        <v>288</v>
      </c>
      <c r="B126">
        <v>67.5</v>
      </c>
      <c r="C126">
        <v>46.5</v>
      </c>
      <c r="D126">
        <v>10.3125</v>
      </c>
      <c r="E126">
        <v>1.75</v>
      </c>
      <c r="F126" t="s">
        <v>21</v>
      </c>
      <c r="G126">
        <v>0</v>
      </c>
      <c r="I126">
        <v>1</v>
      </c>
      <c r="J126">
        <v>1</v>
      </c>
      <c r="N126">
        <v>0.5</v>
      </c>
      <c r="O126">
        <v>0.38</v>
      </c>
      <c r="P126">
        <v>3.5</v>
      </c>
      <c r="Q126">
        <v>-5.8125</v>
      </c>
      <c r="R126">
        <v>2.75</v>
      </c>
      <c r="S126">
        <v>4</v>
      </c>
      <c r="T126">
        <v>0.5</v>
      </c>
      <c r="U126">
        <v>0</v>
      </c>
      <c r="V126">
        <v>0</v>
      </c>
      <c r="W126">
        <v>0</v>
      </c>
      <c r="X126">
        <v>1</v>
      </c>
      <c r="Y126">
        <v>0.5</v>
      </c>
      <c r="Z126">
        <v>0.5</v>
      </c>
    </row>
    <row r="127" spans="1:30">
      <c r="A127" t="s">
        <v>289</v>
      </c>
      <c r="B127">
        <v>50.6875</v>
      </c>
      <c r="C127">
        <v>34</v>
      </c>
      <c r="D127">
        <v>3.625</v>
      </c>
      <c r="E127">
        <v>1</v>
      </c>
      <c r="F127" t="s">
        <v>21</v>
      </c>
      <c r="G127">
        <v>1</v>
      </c>
      <c r="H127">
        <v>0</v>
      </c>
      <c r="I127">
        <v>0</v>
      </c>
      <c r="N127">
        <v>0.5</v>
      </c>
      <c r="O127">
        <v>0.38</v>
      </c>
      <c r="P127">
        <v>3.5</v>
      </c>
      <c r="Q127">
        <v>0.875</v>
      </c>
      <c r="R127">
        <v>3.5</v>
      </c>
      <c r="S127">
        <v>4</v>
      </c>
      <c r="T127">
        <v>0.5</v>
      </c>
      <c r="U127">
        <v>1</v>
      </c>
      <c r="V127">
        <v>0</v>
      </c>
      <c r="W127">
        <v>0</v>
      </c>
      <c r="X127">
        <v>0</v>
      </c>
      <c r="Y127">
        <v>0</v>
      </c>
      <c r="Z127">
        <v>0.5</v>
      </c>
    </row>
    <row r="128" spans="1:30">
      <c r="A128" t="s">
        <v>290</v>
      </c>
      <c r="B128">
        <v>103.375</v>
      </c>
      <c r="C128">
        <v>53.75</v>
      </c>
      <c r="D128">
        <v>12</v>
      </c>
      <c r="E128">
        <v>1</v>
      </c>
      <c r="F128" t="s">
        <v>21</v>
      </c>
      <c r="G128">
        <v>1</v>
      </c>
      <c r="H128">
        <v>0</v>
      </c>
      <c r="I128">
        <v>1</v>
      </c>
      <c r="J128">
        <v>0</v>
      </c>
      <c r="K128">
        <v>12</v>
      </c>
      <c r="L128" t="s">
        <v>145</v>
      </c>
      <c r="N128">
        <v>0.5</v>
      </c>
      <c r="O128">
        <v>0.38</v>
      </c>
      <c r="P128">
        <v>3.5</v>
      </c>
      <c r="Q128">
        <v>-7.5</v>
      </c>
      <c r="R128">
        <v>3.5</v>
      </c>
      <c r="S128">
        <v>4</v>
      </c>
      <c r="T128">
        <v>0.5</v>
      </c>
      <c r="U128">
        <v>0</v>
      </c>
      <c r="V128">
        <v>0</v>
      </c>
      <c r="W128">
        <v>0</v>
      </c>
      <c r="X128">
        <v>0</v>
      </c>
      <c r="Y128">
        <v>0.5</v>
      </c>
      <c r="Z128">
        <v>0.5</v>
      </c>
      <c r="AA128">
        <v>15.5</v>
      </c>
      <c r="AB128">
        <v>28.875</v>
      </c>
      <c r="AC128">
        <v>14</v>
      </c>
      <c r="AD128">
        <v>18.13</v>
      </c>
    </row>
    <row r="129" spans="1:30">
      <c r="A129" t="s">
        <v>291</v>
      </c>
      <c r="B129">
        <v>50.875</v>
      </c>
      <c r="C129">
        <v>78.1875</v>
      </c>
      <c r="D129">
        <v>4.5</v>
      </c>
      <c r="E129">
        <v>3.8125</v>
      </c>
      <c r="F129" t="s">
        <v>21</v>
      </c>
      <c r="G129">
        <v>1</v>
      </c>
      <c r="H129">
        <v>0</v>
      </c>
      <c r="I129">
        <v>1</v>
      </c>
      <c r="J129">
        <v>0</v>
      </c>
      <c r="K129">
        <v>24</v>
      </c>
      <c r="L129" t="s">
        <v>120</v>
      </c>
      <c r="N129">
        <v>0.5</v>
      </c>
      <c r="O129">
        <v>0.38</v>
      </c>
      <c r="P129">
        <v>3.5</v>
      </c>
      <c r="Q129">
        <v>0</v>
      </c>
      <c r="R129">
        <v>0.6875</v>
      </c>
      <c r="S129">
        <v>4</v>
      </c>
      <c r="T129">
        <v>0.5</v>
      </c>
      <c r="U129">
        <v>0</v>
      </c>
      <c r="V129">
        <v>0</v>
      </c>
      <c r="W129">
        <v>0</v>
      </c>
      <c r="X129">
        <v>0</v>
      </c>
      <c r="Y129">
        <v>0.5</v>
      </c>
      <c r="Z129">
        <v>0.5</v>
      </c>
      <c r="AA129">
        <v>11.5</v>
      </c>
      <c r="AB129">
        <v>10.875</v>
      </c>
      <c r="AC129">
        <v>4.9400000000000004</v>
      </c>
      <c r="AD129">
        <v>13.5</v>
      </c>
    </row>
    <row r="130" spans="1:30">
      <c r="A130" t="s">
        <v>292</v>
      </c>
      <c r="B130">
        <v>96</v>
      </c>
      <c r="C130">
        <v>52</v>
      </c>
      <c r="D130">
        <v>12</v>
      </c>
      <c r="E130">
        <v>1</v>
      </c>
      <c r="F130" t="s">
        <v>21</v>
      </c>
      <c r="G130">
        <v>1</v>
      </c>
      <c r="H130">
        <v>0</v>
      </c>
      <c r="I130">
        <v>1</v>
      </c>
      <c r="J130">
        <v>0</v>
      </c>
      <c r="N130">
        <v>0.5</v>
      </c>
      <c r="O130">
        <v>0.38</v>
      </c>
      <c r="P130">
        <v>3.5</v>
      </c>
      <c r="Q130">
        <v>-7.5</v>
      </c>
      <c r="R130">
        <v>3.5</v>
      </c>
      <c r="S130">
        <v>4</v>
      </c>
      <c r="T130">
        <v>0.5</v>
      </c>
      <c r="U130">
        <v>0</v>
      </c>
      <c r="V130">
        <v>0</v>
      </c>
      <c r="W130">
        <v>0</v>
      </c>
      <c r="X130">
        <v>0</v>
      </c>
      <c r="Y130">
        <v>0.5</v>
      </c>
      <c r="Z130">
        <v>0.5</v>
      </c>
    </row>
    <row r="131" spans="1:30">
      <c r="A131" t="s">
        <v>293</v>
      </c>
      <c r="B131">
        <v>69.5</v>
      </c>
      <c r="C131">
        <v>13.75</v>
      </c>
      <c r="D131">
        <v>1</v>
      </c>
      <c r="E131">
        <v>4.3125</v>
      </c>
      <c r="F131" t="s">
        <v>21</v>
      </c>
      <c r="G131">
        <v>1</v>
      </c>
      <c r="H131">
        <v>0</v>
      </c>
      <c r="I131">
        <v>1</v>
      </c>
      <c r="J131">
        <v>1</v>
      </c>
      <c r="N131">
        <v>0.5</v>
      </c>
      <c r="O131">
        <v>0.38</v>
      </c>
      <c r="P131">
        <v>3.5</v>
      </c>
      <c r="Q131">
        <v>3.5</v>
      </c>
      <c r="R131">
        <v>0.1875</v>
      </c>
      <c r="S131">
        <v>4</v>
      </c>
      <c r="T131">
        <v>0.5</v>
      </c>
      <c r="U131">
        <v>1</v>
      </c>
      <c r="V131">
        <v>1</v>
      </c>
      <c r="W131">
        <v>0</v>
      </c>
      <c r="X131">
        <v>1</v>
      </c>
      <c r="Y131">
        <v>0</v>
      </c>
      <c r="Z131">
        <v>0</v>
      </c>
    </row>
    <row r="132" spans="1:30">
      <c r="A132" t="s">
        <v>294</v>
      </c>
      <c r="B132">
        <v>74.0625</v>
      </c>
      <c r="C132">
        <v>77.75</v>
      </c>
      <c r="D132">
        <v>4.5</v>
      </c>
      <c r="E132">
        <v>1</v>
      </c>
      <c r="F132" t="s">
        <v>21</v>
      </c>
      <c r="G132">
        <v>1</v>
      </c>
      <c r="H132">
        <v>1</v>
      </c>
      <c r="I132">
        <v>0</v>
      </c>
      <c r="N132">
        <v>0.5</v>
      </c>
      <c r="O132">
        <v>0.38</v>
      </c>
      <c r="P132">
        <v>3.5</v>
      </c>
      <c r="Q132">
        <v>0</v>
      </c>
      <c r="R132">
        <v>3.5</v>
      </c>
      <c r="S132">
        <v>4</v>
      </c>
      <c r="T132">
        <v>0.5</v>
      </c>
      <c r="U132">
        <v>0</v>
      </c>
      <c r="V132">
        <v>0</v>
      </c>
      <c r="W132">
        <v>1</v>
      </c>
      <c r="X132">
        <v>0</v>
      </c>
      <c r="Y132">
        <v>0.5</v>
      </c>
      <c r="Z132">
        <v>0.5</v>
      </c>
    </row>
    <row r="133" spans="1:30">
      <c r="A133" t="s">
        <v>295</v>
      </c>
      <c r="B133">
        <v>105.5625</v>
      </c>
      <c r="C133">
        <v>64.75</v>
      </c>
      <c r="D133">
        <v>12</v>
      </c>
      <c r="E133">
        <v>2.1875</v>
      </c>
      <c r="F133" t="s">
        <v>21</v>
      </c>
      <c r="G133">
        <v>1</v>
      </c>
      <c r="H133">
        <v>1</v>
      </c>
      <c r="I133">
        <v>1</v>
      </c>
      <c r="J133">
        <v>0</v>
      </c>
      <c r="K133">
        <v>12</v>
      </c>
      <c r="L133" t="s">
        <v>145</v>
      </c>
      <c r="N133">
        <v>0.5</v>
      </c>
      <c r="O133">
        <v>0.38</v>
      </c>
      <c r="P133">
        <v>3.5</v>
      </c>
      <c r="Q133">
        <v>-7.5</v>
      </c>
      <c r="R133">
        <v>2.3125</v>
      </c>
      <c r="S133">
        <v>4</v>
      </c>
      <c r="T133">
        <v>0.5</v>
      </c>
      <c r="U133">
        <v>0</v>
      </c>
      <c r="V133">
        <v>0</v>
      </c>
      <c r="W133">
        <v>1</v>
      </c>
      <c r="X133">
        <v>0</v>
      </c>
      <c r="Y133">
        <v>0.5</v>
      </c>
      <c r="Z133">
        <v>0.5</v>
      </c>
      <c r="AA133">
        <v>15.5</v>
      </c>
      <c r="AB133">
        <v>28.875</v>
      </c>
      <c r="AC133">
        <v>14</v>
      </c>
      <c r="AD133">
        <v>18.13</v>
      </c>
    </row>
    <row r="134" spans="1:30">
      <c r="A134" t="s">
        <v>296</v>
      </c>
      <c r="B134">
        <v>51.0625</v>
      </c>
      <c r="C134">
        <v>45.5</v>
      </c>
      <c r="D134">
        <v>1.8125</v>
      </c>
      <c r="E134">
        <v>1.375</v>
      </c>
      <c r="F134" t="s">
        <v>21</v>
      </c>
      <c r="G134">
        <v>1</v>
      </c>
      <c r="H134">
        <v>1</v>
      </c>
      <c r="I134">
        <v>1</v>
      </c>
      <c r="J134">
        <v>0</v>
      </c>
      <c r="K134">
        <v>24</v>
      </c>
      <c r="L134" t="s">
        <v>120</v>
      </c>
      <c r="N134">
        <v>0.5</v>
      </c>
      <c r="O134">
        <v>0.38</v>
      </c>
      <c r="P134">
        <v>3.5</v>
      </c>
      <c r="Q134">
        <v>2.6875</v>
      </c>
      <c r="R134">
        <v>3.125</v>
      </c>
      <c r="S134">
        <v>4</v>
      </c>
      <c r="T134">
        <v>0.5</v>
      </c>
      <c r="U134">
        <v>1</v>
      </c>
      <c r="V134">
        <v>1</v>
      </c>
      <c r="W134">
        <v>1</v>
      </c>
      <c r="X134">
        <v>0</v>
      </c>
      <c r="Y134">
        <v>0</v>
      </c>
      <c r="Z134">
        <v>0</v>
      </c>
      <c r="AA134">
        <v>11.5</v>
      </c>
      <c r="AB134">
        <v>10.875</v>
      </c>
      <c r="AC134">
        <v>4.9400000000000004</v>
      </c>
      <c r="AD134">
        <v>16.1875</v>
      </c>
    </row>
    <row r="135" spans="1:30">
      <c r="A135" t="s">
        <v>297</v>
      </c>
      <c r="B135">
        <v>100.5625</v>
      </c>
      <c r="C135">
        <v>44.3125</v>
      </c>
      <c r="D135">
        <v>10.375</v>
      </c>
      <c r="E135">
        <v>1</v>
      </c>
      <c r="F135" t="s">
        <v>21</v>
      </c>
      <c r="G135">
        <v>1</v>
      </c>
      <c r="H135">
        <v>1</v>
      </c>
      <c r="I135">
        <v>1</v>
      </c>
      <c r="J135">
        <v>0</v>
      </c>
      <c r="N135">
        <v>0.5</v>
      </c>
      <c r="O135">
        <v>0.38</v>
      </c>
      <c r="P135">
        <v>3.5</v>
      </c>
      <c r="Q135">
        <v>-5.875</v>
      </c>
      <c r="R135">
        <v>3.5</v>
      </c>
      <c r="S135">
        <v>4</v>
      </c>
      <c r="T135">
        <v>0.5</v>
      </c>
      <c r="U135">
        <v>0</v>
      </c>
      <c r="V135">
        <v>0</v>
      </c>
      <c r="W135">
        <v>1</v>
      </c>
      <c r="X135">
        <v>0</v>
      </c>
      <c r="Y135">
        <v>0.5</v>
      </c>
      <c r="Z135">
        <v>0.5</v>
      </c>
    </row>
    <row r="136" spans="1:30">
      <c r="A136" t="s">
        <v>298</v>
      </c>
      <c r="B136">
        <v>48.125</v>
      </c>
      <c r="C136">
        <v>78.25</v>
      </c>
      <c r="D136">
        <v>9</v>
      </c>
      <c r="E136">
        <v>1</v>
      </c>
      <c r="F136" t="s">
        <v>21</v>
      </c>
      <c r="G136">
        <v>1</v>
      </c>
      <c r="H136">
        <v>1</v>
      </c>
      <c r="I136">
        <v>1</v>
      </c>
      <c r="J136">
        <v>1</v>
      </c>
      <c r="N136">
        <v>0.5</v>
      </c>
      <c r="O136">
        <v>0.38</v>
      </c>
      <c r="P136">
        <v>3.5</v>
      </c>
      <c r="Q136">
        <v>-4.5</v>
      </c>
      <c r="R136">
        <v>3.5</v>
      </c>
      <c r="S136">
        <v>4</v>
      </c>
      <c r="T136">
        <v>0.5</v>
      </c>
      <c r="U136">
        <v>0</v>
      </c>
      <c r="V136">
        <v>0</v>
      </c>
      <c r="W136">
        <v>1</v>
      </c>
      <c r="X136">
        <v>1</v>
      </c>
      <c r="Y136">
        <v>0.5</v>
      </c>
      <c r="Z136">
        <v>0.5</v>
      </c>
    </row>
    <row r="137" spans="1:30">
      <c r="A137" t="s">
        <v>299</v>
      </c>
      <c r="B137">
        <v>29.125</v>
      </c>
      <c r="C137">
        <v>32.375</v>
      </c>
      <c r="D137">
        <v>9</v>
      </c>
      <c r="E137">
        <v>7.5625</v>
      </c>
      <c r="F137" t="s">
        <v>156</v>
      </c>
      <c r="G137">
        <v>0</v>
      </c>
      <c r="I137">
        <v>0</v>
      </c>
      <c r="N137">
        <v>0.5</v>
      </c>
      <c r="O137">
        <v>0.38</v>
      </c>
      <c r="P137">
        <v>3.5</v>
      </c>
      <c r="Q137">
        <v>-4.5</v>
      </c>
      <c r="R137">
        <v>0</v>
      </c>
      <c r="S137">
        <v>4</v>
      </c>
      <c r="T137">
        <v>0.5</v>
      </c>
      <c r="U137">
        <v>0</v>
      </c>
      <c r="V137">
        <v>0</v>
      </c>
      <c r="W137">
        <v>0</v>
      </c>
      <c r="X137">
        <v>0</v>
      </c>
      <c r="Y137">
        <v>0.5</v>
      </c>
      <c r="Z137">
        <v>0.5</v>
      </c>
    </row>
    <row r="138" spans="1:30">
      <c r="A138" t="s">
        <v>300</v>
      </c>
      <c r="B138">
        <v>43.0625</v>
      </c>
      <c r="C138">
        <v>55.5625</v>
      </c>
      <c r="D138">
        <v>1</v>
      </c>
      <c r="E138">
        <v>3.8125</v>
      </c>
      <c r="F138" t="s">
        <v>156</v>
      </c>
      <c r="G138">
        <v>0</v>
      </c>
      <c r="I138">
        <v>1</v>
      </c>
      <c r="J138">
        <v>0</v>
      </c>
      <c r="K138">
        <v>12</v>
      </c>
      <c r="L138" t="s">
        <v>151</v>
      </c>
      <c r="N138">
        <v>0.5</v>
      </c>
      <c r="O138">
        <v>0.38</v>
      </c>
      <c r="P138">
        <v>3.5</v>
      </c>
      <c r="Q138">
        <v>3.5</v>
      </c>
      <c r="R138">
        <v>0.6875</v>
      </c>
      <c r="S138">
        <v>4</v>
      </c>
      <c r="T138">
        <v>0.5</v>
      </c>
      <c r="U138">
        <v>0</v>
      </c>
      <c r="V138">
        <v>0</v>
      </c>
      <c r="W138">
        <v>0</v>
      </c>
      <c r="X138">
        <v>0</v>
      </c>
      <c r="Y138">
        <v>0.5</v>
      </c>
      <c r="Z138">
        <v>0.5</v>
      </c>
    </row>
    <row r="139" spans="1:30">
      <c r="A139" t="s">
        <v>301</v>
      </c>
      <c r="B139">
        <v>14.5625</v>
      </c>
      <c r="C139">
        <v>21.875</v>
      </c>
      <c r="D139">
        <v>2</v>
      </c>
      <c r="E139">
        <v>5.25</v>
      </c>
      <c r="F139" t="s">
        <v>156</v>
      </c>
      <c r="G139">
        <v>0</v>
      </c>
      <c r="I139">
        <v>1</v>
      </c>
      <c r="J139">
        <v>0</v>
      </c>
      <c r="K139">
        <v>24</v>
      </c>
      <c r="N139">
        <v>0.5</v>
      </c>
      <c r="O139">
        <v>0.38</v>
      </c>
      <c r="P139">
        <v>3.5</v>
      </c>
      <c r="Q139">
        <v>2.5</v>
      </c>
      <c r="R139">
        <v>0</v>
      </c>
      <c r="S139">
        <v>4</v>
      </c>
      <c r="T139">
        <v>0.5</v>
      </c>
      <c r="U139">
        <v>0</v>
      </c>
      <c r="V139">
        <v>0</v>
      </c>
      <c r="W139">
        <v>0</v>
      </c>
      <c r="X139">
        <v>0</v>
      </c>
      <c r="Y139">
        <v>0.5</v>
      </c>
      <c r="Z139">
        <v>0.5</v>
      </c>
    </row>
    <row r="140" spans="1:30">
      <c r="A140" t="s">
        <v>302</v>
      </c>
      <c r="B140">
        <v>20.8125</v>
      </c>
      <c r="C140">
        <v>77.5</v>
      </c>
      <c r="D140">
        <v>4.5</v>
      </c>
      <c r="E140">
        <v>2.625</v>
      </c>
      <c r="F140" t="s">
        <v>156</v>
      </c>
      <c r="G140">
        <v>0</v>
      </c>
      <c r="I140">
        <v>1</v>
      </c>
      <c r="J140">
        <v>0</v>
      </c>
      <c r="N140">
        <v>0.5</v>
      </c>
      <c r="O140">
        <v>0.38</v>
      </c>
      <c r="P140">
        <v>3.5</v>
      </c>
      <c r="Q140">
        <v>0</v>
      </c>
      <c r="R140">
        <v>1.875</v>
      </c>
      <c r="S140">
        <v>4</v>
      </c>
      <c r="T140">
        <v>0.5</v>
      </c>
      <c r="U140">
        <v>0</v>
      </c>
      <c r="V140">
        <v>0</v>
      </c>
      <c r="W140">
        <v>0</v>
      </c>
      <c r="X140">
        <v>0</v>
      </c>
      <c r="Y140">
        <v>0.5</v>
      </c>
      <c r="Z140">
        <v>0.5</v>
      </c>
    </row>
    <row r="141" spans="1:30">
      <c r="A141" t="s">
        <v>303</v>
      </c>
      <c r="B141">
        <v>26.125</v>
      </c>
      <c r="C141">
        <v>72.875</v>
      </c>
      <c r="D141">
        <v>9</v>
      </c>
      <c r="E141">
        <v>7.5625</v>
      </c>
      <c r="F141" t="s">
        <v>156</v>
      </c>
      <c r="G141">
        <v>0</v>
      </c>
      <c r="I141">
        <v>1</v>
      </c>
      <c r="J141">
        <v>1</v>
      </c>
      <c r="N141">
        <v>0.5</v>
      </c>
      <c r="O141">
        <v>0.38</v>
      </c>
      <c r="P141">
        <v>3.5</v>
      </c>
      <c r="Q141">
        <v>-4.5</v>
      </c>
      <c r="R141">
        <v>0</v>
      </c>
      <c r="S141">
        <v>4</v>
      </c>
      <c r="T141">
        <v>0.5</v>
      </c>
      <c r="U141">
        <v>0</v>
      </c>
      <c r="V141">
        <v>0</v>
      </c>
      <c r="W141">
        <v>0</v>
      </c>
      <c r="X141">
        <v>0</v>
      </c>
      <c r="Y141">
        <v>0.5</v>
      </c>
      <c r="Z141">
        <v>0.5</v>
      </c>
    </row>
    <row r="142" spans="1:30">
      <c r="A142" t="s">
        <v>304</v>
      </c>
      <c r="B142">
        <v>4.9375</v>
      </c>
      <c r="C142">
        <v>74.375</v>
      </c>
      <c r="D142">
        <v>9</v>
      </c>
      <c r="E142">
        <v>4.8125</v>
      </c>
      <c r="F142" t="s">
        <v>156</v>
      </c>
      <c r="G142">
        <v>1</v>
      </c>
      <c r="H142">
        <v>0</v>
      </c>
      <c r="I142">
        <v>0</v>
      </c>
      <c r="L142" t="s">
        <v>150</v>
      </c>
      <c r="N142">
        <v>0.5</v>
      </c>
      <c r="O142">
        <v>0.38</v>
      </c>
      <c r="P142">
        <v>3.5</v>
      </c>
      <c r="Q142">
        <v>-4.5</v>
      </c>
      <c r="R142">
        <v>0</v>
      </c>
      <c r="S142">
        <v>4</v>
      </c>
      <c r="T142">
        <v>0.5</v>
      </c>
      <c r="U142">
        <v>0</v>
      </c>
      <c r="V142">
        <v>0</v>
      </c>
      <c r="W142">
        <v>0</v>
      </c>
      <c r="X142">
        <v>0</v>
      </c>
      <c r="Y142">
        <v>0.5</v>
      </c>
      <c r="Z142">
        <v>0.5</v>
      </c>
    </row>
    <row r="143" spans="1:30">
      <c r="A143" t="s">
        <v>305</v>
      </c>
      <c r="B143">
        <v>33.6875</v>
      </c>
      <c r="C143">
        <v>66.875</v>
      </c>
      <c r="D143">
        <v>12</v>
      </c>
      <c r="E143">
        <v>3.5625</v>
      </c>
      <c r="F143" t="s">
        <v>156</v>
      </c>
      <c r="G143">
        <v>1</v>
      </c>
      <c r="H143">
        <v>0</v>
      </c>
      <c r="I143">
        <v>1</v>
      </c>
      <c r="J143">
        <v>0</v>
      </c>
      <c r="K143">
        <v>12</v>
      </c>
      <c r="N143">
        <v>0.5</v>
      </c>
      <c r="O143">
        <v>0.38</v>
      </c>
      <c r="P143">
        <v>3.5</v>
      </c>
      <c r="Q143">
        <v>-7.5</v>
      </c>
      <c r="R143">
        <v>0.9375</v>
      </c>
      <c r="S143">
        <v>4</v>
      </c>
      <c r="T143">
        <v>0.5</v>
      </c>
      <c r="U143">
        <v>0</v>
      </c>
      <c r="V143">
        <v>0</v>
      </c>
      <c r="W143">
        <v>0</v>
      </c>
      <c r="X143">
        <v>0</v>
      </c>
      <c r="Y143">
        <v>0.5</v>
      </c>
      <c r="Z143">
        <v>0.5</v>
      </c>
    </row>
    <row r="144" spans="1:30">
      <c r="A144" t="s">
        <v>306</v>
      </c>
      <c r="B144">
        <v>20.1875</v>
      </c>
      <c r="C144">
        <v>19.9375</v>
      </c>
      <c r="D144">
        <v>1.375</v>
      </c>
      <c r="E144">
        <v>3.75</v>
      </c>
      <c r="F144" t="s">
        <v>156</v>
      </c>
      <c r="G144">
        <v>1</v>
      </c>
      <c r="H144">
        <v>0</v>
      </c>
      <c r="I144">
        <v>1</v>
      </c>
      <c r="J144">
        <v>0</v>
      </c>
      <c r="K144">
        <v>24</v>
      </c>
      <c r="N144">
        <v>0.5</v>
      </c>
      <c r="O144">
        <v>0.38</v>
      </c>
      <c r="P144">
        <v>3.5</v>
      </c>
      <c r="Q144">
        <v>3.125</v>
      </c>
      <c r="R144">
        <v>0.75</v>
      </c>
      <c r="S144">
        <v>4</v>
      </c>
      <c r="T144">
        <v>0.5</v>
      </c>
      <c r="U144">
        <v>0</v>
      </c>
      <c r="V144">
        <v>0</v>
      </c>
      <c r="W144">
        <v>0</v>
      </c>
      <c r="X144">
        <v>0</v>
      </c>
      <c r="Y144">
        <v>0.5</v>
      </c>
      <c r="Z144">
        <v>0.5</v>
      </c>
    </row>
    <row r="145" spans="1:34">
      <c r="A145" t="s">
        <v>307</v>
      </c>
      <c r="B145">
        <v>48.8125</v>
      </c>
      <c r="C145">
        <v>51.1875</v>
      </c>
      <c r="D145">
        <v>3.3125</v>
      </c>
      <c r="E145">
        <v>7.375</v>
      </c>
      <c r="F145" t="s">
        <v>156</v>
      </c>
      <c r="G145">
        <v>1</v>
      </c>
      <c r="H145">
        <v>0</v>
      </c>
      <c r="I145">
        <v>1</v>
      </c>
      <c r="J145">
        <v>0</v>
      </c>
      <c r="N145">
        <v>0.5</v>
      </c>
      <c r="O145">
        <v>0.38</v>
      </c>
      <c r="P145">
        <v>3.5</v>
      </c>
      <c r="Q145">
        <v>1.1875</v>
      </c>
      <c r="R145">
        <v>0</v>
      </c>
      <c r="S145">
        <v>4</v>
      </c>
      <c r="T145">
        <v>0.5</v>
      </c>
      <c r="U145">
        <v>0</v>
      </c>
      <c r="V145">
        <v>0</v>
      </c>
      <c r="W145">
        <v>0</v>
      </c>
      <c r="X145">
        <v>0</v>
      </c>
      <c r="Y145">
        <v>0.5</v>
      </c>
      <c r="Z145">
        <v>0.5</v>
      </c>
    </row>
    <row r="146" spans="1:34">
      <c r="A146" t="s">
        <v>308</v>
      </c>
      <c r="B146">
        <v>29.125</v>
      </c>
      <c r="C146">
        <v>47.25</v>
      </c>
      <c r="D146">
        <v>9</v>
      </c>
      <c r="E146">
        <v>1</v>
      </c>
      <c r="F146" t="s">
        <v>156</v>
      </c>
      <c r="G146">
        <v>1</v>
      </c>
      <c r="H146">
        <v>0</v>
      </c>
      <c r="I146">
        <v>1</v>
      </c>
      <c r="J146">
        <v>1</v>
      </c>
      <c r="N146">
        <v>0.5</v>
      </c>
      <c r="O146">
        <v>0.38</v>
      </c>
      <c r="P146">
        <v>3.5</v>
      </c>
      <c r="Q146">
        <v>-4.5</v>
      </c>
      <c r="R146">
        <v>3.5</v>
      </c>
      <c r="S146">
        <v>4</v>
      </c>
      <c r="T146">
        <v>0.5</v>
      </c>
      <c r="U146">
        <v>0</v>
      </c>
      <c r="V146">
        <v>0</v>
      </c>
      <c r="W146">
        <v>0</v>
      </c>
      <c r="X146">
        <v>1</v>
      </c>
      <c r="Y146">
        <v>0.5</v>
      </c>
      <c r="Z146">
        <v>0.5</v>
      </c>
    </row>
    <row r="147" spans="1:34">
      <c r="A147" t="s">
        <v>309</v>
      </c>
      <c r="B147">
        <v>6.4375</v>
      </c>
      <c r="C147">
        <v>72.8125</v>
      </c>
      <c r="D147">
        <v>9</v>
      </c>
      <c r="E147">
        <v>5.6875</v>
      </c>
      <c r="F147" t="s">
        <v>156</v>
      </c>
      <c r="G147">
        <v>1</v>
      </c>
      <c r="H147">
        <v>1</v>
      </c>
      <c r="I147">
        <v>0</v>
      </c>
      <c r="L147" t="s">
        <v>121</v>
      </c>
      <c r="N147">
        <v>0.5</v>
      </c>
      <c r="O147">
        <v>0.38</v>
      </c>
      <c r="P147">
        <v>3.5</v>
      </c>
      <c r="Q147">
        <v>-4.5</v>
      </c>
      <c r="R147">
        <v>0</v>
      </c>
      <c r="S147">
        <v>4</v>
      </c>
      <c r="T147">
        <v>0.5</v>
      </c>
      <c r="U147">
        <v>0</v>
      </c>
      <c r="V147">
        <v>0</v>
      </c>
      <c r="W147">
        <v>0</v>
      </c>
      <c r="X147">
        <v>0</v>
      </c>
      <c r="Y147">
        <v>0.5</v>
      </c>
      <c r="Z147">
        <v>0.5</v>
      </c>
    </row>
    <row r="148" spans="1:34">
      <c r="A148" t="s">
        <v>310</v>
      </c>
      <c r="B148">
        <v>23.4375</v>
      </c>
      <c r="C148">
        <v>48.6875</v>
      </c>
      <c r="D148">
        <v>11.625</v>
      </c>
      <c r="E148">
        <v>6.4375</v>
      </c>
      <c r="F148" t="s">
        <v>156</v>
      </c>
      <c r="G148">
        <v>1</v>
      </c>
      <c r="H148">
        <v>1</v>
      </c>
      <c r="I148">
        <v>1</v>
      </c>
      <c r="J148">
        <v>0</v>
      </c>
      <c r="K148">
        <v>12</v>
      </c>
      <c r="L148" t="s">
        <v>145</v>
      </c>
      <c r="N148">
        <v>0.5</v>
      </c>
      <c r="O148">
        <v>0.38</v>
      </c>
      <c r="P148">
        <v>3.5</v>
      </c>
      <c r="Q148">
        <v>-7.125</v>
      </c>
      <c r="R148">
        <v>0</v>
      </c>
      <c r="S148">
        <v>4</v>
      </c>
      <c r="T148">
        <v>0.5</v>
      </c>
      <c r="U148">
        <v>0</v>
      </c>
      <c r="V148">
        <v>0</v>
      </c>
      <c r="W148">
        <v>0</v>
      </c>
      <c r="X148">
        <v>0</v>
      </c>
      <c r="Y148">
        <v>0.5</v>
      </c>
      <c r="Z148">
        <v>0.5</v>
      </c>
    </row>
    <row r="149" spans="1:34">
      <c r="A149" t="s">
        <v>311</v>
      </c>
      <c r="B149">
        <v>47</v>
      </c>
      <c r="C149">
        <v>64.75</v>
      </c>
      <c r="D149">
        <v>3.875</v>
      </c>
      <c r="E149">
        <v>1</v>
      </c>
      <c r="F149" t="s">
        <v>156</v>
      </c>
      <c r="G149">
        <v>1</v>
      </c>
      <c r="H149">
        <v>1</v>
      </c>
      <c r="I149">
        <v>1</v>
      </c>
      <c r="J149">
        <v>0</v>
      </c>
      <c r="K149">
        <v>24</v>
      </c>
      <c r="N149">
        <v>0.5</v>
      </c>
      <c r="O149">
        <v>0.38</v>
      </c>
      <c r="P149">
        <v>3.5</v>
      </c>
      <c r="Q149">
        <v>0.625</v>
      </c>
      <c r="R149">
        <v>3.5</v>
      </c>
      <c r="S149">
        <v>4</v>
      </c>
      <c r="T149">
        <v>0.5</v>
      </c>
      <c r="U149">
        <v>0</v>
      </c>
      <c r="V149">
        <v>0</v>
      </c>
      <c r="W149">
        <v>1</v>
      </c>
      <c r="X149">
        <v>0</v>
      </c>
      <c r="Y149">
        <v>0.5</v>
      </c>
      <c r="Z149">
        <v>0.5</v>
      </c>
    </row>
    <row r="150" spans="1:34">
      <c r="A150" t="s">
        <v>312</v>
      </c>
      <c r="B150">
        <v>16.1875</v>
      </c>
      <c r="C150">
        <v>36.625</v>
      </c>
      <c r="D150">
        <v>4.5</v>
      </c>
      <c r="E150">
        <v>1</v>
      </c>
      <c r="F150" t="s">
        <v>156</v>
      </c>
      <c r="G150">
        <v>1</v>
      </c>
      <c r="H150">
        <v>1</v>
      </c>
      <c r="I150">
        <v>1</v>
      </c>
      <c r="J150">
        <v>0</v>
      </c>
      <c r="N150">
        <v>0.5</v>
      </c>
      <c r="O150">
        <v>0.38</v>
      </c>
      <c r="P150">
        <v>3.5</v>
      </c>
      <c r="Q150">
        <v>0</v>
      </c>
      <c r="R150">
        <v>3.5</v>
      </c>
      <c r="S150">
        <v>4</v>
      </c>
      <c r="T150">
        <v>0.5</v>
      </c>
      <c r="U150">
        <v>0</v>
      </c>
      <c r="V150">
        <v>0</v>
      </c>
      <c r="W150">
        <v>1</v>
      </c>
      <c r="X150">
        <v>0</v>
      </c>
      <c r="Y150">
        <v>0.5</v>
      </c>
      <c r="Z150">
        <v>0.5</v>
      </c>
    </row>
    <row r="151" spans="1:34">
      <c r="A151" t="s">
        <v>313</v>
      </c>
      <c r="B151">
        <v>47.125</v>
      </c>
      <c r="C151">
        <v>65.1875</v>
      </c>
      <c r="D151">
        <v>4.5</v>
      </c>
      <c r="E151">
        <v>3.875</v>
      </c>
      <c r="F151" t="s">
        <v>156</v>
      </c>
      <c r="G151">
        <v>1</v>
      </c>
      <c r="H151">
        <v>1</v>
      </c>
      <c r="I151">
        <v>1</v>
      </c>
      <c r="J151">
        <v>1</v>
      </c>
      <c r="N151">
        <v>0.5</v>
      </c>
      <c r="O151">
        <v>0.38</v>
      </c>
      <c r="P151">
        <v>3.5</v>
      </c>
      <c r="Q151">
        <v>0</v>
      </c>
      <c r="R151">
        <v>0.625</v>
      </c>
      <c r="S151">
        <v>4</v>
      </c>
      <c r="T151">
        <v>0.5</v>
      </c>
      <c r="U151">
        <v>0</v>
      </c>
      <c r="V151">
        <v>0</v>
      </c>
      <c r="W151">
        <v>1</v>
      </c>
      <c r="X151">
        <v>1</v>
      </c>
      <c r="Y151">
        <v>0.5</v>
      </c>
      <c r="Z151">
        <v>0.5</v>
      </c>
    </row>
    <row r="152" spans="1:34">
      <c r="A152" t="s">
        <v>314</v>
      </c>
      <c r="B152">
        <v>60</v>
      </c>
      <c r="C152">
        <v>45.4375</v>
      </c>
      <c r="D152">
        <v>5.0625</v>
      </c>
      <c r="E152">
        <v>4.8125</v>
      </c>
      <c r="F152" t="s">
        <v>157</v>
      </c>
      <c r="G152">
        <v>0</v>
      </c>
      <c r="I152">
        <v>0</v>
      </c>
      <c r="L152" t="s">
        <v>120</v>
      </c>
      <c r="M152" t="s">
        <v>119</v>
      </c>
      <c r="N152">
        <v>0.5</v>
      </c>
      <c r="O152">
        <v>0.38</v>
      </c>
      <c r="P152">
        <v>3.5</v>
      </c>
      <c r="Q152">
        <v>-0.5625</v>
      </c>
      <c r="R152">
        <v>0</v>
      </c>
      <c r="S152">
        <v>4</v>
      </c>
      <c r="T152">
        <v>0.5</v>
      </c>
      <c r="U152">
        <v>0</v>
      </c>
      <c r="V152">
        <v>0</v>
      </c>
      <c r="W152">
        <v>0</v>
      </c>
      <c r="X152">
        <v>0</v>
      </c>
      <c r="Y152">
        <v>0.5</v>
      </c>
      <c r="Z152">
        <v>0.5</v>
      </c>
      <c r="AA152">
        <v>11.5</v>
      </c>
      <c r="AB152">
        <v>10.875</v>
      </c>
      <c r="AC152">
        <v>28.94</v>
      </c>
      <c r="AD152">
        <v>12.9375</v>
      </c>
      <c r="AE152">
        <v>11</v>
      </c>
      <c r="AF152">
        <v>15.5</v>
      </c>
      <c r="AG152">
        <v>14.5</v>
      </c>
      <c r="AH152">
        <v>9.6875</v>
      </c>
    </row>
    <row r="153" spans="1:34">
      <c r="A153" t="s">
        <v>315</v>
      </c>
      <c r="B153">
        <v>60</v>
      </c>
      <c r="C153">
        <v>68.0625</v>
      </c>
      <c r="D153">
        <v>4.5</v>
      </c>
      <c r="E153">
        <v>1</v>
      </c>
      <c r="F153" t="s">
        <v>157</v>
      </c>
      <c r="G153">
        <v>0</v>
      </c>
      <c r="I153">
        <v>1</v>
      </c>
      <c r="J153">
        <v>0</v>
      </c>
      <c r="K153">
        <v>12</v>
      </c>
      <c r="L153" t="s">
        <v>120</v>
      </c>
      <c r="N153">
        <v>0.5</v>
      </c>
      <c r="O153">
        <v>0.38</v>
      </c>
      <c r="P153">
        <v>3.5</v>
      </c>
      <c r="Q153">
        <v>0</v>
      </c>
      <c r="R153">
        <v>3.5</v>
      </c>
      <c r="S153">
        <v>4</v>
      </c>
      <c r="T153">
        <v>0.5</v>
      </c>
      <c r="U153">
        <v>0</v>
      </c>
      <c r="V153">
        <v>0</v>
      </c>
      <c r="W153">
        <v>0</v>
      </c>
      <c r="X153">
        <v>0</v>
      </c>
      <c r="Y153">
        <v>0.5</v>
      </c>
      <c r="Z153">
        <v>0.5</v>
      </c>
      <c r="AA153">
        <v>11.5</v>
      </c>
      <c r="AB153">
        <v>10.875</v>
      </c>
      <c r="AC153">
        <v>16.940000000000001</v>
      </c>
      <c r="AD153">
        <v>13.5</v>
      </c>
    </row>
    <row r="154" spans="1:34">
      <c r="A154" t="s">
        <v>316</v>
      </c>
      <c r="B154">
        <v>60</v>
      </c>
      <c r="C154">
        <v>76</v>
      </c>
      <c r="D154">
        <v>1</v>
      </c>
      <c r="E154">
        <v>1</v>
      </c>
      <c r="F154" t="s">
        <v>157</v>
      </c>
      <c r="G154">
        <v>0</v>
      </c>
      <c r="I154">
        <v>1</v>
      </c>
      <c r="J154">
        <v>0</v>
      </c>
      <c r="K154">
        <v>24</v>
      </c>
      <c r="L154" t="s">
        <v>120</v>
      </c>
      <c r="N154">
        <v>0.5</v>
      </c>
      <c r="O154">
        <v>0.38</v>
      </c>
      <c r="P154">
        <v>3.5</v>
      </c>
      <c r="Q154">
        <v>3.5</v>
      </c>
      <c r="R154">
        <v>3.5</v>
      </c>
      <c r="S154">
        <v>4</v>
      </c>
      <c r="T154">
        <v>0.5</v>
      </c>
      <c r="U154">
        <v>0</v>
      </c>
      <c r="V154">
        <v>1</v>
      </c>
      <c r="W154">
        <v>0</v>
      </c>
      <c r="X154">
        <v>0</v>
      </c>
      <c r="Y154">
        <v>0.5</v>
      </c>
      <c r="Z154">
        <v>0</v>
      </c>
      <c r="AA154">
        <v>11.5</v>
      </c>
      <c r="AB154">
        <v>10.875</v>
      </c>
      <c r="AC154">
        <v>4.9400000000000004</v>
      </c>
      <c r="AD154">
        <v>17</v>
      </c>
    </row>
    <row r="155" spans="1:34">
      <c r="A155" t="s">
        <v>317</v>
      </c>
      <c r="B155">
        <v>60</v>
      </c>
      <c r="C155">
        <v>56.375</v>
      </c>
      <c r="D155">
        <v>4.5</v>
      </c>
      <c r="E155">
        <v>3.4375</v>
      </c>
      <c r="F155" t="s">
        <v>157</v>
      </c>
      <c r="G155">
        <v>0</v>
      </c>
      <c r="I155">
        <v>1</v>
      </c>
      <c r="J155">
        <v>0</v>
      </c>
      <c r="N155">
        <v>0.5</v>
      </c>
      <c r="O155">
        <v>0.38</v>
      </c>
      <c r="P155">
        <v>3.5</v>
      </c>
      <c r="Q155">
        <v>0</v>
      </c>
      <c r="R155">
        <v>1.0625</v>
      </c>
      <c r="S155">
        <v>4</v>
      </c>
      <c r="T155">
        <v>0.5</v>
      </c>
      <c r="U155">
        <v>0</v>
      </c>
      <c r="V155">
        <v>0</v>
      </c>
      <c r="W155">
        <v>0</v>
      </c>
      <c r="X155">
        <v>0</v>
      </c>
      <c r="Y155">
        <v>0.5</v>
      </c>
      <c r="Z155">
        <v>0.5</v>
      </c>
    </row>
    <row r="156" spans="1:34">
      <c r="A156" t="s">
        <v>318</v>
      </c>
      <c r="B156">
        <v>60</v>
      </c>
      <c r="C156">
        <v>58.9375</v>
      </c>
      <c r="D156">
        <v>3.5</v>
      </c>
      <c r="E156">
        <v>3.5625</v>
      </c>
      <c r="F156" t="s">
        <v>157</v>
      </c>
      <c r="G156">
        <v>0</v>
      </c>
      <c r="I156">
        <v>1</v>
      </c>
      <c r="J156">
        <v>1</v>
      </c>
      <c r="N156">
        <v>0.5</v>
      </c>
      <c r="O156">
        <v>0.38</v>
      </c>
      <c r="P156">
        <v>3.5</v>
      </c>
      <c r="Q156">
        <v>1</v>
      </c>
      <c r="R156">
        <v>0.9375</v>
      </c>
      <c r="S156">
        <v>4</v>
      </c>
      <c r="T156">
        <v>0.5</v>
      </c>
      <c r="U156">
        <v>0</v>
      </c>
      <c r="V156">
        <v>1</v>
      </c>
      <c r="W156">
        <v>0</v>
      </c>
      <c r="X156">
        <v>0</v>
      </c>
      <c r="Y156">
        <v>0.5</v>
      </c>
      <c r="Z156">
        <v>0</v>
      </c>
    </row>
    <row r="157" spans="1:34">
      <c r="A157" t="s">
        <v>319</v>
      </c>
      <c r="B157">
        <v>60</v>
      </c>
      <c r="C157">
        <v>59.75</v>
      </c>
      <c r="D157">
        <v>8.6875</v>
      </c>
      <c r="E157">
        <v>2.0625</v>
      </c>
      <c r="F157" t="s">
        <v>157</v>
      </c>
      <c r="G157">
        <v>1</v>
      </c>
      <c r="H157">
        <v>0</v>
      </c>
      <c r="I157">
        <v>0</v>
      </c>
      <c r="L157" t="s">
        <v>119</v>
      </c>
      <c r="M157" t="s">
        <v>120</v>
      </c>
      <c r="N157">
        <v>0.5</v>
      </c>
      <c r="O157">
        <v>0.38</v>
      </c>
      <c r="P157">
        <v>3.5</v>
      </c>
      <c r="Q157">
        <v>-4.1875</v>
      </c>
      <c r="R157">
        <v>2.4375</v>
      </c>
      <c r="S157">
        <v>4</v>
      </c>
      <c r="T157">
        <v>0.5</v>
      </c>
      <c r="U157">
        <v>0</v>
      </c>
      <c r="V157">
        <v>0</v>
      </c>
      <c r="W157">
        <v>0</v>
      </c>
      <c r="X157">
        <v>0</v>
      </c>
      <c r="Y157">
        <v>0.5</v>
      </c>
      <c r="Z157">
        <v>0.5</v>
      </c>
      <c r="AA157">
        <v>11</v>
      </c>
      <c r="AB157">
        <v>15.5</v>
      </c>
      <c r="AC157">
        <v>14.5</v>
      </c>
      <c r="AD157">
        <v>6.0625</v>
      </c>
      <c r="AE157">
        <v>11.5</v>
      </c>
      <c r="AF157">
        <v>10.875</v>
      </c>
      <c r="AG157">
        <v>28.94</v>
      </c>
      <c r="AH157">
        <v>9.3125</v>
      </c>
    </row>
    <row r="158" spans="1:34">
      <c r="A158" t="s">
        <v>320</v>
      </c>
      <c r="B158">
        <v>60</v>
      </c>
      <c r="C158">
        <v>65.0625</v>
      </c>
      <c r="D158">
        <v>9.375</v>
      </c>
      <c r="E158">
        <v>3.3125</v>
      </c>
      <c r="F158" t="s">
        <v>157</v>
      </c>
      <c r="G158">
        <v>1</v>
      </c>
      <c r="H158">
        <v>0</v>
      </c>
      <c r="I158">
        <v>1</v>
      </c>
      <c r="J158">
        <v>0</v>
      </c>
      <c r="K158">
        <v>12</v>
      </c>
      <c r="N158">
        <v>0.5</v>
      </c>
      <c r="O158">
        <v>0.38</v>
      </c>
      <c r="P158">
        <v>3.5</v>
      </c>
      <c r="Q158">
        <v>-4.875</v>
      </c>
      <c r="R158">
        <v>1.1875</v>
      </c>
      <c r="S158">
        <v>4</v>
      </c>
      <c r="T158">
        <v>0.5</v>
      </c>
      <c r="U158">
        <v>0</v>
      </c>
      <c r="V158">
        <v>0</v>
      </c>
      <c r="W158">
        <v>0</v>
      </c>
      <c r="X158">
        <v>0</v>
      </c>
      <c r="Y158">
        <v>0.5</v>
      </c>
      <c r="Z158">
        <v>0.5</v>
      </c>
    </row>
    <row r="159" spans="1:34">
      <c r="A159" t="s">
        <v>321</v>
      </c>
      <c r="B159">
        <v>60</v>
      </c>
      <c r="C159">
        <v>41.875</v>
      </c>
      <c r="D159">
        <v>1.3125</v>
      </c>
      <c r="E159">
        <v>7.625</v>
      </c>
      <c r="F159" t="s">
        <v>157</v>
      </c>
      <c r="G159">
        <v>1</v>
      </c>
      <c r="H159">
        <v>0</v>
      </c>
      <c r="I159">
        <v>1</v>
      </c>
      <c r="J159">
        <v>0</v>
      </c>
      <c r="K159">
        <v>24</v>
      </c>
      <c r="L159" t="s">
        <v>120</v>
      </c>
      <c r="N159">
        <v>0.5</v>
      </c>
      <c r="O159">
        <v>0.38</v>
      </c>
      <c r="P159">
        <v>3.5</v>
      </c>
      <c r="Q159">
        <v>3.1875</v>
      </c>
      <c r="R159">
        <v>0</v>
      </c>
      <c r="S159">
        <v>4</v>
      </c>
      <c r="T159">
        <v>0.5</v>
      </c>
      <c r="U159">
        <v>1</v>
      </c>
      <c r="V159">
        <v>1</v>
      </c>
      <c r="W159">
        <v>0</v>
      </c>
      <c r="X159">
        <v>0</v>
      </c>
      <c r="Y159">
        <v>0</v>
      </c>
      <c r="Z159">
        <v>0</v>
      </c>
      <c r="AA159">
        <v>11.5</v>
      </c>
      <c r="AB159">
        <v>10.875</v>
      </c>
      <c r="AC159">
        <v>4.9400000000000004</v>
      </c>
      <c r="AD159">
        <v>16.6875</v>
      </c>
    </row>
    <row r="160" spans="1:34">
      <c r="A160" t="s">
        <v>322</v>
      </c>
      <c r="B160">
        <v>60</v>
      </c>
      <c r="C160">
        <v>59.625</v>
      </c>
      <c r="D160">
        <v>9</v>
      </c>
      <c r="E160">
        <v>6</v>
      </c>
      <c r="F160" t="s">
        <v>157</v>
      </c>
      <c r="G160">
        <v>1</v>
      </c>
      <c r="H160">
        <v>0</v>
      </c>
      <c r="I160">
        <v>1</v>
      </c>
      <c r="J160">
        <v>0</v>
      </c>
      <c r="N160">
        <v>0.5</v>
      </c>
      <c r="O160">
        <v>0.38</v>
      </c>
      <c r="P160">
        <v>3.5</v>
      </c>
      <c r="Q160">
        <v>-4.5</v>
      </c>
      <c r="R160">
        <v>0</v>
      </c>
      <c r="S160">
        <v>4</v>
      </c>
      <c r="T160">
        <v>0.5</v>
      </c>
      <c r="U160">
        <v>0</v>
      </c>
      <c r="V160">
        <v>0</v>
      </c>
      <c r="W160">
        <v>0</v>
      </c>
      <c r="X160">
        <v>0</v>
      </c>
      <c r="Y160">
        <v>0.5</v>
      </c>
      <c r="Z160">
        <v>0.5</v>
      </c>
    </row>
    <row r="161" spans="1:34">
      <c r="A161" t="s">
        <v>323</v>
      </c>
      <c r="B161">
        <v>60</v>
      </c>
      <c r="C161">
        <v>59.625</v>
      </c>
      <c r="D161">
        <v>3.625</v>
      </c>
      <c r="E161">
        <v>5.125</v>
      </c>
      <c r="F161" t="s">
        <v>157</v>
      </c>
      <c r="G161">
        <v>1</v>
      </c>
      <c r="H161">
        <v>0</v>
      </c>
      <c r="I161">
        <v>1</v>
      </c>
      <c r="J161">
        <v>1</v>
      </c>
      <c r="N161">
        <v>0.5</v>
      </c>
      <c r="O161">
        <v>0.38</v>
      </c>
      <c r="P161">
        <v>3.5</v>
      </c>
      <c r="Q161">
        <v>0.875</v>
      </c>
      <c r="R161">
        <v>0</v>
      </c>
      <c r="S161">
        <v>4</v>
      </c>
      <c r="T161">
        <v>0.5</v>
      </c>
      <c r="U161">
        <v>1</v>
      </c>
      <c r="V161">
        <v>1</v>
      </c>
      <c r="W161">
        <v>0</v>
      </c>
      <c r="X161">
        <v>0</v>
      </c>
      <c r="Y161">
        <v>0</v>
      </c>
      <c r="Z161">
        <v>0</v>
      </c>
    </row>
    <row r="162" spans="1:34">
      <c r="A162" t="s">
        <v>324</v>
      </c>
      <c r="B162">
        <v>60</v>
      </c>
      <c r="C162">
        <v>36.75</v>
      </c>
      <c r="D162">
        <v>1</v>
      </c>
      <c r="E162">
        <v>7</v>
      </c>
      <c r="F162" t="s">
        <v>157</v>
      </c>
      <c r="G162">
        <v>1</v>
      </c>
      <c r="H162">
        <v>1</v>
      </c>
      <c r="I162">
        <v>0</v>
      </c>
      <c r="N162">
        <v>0.5</v>
      </c>
      <c r="O162">
        <v>0.38</v>
      </c>
      <c r="P162">
        <v>3.5</v>
      </c>
      <c r="Q162">
        <v>3.5</v>
      </c>
      <c r="R162">
        <v>0</v>
      </c>
      <c r="S162">
        <v>4</v>
      </c>
      <c r="T162">
        <v>0.5</v>
      </c>
      <c r="U162">
        <v>1</v>
      </c>
      <c r="V162">
        <v>0</v>
      </c>
      <c r="W162">
        <v>0</v>
      </c>
      <c r="X162">
        <v>0</v>
      </c>
      <c r="Y162">
        <v>0</v>
      </c>
      <c r="Z162">
        <v>0.5</v>
      </c>
    </row>
    <row r="163" spans="1:34">
      <c r="A163" t="s">
        <v>325</v>
      </c>
      <c r="B163">
        <v>60</v>
      </c>
      <c r="C163">
        <v>40.875</v>
      </c>
      <c r="D163">
        <v>3.375</v>
      </c>
      <c r="E163">
        <v>4.25</v>
      </c>
      <c r="F163" t="s">
        <v>157</v>
      </c>
      <c r="G163">
        <v>1</v>
      </c>
      <c r="H163">
        <v>1</v>
      </c>
      <c r="I163">
        <v>1</v>
      </c>
      <c r="J163">
        <v>0</v>
      </c>
      <c r="K163">
        <v>12</v>
      </c>
      <c r="N163">
        <v>0.5</v>
      </c>
      <c r="O163">
        <v>0.38</v>
      </c>
      <c r="P163">
        <v>3.5</v>
      </c>
      <c r="Q163">
        <v>1.125</v>
      </c>
      <c r="R163">
        <v>0.25</v>
      </c>
      <c r="S163">
        <v>4</v>
      </c>
      <c r="T163">
        <v>0.5</v>
      </c>
      <c r="U163">
        <v>1</v>
      </c>
      <c r="V163">
        <v>1</v>
      </c>
      <c r="W163">
        <v>0</v>
      </c>
      <c r="X163">
        <v>0</v>
      </c>
      <c r="Y163">
        <v>0</v>
      </c>
      <c r="Z163">
        <v>0</v>
      </c>
    </row>
    <row r="164" spans="1:34">
      <c r="A164" t="s">
        <v>326</v>
      </c>
      <c r="B164">
        <v>60</v>
      </c>
      <c r="C164">
        <v>42.625</v>
      </c>
      <c r="D164">
        <v>3.4375</v>
      </c>
      <c r="E164">
        <v>2.75</v>
      </c>
      <c r="F164" t="s">
        <v>157</v>
      </c>
      <c r="G164">
        <v>1</v>
      </c>
      <c r="H164">
        <v>1</v>
      </c>
      <c r="I164">
        <v>1</v>
      </c>
      <c r="J164">
        <v>0</v>
      </c>
      <c r="K164">
        <v>24</v>
      </c>
      <c r="L164" t="s">
        <v>120</v>
      </c>
      <c r="N164">
        <v>0.5</v>
      </c>
      <c r="O164">
        <v>0.38</v>
      </c>
      <c r="P164">
        <v>3.5</v>
      </c>
      <c r="Q164">
        <v>1.0625</v>
      </c>
      <c r="R164">
        <v>1.75</v>
      </c>
      <c r="S164">
        <v>4</v>
      </c>
      <c r="T164">
        <v>0.5</v>
      </c>
      <c r="U164">
        <v>1</v>
      </c>
      <c r="V164">
        <v>1</v>
      </c>
      <c r="W164">
        <v>0</v>
      </c>
      <c r="X164">
        <v>0</v>
      </c>
      <c r="Y164">
        <v>0</v>
      </c>
      <c r="Z164">
        <v>0</v>
      </c>
      <c r="AA164">
        <v>11.5</v>
      </c>
      <c r="AB164">
        <v>10.875</v>
      </c>
      <c r="AC164">
        <v>4.9400000000000004</v>
      </c>
      <c r="AD164">
        <v>14.5625</v>
      </c>
    </row>
    <row r="165" spans="1:34">
      <c r="A165" t="s">
        <v>327</v>
      </c>
      <c r="B165">
        <v>60</v>
      </c>
      <c r="C165">
        <v>31</v>
      </c>
      <c r="D165">
        <v>2.5625</v>
      </c>
      <c r="E165">
        <v>1</v>
      </c>
      <c r="F165" t="s">
        <v>157</v>
      </c>
      <c r="G165">
        <v>1</v>
      </c>
      <c r="H165">
        <v>1</v>
      </c>
      <c r="I165">
        <v>1</v>
      </c>
      <c r="J165">
        <v>0</v>
      </c>
      <c r="N165">
        <v>0.5</v>
      </c>
      <c r="O165">
        <v>0.38</v>
      </c>
      <c r="P165">
        <v>3.5</v>
      </c>
      <c r="Q165">
        <v>1.9375</v>
      </c>
      <c r="R165">
        <v>3.5</v>
      </c>
      <c r="S165">
        <v>4</v>
      </c>
      <c r="T165">
        <v>0.5</v>
      </c>
      <c r="U165">
        <v>1</v>
      </c>
      <c r="V165">
        <v>1</v>
      </c>
      <c r="W165">
        <v>0</v>
      </c>
      <c r="X165">
        <v>0</v>
      </c>
      <c r="Y165">
        <v>0</v>
      </c>
      <c r="Z165">
        <v>0</v>
      </c>
    </row>
    <row r="166" spans="1:34">
      <c r="A166" t="s">
        <v>328</v>
      </c>
      <c r="B166">
        <v>60</v>
      </c>
      <c r="C166">
        <v>77.8125</v>
      </c>
      <c r="D166">
        <v>4.5</v>
      </c>
      <c r="E166">
        <v>1</v>
      </c>
      <c r="F166" t="s">
        <v>157</v>
      </c>
      <c r="G166">
        <v>1</v>
      </c>
      <c r="H166">
        <v>1</v>
      </c>
      <c r="I166">
        <v>1</v>
      </c>
      <c r="J166">
        <v>1</v>
      </c>
      <c r="N166">
        <v>0.5</v>
      </c>
      <c r="O166">
        <v>0.38</v>
      </c>
      <c r="P166">
        <v>3.5</v>
      </c>
      <c r="Q166">
        <v>0</v>
      </c>
      <c r="R166">
        <v>3.5</v>
      </c>
      <c r="S166">
        <v>4</v>
      </c>
      <c r="T166">
        <v>0.5</v>
      </c>
      <c r="U166">
        <v>0</v>
      </c>
      <c r="V166">
        <v>0</v>
      </c>
      <c r="W166">
        <v>0</v>
      </c>
      <c r="X166">
        <v>0</v>
      </c>
      <c r="Y166">
        <v>0.5</v>
      </c>
      <c r="Z166">
        <v>0.5</v>
      </c>
    </row>
    <row r="167" spans="1:34">
      <c r="A167" t="s">
        <v>329</v>
      </c>
      <c r="B167">
        <v>100.3125</v>
      </c>
      <c r="C167">
        <v>61.1875</v>
      </c>
      <c r="D167">
        <v>4.5</v>
      </c>
      <c r="E167">
        <v>1.9375</v>
      </c>
      <c r="F167" t="s">
        <v>21</v>
      </c>
      <c r="G167">
        <v>0</v>
      </c>
      <c r="I167">
        <v>0</v>
      </c>
      <c r="L167" t="s">
        <v>119</v>
      </c>
      <c r="M167" t="s">
        <v>120</v>
      </c>
      <c r="N167">
        <v>0.5</v>
      </c>
      <c r="O167">
        <v>0.38</v>
      </c>
      <c r="P167">
        <v>3.5</v>
      </c>
      <c r="Q167">
        <v>0</v>
      </c>
      <c r="R167">
        <v>2.5625</v>
      </c>
      <c r="S167">
        <v>4</v>
      </c>
      <c r="T167">
        <v>0.5</v>
      </c>
      <c r="U167">
        <v>0</v>
      </c>
      <c r="V167">
        <v>0</v>
      </c>
      <c r="W167">
        <v>0</v>
      </c>
      <c r="X167">
        <v>0</v>
      </c>
      <c r="Y167">
        <v>0.5</v>
      </c>
      <c r="Z167">
        <v>0.5</v>
      </c>
      <c r="AA167">
        <v>11</v>
      </c>
      <c r="AB167">
        <v>15.5</v>
      </c>
      <c r="AC167">
        <v>14.5</v>
      </c>
      <c r="AD167">
        <v>10.25</v>
      </c>
      <c r="AE167">
        <v>11.5</v>
      </c>
      <c r="AF167">
        <v>10.875</v>
      </c>
      <c r="AG167">
        <v>28.94</v>
      </c>
      <c r="AH167">
        <v>13.5</v>
      </c>
    </row>
    <row r="168" spans="1:34">
      <c r="A168" t="s">
        <v>330</v>
      </c>
      <c r="B168">
        <v>37.375</v>
      </c>
      <c r="C168">
        <v>45.3125</v>
      </c>
      <c r="D168">
        <v>1.8125</v>
      </c>
      <c r="E168">
        <v>3.9375</v>
      </c>
      <c r="F168" t="s">
        <v>21</v>
      </c>
      <c r="G168">
        <v>0</v>
      </c>
      <c r="I168">
        <v>1</v>
      </c>
      <c r="J168">
        <v>0</v>
      </c>
      <c r="K168">
        <v>12</v>
      </c>
      <c r="L168" t="s">
        <v>120</v>
      </c>
      <c r="N168">
        <v>0.5</v>
      </c>
      <c r="O168">
        <v>0.38</v>
      </c>
      <c r="P168">
        <v>3.5</v>
      </c>
      <c r="Q168">
        <v>2.6875</v>
      </c>
      <c r="R168">
        <v>0.5625</v>
      </c>
      <c r="S168">
        <v>4</v>
      </c>
      <c r="T168">
        <v>0.5</v>
      </c>
      <c r="U168">
        <v>0</v>
      </c>
      <c r="V168">
        <v>1</v>
      </c>
      <c r="W168">
        <v>0</v>
      </c>
      <c r="X168">
        <v>0</v>
      </c>
      <c r="Y168">
        <v>0.5</v>
      </c>
      <c r="Z168">
        <v>0</v>
      </c>
      <c r="AA168">
        <v>11.5</v>
      </c>
      <c r="AB168">
        <v>10.875</v>
      </c>
      <c r="AC168">
        <v>16.940000000000001</v>
      </c>
      <c r="AD168">
        <v>16.1875</v>
      </c>
    </row>
    <row r="169" spans="1:34">
      <c r="A169" t="s">
        <v>331</v>
      </c>
      <c r="B169">
        <v>88.625</v>
      </c>
      <c r="C169">
        <v>47.4375</v>
      </c>
      <c r="D169">
        <v>1</v>
      </c>
      <c r="E169">
        <v>6.3125</v>
      </c>
      <c r="F169" t="s">
        <v>21</v>
      </c>
      <c r="G169">
        <v>0</v>
      </c>
      <c r="I169">
        <v>1</v>
      </c>
      <c r="J169">
        <v>0</v>
      </c>
      <c r="K169">
        <v>24</v>
      </c>
      <c r="L169" t="s">
        <v>120</v>
      </c>
      <c r="N169">
        <v>0.5</v>
      </c>
      <c r="O169">
        <v>0.38</v>
      </c>
      <c r="P169">
        <v>3.5</v>
      </c>
      <c r="Q169">
        <v>3.5</v>
      </c>
      <c r="R169">
        <v>0</v>
      </c>
      <c r="S169">
        <v>4</v>
      </c>
      <c r="T169">
        <v>0.5</v>
      </c>
      <c r="U169">
        <v>0</v>
      </c>
      <c r="V169">
        <v>1</v>
      </c>
      <c r="W169">
        <v>0</v>
      </c>
      <c r="X169">
        <v>0</v>
      </c>
      <c r="Y169">
        <v>0.5</v>
      </c>
      <c r="Z169">
        <v>0</v>
      </c>
      <c r="AA169">
        <v>11.5</v>
      </c>
      <c r="AB169">
        <v>10.875</v>
      </c>
      <c r="AC169">
        <v>4.9400000000000004</v>
      </c>
      <c r="AD169">
        <v>17</v>
      </c>
    </row>
    <row r="170" spans="1:34">
      <c r="A170" t="s">
        <v>332</v>
      </c>
      <c r="B170">
        <v>71.625</v>
      </c>
      <c r="C170">
        <v>71.875</v>
      </c>
      <c r="D170">
        <v>1</v>
      </c>
      <c r="E170">
        <v>1</v>
      </c>
      <c r="F170" t="s">
        <v>21</v>
      </c>
      <c r="G170">
        <v>0</v>
      </c>
      <c r="I170">
        <v>1</v>
      </c>
      <c r="J170">
        <v>0</v>
      </c>
      <c r="N170">
        <v>0.5</v>
      </c>
      <c r="O170">
        <v>0.38</v>
      </c>
      <c r="P170">
        <v>3.5</v>
      </c>
      <c r="Q170">
        <v>3.5</v>
      </c>
      <c r="R170">
        <v>3.5</v>
      </c>
      <c r="S170">
        <v>4</v>
      </c>
      <c r="T170">
        <v>0.5</v>
      </c>
      <c r="U170">
        <v>0</v>
      </c>
      <c r="V170">
        <v>1</v>
      </c>
      <c r="W170">
        <v>0</v>
      </c>
      <c r="X170">
        <v>0</v>
      </c>
      <c r="Y170">
        <v>0.5</v>
      </c>
      <c r="Z170">
        <v>0</v>
      </c>
    </row>
    <row r="171" spans="1:34">
      <c r="A171" t="s">
        <v>333</v>
      </c>
      <c r="B171">
        <v>68</v>
      </c>
      <c r="C171">
        <v>56.25</v>
      </c>
      <c r="D171">
        <v>9.1875</v>
      </c>
      <c r="E171">
        <v>4.5625</v>
      </c>
      <c r="F171" t="s">
        <v>21</v>
      </c>
      <c r="G171">
        <v>0</v>
      </c>
      <c r="I171">
        <v>1</v>
      </c>
      <c r="J171">
        <v>1</v>
      </c>
      <c r="N171">
        <v>0.5</v>
      </c>
      <c r="O171">
        <v>0.38</v>
      </c>
      <c r="P171">
        <v>3.5</v>
      </c>
      <c r="Q171">
        <v>-4.6875</v>
      </c>
      <c r="R171">
        <v>0</v>
      </c>
      <c r="S171">
        <v>4</v>
      </c>
      <c r="T171">
        <v>0.5</v>
      </c>
      <c r="U171">
        <v>0</v>
      </c>
      <c r="V171">
        <v>0</v>
      </c>
      <c r="W171">
        <v>0</v>
      </c>
      <c r="X171">
        <v>0</v>
      </c>
      <c r="Y171">
        <v>0.5</v>
      </c>
      <c r="Z171">
        <v>0.5</v>
      </c>
    </row>
    <row r="172" spans="1:34">
      <c r="A172" t="s">
        <v>334</v>
      </c>
      <c r="B172">
        <v>96</v>
      </c>
      <c r="C172">
        <v>51.5</v>
      </c>
      <c r="D172">
        <v>4.5</v>
      </c>
      <c r="E172">
        <v>1.6875</v>
      </c>
      <c r="F172" t="s">
        <v>21</v>
      </c>
      <c r="G172">
        <v>1</v>
      </c>
      <c r="H172">
        <v>0</v>
      </c>
      <c r="I172">
        <v>0</v>
      </c>
      <c r="L172" t="s">
        <v>120</v>
      </c>
      <c r="M172" t="s">
        <v>121</v>
      </c>
      <c r="N172">
        <v>0.5</v>
      </c>
      <c r="O172">
        <v>0.38</v>
      </c>
      <c r="P172">
        <v>3.5</v>
      </c>
      <c r="Q172">
        <v>0</v>
      </c>
      <c r="R172">
        <v>2.8125</v>
      </c>
      <c r="S172">
        <v>4</v>
      </c>
      <c r="T172">
        <v>0.5</v>
      </c>
      <c r="U172">
        <v>0</v>
      </c>
      <c r="V172">
        <v>0</v>
      </c>
      <c r="W172">
        <v>0</v>
      </c>
      <c r="X172">
        <v>0</v>
      </c>
      <c r="Y172">
        <v>0.5</v>
      </c>
      <c r="Z172">
        <v>0.5</v>
      </c>
      <c r="AA172">
        <v>11.5</v>
      </c>
      <c r="AB172">
        <v>10.875</v>
      </c>
      <c r="AC172">
        <v>28.94</v>
      </c>
      <c r="AD172">
        <v>13.5</v>
      </c>
      <c r="AE172">
        <v>11</v>
      </c>
      <c r="AF172">
        <v>9.375</v>
      </c>
      <c r="AG172">
        <v>14.5</v>
      </c>
      <c r="AH172">
        <v>14.25</v>
      </c>
    </row>
    <row r="173" spans="1:34">
      <c r="A173" t="s">
        <v>335</v>
      </c>
      <c r="B173">
        <v>78</v>
      </c>
      <c r="C173">
        <v>58.125</v>
      </c>
      <c r="D173">
        <v>1.625</v>
      </c>
      <c r="E173">
        <v>1</v>
      </c>
      <c r="F173" t="s">
        <v>21</v>
      </c>
      <c r="G173">
        <v>1</v>
      </c>
      <c r="H173">
        <v>0</v>
      </c>
      <c r="I173">
        <v>1</v>
      </c>
      <c r="J173">
        <v>0</v>
      </c>
      <c r="K173">
        <v>12</v>
      </c>
      <c r="L173" t="s">
        <v>120</v>
      </c>
      <c r="N173">
        <v>0.5</v>
      </c>
      <c r="O173">
        <v>0.38</v>
      </c>
      <c r="P173">
        <v>3.5</v>
      </c>
      <c r="Q173">
        <v>2.875</v>
      </c>
      <c r="R173">
        <v>3.5</v>
      </c>
      <c r="S173">
        <v>4</v>
      </c>
      <c r="T173">
        <v>0.5</v>
      </c>
      <c r="U173">
        <v>1</v>
      </c>
      <c r="V173">
        <v>1</v>
      </c>
      <c r="W173">
        <v>0</v>
      </c>
      <c r="X173">
        <v>0</v>
      </c>
      <c r="Y173">
        <v>0</v>
      </c>
      <c r="Z173">
        <v>0</v>
      </c>
      <c r="AA173">
        <v>11.5</v>
      </c>
      <c r="AB173">
        <v>10.875</v>
      </c>
      <c r="AC173">
        <v>16.940000000000001</v>
      </c>
      <c r="AD173">
        <v>16.375</v>
      </c>
    </row>
    <row r="174" spans="1:34">
      <c r="A174" t="s">
        <v>336</v>
      </c>
      <c r="B174">
        <v>96</v>
      </c>
      <c r="C174">
        <v>75.9375</v>
      </c>
      <c r="D174">
        <v>1.125</v>
      </c>
      <c r="E174">
        <v>1</v>
      </c>
      <c r="F174" t="s">
        <v>21</v>
      </c>
      <c r="G174">
        <v>1</v>
      </c>
      <c r="H174">
        <v>0</v>
      </c>
      <c r="I174">
        <v>1</v>
      </c>
      <c r="J174">
        <v>0</v>
      </c>
      <c r="K174">
        <v>24</v>
      </c>
      <c r="L174" t="s">
        <v>120</v>
      </c>
      <c r="N174">
        <v>0.5</v>
      </c>
      <c r="O174">
        <v>0.38</v>
      </c>
      <c r="P174">
        <v>3.5</v>
      </c>
      <c r="Q174">
        <v>3.375</v>
      </c>
      <c r="R174">
        <v>3.5</v>
      </c>
      <c r="S174">
        <v>4</v>
      </c>
      <c r="T174">
        <v>0.5</v>
      </c>
      <c r="U174">
        <v>1</v>
      </c>
      <c r="V174">
        <v>1</v>
      </c>
      <c r="W174">
        <v>0</v>
      </c>
      <c r="X174">
        <v>0</v>
      </c>
      <c r="Y174">
        <v>0</v>
      </c>
      <c r="Z174">
        <v>0</v>
      </c>
      <c r="AA174">
        <v>11.5</v>
      </c>
      <c r="AB174">
        <v>10.875</v>
      </c>
      <c r="AC174">
        <v>4.9400000000000004</v>
      </c>
      <c r="AD174">
        <v>16.875</v>
      </c>
    </row>
    <row r="175" spans="1:34">
      <c r="A175" t="s">
        <v>337</v>
      </c>
      <c r="B175">
        <v>78.4375</v>
      </c>
      <c r="C175">
        <v>73.6875</v>
      </c>
      <c r="D175">
        <v>12</v>
      </c>
      <c r="E175">
        <v>3.8125</v>
      </c>
      <c r="F175" t="s">
        <v>21</v>
      </c>
      <c r="G175">
        <v>1</v>
      </c>
      <c r="H175">
        <v>0</v>
      </c>
      <c r="I175">
        <v>1</v>
      </c>
      <c r="J175">
        <v>0</v>
      </c>
      <c r="N175">
        <v>0.5</v>
      </c>
      <c r="O175">
        <v>0.38</v>
      </c>
      <c r="P175">
        <v>3.5</v>
      </c>
      <c r="Q175">
        <v>-7.5</v>
      </c>
      <c r="R175">
        <v>0.6875</v>
      </c>
      <c r="S175">
        <v>4</v>
      </c>
      <c r="T175">
        <v>0.5</v>
      </c>
      <c r="U175">
        <v>0</v>
      </c>
      <c r="V175">
        <v>0</v>
      </c>
      <c r="W175">
        <v>0</v>
      </c>
      <c r="X175">
        <v>0</v>
      </c>
      <c r="Y175">
        <v>0.5</v>
      </c>
      <c r="Z175">
        <v>0.5</v>
      </c>
    </row>
    <row r="176" spans="1:34">
      <c r="A176" t="s">
        <v>338</v>
      </c>
      <c r="B176">
        <v>109</v>
      </c>
      <c r="C176">
        <v>75.375</v>
      </c>
      <c r="D176">
        <v>2.0625</v>
      </c>
      <c r="E176">
        <v>4.5</v>
      </c>
      <c r="F176" t="s">
        <v>21</v>
      </c>
      <c r="G176">
        <v>1</v>
      </c>
      <c r="H176">
        <v>0</v>
      </c>
      <c r="I176">
        <v>1</v>
      </c>
      <c r="J176">
        <v>1</v>
      </c>
      <c r="N176">
        <v>0.5</v>
      </c>
      <c r="O176">
        <v>0.38</v>
      </c>
      <c r="P176">
        <v>3.5</v>
      </c>
      <c r="Q176">
        <v>2.4375</v>
      </c>
      <c r="R176">
        <v>0</v>
      </c>
      <c r="S176">
        <v>4</v>
      </c>
      <c r="T176">
        <v>0.5</v>
      </c>
      <c r="U176">
        <v>1</v>
      </c>
      <c r="V176">
        <v>1</v>
      </c>
      <c r="W176">
        <v>0</v>
      </c>
      <c r="X176">
        <v>0</v>
      </c>
      <c r="Y176">
        <v>0</v>
      </c>
      <c r="Z176">
        <v>0</v>
      </c>
    </row>
    <row r="177" spans="1:30">
      <c r="A177" t="s">
        <v>339</v>
      </c>
      <c r="B177">
        <v>57.375</v>
      </c>
      <c r="C177">
        <v>58.0625</v>
      </c>
      <c r="D177">
        <v>4.5</v>
      </c>
      <c r="E177">
        <v>4.9375</v>
      </c>
      <c r="F177" t="s">
        <v>21</v>
      </c>
      <c r="G177">
        <v>1</v>
      </c>
      <c r="H177">
        <v>1</v>
      </c>
      <c r="I177">
        <v>0</v>
      </c>
      <c r="L177" t="s">
        <v>145</v>
      </c>
      <c r="N177">
        <v>0.5</v>
      </c>
      <c r="O177">
        <v>0.38</v>
      </c>
      <c r="P177">
        <v>3.5</v>
      </c>
      <c r="Q177">
        <v>0</v>
      </c>
      <c r="R177">
        <v>0</v>
      </c>
      <c r="S177">
        <v>4</v>
      </c>
      <c r="T177">
        <v>0.5</v>
      </c>
      <c r="U177">
        <v>0</v>
      </c>
      <c r="V177">
        <v>0</v>
      </c>
      <c r="W177">
        <v>0</v>
      </c>
      <c r="X177">
        <v>0</v>
      </c>
      <c r="Y177">
        <v>0.5</v>
      </c>
      <c r="Z177">
        <v>0.5</v>
      </c>
      <c r="AA177">
        <v>15.5</v>
      </c>
      <c r="AB177">
        <v>28.875</v>
      </c>
      <c r="AC177">
        <v>26</v>
      </c>
      <c r="AD177">
        <v>25.63</v>
      </c>
    </row>
    <row r="178" spans="1:30">
      <c r="A178" t="s">
        <v>340</v>
      </c>
      <c r="B178">
        <v>103.3125</v>
      </c>
      <c r="C178">
        <v>31.3125</v>
      </c>
      <c r="D178">
        <v>2.9375</v>
      </c>
      <c r="E178">
        <v>2.6875</v>
      </c>
      <c r="F178" t="s">
        <v>21</v>
      </c>
      <c r="G178">
        <v>1</v>
      </c>
      <c r="H178">
        <v>1</v>
      </c>
      <c r="I178">
        <v>1</v>
      </c>
      <c r="J178">
        <v>0</v>
      </c>
      <c r="K178">
        <v>12</v>
      </c>
      <c r="N178">
        <v>0.5</v>
      </c>
      <c r="O178">
        <v>0.38</v>
      </c>
      <c r="P178">
        <v>3.5</v>
      </c>
      <c r="Q178">
        <v>1.5625</v>
      </c>
      <c r="R178">
        <v>1.8125</v>
      </c>
      <c r="S178">
        <v>4</v>
      </c>
      <c r="T178">
        <v>0.5</v>
      </c>
      <c r="U178">
        <v>1</v>
      </c>
      <c r="V178">
        <v>1</v>
      </c>
      <c r="W178">
        <v>1</v>
      </c>
      <c r="X178">
        <v>0</v>
      </c>
      <c r="Y178">
        <v>0</v>
      </c>
      <c r="Z178">
        <v>0</v>
      </c>
    </row>
    <row r="179" spans="1:30">
      <c r="A179" t="s">
        <v>341</v>
      </c>
      <c r="B179">
        <v>71.625</v>
      </c>
      <c r="C179">
        <v>69.1875</v>
      </c>
      <c r="D179">
        <v>1</v>
      </c>
      <c r="E179">
        <v>2.5625</v>
      </c>
      <c r="F179" t="s">
        <v>21</v>
      </c>
      <c r="G179">
        <v>1</v>
      </c>
      <c r="H179">
        <v>1</v>
      </c>
      <c r="I179">
        <v>1</v>
      </c>
      <c r="J179">
        <v>0</v>
      </c>
      <c r="K179">
        <v>24</v>
      </c>
      <c r="N179">
        <v>0.5</v>
      </c>
      <c r="O179">
        <v>0.38</v>
      </c>
      <c r="P179">
        <v>3.5</v>
      </c>
      <c r="Q179">
        <v>3.5</v>
      </c>
      <c r="R179">
        <v>1.9375</v>
      </c>
      <c r="S179">
        <v>4</v>
      </c>
      <c r="T179">
        <v>0.5</v>
      </c>
      <c r="U179">
        <v>1</v>
      </c>
      <c r="V179">
        <v>1</v>
      </c>
      <c r="W179">
        <v>1</v>
      </c>
      <c r="X179">
        <v>0</v>
      </c>
      <c r="Y179">
        <v>0</v>
      </c>
      <c r="Z179">
        <v>0</v>
      </c>
    </row>
    <row r="180" spans="1:30">
      <c r="A180" t="s">
        <v>342</v>
      </c>
      <c r="B180">
        <v>96</v>
      </c>
      <c r="C180">
        <v>52.9375</v>
      </c>
      <c r="D180">
        <v>3.8125</v>
      </c>
      <c r="E180">
        <v>1</v>
      </c>
      <c r="F180" t="s">
        <v>21</v>
      </c>
      <c r="G180">
        <v>1</v>
      </c>
      <c r="H180">
        <v>1</v>
      </c>
      <c r="I180">
        <v>1</v>
      </c>
      <c r="J180">
        <v>0</v>
      </c>
      <c r="N180">
        <v>0.5</v>
      </c>
      <c r="O180">
        <v>0.38</v>
      </c>
      <c r="P180">
        <v>3.5</v>
      </c>
      <c r="Q180">
        <v>0.6875</v>
      </c>
      <c r="R180">
        <v>3.5</v>
      </c>
      <c r="S180">
        <v>4</v>
      </c>
      <c r="T180">
        <v>0.5</v>
      </c>
      <c r="U180">
        <v>1</v>
      </c>
      <c r="V180">
        <v>1</v>
      </c>
      <c r="W180">
        <v>1</v>
      </c>
      <c r="X180">
        <v>0</v>
      </c>
      <c r="Y180">
        <v>0</v>
      </c>
      <c r="Z180">
        <v>0</v>
      </c>
    </row>
    <row r="181" spans="1:30">
      <c r="A181" t="s">
        <v>343</v>
      </c>
      <c r="B181">
        <v>105.875</v>
      </c>
      <c r="C181">
        <v>71.8125</v>
      </c>
      <c r="D181">
        <v>1</v>
      </c>
      <c r="E181">
        <v>1.75</v>
      </c>
      <c r="F181" t="s">
        <v>21</v>
      </c>
      <c r="G181">
        <v>1</v>
      </c>
      <c r="H181">
        <v>1</v>
      </c>
      <c r="I181">
        <v>1</v>
      </c>
      <c r="J181">
        <v>1</v>
      </c>
      <c r="N181">
        <v>0.5</v>
      </c>
      <c r="O181">
        <v>0.38</v>
      </c>
      <c r="P181">
        <v>3.5</v>
      </c>
      <c r="Q181">
        <v>3.5</v>
      </c>
      <c r="R181">
        <v>2.75</v>
      </c>
      <c r="S181">
        <v>4</v>
      </c>
      <c r="T181">
        <v>0.5</v>
      </c>
      <c r="U181">
        <v>1</v>
      </c>
      <c r="V181">
        <v>1</v>
      </c>
      <c r="W181">
        <v>1</v>
      </c>
      <c r="X181">
        <v>1</v>
      </c>
      <c r="Y181">
        <v>0</v>
      </c>
      <c r="Z181">
        <v>0</v>
      </c>
    </row>
    <row r="182" spans="1:30">
      <c r="A182" t="s">
        <v>344</v>
      </c>
      <c r="B182">
        <v>33.8125</v>
      </c>
      <c r="C182">
        <v>77.5</v>
      </c>
      <c r="D182">
        <v>4.5</v>
      </c>
      <c r="E182">
        <v>2.375</v>
      </c>
      <c r="F182" t="s">
        <v>156</v>
      </c>
      <c r="G182">
        <v>0</v>
      </c>
      <c r="I182">
        <v>0</v>
      </c>
      <c r="L182" t="s">
        <v>119</v>
      </c>
      <c r="N182">
        <v>0.5</v>
      </c>
      <c r="O182">
        <v>0.38</v>
      </c>
      <c r="P182">
        <v>3.5</v>
      </c>
      <c r="Q182">
        <v>0</v>
      </c>
      <c r="R182">
        <v>2.125</v>
      </c>
      <c r="S182">
        <v>4</v>
      </c>
      <c r="T182">
        <v>0.5</v>
      </c>
      <c r="U182">
        <v>0</v>
      </c>
      <c r="V182">
        <v>0</v>
      </c>
      <c r="W182">
        <v>0</v>
      </c>
      <c r="X182">
        <v>0</v>
      </c>
      <c r="Y182">
        <v>0.5</v>
      </c>
      <c r="Z182">
        <v>0.5</v>
      </c>
    </row>
    <row r="183" spans="1:30">
      <c r="A183" t="s">
        <v>345</v>
      </c>
      <c r="B183">
        <v>5.0625</v>
      </c>
      <c r="C183">
        <v>37.125</v>
      </c>
      <c r="D183">
        <v>4.5</v>
      </c>
      <c r="E183">
        <v>1</v>
      </c>
      <c r="F183" t="s">
        <v>156</v>
      </c>
      <c r="G183">
        <v>0</v>
      </c>
      <c r="I183">
        <v>1</v>
      </c>
      <c r="J183">
        <v>0</v>
      </c>
      <c r="K183">
        <v>12</v>
      </c>
      <c r="N183">
        <v>0.5</v>
      </c>
      <c r="O183">
        <v>0.38</v>
      </c>
      <c r="P183">
        <v>3.5</v>
      </c>
      <c r="Q183">
        <v>0</v>
      </c>
      <c r="R183">
        <v>3.5</v>
      </c>
      <c r="S183">
        <v>4</v>
      </c>
      <c r="T183">
        <v>0.5</v>
      </c>
      <c r="U183">
        <v>0</v>
      </c>
      <c r="V183">
        <v>0</v>
      </c>
      <c r="W183">
        <v>0</v>
      </c>
      <c r="X183">
        <v>0</v>
      </c>
      <c r="Y183">
        <v>0.5</v>
      </c>
      <c r="Z183">
        <v>0.5</v>
      </c>
    </row>
    <row r="184" spans="1:30">
      <c r="A184" t="s">
        <v>346</v>
      </c>
      <c r="B184">
        <v>8.625</v>
      </c>
      <c r="C184">
        <v>48.125</v>
      </c>
      <c r="D184">
        <v>12</v>
      </c>
      <c r="E184">
        <v>2.4375</v>
      </c>
      <c r="F184" t="s">
        <v>156</v>
      </c>
      <c r="G184">
        <v>0</v>
      </c>
      <c r="I184">
        <v>1</v>
      </c>
      <c r="J184">
        <v>0</v>
      </c>
      <c r="K184">
        <v>24</v>
      </c>
      <c r="L184" t="s">
        <v>120</v>
      </c>
      <c r="N184">
        <v>0.5</v>
      </c>
      <c r="O184">
        <v>0.38</v>
      </c>
      <c r="P184">
        <v>3.5</v>
      </c>
      <c r="Q184">
        <v>-7.5</v>
      </c>
      <c r="R184">
        <v>2.0625</v>
      </c>
      <c r="S184">
        <v>4</v>
      </c>
      <c r="T184">
        <v>0.5</v>
      </c>
      <c r="U184">
        <v>0</v>
      </c>
      <c r="V184">
        <v>0</v>
      </c>
      <c r="W184">
        <v>0</v>
      </c>
      <c r="X184">
        <v>0</v>
      </c>
      <c r="Y184">
        <v>0.5</v>
      </c>
      <c r="Z184">
        <v>0.5</v>
      </c>
    </row>
    <row r="185" spans="1:30">
      <c r="A185" t="s">
        <v>347</v>
      </c>
      <c r="B185">
        <v>6.75</v>
      </c>
      <c r="C185">
        <v>75</v>
      </c>
      <c r="D185">
        <v>4.5</v>
      </c>
      <c r="E185">
        <v>2.6875</v>
      </c>
      <c r="F185" t="s">
        <v>156</v>
      </c>
      <c r="G185">
        <v>0</v>
      </c>
      <c r="I185">
        <v>1</v>
      </c>
      <c r="J185">
        <v>0</v>
      </c>
      <c r="N185">
        <v>0.5</v>
      </c>
      <c r="O185">
        <v>0.38</v>
      </c>
      <c r="P185">
        <v>3.5</v>
      </c>
      <c r="Q185">
        <v>0</v>
      </c>
      <c r="R185">
        <v>1.8125</v>
      </c>
      <c r="S185">
        <v>4</v>
      </c>
      <c r="T185">
        <v>0.5</v>
      </c>
      <c r="U185">
        <v>0</v>
      </c>
      <c r="V185">
        <v>0</v>
      </c>
      <c r="W185">
        <v>0</v>
      </c>
      <c r="X185">
        <v>0</v>
      </c>
      <c r="Y185">
        <v>0.5</v>
      </c>
      <c r="Z185">
        <v>0.5</v>
      </c>
    </row>
    <row r="186" spans="1:30">
      <c r="A186" t="s">
        <v>348</v>
      </c>
      <c r="B186">
        <v>43.0625</v>
      </c>
      <c r="C186">
        <v>78.75</v>
      </c>
      <c r="D186">
        <v>12</v>
      </c>
      <c r="E186">
        <v>1</v>
      </c>
      <c r="F186" t="s">
        <v>156</v>
      </c>
      <c r="G186">
        <v>0</v>
      </c>
      <c r="I186">
        <v>1</v>
      </c>
      <c r="J186">
        <v>1</v>
      </c>
      <c r="N186">
        <v>0.5</v>
      </c>
      <c r="O186">
        <v>0.38</v>
      </c>
      <c r="P186">
        <v>3.5</v>
      </c>
      <c r="Q186">
        <v>-7.5</v>
      </c>
      <c r="R186">
        <v>3.5</v>
      </c>
      <c r="S186">
        <v>4</v>
      </c>
      <c r="T186">
        <v>0.5</v>
      </c>
      <c r="U186">
        <v>0</v>
      </c>
      <c r="V186">
        <v>0</v>
      </c>
      <c r="W186">
        <v>0</v>
      </c>
      <c r="X186">
        <v>1</v>
      </c>
      <c r="Y186">
        <v>0.5</v>
      </c>
      <c r="Z186">
        <v>0.5</v>
      </c>
    </row>
    <row r="187" spans="1:30">
      <c r="A187" t="s">
        <v>349</v>
      </c>
      <c r="B187">
        <v>48.375</v>
      </c>
      <c r="C187">
        <v>47.6875</v>
      </c>
      <c r="D187">
        <v>4.5</v>
      </c>
      <c r="E187">
        <v>8.375</v>
      </c>
      <c r="F187" t="s">
        <v>156</v>
      </c>
      <c r="G187">
        <v>1</v>
      </c>
      <c r="H187">
        <v>0</v>
      </c>
      <c r="I187">
        <v>0</v>
      </c>
      <c r="L187" t="s">
        <v>120</v>
      </c>
      <c r="N187">
        <v>0.5</v>
      </c>
      <c r="O187">
        <v>0.38</v>
      </c>
      <c r="P187">
        <v>3.5</v>
      </c>
      <c r="Q187">
        <v>0</v>
      </c>
      <c r="R187">
        <v>0</v>
      </c>
      <c r="S187">
        <v>4</v>
      </c>
      <c r="T187">
        <v>0.5</v>
      </c>
      <c r="U187">
        <v>0</v>
      </c>
      <c r="V187">
        <v>0</v>
      </c>
      <c r="W187">
        <v>0</v>
      </c>
      <c r="X187">
        <v>0</v>
      </c>
      <c r="Y187">
        <v>0.5</v>
      </c>
      <c r="Z187">
        <v>0.5</v>
      </c>
    </row>
    <row r="188" spans="1:30">
      <c r="A188" t="s">
        <v>350</v>
      </c>
      <c r="B188">
        <v>34.375</v>
      </c>
      <c r="C188">
        <v>59.5625</v>
      </c>
      <c r="D188">
        <v>9</v>
      </c>
      <c r="E188">
        <v>2.625</v>
      </c>
      <c r="F188" t="s">
        <v>156</v>
      </c>
      <c r="G188">
        <v>1</v>
      </c>
      <c r="H188">
        <v>0</v>
      </c>
      <c r="I188">
        <v>1</v>
      </c>
      <c r="J188">
        <v>0</v>
      </c>
      <c r="K188">
        <v>12</v>
      </c>
      <c r="L188" t="s">
        <v>150</v>
      </c>
      <c r="N188">
        <v>0.5</v>
      </c>
      <c r="O188">
        <v>0.38</v>
      </c>
      <c r="P188">
        <v>3.5</v>
      </c>
      <c r="Q188">
        <v>-4.5</v>
      </c>
      <c r="R188">
        <v>1.875</v>
      </c>
      <c r="S188">
        <v>4</v>
      </c>
      <c r="T188">
        <v>0.5</v>
      </c>
      <c r="U188">
        <v>0</v>
      </c>
      <c r="V188">
        <v>0</v>
      </c>
      <c r="W188">
        <v>0</v>
      </c>
      <c r="X188">
        <v>0</v>
      </c>
      <c r="Y188">
        <v>0.5</v>
      </c>
      <c r="Z188">
        <v>0.5</v>
      </c>
    </row>
    <row r="189" spans="1:30">
      <c r="A189" t="s">
        <v>351</v>
      </c>
      <c r="B189">
        <v>23.5625</v>
      </c>
      <c r="C189">
        <v>43.9375</v>
      </c>
      <c r="D189">
        <v>9</v>
      </c>
      <c r="E189">
        <v>3.5</v>
      </c>
      <c r="F189" t="s">
        <v>156</v>
      </c>
      <c r="G189">
        <v>1</v>
      </c>
      <c r="H189">
        <v>0</v>
      </c>
      <c r="I189">
        <v>1</v>
      </c>
      <c r="J189">
        <v>0</v>
      </c>
      <c r="K189">
        <v>24</v>
      </c>
      <c r="N189">
        <v>0.5</v>
      </c>
      <c r="O189">
        <v>0.38</v>
      </c>
      <c r="P189">
        <v>3.5</v>
      </c>
      <c r="Q189">
        <v>-4.5</v>
      </c>
      <c r="R189">
        <v>1</v>
      </c>
      <c r="S189">
        <v>4</v>
      </c>
      <c r="T189">
        <v>0.5</v>
      </c>
      <c r="U189">
        <v>0</v>
      </c>
      <c r="V189">
        <v>0</v>
      </c>
      <c r="W189">
        <v>0</v>
      </c>
      <c r="X189">
        <v>0</v>
      </c>
      <c r="Y189">
        <v>0.5</v>
      </c>
      <c r="Z189">
        <v>0.5</v>
      </c>
    </row>
    <row r="190" spans="1:30">
      <c r="A190" t="s">
        <v>352</v>
      </c>
      <c r="B190">
        <v>39.4375</v>
      </c>
      <c r="C190">
        <v>55.5625</v>
      </c>
      <c r="D190">
        <v>9</v>
      </c>
      <c r="E190">
        <v>3.5625</v>
      </c>
      <c r="F190" t="s">
        <v>156</v>
      </c>
      <c r="G190">
        <v>1</v>
      </c>
      <c r="H190">
        <v>0</v>
      </c>
      <c r="I190">
        <v>1</v>
      </c>
      <c r="J190">
        <v>0</v>
      </c>
      <c r="N190">
        <v>0.5</v>
      </c>
      <c r="O190">
        <v>0.38</v>
      </c>
      <c r="P190">
        <v>3.5</v>
      </c>
      <c r="Q190">
        <v>-4.5</v>
      </c>
      <c r="R190">
        <v>0.9375</v>
      </c>
      <c r="S190">
        <v>4</v>
      </c>
      <c r="T190">
        <v>0.5</v>
      </c>
      <c r="U190">
        <v>0</v>
      </c>
      <c r="V190">
        <v>0</v>
      </c>
      <c r="W190">
        <v>0</v>
      </c>
      <c r="X190">
        <v>0</v>
      </c>
      <c r="Y190">
        <v>0.5</v>
      </c>
      <c r="Z190">
        <v>0.5</v>
      </c>
    </row>
    <row r="191" spans="1:30">
      <c r="A191" t="s">
        <v>353</v>
      </c>
      <c r="B191">
        <v>44</v>
      </c>
      <c r="C191">
        <v>60.4375</v>
      </c>
      <c r="D191">
        <v>1</v>
      </c>
      <c r="E191">
        <v>1.4375</v>
      </c>
      <c r="F191" t="s">
        <v>156</v>
      </c>
      <c r="G191">
        <v>1</v>
      </c>
      <c r="H191">
        <v>0</v>
      </c>
      <c r="I191">
        <v>1</v>
      </c>
      <c r="J191">
        <v>1</v>
      </c>
      <c r="N191">
        <v>0.5</v>
      </c>
      <c r="O191">
        <v>0.38</v>
      </c>
      <c r="P191">
        <v>3.5</v>
      </c>
      <c r="Q191">
        <v>3.5</v>
      </c>
      <c r="R191">
        <v>3.0625</v>
      </c>
      <c r="S191">
        <v>4</v>
      </c>
      <c r="T191">
        <v>0.5</v>
      </c>
      <c r="U191">
        <v>0</v>
      </c>
      <c r="V191">
        <v>0</v>
      </c>
      <c r="W191">
        <v>0</v>
      </c>
      <c r="X191">
        <v>1</v>
      </c>
      <c r="Y191">
        <v>0.5</v>
      </c>
      <c r="Z191">
        <v>0.5</v>
      </c>
    </row>
    <row r="192" spans="1:30">
      <c r="A192" t="s">
        <v>354</v>
      </c>
      <c r="B192">
        <v>20.875</v>
      </c>
      <c r="C192">
        <v>55.1875</v>
      </c>
      <c r="D192">
        <v>12</v>
      </c>
      <c r="E192">
        <v>8.375</v>
      </c>
      <c r="F192" t="s">
        <v>156</v>
      </c>
      <c r="G192">
        <v>1</v>
      </c>
      <c r="H192">
        <v>1</v>
      </c>
      <c r="I192">
        <v>0</v>
      </c>
      <c r="L192" t="s">
        <v>119</v>
      </c>
      <c r="N192">
        <v>0.5</v>
      </c>
      <c r="O192">
        <v>0.38</v>
      </c>
      <c r="P192">
        <v>3.5</v>
      </c>
      <c r="Q192">
        <v>-7.5</v>
      </c>
      <c r="R192">
        <v>0</v>
      </c>
      <c r="S192">
        <v>4</v>
      </c>
      <c r="T192">
        <v>0.5</v>
      </c>
      <c r="U192">
        <v>0</v>
      </c>
      <c r="V192">
        <v>0</v>
      </c>
      <c r="W192">
        <v>0</v>
      </c>
      <c r="X192">
        <v>0</v>
      </c>
      <c r="Y192">
        <v>0.5</v>
      </c>
      <c r="Z192">
        <v>0.5</v>
      </c>
    </row>
    <row r="193" spans="1:30">
      <c r="A193" t="s">
        <v>355</v>
      </c>
      <c r="B193">
        <v>21.25</v>
      </c>
      <c r="C193">
        <v>74.4375</v>
      </c>
      <c r="D193">
        <v>1</v>
      </c>
      <c r="E193">
        <v>1.3125</v>
      </c>
      <c r="F193" t="s">
        <v>156</v>
      </c>
      <c r="G193">
        <v>1</v>
      </c>
      <c r="H193">
        <v>1</v>
      </c>
      <c r="I193">
        <v>1</v>
      </c>
      <c r="J193">
        <v>0</v>
      </c>
      <c r="K193">
        <v>12</v>
      </c>
      <c r="L193" t="s">
        <v>120</v>
      </c>
      <c r="N193">
        <v>0.5</v>
      </c>
      <c r="O193">
        <v>0.38</v>
      </c>
      <c r="P193">
        <v>3.5</v>
      </c>
      <c r="Q193">
        <v>3.5</v>
      </c>
      <c r="R193">
        <v>3.1875</v>
      </c>
      <c r="S193">
        <v>4</v>
      </c>
      <c r="T193">
        <v>0.5</v>
      </c>
      <c r="U193">
        <v>0</v>
      </c>
      <c r="V193">
        <v>0</v>
      </c>
      <c r="W193">
        <v>1</v>
      </c>
      <c r="X193">
        <v>0</v>
      </c>
      <c r="Y193">
        <v>0.5</v>
      </c>
      <c r="Z193">
        <v>0.5</v>
      </c>
    </row>
    <row r="194" spans="1:30">
      <c r="A194" t="s">
        <v>356</v>
      </c>
      <c r="B194">
        <v>11.9375</v>
      </c>
      <c r="C194">
        <v>76.1875</v>
      </c>
      <c r="D194">
        <v>12</v>
      </c>
      <c r="E194">
        <v>8</v>
      </c>
      <c r="F194" t="s">
        <v>156</v>
      </c>
      <c r="G194">
        <v>1</v>
      </c>
      <c r="H194">
        <v>1</v>
      </c>
      <c r="I194">
        <v>1</v>
      </c>
      <c r="J194">
        <v>0</v>
      </c>
      <c r="K194">
        <v>24</v>
      </c>
      <c r="L194" t="s">
        <v>120</v>
      </c>
      <c r="N194">
        <v>0.5</v>
      </c>
      <c r="O194">
        <v>0.38</v>
      </c>
      <c r="P194">
        <v>3.5</v>
      </c>
      <c r="Q194">
        <v>-7.5</v>
      </c>
      <c r="R194">
        <v>0</v>
      </c>
      <c r="S194">
        <v>4</v>
      </c>
      <c r="T194">
        <v>0.5</v>
      </c>
      <c r="U194">
        <v>0</v>
      </c>
      <c r="V194">
        <v>0</v>
      </c>
      <c r="W194">
        <v>0</v>
      </c>
      <c r="X194">
        <v>0</v>
      </c>
      <c r="Y194">
        <v>0.5</v>
      </c>
      <c r="Z194">
        <v>0.5</v>
      </c>
    </row>
    <row r="195" spans="1:30">
      <c r="A195" t="s">
        <v>357</v>
      </c>
      <c r="B195">
        <v>32.1875</v>
      </c>
      <c r="C195">
        <v>74.1875</v>
      </c>
      <c r="D195">
        <v>1</v>
      </c>
      <c r="E195">
        <v>3.25</v>
      </c>
      <c r="F195" t="s">
        <v>156</v>
      </c>
      <c r="G195">
        <v>1</v>
      </c>
      <c r="H195">
        <v>1</v>
      </c>
      <c r="I195">
        <v>1</v>
      </c>
      <c r="J195">
        <v>0</v>
      </c>
      <c r="N195">
        <v>0.5</v>
      </c>
      <c r="O195">
        <v>0.38</v>
      </c>
      <c r="P195">
        <v>3.5</v>
      </c>
      <c r="Q195">
        <v>3.5</v>
      </c>
      <c r="R195">
        <v>1.25</v>
      </c>
      <c r="S195">
        <v>4</v>
      </c>
      <c r="T195">
        <v>0.5</v>
      </c>
      <c r="U195">
        <v>0</v>
      </c>
      <c r="V195">
        <v>0</v>
      </c>
      <c r="W195">
        <v>1</v>
      </c>
      <c r="X195">
        <v>0</v>
      </c>
      <c r="Y195">
        <v>0.5</v>
      </c>
      <c r="Z195">
        <v>0.5</v>
      </c>
    </row>
    <row r="196" spans="1:30">
      <c r="A196" t="s">
        <v>358</v>
      </c>
      <c r="B196">
        <v>42.9375</v>
      </c>
      <c r="C196">
        <v>69.0625</v>
      </c>
      <c r="D196">
        <v>6.75</v>
      </c>
      <c r="E196">
        <v>2.1875</v>
      </c>
      <c r="F196" t="s">
        <v>156</v>
      </c>
      <c r="G196">
        <v>1</v>
      </c>
      <c r="H196">
        <v>1</v>
      </c>
      <c r="I196">
        <v>1</v>
      </c>
      <c r="J196">
        <v>1</v>
      </c>
      <c r="N196">
        <v>0.5</v>
      </c>
      <c r="O196">
        <v>0.38</v>
      </c>
      <c r="P196">
        <v>3.5</v>
      </c>
      <c r="Q196">
        <v>-2.25</v>
      </c>
      <c r="R196">
        <v>2.3125</v>
      </c>
      <c r="S196">
        <v>4</v>
      </c>
      <c r="T196">
        <v>0.5</v>
      </c>
      <c r="U196">
        <v>0</v>
      </c>
      <c r="V196">
        <v>0</v>
      </c>
      <c r="W196">
        <v>1</v>
      </c>
      <c r="X196">
        <v>1</v>
      </c>
      <c r="Y196">
        <v>0.5</v>
      </c>
      <c r="Z196">
        <v>0.5</v>
      </c>
    </row>
    <row r="197" spans="1:30">
      <c r="A197" t="s">
        <v>359</v>
      </c>
      <c r="B197">
        <v>60</v>
      </c>
      <c r="C197">
        <v>42.6875</v>
      </c>
      <c r="D197">
        <v>4.5</v>
      </c>
      <c r="E197">
        <v>2.25</v>
      </c>
      <c r="F197" t="s">
        <v>157</v>
      </c>
      <c r="G197">
        <v>0</v>
      </c>
      <c r="I197">
        <v>0</v>
      </c>
      <c r="L197" t="s">
        <v>35</v>
      </c>
      <c r="N197">
        <v>0.5</v>
      </c>
      <c r="O197">
        <v>0.38</v>
      </c>
      <c r="P197">
        <v>3.5</v>
      </c>
      <c r="Q197">
        <v>0</v>
      </c>
      <c r="R197">
        <v>2.25</v>
      </c>
      <c r="S197">
        <v>4</v>
      </c>
      <c r="T197">
        <v>0.5</v>
      </c>
      <c r="U197">
        <v>0</v>
      </c>
      <c r="V197">
        <v>0</v>
      </c>
      <c r="W197">
        <v>0</v>
      </c>
      <c r="X197">
        <v>0</v>
      </c>
      <c r="Y197">
        <v>0.5</v>
      </c>
      <c r="Z197">
        <v>0.5</v>
      </c>
      <c r="AA197">
        <v>15.5</v>
      </c>
      <c r="AB197">
        <v>28.875</v>
      </c>
      <c r="AC197">
        <v>26</v>
      </c>
      <c r="AD197">
        <v>25.63</v>
      </c>
    </row>
    <row r="198" spans="1:30">
      <c r="A198" t="s">
        <v>360</v>
      </c>
      <c r="B198">
        <v>60</v>
      </c>
      <c r="C198">
        <v>57.0625</v>
      </c>
      <c r="D198">
        <v>2.75</v>
      </c>
      <c r="E198">
        <v>8.25</v>
      </c>
      <c r="F198" t="s">
        <v>157</v>
      </c>
      <c r="G198">
        <v>0</v>
      </c>
      <c r="I198">
        <v>1</v>
      </c>
      <c r="J198">
        <v>0</v>
      </c>
      <c r="K198">
        <v>12</v>
      </c>
      <c r="L198" t="s">
        <v>150</v>
      </c>
      <c r="N198">
        <v>0.5</v>
      </c>
      <c r="O198">
        <v>0.38</v>
      </c>
      <c r="P198">
        <v>3.5</v>
      </c>
      <c r="Q198">
        <v>1.75</v>
      </c>
      <c r="R198">
        <v>0</v>
      </c>
      <c r="S198">
        <v>4</v>
      </c>
      <c r="T198">
        <v>0.5</v>
      </c>
      <c r="U198">
        <v>0</v>
      </c>
      <c r="V198">
        <v>1</v>
      </c>
      <c r="W198">
        <v>0</v>
      </c>
      <c r="X198">
        <v>0</v>
      </c>
      <c r="Y198">
        <v>0.5</v>
      </c>
      <c r="Z198">
        <v>0</v>
      </c>
      <c r="AA198">
        <v>15.5</v>
      </c>
      <c r="AB198">
        <v>28.875</v>
      </c>
      <c r="AC198">
        <v>9</v>
      </c>
      <c r="AD198">
        <v>15.25</v>
      </c>
    </row>
    <row r="199" spans="1:30">
      <c r="A199" t="s">
        <v>361</v>
      </c>
      <c r="B199">
        <v>60</v>
      </c>
      <c r="C199">
        <v>44.125</v>
      </c>
      <c r="D199">
        <v>1</v>
      </c>
      <c r="E199">
        <v>2.6875</v>
      </c>
      <c r="F199" t="s">
        <v>157</v>
      </c>
      <c r="G199">
        <v>0</v>
      </c>
      <c r="I199">
        <v>1</v>
      </c>
      <c r="J199">
        <v>0</v>
      </c>
      <c r="K199">
        <v>24</v>
      </c>
      <c r="L199" t="s">
        <v>120</v>
      </c>
      <c r="N199">
        <v>0.5</v>
      </c>
      <c r="O199">
        <v>0.38</v>
      </c>
      <c r="P199">
        <v>3.5</v>
      </c>
      <c r="Q199">
        <v>3.5</v>
      </c>
      <c r="R199">
        <v>1.8125</v>
      </c>
      <c r="S199">
        <v>4</v>
      </c>
      <c r="T199">
        <v>0.5</v>
      </c>
      <c r="U199">
        <v>0</v>
      </c>
      <c r="V199">
        <v>1</v>
      </c>
      <c r="W199">
        <v>0</v>
      </c>
      <c r="X199">
        <v>0</v>
      </c>
      <c r="Y199">
        <v>0.5</v>
      </c>
      <c r="Z199">
        <v>0</v>
      </c>
      <c r="AA199">
        <v>11.5</v>
      </c>
      <c r="AB199">
        <v>10.875</v>
      </c>
      <c r="AC199">
        <v>4.9400000000000004</v>
      </c>
      <c r="AD199">
        <v>17</v>
      </c>
    </row>
    <row r="200" spans="1:30">
      <c r="A200" t="s">
        <v>362</v>
      </c>
      <c r="B200">
        <v>60</v>
      </c>
      <c r="C200">
        <v>25.3125</v>
      </c>
      <c r="D200">
        <v>12</v>
      </c>
      <c r="E200">
        <v>4.9375</v>
      </c>
      <c r="F200" t="s">
        <v>157</v>
      </c>
      <c r="G200">
        <v>0</v>
      </c>
      <c r="I200">
        <v>1</v>
      </c>
      <c r="J200">
        <v>0</v>
      </c>
      <c r="N200">
        <v>0.5</v>
      </c>
      <c r="O200">
        <v>0.38</v>
      </c>
      <c r="P200">
        <v>3.5</v>
      </c>
      <c r="Q200">
        <v>-7.5</v>
      </c>
      <c r="R200">
        <v>0</v>
      </c>
      <c r="S200">
        <v>4</v>
      </c>
      <c r="T200">
        <v>0.5</v>
      </c>
      <c r="U200">
        <v>0</v>
      </c>
      <c r="V200">
        <v>0</v>
      </c>
      <c r="W200">
        <v>0</v>
      </c>
      <c r="X200">
        <v>0</v>
      </c>
      <c r="Y200">
        <v>0.5</v>
      </c>
      <c r="Z200">
        <v>0.5</v>
      </c>
    </row>
    <row r="201" spans="1:30">
      <c r="A201" t="s">
        <v>363</v>
      </c>
      <c r="B201">
        <v>60</v>
      </c>
      <c r="C201">
        <v>45.25</v>
      </c>
      <c r="D201">
        <v>1</v>
      </c>
      <c r="E201">
        <v>4.375</v>
      </c>
      <c r="F201" t="s">
        <v>157</v>
      </c>
      <c r="G201">
        <v>0</v>
      </c>
      <c r="I201">
        <v>1</v>
      </c>
      <c r="J201">
        <v>1</v>
      </c>
      <c r="N201">
        <v>0.5</v>
      </c>
      <c r="O201">
        <v>0.38</v>
      </c>
      <c r="P201">
        <v>3.5</v>
      </c>
      <c r="Q201">
        <v>3.5</v>
      </c>
      <c r="R201">
        <v>0.125</v>
      </c>
      <c r="S201">
        <v>4</v>
      </c>
      <c r="T201">
        <v>0.5</v>
      </c>
      <c r="U201">
        <v>0</v>
      </c>
      <c r="V201">
        <v>1</v>
      </c>
      <c r="W201">
        <v>0</v>
      </c>
      <c r="X201">
        <v>0</v>
      </c>
      <c r="Y201">
        <v>0.5</v>
      </c>
      <c r="Z201">
        <v>0</v>
      </c>
    </row>
    <row r="202" spans="1:30">
      <c r="A202" t="s">
        <v>364</v>
      </c>
      <c r="B202">
        <v>60</v>
      </c>
      <c r="C202">
        <v>52.75</v>
      </c>
      <c r="D202">
        <v>9</v>
      </c>
      <c r="E202">
        <v>1</v>
      </c>
      <c r="F202" t="s">
        <v>157</v>
      </c>
      <c r="G202">
        <v>1</v>
      </c>
      <c r="H202">
        <v>0</v>
      </c>
      <c r="I202">
        <v>0</v>
      </c>
      <c r="L202" t="s">
        <v>35</v>
      </c>
      <c r="N202">
        <v>0.5</v>
      </c>
      <c r="O202">
        <v>0.38</v>
      </c>
      <c r="P202">
        <v>3.5</v>
      </c>
      <c r="Q202">
        <v>-4.5</v>
      </c>
      <c r="R202">
        <v>3.5</v>
      </c>
      <c r="S202">
        <v>4</v>
      </c>
      <c r="T202">
        <v>0.5</v>
      </c>
      <c r="U202">
        <v>0</v>
      </c>
      <c r="V202">
        <v>0</v>
      </c>
      <c r="W202">
        <v>0</v>
      </c>
      <c r="X202">
        <v>0</v>
      </c>
      <c r="Y202">
        <v>0.5</v>
      </c>
      <c r="Z202">
        <v>0.5</v>
      </c>
      <c r="AA202">
        <v>15.5</v>
      </c>
      <c r="AB202">
        <v>28.875</v>
      </c>
      <c r="AC202">
        <v>26</v>
      </c>
      <c r="AD202">
        <v>21.13</v>
      </c>
    </row>
    <row r="203" spans="1:30">
      <c r="A203" t="s">
        <v>365</v>
      </c>
      <c r="B203">
        <v>60</v>
      </c>
      <c r="C203">
        <v>68.3125</v>
      </c>
      <c r="D203">
        <v>9.4375</v>
      </c>
      <c r="E203">
        <v>2.1875</v>
      </c>
      <c r="F203" t="s">
        <v>157</v>
      </c>
      <c r="G203">
        <v>1</v>
      </c>
      <c r="H203">
        <v>0</v>
      </c>
      <c r="I203">
        <v>1</v>
      </c>
      <c r="J203">
        <v>0</v>
      </c>
      <c r="K203">
        <v>12</v>
      </c>
      <c r="L203" t="s">
        <v>35</v>
      </c>
      <c r="N203">
        <v>0.5</v>
      </c>
      <c r="O203">
        <v>0.38</v>
      </c>
      <c r="P203">
        <v>3.5</v>
      </c>
      <c r="Q203">
        <v>-4.9375</v>
      </c>
      <c r="R203">
        <v>2.3125</v>
      </c>
      <c r="S203">
        <v>4</v>
      </c>
      <c r="T203">
        <v>0.5</v>
      </c>
      <c r="U203">
        <v>0</v>
      </c>
      <c r="V203">
        <v>0</v>
      </c>
      <c r="W203">
        <v>0</v>
      </c>
      <c r="X203">
        <v>0</v>
      </c>
      <c r="Y203">
        <v>0.5</v>
      </c>
      <c r="Z203">
        <v>0.5</v>
      </c>
      <c r="AA203">
        <v>15.5</v>
      </c>
      <c r="AB203">
        <v>28.875</v>
      </c>
      <c r="AC203">
        <v>14</v>
      </c>
      <c r="AD203">
        <v>20.692499999999999</v>
      </c>
    </row>
    <row r="204" spans="1:30">
      <c r="A204" t="s">
        <v>366</v>
      </c>
      <c r="B204">
        <v>60</v>
      </c>
      <c r="C204">
        <v>75.5</v>
      </c>
      <c r="D204">
        <v>10.75</v>
      </c>
      <c r="E204">
        <v>4.375</v>
      </c>
      <c r="F204" t="s">
        <v>157</v>
      </c>
      <c r="G204">
        <v>1</v>
      </c>
      <c r="H204">
        <v>0</v>
      </c>
      <c r="I204">
        <v>1</v>
      </c>
      <c r="J204">
        <v>0</v>
      </c>
      <c r="K204">
        <v>24</v>
      </c>
      <c r="L204" t="s">
        <v>120</v>
      </c>
      <c r="N204">
        <v>0.5</v>
      </c>
      <c r="O204">
        <v>0.38</v>
      </c>
      <c r="P204">
        <v>3.5</v>
      </c>
      <c r="Q204">
        <v>-6.25</v>
      </c>
      <c r="R204">
        <v>0.125</v>
      </c>
      <c r="S204">
        <v>4</v>
      </c>
      <c r="T204">
        <v>0.5</v>
      </c>
      <c r="U204">
        <v>0</v>
      </c>
      <c r="V204">
        <v>0</v>
      </c>
      <c r="W204">
        <v>0</v>
      </c>
      <c r="X204">
        <v>0</v>
      </c>
      <c r="Y204">
        <v>0.5</v>
      </c>
      <c r="Z204">
        <v>0.5</v>
      </c>
      <c r="AA204">
        <v>11.5</v>
      </c>
      <c r="AB204">
        <v>10.875</v>
      </c>
      <c r="AC204">
        <v>4.9400000000000004</v>
      </c>
      <c r="AD204">
        <v>7.25</v>
      </c>
    </row>
    <row r="205" spans="1:30">
      <c r="A205" t="s">
        <v>367</v>
      </c>
      <c r="B205">
        <v>60</v>
      </c>
      <c r="C205">
        <v>51.125</v>
      </c>
      <c r="D205">
        <v>4.5</v>
      </c>
      <c r="E205">
        <v>1</v>
      </c>
      <c r="F205" t="s">
        <v>157</v>
      </c>
      <c r="G205">
        <v>1</v>
      </c>
      <c r="H205">
        <v>0</v>
      </c>
      <c r="I205">
        <v>1</v>
      </c>
      <c r="J205">
        <v>0</v>
      </c>
      <c r="N205">
        <v>0.5</v>
      </c>
      <c r="O205">
        <v>0.38</v>
      </c>
      <c r="P205">
        <v>3.5</v>
      </c>
      <c r="Q205">
        <v>0</v>
      </c>
      <c r="R205">
        <v>3.5</v>
      </c>
      <c r="S205">
        <v>4</v>
      </c>
      <c r="T205">
        <v>0.5</v>
      </c>
      <c r="U205">
        <v>0</v>
      </c>
      <c r="V205">
        <v>0</v>
      </c>
      <c r="W205">
        <v>0</v>
      </c>
      <c r="X205">
        <v>0</v>
      </c>
      <c r="Y205">
        <v>0.5</v>
      </c>
      <c r="Z205">
        <v>0.5</v>
      </c>
    </row>
    <row r="206" spans="1:30">
      <c r="A206" t="s">
        <v>368</v>
      </c>
      <c r="B206">
        <v>60</v>
      </c>
      <c r="C206">
        <v>42.5625</v>
      </c>
      <c r="D206">
        <v>1</v>
      </c>
      <c r="E206">
        <v>3.375</v>
      </c>
      <c r="F206" t="s">
        <v>157</v>
      </c>
      <c r="G206">
        <v>1</v>
      </c>
      <c r="H206">
        <v>0</v>
      </c>
      <c r="I206">
        <v>1</v>
      </c>
      <c r="J206">
        <v>1</v>
      </c>
      <c r="N206">
        <v>0.5</v>
      </c>
      <c r="O206">
        <v>0.38</v>
      </c>
      <c r="P206">
        <v>3.5</v>
      </c>
      <c r="Q206">
        <v>3.5</v>
      </c>
      <c r="R206">
        <v>1.125</v>
      </c>
      <c r="S206">
        <v>4</v>
      </c>
      <c r="T206">
        <v>0.5</v>
      </c>
      <c r="U206">
        <v>1</v>
      </c>
      <c r="V206">
        <v>1</v>
      </c>
      <c r="W206">
        <v>0</v>
      </c>
      <c r="X206">
        <v>0</v>
      </c>
      <c r="Y206">
        <v>0</v>
      </c>
      <c r="Z206">
        <v>0</v>
      </c>
    </row>
    <row r="207" spans="1:30">
      <c r="A207" t="s">
        <v>369</v>
      </c>
      <c r="B207">
        <v>60</v>
      </c>
      <c r="C207">
        <v>79.5625</v>
      </c>
      <c r="D207">
        <v>9</v>
      </c>
      <c r="E207">
        <v>1</v>
      </c>
      <c r="F207" t="s">
        <v>157</v>
      </c>
      <c r="G207">
        <v>1</v>
      </c>
      <c r="H207">
        <v>1</v>
      </c>
      <c r="I207">
        <v>0</v>
      </c>
      <c r="L207" t="s">
        <v>119</v>
      </c>
      <c r="N207">
        <v>0.5</v>
      </c>
      <c r="O207">
        <v>0.38</v>
      </c>
      <c r="P207">
        <v>3.5</v>
      </c>
      <c r="Q207">
        <v>-4.5</v>
      </c>
      <c r="R207">
        <v>3.5</v>
      </c>
      <c r="S207">
        <v>4</v>
      </c>
      <c r="T207">
        <v>0.5</v>
      </c>
      <c r="U207">
        <v>0</v>
      </c>
      <c r="V207">
        <v>0</v>
      </c>
      <c r="W207">
        <v>0</v>
      </c>
      <c r="X207">
        <v>0</v>
      </c>
      <c r="Y207">
        <v>0.5</v>
      </c>
      <c r="Z207">
        <v>0.5</v>
      </c>
      <c r="AA207">
        <v>11</v>
      </c>
      <c r="AB207">
        <v>15.5</v>
      </c>
      <c r="AC207">
        <v>14.5</v>
      </c>
      <c r="AD207">
        <v>5.75</v>
      </c>
    </row>
    <row r="208" spans="1:30">
      <c r="A208" t="s">
        <v>370</v>
      </c>
      <c r="B208">
        <v>60</v>
      </c>
      <c r="C208">
        <v>54.625</v>
      </c>
      <c r="D208">
        <v>3.5</v>
      </c>
      <c r="E208">
        <v>2.8125</v>
      </c>
      <c r="F208" t="s">
        <v>157</v>
      </c>
      <c r="G208">
        <v>1</v>
      </c>
      <c r="H208">
        <v>1</v>
      </c>
      <c r="I208">
        <v>1</v>
      </c>
      <c r="J208">
        <v>0</v>
      </c>
      <c r="K208">
        <v>12</v>
      </c>
      <c r="N208">
        <v>0.5</v>
      </c>
      <c r="O208">
        <v>0.38</v>
      </c>
      <c r="P208">
        <v>3.5</v>
      </c>
      <c r="Q208">
        <v>1</v>
      </c>
      <c r="R208">
        <v>1.6875</v>
      </c>
      <c r="S208">
        <v>4</v>
      </c>
      <c r="T208">
        <v>0.5</v>
      </c>
      <c r="U208">
        <v>1</v>
      </c>
      <c r="V208">
        <v>1</v>
      </c>
      <c r="W208">
        <v>0</v>
      </c>
      <c r="X208">
        <v>0</v>
      </c>
      <c r="Y208">
        <v>0</v>
      </c>
      <c r="Z208">
        <v>0</v>
      </c>
    </row>
    <row r="209" spans="1:34">
      <c r="A209" t="s">
        <v>371</v>
      </c>
      <c r="B209">
        <v>60</v>
      </c>
      <c r="C209">
        <v>71.625</v>
      </c>
      <c r="D209">
        <v>12</v>
      </c>
      <c r="E209">
        <v>3.4375</v>
      </c>
      <c r="F209" t="s">
        <v>157</v>
      </c>
      <c r="G209">
        <v>1</v>
      </c>
      <c r="H209">
        <v>1</v>
      </c>
      <c r="I209">
        <v>1</v>
      </c>
      <c r="J209">
        <v>0</v>
      </c>
      <c r="K209">
        <v>24</v>
      </c>
      <c r="L209" t="s">
        <v>120</v>
      </c>
      <c r="N209">
        <v>0.5</v>
      </c>
      <c r="O209">
        <v>0.38</v>
      </c>
      <c r="P209">
        <v>3.5</v>
      </c>
      <c r="Q209">
        <v>-7.5</v>
      </c>
      <c r="R209">
        <v>1.0625</v>
      </c>
      <c r="S209">
        <v>4</v>
      </c>
      <c r="T209">
        <v>0.5</v>
      </c>
      <c r="U209">
        <v>0</v>
      </c>
      <c r="V209">
        <v>0</v>
      </c>
      <c r="W209">
        <v>0</v>
      </c>
      <c r="X209">
        <v>0</v>
      </c>
      <c r="Y209">
        <v>0.5</v>
      </c>
      <c r="Z209">
        <v>0.5</v>
      </c>
      <c r="AA209">
        <v>11.5</v>
      </c>
      <c r="AB209">
        <v>10.875</v>
      </c>
      <c r="AC209">
        <v>4.9400000000000004</v>
      </c>
      <c r="AD209">
        <v>6</v>
      </c>
    </row>
    <row r="210" spans="1:34">
      <c r="A210" t="s">
        <v>372</v>
      </c>
      <c r="B210">
        <v>60</v>
      </c>
      <c r="C210">
        <v>52.1875</v>
      </c>
      <c r="D210">
        <v>12</v>
      </c>
      <c r="E210">
        <v>4.4375</v>
      </c>
      <c r="F210" t="s">
        <v>157</v>
      </c>
      <c r="G210">
        <v>1</v>
      </c>
      <c r="H210">
        <v>1</v>
      </c>
      <c r="I210">
        <v>1</v>
      </c>
      <c r="J210">
        <v>0</v>
      </c>
      <c r="N210">
        <v>0.5</v>
      </c>
      <c r="O210">
        <v>0.38</v>
      </c>
      <c r="P210">
        <v>3.5</v>
      </c>
      <c r="Q210">
        <v>-7.5</v>
      </c>
      <c r="R210">
        <v>6.25E-2</v>
      </c>
      <c r="S210">
        <v>4</v>
      </c>
      <c r="T210">
        <v>0.5</v>
      </c>
      <c r="U210">
        <v>0</v>
      </c>
      <c r="V210">
        <v>0</v>
      </c>
      <c r="W210">
        <v>0</v>
      </c>
      <c r="X210">
        <v>0</v>
      </c>
      <c r="Y210">
        <v>0.5</v>
      </c>
      <c r="Z210">
        <v>0.5</v>
      </c>
    </row>
    <row r="211" spans="1:34">
      <c r="A211" t="s">
        <v>373</v>
      </c>
      <c r="B211">
        <v>60</v>
      </c>
      <c r="C211">
        <v>74.5625</v>
      </c>
      <c r="D211">
        <v>4.5</v>
      </c>
      <c r="E211">
        <v>4.3125</v>
      </c>
      <c r="F211" t="s">
        <v>157</v>
      </c>
      <c r="G211">
        <v>1</v>
      </c>
      <c r="H211">
        <v>1</v>
      </c>
      <c r="I211">
        <v>1</v>
      </c>
      <c r="J211">
        <v>1</v>
      </c>
      <c r="N211">
        <v>0.5</v>
      </c>
      <c r="O211">
        <v>0.38</v>
      </c>
      <c r="P211">
        <v>3.5</v>
      </c>
      <c r="Q211">
        <v>0</v>
      </c>
      <c r="R211">
        <v>0.1875</v>
      </c>
      <c r="S211">
        <v>4</v>
      </c>
      <c r="T211">
        <v>0.5</v>
      </c>
      <c r="U211">
        <v>0</v>
      </c>
      <c r="V211">
        <v>0</v>
      </c>
      <c r="W211">
        <v>0</v>
      </c>
      <c r="X211">
        <v>0</v>
      </c>
      <c r="Y211">
        <v>0.5</v>
      </c>
      <c r="Z211">
        <v>0.5</v>
      </c>
    </row>
    <row r="212" spans="1:34">
      <c r="A212" t="s">
        <v>374</v>
      </c>
      <c r="B212">
        <v>38.625</v>
      </c>
      <c r="C212">
        <v>5.375</v>
      </c>
      <c r="D212">
        <v>8.125</v>
      </c>
      <c r="E212">
        <v>7.25</v>
      </c>
      <c r="F212" t="s">
        <v>21</v>
      </c>
      <c r="G212">
        <v>0</v>
      </c>
      <c r="I212">
        <v>0</v>
      </c>
      <c r="N212">
        <v>0.5</v>
      </c>
      <c r="O212">
        <v>0.38</v>
      </c>
      <c r="P212">
        <v>3.5</v>
      </c>
      <c r="Q212">
        <v>-3.625</v>
      </c>
      <c r="R212">
        <v>0</v>
      </c>
      <c r="S212">
        <v>4</v>
      </c>
      <c r="T212">
        <v>0.5</v>
      </c>
      <c r="U212">
        <v>0</v>
      </c>
      <c r="V212">
        <v>0</v>
      </c>
      <c r="W212">
        <v>0</v>
      </c>
      <c r="X212">
        <v>0</v>
      </c>
      <c r="Y212">
        <v>0.5</v>
      </c>
      <c r="Z212">
        <v>0.5</v>
      </c>
    </row>
    <row r="213" spans="1:34">
      <c r="A213" t="s">
        <v>375</v>
      </c>
      <c r="B213">
        <v>96</v>
      </c>
      <c r="C213">
        <v>49.0625</v>
      </c>
      <c r="D213">
        <v>12</v>
      </c>
      <c r="E213">
        <v>1</v>
      </c>
      <c r="F213" t="s">
        <v>21</v>
      </c>
      <c r="G213">
        <v>0</v>
      </c>
      <c r="I213">
        <v>1</v>
      </c>
      <c r="J213">
        <v>0</v>
      </c>
      <c r="K213">
        <v>12</v>
      </c>
      <c r="L213" t="s">
        <v>120</v>
      </c>
      <c r="N213">
        <v>0.5</v>
      </c>
      <c r="O213">
        <v>0.38</v>
      </c>
      <c r="P213">
        <v>3.5</v>
      </c>
      <c r="Q213">
        <v>-7.5</v>
      </c>
      <c r="R213">
        <v>3.5</v>
      </c>
      <c r="S213">
        <v>4</v>
      </c>
      <c r="T213">
        <v>0.5</v>
      </c>
      <c r="U213">
        <v>0</v>
      </c>
      <c r="V213">
        <v>0</v>
      </c>
      <c r="W213">
        <v>0</v>
      </c>
      <c r="X213">
        <v>0</v>
      </c>
      <c r="Y213">
        <v>0.5</v>
      </c>
      <c r="Z213">
        <v>0.5</v>
      </c>
      <c r="AA213">
        <v>11.5</v>
      </c>
      <c r="AB213">
        <v>10.875</v>
      </c>
      <c r="AC213">
        <v>16.940000000000001</v>
      </c>
      <c r="AD213">
        <v>6</v>
      </c>
    </row>
    <row r="214" spans="1:34">
      <c r="A214" t="s">
        <v>376</v>
      </c>
      <c r="B214">
        <v>64.625</v>
      </c>
      <c r="C214">
        <v>61.125</v>
      </c>
      <c r="D214">
        <v>1</v>
      </c>
      <c r="E214">
        <v>3.0625</v>
      </c>
      <c r="F214" t="s">
        <v>21</v>
      </c>
      <c r="G214">
        <v>0</v>
      </c>
      <c r="I214">
        <v>1</v>
      </c>
      <c r="J214">
        <v>0</v>
      </c>
      <c r="K214">
        <v>24</v>
      </c>
      <c r="L214" t="s">
        <v>120</v>
      </c>
      <c r="N214">
        <v>0.5</v>
      </c>
      <c r="O214">
        <v>0.38</v>
      </c>
      <c r="P214">
        <v>3.5</v>
      </c>
      <c r="Q214">
        <v>3.5</v>
      </c>
      <c r="R214">
        <v>1.4375</v>
      </c>
      <c r="S214">
        <v>4</v>
      </c>
      <c r="T214">
        <v>0.5</v>
      </c>
      <c r="U214">
        <v>0</v>
      </c>
      <c r="V214">
        <v>1</v>
      </c>
      <c r="W214">
        <v>0</v>
      </c>
      <c r="X214">
        <v>0</v>
      </c>
      <c r="Y214">
        <v>0.5</v>
      </c>
      <c r="Z214">
        <v>0</v>
      </c>
      <c r="AA214">
        <v>11.5</v>
      </c>
      <c r="AB214">
        <v>10.875</v>
      </c>
      <c r="AC214">
        <v>4.9400000000000004</v>
      </c>
      <c r="AD214">
        <v>17</v>
      </c>
    </row>
    <row r="215" spans="1:34">
      <c r="A215" t="s">
        <v>377</v>
      </c>
      <c r="B215">
        <v>96</v>
      </c>
      <c r="C215">
        <v>46.6875</v>
      </c>
      <c r="D215">
        <v>1</v>
      </c>
      <c r="E215">
        <v>4.875</v>
      </c>
      <c r="F215" t="s">
        <v>21</v>
      </c>
      <c r="G215">
        <v>0</v>
      </c>
      <c r="I215">
        <v>1</v>
      </c>
      <c r="J215">
        <v>0</v>
      </c>
      <c r="N215">
        <v>0.5</v>
      </c>
      <c r="O215">
        <v>0.38</v>
      </c>
      <c r="P215">
        <v>3.5</v>
      </c>
      <c r="Q215">
        <v>3.5</v>
      </c>
      <c r="R215">
        <v>0</v>
      </c>
      <c r="S215">
        <v>4</v>
      </c>
      <c r="T215">
        <v>0.5</v>
      </c>
      <c r="U215">
        <v>0</v>
      </c>
      <c r="V215">
        <v>1</v>
      </c>
      <c r="W215">
        <v>0</v>
      </c>
      <c r="X215">
        <v>0</v>
      </c>
      <c r="Y215">
        <v>0.5</v>
      </c>
      <c r="Z215">
        <v>0</v>
      </c>
    </row>
    <row r="216" spans="1:34">
      <c r="A216" t="s">
        <v>378</v>
      </c>
      <c r="B216">
        <v>91.875</v>
      </c>
      <c r="C216">
        <v>26.25</v>
      </c>
      <c r="D216">
        <v>4.5</v>
      </c>
      <c r="E216">
        <v>2.25</v>
      </c>
      <c r="F216" t="s">
        <v>21</v>
      </c>
      <c r="G216">
        <v>0</v>
      </c>
      <c r="I216">
        <v>1</v>
      </c>
      <c r="J216">
        <v>1</v>
      </c>
      <c r="N216">
        <v>0.5</v>
      </c>
      <c r="O216">
        <v>0.38</v>
      </c>
      <c r="P216">
        <v>3.5</v>
      </c>
      <c r="Q216">
        <v>0</v>
      </c>
      <c r="R216">
        <v>2.25</v>
      </c>
      <c r="S216">
        <v>4</v>
      </c>
      <c r="T216">
        <v>0.5</v>
      </c>
      <c r="U216">
        <v>0</v>
      </c>
      <c r="V216">
        <v>0</v>
      </c>
      <c r="W216">
        <v>0</v>
      </c>
      <c r="X216">
        <v>1</v>
      </c>
      <c r="Y216">
        <v>0.5</v>
      </c>
      <c r="Z216">
        <v>0.5</v>
      </c>
    </row>
    <row r="217" spans="1:34">
      <c r="A217" t="s">
        <v>379</v>
      </c>
      <c r="B217">
        <v>96</v>
      </c>
      <c r="C217">
        <v>59.375</v>
      </c>
      <c r="D217">
        <v>12</v>
      </c>
      <c r="E217">
        <v>5.125</v>
      </c>
      <c r="F217" t="s">
        <v>21</v>
      </c>
      <c r="G217">
        <v>1</v>
      </c>
      <c r="H217">
        <v>0</v>
      </c>
      <c r="I217">
        <v>0</v>
      </c>
      <c r="L217" t="s">
        <v>119</v>
      </c>
      <c r="M217" t="s">
        <v>120</v>
      </c>
      <c r="N217">
        <v>0.5</v>
      </c>
      <c r="O217">
        <v>0.38</v>
      </c>
      <c r="P217">
        <v>3.5</v>
      </c>
      <c r="Q217">
        <v>-7.5</v>
      </c>
      <c r="R217">
        <v>0</v>
      </c>
      <c r="S217">
        <v>4</v>
      </c>
      <c r="T217">
        <v>0.5</v>
      </c>
      <c r="U217">
        <v>0</v>
      </c>
      <c r="V217">
        <v>0</v>
      </c>
      <c r="W217">
        <v>0</v>
      </c>
      <c r="X217">
        <v>0</v>
      </c>
      <c r="Y217">
        <v>0.5</v>
      </c>
      <c r="Z217">
        <v>0.5</v>
      </c>
      <c r="AA217">
        <v>11</v>
      </c>
      <c r="AB217">
        <v>15.5</v>
      </c>
      <c r="AC217">
        <v>14.5</v>
      </c>
      <c r="AD217">
        <v>2.75</v>
      </c>
      <c r="AE217">
        <v>11.5</v>
      </c>
      <c r="AF217">
        <v>10.875</v>
      </c>
      <c r="AG217">
        <v>28.94</v>
      </c>
      <c r="AH217">
        <v>6</v>
      </c>
    </row>
    <row r="218" spans="1:34">
      <c r="A218" t="s">
        <v>380</v>
      </c>
      <c r="B218">
        <v>96</v>
      </c>
      <c r="C218">
        <v>63.0625</v>
      </c>
      <c r="D218">
        <v>1</v>
      </c>
      <c r="E218">
        <v>6.75</v>
      </c>
      <c r="F218" t="s">
        <v>21</v>
      </c>
      <c r="G218">
        <v>1</v>
      </c>
      <c r="H218">
        <v>0</v>
      </c>
      <c r="I218">
        <v>1</v>
      </c>
      <c r="J218">
        <v>0</v>
      </c>
      <c r="K218">
        <v>12</v>
      </c>
      <c r="N218">
        <v>0.5</v>
      </c>
      <c r="O218">
        <v>0.38</v>
      </c>
      <c r="P218">
        <v>3.5</v>
      </c>
      <c r="Q218">
        <v>3.5</v>
      </c>
      <c r="R218">
        <v>0</v>
      </c>
      <c r="S218">
        <v>4</v>
      </c>
      <c r="T218">
        <v>0.5</v>
      </c>
      <c r="U218">
        <v>1</v>
      </c>
      <c r="V218">
        <v>1</v>
      </c>
      <c r="W218">
        <v>0</v>
      </c>
      <c r="X218">
        <v>0</v>
      </c>
      <c r="Y218">
        <v>0</v>
      </c>
      <c r="Z218">
        <v>0</v>
      </c>
    </row>
    <row r="219" spans="1:34">
      <c r="A219" t="s">
        <v>381</v>
      </c>
      <c r="B219">
        <v>98.3125</v>
      </c>
      <c r="C219">
        <v>78.75</v>
      </c>
      <c r="D219">
        <v>11.25</v>
      </c>
      <c r="E219">
        <v>3.8125</v>
      </c>
      <c r="F219" t="s">
        <v>21</v>
      </c>
      <c r="G219">
        <v>1</v>
      </c>
      <c r="H219">
        <v>0</v>
      </c>
      <c r="I219">
        <v>1</v>
      </c>
      <c r="J219">
        <v>0</v>
      </c>
      <c r="K219">
        <v>24</v>
      </c>
      <c r="L219" t="s">
        <v>120</v>
      </c>
      <c r="N219">
        <v>0.5</v>
      </c>
      <c r="O219">
        <v>0.38</v>
      </c>
      <c r="P219">
        <v>3.5</v>
      </c>
      <c r="Q219">
        <v>-6.75</v>
      </c>
      <c r="R219">
        <v>0.6875</v>
      </c>
      <c r="S219">
        <v>4</v>
      </c>
      <c r="T219">
        <v>0.5</v>
      </c>
      <c r="U219">
        <v>0</v>
      </c>
      <c r="V219">
        <v>0</v>
      </c>
      <c r="W219">
        <v>0</v>
      </c>
      <c r="X219">
        <v>0</v>
      </c>
      <c r="Y219">
        <v>0.5</v>
      </c>
      <c r="Z219">
        <v>0.5</v>
      </c>
      <c r="AA219">
        <v>11.5</v>
      </c>
      <c r="AB219">
        <v>10.875</v>
      </c>
      <c r="AC219">
        <v>4.9400000000000004</v>
      </c>
      <c r="AD219">
        <v>6.75</v>
      </c>
    </row>
    <row r="220" spans="1:34">
      <c r="A220" t="s">
        <v>382</v>
      </c>
      <c r="B220">
        <v>96</v>
      </c>
      <c r="C220">
        <v>63.6875</v>
      </c>
      <c r="D220">
        <v>1</v>
      </c>
      <c r="E220">
        <v>3.125</v>
      </c>
      <c r="F220" t="s">
        <v>21</v>
      </c>
      <c r="G220">
        <v>1</v>
      </c>
      <c r="H220">
        <v>0</v>
      </c>
      <c r="I220">
        <v>1</v>
      </c>
      <c r="J220">
        <v>0</v>
      </c>
      <c r="N220">
        <v>0.5</v>
      </c>
      <c r="O220">
        <v>0.38</v>
      </c>
      <c r="P220">
        <v>3.5</v>
      </c>
      <c r="Q220">
        <v>3.5</v>
      </c>
      <c r="R220">
        <v>1.375</v>
      </c>
      <c r="S220">
        <v>4</v>
      </c>
      <c r="T220">
        <v>0.5</v>
      </c>
      <c r="U220">
        <v>1</v>
      </c>
      <c r="V220">
        <v>1</v>
      </c>
      <c r="W220">
        <v>0</v>
      </c>
      <c r="X220">
        <v>0</v>
      </c>
      <c r="Y220">
        <v>0</v>
      </c>
      <c r="Z220">
        <v>0</v>
      </c>
    </row>
    <row r="221" spans="1:34">
      <c r="A221" t="s">
        <v>383</v>
      </c>
      <c r="B221">
        <v>107.75</v>
      </c>
      <c r="C221">
        <v>68.4375</v>
      </c>
      <c r="D221">
        <v>1.75</v>
      </c>
      <c r="E221">
        <v>4.6875</v>
      </c>
      <c r="F221" t="s">
        <v>21</v>
      </c>
      <c r="G221">
        <v>1</v>
      </c>
      <c r="H221">
        <v>0</v>
      </c>
      <c r="I221">
        <v>1</v>
      </c>
      <c r="J221">
        <v>1</v>
      </c>
      <c r="N221">
        <v>0.5</v>
      </c>
      <c r="O221">
        <v>0.38</v>
      </c>
      <c r="P221">
        <v>3.5</v>
      </c>
      <c r="Q221">
        <v>2.75</v>
      </c>
      <c r="R221">
        <v>0</v>
      </c>
      <c r="S221">
        <v>4</v>
      </c>
      <c r="T221">
        <v>0.5</v>
      </c>
      <c r="U221">
        <v>1</v>
      </c>
      <c r="V221">
        <v>1</v>
      </c>
      <c r="W221">
        <v>0</v>
      </c>
      <c r="X221">
        <v>0</v>
      </c>
      <c r="Y221">
        <v>0</v>
      </c>
      <c r="Z221">
        <v>0</v>
      </c>
    </row>
    <row r="222" spans="1:34">
      <c r="A222" t="s">
        <v>384</v>
      </c>
      <c r="B222">
        <v>96</v>
      </c>
      <c r="C222">
        <v>79.5</v>
      </c>
      <c r="D222">
        <v>1</v>
      </c>
      <c r="E222">
        <v>3.75</v>
      </c>
      <c r="F222" t="s">
        <v>21</v>
      </c>
      <c r="G222">
        <v>1</v>
      </c>
      <c r="H222">
        <v>1</v>
      </c>
      <c r="I222">
        <v>0</v>
      </c>
      <c r="L222" t="s">
        <v>150</v>
      </c>
      <c r="N222">
        <v>0.5</v>
      </c>
      <c r="O222">
        <v>0.38</v>
      </c>
      <c r="P222">
        <v>3.5</v>
      </c>
      <c r="Q222">
        <v>3.5</v>
      </c>
      <c r="R222">
        <v>0.75</v>
      </c>
      <c r="S222">
        <v>4</v>
      </c>
      <c r="T222">
        <v>0.5</v>
      </c>
      <c r="U222">
        <v>1</v>
      </c>
      <c r="V222">
        <v>0</v>
      </c>
      <c r="W222">
        <v>1</v>
      </c>
      <c r="X222">
        <v>0</v>
      </c>
      <c r="Y222">
        <v>0</v>
      </c>
      <c r="Z222">
        <v>0.5</v>
      </c>
      <c r="AA222">
        <v>15.5</v>
      </c>
      <c r="AB222">
        <v>28.875</v>
      </c>
      <c r="AC222">
        <v>21</v>
      </c>
      <c r="AD222">
        <v>17</v>
      </c>
    </row>
    <row r="223" spans="1:34">
      <c r="A223" t="s">
        <v>385</v>
      </c>
      <c r="B223">
        <v>96</v>
      </c>
      <c r="C223">
        <v>62.375</v>
      </c>
      <c r="D223">
        <v>12</v>
      </c>
      <c r="E223">
        <v>2.125</v>
      </c>
      <c r="F223" t="s">
        <v>21</v>
      </c>
      <c r="G223">
        <v>1</v>
      </c>
      <c r="H223">
        <v>1</v>
      </c>
      <c r="I223">
        <v>1</v>
      </c>
      <c r="J223">
        <v>0</v>
      </c>
      <c r="K223">
        <v>12</v>
      </c>
      <c r="L223" t="s">
        <v>145</v>
      </c>
      <c r="N223">
        <v>0.5</v>
      </c>
      <c r="O223">
        <v>0.38</v>
      </c>
      <c r="P223">
        <v>3.5</v>
      </c>
      <c r="Q223">
        <v>-7.5</v>
      </c>
      <c r="R223">
        <v>2.375</v>
      </c>
      <c r="S223">
        <v>4</v>
      </c>
      <c r="T223">
        <v>0.5</v>
      </c>
      <c r="U223">
        <v>0</v>
      </c>
      <c r="V223">
        <v>0</v>
      </c>
      <c r="W223">
        <v>1</v>
      </c>
      <c r="X223">
        <v>0</v>
      </c>
      <c r="Y223">
        <v>0.5</v>
      </c>
      <c r="Z223">
        <v>0.5</v>
      </c>
      <c r="AA223">
        <v>15.5</v>
      </c>
      <c r="AB223">
        <v>28.875</v>
      </c>
      <c r="AC223">
        <v>14</v>
      </c>
      <c r="AD223">
        <v>18.13</v>
      </c>
    </row>
    <row r="224" spans="1:34">
      <c r="A224" t="s">
        <v>386</v>
      </c>
      <c r="B224">
        <v>47.0625</v>
      </c>
      <c r="C224">
        <v>61.8125</v>
      </c>
      <c r="D224">
        <v>4.5</v>
      </c>
      <c r="E224">
        <v>3.8125</v>
      </c>
      <c r="F224" t="s">
        <v>21</v>
      </c>
      <c r="G224">
        <v>1</v>
      </c>
      <c r="H224">
        <v>1</v>
      </c>
      <c r="I224">
        <v>1</v>
      </c>
      <c r="J224">
        <v>0</v>
      </c>
      <c r="K224">
        <v>24</v>
      </c>
      <c r="L224" t="s">
        <v>120</v>
      </c>
      <c r="N224">
        <v>0.5</v>
      </c>
      <c r="O224">
        <v>0.38</v>
      </c>
      <c r="P224">
        <v>3.5</v>
      </c>
      <c r="Q224">
        <v>0</v>
      </c>
      <c r="R224">
        <v>0.6875</v>
      </c>
      <c r="S224">
        <v>4</v>
      </c>
      <c r="T224">
        <v>0.5</v>
      </c>
      <c r="U224">
        <v>0</v>
      </c>
      <c r="V224">
        <v>0</v>
      </c>
      <c r="W224">
        <v>1</v>
      </c>
      <c r="X224">
        <v>0</v>
      </c>
      <c r="Y224">
        <v>0.5</v>
      </c>
      <c r="Z224">
        <v>0.5</v>
      </c>
      <c r="AA224">
        <v>11.5</v>
      </c>
      <c r="AB224">
        <v>10.875</v>
      </c>
      <c r="AC224">
        <v>4.9400000000000004</v>
      </c>
      <c r="AD224">
        <v>13.5</v>
      </c>
    </row>
    <row r="225" spans="1:26">
      <c r="A225" t="s">
        <v>387</v>
      </c>
      <c r="B225">
        <v>96</v>
      </c>
      <c r="C225">
        <v>64.875</v>
      </c>
      <c r="D225">
        <v>5.3125</v>
      </c>
      <c r="E225">
        <v>5.5</v>
      </c>
      <c r="F225" t="s">
        <v>21</v>
      </c>
      <c r="G225">
        <v>1</v>
      </c>
      <c r="H225">
        <v>1</v>
      </c>
      <c r="I225">
        <v>1</v>
      </c>
      <c r="J225">
        <v>0</v>
      </c>
      <c r="N225">
        <v>0.5</v>
      </c>
      <c r="O225">
        <v>0.38</v>
      </c>
      <c r="P225">
        <v>3.5</v>
      </c>
      <c r="Q225">
        <v>-0.8125</v>
      </c>
      <c r="R225">
        <v>0</v>
      </c>
      <c r="S225">
        <v>4</v>
      </c>
      <c r="T225">
        <v>0.5</v>
      </c>
      <c r="U225">
        <v>0</v>
      </c>
      <c r="V225">
        <v>0</v>
      </c>
      <c r="W225">
        <v>0</v>
      </c>
      <c r="X225">
        <v>0</v>
      </c>
      <c r="Y225">
        <v>0.5</v>
      </c>
      <c r="Z225">
        <v>0.5</v>
      </c>
    </row>
    <row r="226" spans="1:26">
      <c r="A226" t="s">
        <v>388</v>
      </c>
      <c r="B226">
        <v>96</v>
      </c>
      <c r="C226">
        <v>59.125</v>
      </c>
      <c r="D226">
        <v>1</v>
      </c>
      <c r="E226">
        <v>4.1875</v>
      </c>
      <c r="F226" t="s">
        <v>21</v>
      </c>
      <c r="G226">
        <v>1</v>
      </c>
      <c r="H226">
        <v>1</v>
      </c>
      <c r="I226">
        <v>1</v>
      </c>
      <c r="J226">
        <v>1</v>
      </c>
      <c r="N226">
        <v>0.5</v>
      </c>
      <c r="O226">
        <v>0.38</v>
      </c>
      <c r="P226">
        <v>3.5</v>
      </c>
      <c r="Q226">
        <v>3.5</v>
      </c>
      <c r="R226">
        <v>0.3125</v>
      </c>
      <c r="S226">
        <v>4</v>
      </c>
      <c r="T226">
        <v>0.5</v>
      </c>
      <c r="U226">
        <v>1</v>
      </c>
      <c r="V226">
        <v>1</v>
      </c>
      <c r="W226">
        <v>1</v>
      </c>
      <c r="X226">
        <v>1</v>
      </c>
      <c r="Y226">
        <v>0</v>
      </c>
      <c r="Z226">
        <v>0</v>
      </c>
    </row>
    <row r="227" spans="1:26">
      <c r="A227" t="s">
        <v>389</v>
      </c>
      <c r="B227">
        <v>48.375</v>
      </c>
      <c r="C227">
        <v>49.5</v>
      </c>
      <c r="D227">
        <v>4.5</v>
      </c>
      <c r="E227">
        <v>1</v>
      </c>
      <c r="F227" t="s">
        <v>156</v>
      </c>
      <c r="G227">
        <v>0</v>
      </c>
      <c r="I227">
        <v>0</v>
      </c>
      <c r="L227" t="s">
        <v>121</v>
      </c>
      <c r="M227" t="s">
        <v>120</v>
      </c>
      <c r="N227">
        <v>0.5</v>
      </c>
      <c r="O227">
        <v>0.38</v>
      </c>
      <c r="P227">
        <v>3.5</v>
      </c>
      <c r="Q227">
        <v>0</v>
      </c>
      <c r="R227">
        <v>3.5</v>
      </c>
      <c r="S227">
        <v>4</v>
      </c>
      <c r="T227">
        <v>0.5</v>
      </c>
      <c r="U227">
        <v>0</v>
      </c>
      <c r="V227">
        <v>0</v>
      </c>
      <c r="W227">
        <v>0</v>
      </c>
      <c r="X227">
        <v>0</v>
      </c>
      <c r="Y227">
        <v>0.5</v>
      </c>
      <c r="Z227">
        <v>0.5</v>
      </c>
    </row>
    <row r="228" spans="1:26">
      <c r="A228" t="s">
        <v>390</v>
      </c>
      <c r="B228">
        <v>3.3125</v>
      </c>
      <c r="C228">
        <v>54.1875</v>
      </c>
      <c r="D228">
        <v>3.625</v>
      </c>
      <c r="E228">
        <v>4.625</v>
      </c>
      <c r="F228" t="s">
        <v>156</v>
      </c>
      <c r="G228">
        <v>0</v>
      </c>
      <c r="I228">
        <v>1</v>
      </c>
      <c r="J228">
        <v>0</v>
      </c>
      <c r="K228">
        <v>12</v>
      </c>
      <c r="N228">
        <v>0.5</v>
      </c>
      <c r="O228">
        <v>0.38</v>
      </c>
      <c r="P228">
        <v>3.5</v>
      </c>
      <c r="Q228">
        <v>0.875</v>
      </c>
      <c r="R228">
        <v>0</v>
      </c>
      <c r="S228">
        <v>4</v>
      </c>
      <c r="T228">
        <v>0.5</v>
      </c>
      <c r="U228">
        <v>0</v>
      </c>
      <c r="V228">
        <v>0</v>
      </c>
      <c r="W228">
        <v>0</v>
      </c>
      <c r="X228">
        <v>0</v>
      </c>
      <c r="Y228">
        <v>0.5</v>
      </c>
      <c r="Z228">
        <v>0.5</v>
      </c>
    </row>
    <row r="229" spans="1:26">
      <c r="A229" t="s">
        <v>391</v>
      </c>
      <c r="B229">
        <v>42.1875</v>
      </c>
      <c r="C229">
        <v>41.25</v>
      </c>
      <c r="D229">
        <v>1</v>
      </c>
      <c r="E229">
        <v>1</v>
      </c>
      <c r="F229" t="s">
        <v>156</v>
      </c>
      <c r="G229">
        <v>0</v>
      </c>
      <c r="I229">
        <v>1</v>
      </c>
      <c r="J229">
        <v>0</v>
      </c>
      <c r="K229">
        <v>24</v>
      </c>
      <c r="L229" t="s">
        <v>120</v>
      </c>
      <c r="N229">
        <v>0.5</v>
      </c>
      <c r="O229">
        <v>0.38</v>
      </c>
      <c r="P229">
        <v>3.5</v>
      </c>
      <c r="Q229">
        <v>3.5</v>
      </c>
      <c r="R229">
        <v>3.5</v>
      </c>
      <c r="S229">
        <v>4</v>
      </c>
      <c r="T229">
        <v>0.5</v>
      </c>
      <c r="U229">
        <v>0</v>
      </c>
      <c r="V229">
        <v>0</v>
      </c>
      <c r="W229">
        <v>0</v>
      </c>
      <c r="X229">
        <v>0</v>
      </c>
      <c r="Y229">
        <v>0.5</v>
      </c>
      <c r="Z229">
        <v>0.5</v>
      </c>
    </row>
    <row r="230" spans="1:26">
      <c r="A230" t="s">
        <v>392</v>
      </c>
      <c r="B230">
        <v>29</v>
      </c>
      <c r="C230">
        <v>71.875</v>
      </c>
      <c r="D230">
        <v>1.875</v>
      </c>
      <c r="E230">
        <v>1.5</v>
      </c>
      <c r="F230" t="s">
        <v>156</v>
      </c>
      <c r="G230">
        <v>0</v>
      </c>
      <c r="I230">
        <v>1</v>
      </c>
      <c r="J230">
        <v>0</v>
      </c>
      <c r="N230">
        <v>0.5</v>
      </c>
      <c r="O230">
        <v>0.38</v>
      </c>
      <c r="P230">
        <v>3.5</v>
      </c>
      <c r="Q230">
        <v>2.625</v>
      </c>
      <c r="R230">
        <v>3</v>
      </c>
      <c r="S230">
        <v>4</v>
      </c>
      <c r="T230">
        <v>0.5</v>
      </c>
      <c r="U230">
        <v>0</v>
      </c>
      <c r="V230">
        <v>0</v>
      </c>
      <c r="W230">
        <v>0</v>
      </c>
      <c r="X230">
        <v>0</v>
      </c>
      <c r="Y230">
        <v>0.5</v>
      </c>
      <c r="Z230">
        <v>0.5</v>
      </c>
    </row>
    <row r="231" spans="1:26">
      <c r="A231" t="s">
        <v>393</v>
      </c>
      <c r="B231">
        <v>42.625</v>
      </c>
      <c r="C231">
        <v>48.5625</v>
      </c>
      <c r="D231">
        <v>4.5</v>
      </c>
      <c r="E231">
        <v>6.875</v>
      </c>
      <c r="F231" t="s">
        <v>156</v>
      </c>
      <c r="G231">
        <v>0</v>
      </c>
      <c r="I231">
        <v>1</v>
      </c>
      <c r="J231">
        <v>1</v>
      </c>
      <c r="N231">
        <v>0.5</v>
      </c>
      <c r="O231">
        <v>0.38</v>
      </c>
      <c r="P231">
        <v>3.5</v>
      </c>
      <c r="Q231">
        <v>0</v>
      </c>
      <c r="R231">
        <v>0</v>
      </c>
      <c r="S231">
        <v>4</v>
      </c>
      <c r="T231">
        <v>0.5</v>
      </c>
      <c r="U231">
        <v>0</v>
      </c>
      <c r="V231">
        <v>0</v>
      </c>
      <c r="W231">
        <v>0</v>
      </c>
      <c r="X231">
        <v>0</v>
      </c>
      <c r="Y231">
        <v>0.5</v>
      </c>
      <c r="Z231">
        <v>0.5</v>
      </c>
    </row>
    <row r="232" spans="1:26">
      <c r="A232" t="s">
        <v>394</v>
      </c>
      <c r="B232">
        <v>37.0625</v>
      </c>
      <c r="C232">
        <v>46.3125</v>
      </c>
      <c r="D232">
        <v>9</v>
      </c>
      <c r="E232">
        <v>1.5</v>
      </c>
      <c r="F232" t="s">
        <v>156</v>
      </c>
      <c r="G232">
        <v>1</v>
      </c>
      <c r="H232">
        <v>0</v>
      </c>
      <c r="I232">
        <v>0</v>
      </c>
      <c r="L232" t="s">
        <v>145</v>
      </c>
      <c r="N232">
        <v>0.5</v>
      </c>
      <c r="O232">
        <v>0.38</v>
      </c>
      <c r="P232">
        <v>3.5</v>
      </c>
      <c r="Q232">
        <v>-4.5</v>
      </c>
      <c r="R232">
        <v>3</v>
      </c>
      <c r="S232">
        <v>4</v>
      </c>
      <c r="T232">
        <v>0.5</v>
      </c>
      <c r="U232">
        <v>0</v>
      </c>
      <c r="V232">
        <v>0</v>
      </c>
      <c r="W232">
        <v>0</v>
      </c>
      <c r="X232">
        <v>0</v>
      </c>
      <c r="Y232">
        <v>0.5</v>
      </c>
      <c r="Z232">
        <v>0.5</v>
      </c>
    </row>
    <row r="233" spans="1:26">
      <c r="A233" t="s">
        <v>395</v>
      </c>
      <c r="B233">
        <v>48.375</v>
      </c>
      <c r="C233">
        <v>65.875</v>
      </c>
      <c r="D233">
        <v>4.5</v>
      </c>
      <c r="E233">
        <v>6</v>
      </c>
      <c r="F233" t="s">
        <v>156</v>
      </c>
      <c r="G233">
        <v>1</v>
      </c>
      <c r="H233">
        <v>0</v>
      </c>
      <c r="I233">
        <v>1</v>
      </c>
      <c r="J233">
        <v>0</v>
      </c>
      <c r="K233">
        <v>12</v>
      </c>
      <c r="L233" t="s">
        <v>150</v>
      </c>
      <c r="N233">
        <v>0.5</v>
      </c>
      <c r="O233">
        <v>0.38</v>
      </c>
      <c r="P233">
        <v>3.5</v>
      </c>
      <c r="Q233">
        <v>0</v>
      </c>
      <c r="R233">
        <v>0</v>
      </c>
      <c r="S233">
        <v>4</v>
      </c>
      <c r="T233">
        <v>0.5</v>
      </c>
      <c r="U233">
        <v>0</v>
      </c>
      <c r="V233">
        <v>0</v>
      </c>
      <c r="W233">
        <v>0</v>
      </c>
      <c r="X233">
        <v>0</v>
      </c>
      <c r="Y233">
        <v>0.5</v>
      </c>
      <c r="Z233">
        <v>0.5</v>
      </c>
    </row>
    <row r="234" spans="1:26">
      <c r="A234" t="s">
        <v>396</v>
      </c>
      <c r="B234">
        <v>17.8125</v>
      </c>
      <c r="C234">
        <v>73.875</v>
      </c>
      <c r="D234">
        <v>12</v>
      </c>
      <c r="E234">
        <v>3.6875</v>
      </c>
      <c r="F234" t="s">
        <v>156</v>
      </c>
      <c r="G234">
        <v>1</v>
      </c>
      <c r="H234">
        <v>0</v>
      </c>
      <c r="I234">
        <v>1</v>
      </c>
      <c r="J234">
        <v>0</v>
      </c>
      <c r="K234">
        <v>24</v>
      </c>
      <c r="L234" t="s">
        <v>120</v>
      </c>
      <c r="N234">
        <v>0.5</v>
      </c>
      <c r="O234">
        <v>0.38</v>
      </c>
      <c r="P234">
        <v>3.5</v>
      </c>
      <c r="Q234">
        <v>-7.5</v>
      </c>
      <c r="R234">
        <v>0.8125</v>
      </c>
      <c r="S234">
        <v>4</v>
      </c>
      <c r="T234">
        <v>0.5</v>
      </c>
      <c r="U234">
        <v>0</v>
      </c>
      <c r="V234">
        <v>0</v>
      </c>
      <c r="W234">
        <v>0</v>
      </c>
      <c r="X234">
        <v>0</v>
      </c>
      <c r="Y234">
        <v>0.5</v>
      </c>
      <c r="Z234">
        <v>0.5</v>
      </c>
    </row>
    <row r="235" spans="1:26">
      <c r="A235" t="s">
        <v>397</v>
      </c>
      <c r="B235">
        <v>15.375</v>
      </c>
      <c r="C235">
        <v>50.125</v>
      </c>
      <c r="D235">
        <v>2.125</v>
      </c>
      <c r="E235">
        <v>1</v>
      </c>
      <c r="F235" t="s">
        <v>156</v>
      </c>
      <c r="G235">
        <v>1</v>
      </c>
      <c r="H235">
        <v>0</v>
      </c>
      <c r="I235">
        <v>1</v>
      </c>
      <c r="J235">
        <v>0</v>
      </c>
      <c r="N235">
        <v>0.5</v>
      </c>
      <c r="O235">
        <v>0.38</v>
      </c>
      <c r="P235">
        <v>3.5</v>
      </c>
      <c r="Q235">
        <v>2.375</v>
      </c>
      <c r="R235">
        <v>3.5</v>
      </c>
      <c r="S235">
        <v>4</v>
      </c>
      <c r="T235">
        <v>0.5</v>
      </c>
      <c r="U235">
        <v>0</v>
      </c>
      <c r="V235">
        <v>0</v>
      </c>
      <c r="W235">
        <v>0</v>
      </c>
      <c r="X235">
        <v>0</v>
      </c>
      <c r="Y235">
        <v>0.5</v>
      </c>
      <c r="Z235">
        <v>0.5</v>
      </c>
    </row>
    <row r="236" spans="1:26">
      <c r="A236" t="s">
        <v>398</v>
      </c>
      <c r="B236">
        <v>12.375</v>
      </c>
      <c r="C236">
        <v>46.5625</v>
      </c>
      <c r="D236">
        <v>7.1875</v>
      </c>
      <c r="E236">
        <v>6.8125</v>
      </c>
      <c r="F236" t="s">
        <v>156</v>
      </c>
      <c r="G236">
        <v>1</v>
      </c>
      <c r="H236">
        <v>0</v>
      </c>
      <c r="I236">
        <v>1</v>
      </c>
      <c r="J236">
        <v>1</v>
      </c>
      <c r="N236">
        <v>0.5</v>
      </c>
      <c r="O236">
        <v>0.38</v>
      </c>
      <c r="P236">
        <v>3.5</v>
      </c>
      <c r="Q236">
        <v>-2.6875</v>
      </c>
      <c r="R236">
        <v>0</v>
      </c>
      <c r="S236">
        <v>4</v>
      </c>
      <c r="T236">
        <v>0.5</v>
      </c>
      <c r="U236">
        <v>0</v>
      </c>
      <c r="V236">
        <v>0</v>
      </c>
      <c r="W236">
        <v>0</v>
      </c>
      <c r="X236">
        <v>0</v>
      </c>
      <c r="Y236">
        <v>0.5</v>
      </c>
      <c r="Z236">
        <v>0.5</v>
      </c>
    </row>
    <row r="237" spans="1:26">
      <c r="A237" t="s">
        <v>399</v>
      </c>
      <c r="B237">
        <v>36.3125</v>
      </c>
      <c r="C237">
        <v>50.4375</v>
      </c>
      <c r="D237">
        <v>4.5</v>
      </c>
      <c r="E237">
        <v>7.3125</v>
      </c>
      <c r="F237" t="s">
        <v>156</v>
      </c>
      <c r="G237">
        <v>1</v>
      </c>
      <c r="H237">
        <v>1</v>
      </c>
      <c r="I237">
        <v>0</v>
      </c>
      <c r="L237" t="s">
        <v>145</v>
      </c>
      <c r="N237">
        <v>0.5</v>
      </c>
      <c r="O237">
        <v>0.38</v>
      </c>
      <c r="P237">
        <v>3.5</v>
      </c>
      <c r="Q237">
        <v>0</v>
      </c>
      <c r="R237">
        <v>0</v>
      </c>
      <c r="S237">
        <v>4</v>
      </c>
      <c r="T237">
        <v>0.5</v>
      </c>
      <c r="U237">
        <v>0</v>
      </c>
      <c r="V237">
        <v>0</v>
      </c>
      <c r="W237">
        <v>0</v>
      </c>
      <c r="X237">
        <v>0</v>
      </c>
      <c r="Y237">
        <v>0.5</v>
      </c>
      <c r="Z237">
        <v>0.5</v>
      </c>
    </row>
    <row r="238" spans="1:26">
      <c r="A238" t="s">
        <v>400</v>
      </c>
      <c r="B238">
        <v>9.875</v>
      </c>
      <c r="C238">
        <v>58.4375</v>
      </c>
      <c r="D238">
        <v>12</v>
      </c>
      <c r="E238">
        <v>5.3125</v>
      </c>
      <c r="F238" t="s">
        <v>156</v>
      </c>
      <c r="G238">
        <v>1</v>
      </c>
      <c r="H238">
        <v>1</v>
      </c>
      <c r="I238">
        <v>1</v>
      </c>
      <c r="J238">
        <v>0</v>
      </c>
      <c r="K238">
        <v>12</v>
      </c>
      <c r="L238" t="s">
        <v>145</v>
      </c>
      <c r="N238">
        <v>0.5</v>
      </c>
      <c r="O238">
        <v>0.38</v>
      </c>
      <c r="P238">
        <v>3.5</v>
      </c>
      <c r="Q238">
        <v>-7.5</v>
      </c>
      <c r="R238">
        <v>0</v>
      </c>
      <c r="S238">
        <v>4</v>
      </c>
      <c r="T238">
        <v>0.5</v>
      </c>
      <c r="U238">
        <v>0</v>
      </c>
      <c r="V238">
        <v>0</v>
      </c>
      <c r="W238">
        <v>0</v>
      </c>
      <c r="X238">
        <v>0</v>
      </c>
      <c r="Y238">
        <v>0.5</v>
      </c>
      <c r="Z238">
        <v>0.5</v>
      </c>
    </row>
    <row r="239" spans="1:26">
      <c r="A239" t="s">
        <v>401</v>
      </c>
      <c r="B239">
        <v>19.125</v>
      </c>
      <c r="C239">
        <v>70.375</v>
      </c>
      <c r="D239">
        <v>4.1875</v>
      </c>
      <c r="E239">
        <v>1</v>
      </c>
      <c r="F239" t="s">
        <v>156</v>
      </c>
      <c r="G239">
        <v>1</v>
      </c>
      <c r="H239">
        <v>1</v>
      </c>
      <c r="I239">
        <v>1</v>
      </c>
      <c r="J239">
        <v>0</v>
      </c>
      <c r="K239">
        <v>24</v>
      </c>
      <c r="N239">
        <v>0.5</v>
      </c>
      <c r="O239">
        <v>0.38</v>
      </c>
      <c r="P239">
        <v>3.5</v>
      </c>
      <c r="Q239">
        <v>0.3125</v>
      </c>
      <c r="R239">
        <v>3.5</v>
      </c>
      <c r="S239">
        <v>4</v>
      </c>
      <c r="T239">
        <v>0.5</v>
      </c>
      <c r="U239">
        <v>0</v>
      </c>
      <c r="V239">
        <v>0</v>
      </c>
      <c r="W239">
        <v>1</v>
      </c>
      <c r="X239">
        <v>0</v>
      </c>
      <c r="Y239">
        <v>0.5</v>
      </c>
      <c r="Z239">
        <v>0.5</v>
      </c>
    </row>
    <row r="240" spans="1:26">
      <c r="A240" t="s">
        <v>402</v>
      </c>
      <c r="B240">
        <v>18.6875</v>
      </c>
      <c r="C240">
        <v>47.5625</v>
      </c>
      <c r="D240">
        <v>9</v>
      </c>
      <c r="E240">
        <v>2.0625</v>
      </c>
      <c r="F240" t="s">
        <v>156</v>
      </c>
      <c r="G240">
        <v>1</v>
      </c>
      <c r="H240">
        <v>1</v>
      </c>
      <c r="I240">
        <v>1</v>
      </c>
      <c r="J240">
        <v>0</v>
      </c>
      <c r="N240">
        <v>0.5</v>
      </c>
      <c r="O240">
        <v>0.38</v>
      </c>
      <c r="P240">
        <v>3.5</v>
      </c>
      <c r="Q240">
        <v>-4.5</v>
      </c>
      <c r="R240">
        <v>2.4375</v>
      </c>
      <c r="S240">
        <v>4</v>
      </c>
      <c r="T240">
        <v>0.5</v>
      </c>
      <c r="U240">
        <v>0</v>
      </c>
      <c r="V240">
        <v>0</v>
      </c>
      <c r="W240">
        <v>1</v>
      </c>
      <c r="X240">
        <v>0</v>
      </c>
      <c r="Y240">
        <v>0.5</v>
      </c>
      <c r="Z240">
        <v>0.5</v>
      </c>
    </row>
    <row r="241" spans="1:30">
      <c r="A241" t="s">
        <v>403</v>
      </c>
      <c r="B241">
        <v>4.8125</v>
      </c>
      <c r="C241">
        <v>69.5625</v>
      </c>
      <c r="D241">
        <v>1</v>
      </c>
      <c r="E241">
        <v>1</v>
      </c>
      <c r="F241" t="s">
        <v>156</v>
      </c>
      <c r="G241">
        <v>1</v>
      </c>
      <c r="H241">
        <v>1</v>
      </c>
      <c r="I241">
        <v>1</v>
      </c>
      <c r="J241">
        <v>1</v>
      </c>
      <c r="N241">
        <v>0.5</v>
      </c>
      <c r="O241">
        <v>0.38</v>
      </c>
      <c r="P241">
        <v>3.5</v>
      </c>
      <c r="Q241">
        <v>3.5</v>
      </c>
      <c r="R241">
        <v>3.5</v>
      </c>
      <c r="S241">
        <v>4</v>
      </c>
      <c r="T241">
        <v>0.5</v>
      </c>
      <c r="U241">
        <v>0</v>
      </c>
      <c r="V241">
        <v>0</v>
      </c>
      <c r="W241">
        <v>1</v>
      </c>
      <c r="X241">
        <v>1</v>
      </c>
      <c r="Y241">
        <v>0.5</v>
      </c>
      <c r="Z241">
        <v>0.5</v>
      </c>
    </row>
    <row r="242" spans="1:30">
      <c r="A242" t="s">
        <v>404</v>
      </c>
      <c r="B242">
        <v>60</v>
      </c>
      <c r="C242">
        <v>51.4375</v>
      </c>
      <c r="D242">
        <v>9.875</v>
      </c>
      <c r="E242">
        <v>4.5</v>
      </c>
      <c r="F242" t="s">
        <v>157</v>
      </c>
      <c r="G242">
        <v>0</v>
      </c>
      <c r="I242">
        <v>0</v>
      </c>
      <c r="N242">
        <v>0.5</v>
      </c>
      <c r="O242">
        <v>0.38</v>
      </c>
      <c r="P242">
        <v>3.5</v>
      </c>
      <c r="Q242">
        <v>-5.375</v>
      </c>
      <c r="R242">
        <v>0</v>
      </c>
      <c r="S242">
        <v>4</v>
      </c>
      <c r="T242">
        <v>0.5</v>
      </c>
      <c r="U242">
        <v>0</v>
      </c>
      <c r="V242">
        <v>0</v>
      </c>
      <c r="W242">
        <v>0</v>
      </c>
      <c r="X242">
        <v>0</v>
      </c>
      <c r="Y242">
        <v>0.5</v>
      </c>
      <c r="Z242">
        <v>0.5</v>
      </c>
    </row>
    <row r="243" spans="1:30">
      <c r="A243" t="s">
        <v>405</v>
      </c>
      <c r="B243">
        <v>60</v>
      </c>
      <c r="C243">
        <v>45.4375</v>
      </c>
      <c r="D243">
        <v>12</v>
      </c>
      <c r="E243">
        <v>4</v>
      </c>
      <c r="F243" t="s">
        <v>157</v>
      </c>
      <c r="G243">
        <v>0</v>
      </c>
      <c r="I243">
        <v>1</v>
      </c>
      <c r="J243">
        <v>0</v>
      </c>
      <c r="K243">
        <v>12</v>
      </c>
      <c r="L243" t="s">
        <v>150</v>
      </c>
      <c r="N243">
        <v>0.5</v>
      </c>
      <c r="O243">
        <v>0.38</v>
      </c>
      <c r="P243">
        <v>3.5</v>
      </c>
      <c r="Q243">
        <v>-7.5</v>
      </c>
      <c r="R243">
        <v>0.5</v>
      </c>
      <c r="S243">
        <v>4</v>
      </c>
      <c r="T243">
        <v>0.5</v>
      </c>
      <c r="U243">
        <v>0</v>
      </c>
      <c r="V243">
        <v>0</v>
      </c>
      <c r="W243">
        <v>0</v>
      </c>
      <c r="X243">
        <v>0</v>
      </c>
      <c r="Y243">
        <v>0.5</v>
      </c>
      <c r="Z243">
        <v>0.5</v>
      </c>
      <c r="AA243">
        <v>15.5</v>
      </c>
      <c r="AB243">
        <v>28.875</v>
      </c>
      <c r="AC243">
        <v>9</v>
      </c>
      <c r="AD243">
        <v>6</v>
      </c>
    </row>
    <row r="244" spans="1:30">
      <c r="A244" t="s">
        <v>406</v>
      </c>
      <c r="B244">
        <v>60</v>
      </c>
      <c r="C244">
        <v>78.5625</v>
      </c>
      <c r="D244">
        <v>4.5</v>
      </c>
      <c r="E244">
        <v>4</v>
      </c>
      <c r="F244" t="s">
        <v>157</v>
      </c>
      <c r="G244">
        <v>0</v>
      </c>
      <c r="I244">
        <v>1</v>
      </c>
      <c r="J244">
        <v>0</v>
      </c>
      <c r="K244">
        <v>24</v>
      </c>
      <c r="L244" t="s">
        <v>120</v>
      </c>
      <c r="N244">
        <v>0.5</v>
      </c>
      <c r="O244">
        <v>0.38</v>
      </c>
      <c r="P244">
        <v>3.5</v>
      </c>
      <c r="Q244">
        <v>0</v>
      </c>
      <c r="R244">
        <v>0.5</v>
      </c>
      <c r="S244">
        <v>4</v>
      </c>
      <c r="T244">
        <v>0.5</v>
      </c>
      <c r="U244">
        <v>0</v>
      </c>
      <c r="V244">
        <v>0</v>
      </c>
      <c r="W244">
        <v>0</v>
      </c>
      <c r="X244">
        <v>0</v>
      </c>
      <c r="Y244">
        <v>0.5</v>
      </c>
      <c r="Z244">
        <v>0.5</v>
      </c>
      <c r="AA244">
        <v>11.5</v>
      </c>
      <c r="AB244">
        <v>10.875</v>
      </c>
      <c r="AC244">
        <v>4.9400000000000004</v>
      </c>
      <c r="AD244">
        <v>13.5</v>
      </c>
    </row>
    <row r="245" spans="1:30">
      <c r="A245" t="s">
        <v>407</v>
      </c>
      <c r="B245">
        <v>60</v>
      </c>
      <c r="C245">
        <v>74.0625</v>
      </c>
      <c r="D245">
        <v>12</v>
      </c>
      <c r="E245">
        <v>2.5625</v>
      </c>
      <c r="F245" t="s">
        <v>157</v>
      </c>
      <c r="G245">
        <v>0</v>
      </c>
      <c r="I245">
        <v>1</v>
      </c>
      <c r="J245">
        <v>0</v>
      </c>
      <c r="N245">
        <v>0.5</v>
      </c>
      <c r="O245">
        <v>0.38</v>
      </c>
      <c r="P245">
        <v>3.5</v>
      </c>
      <c r="Q245">
        <v>-7.5</v>
      </c>
      <c r="R245">
        <v>1.9375</v>
      </c>
      <c r="S245">
        <v>4</v>
      </c>
      <c r="T245">
        <v>0.5</v>
      </c>
      <c r="U245">
        <v>0</v>
      </c>
      <c r="V245">
        <v>0</v>
      </c>
      <c r="W245">
        <v>0</v>
      </c>
      <c r="X245">
        <v>0</v>
      </c>
      <c r="Y245">
        <v>0.5</v>
      </c>
      <c r="Z245">
        <v>0.5</v>
      </c>
    </row>
    <row r="246" spans="1:30">
      <c r="A246" t="s">
        <v>408</v>
      </c>
      <c r="B246">
        <v>60</v>
      </c>
      <c r="C246">
        <v>52.3125</v>
      </c>
      <c r="D246">
        <v>4.5</v>
      </c>
      <c r="E246">
        <v>7.3125</v>
      </c>
      <c r="F246" t="s">
        <v>157</v>
      </c>
      <c r="G246">
        <v>0</v>
      </c>
      <c r="I246">
        <v>1</v>
      </c>
      <c r="J246">
        <v>1</v>
      </c>
      <c r="N246">
        <v>0.5</v>
      </c>
      <c r="O246">
        <v>0.38</v>
      </c>
      <c r="P246">
        <v>3.5</v>
      </c>
      <c r="Q246">
        <v>0</v>
      </c>
      <c r="R246">
        <v>0</v>
      </c>
      <c r="S246">
        <v>4</v>
      </c>
      <c r="T246">
        <v>0.5</v>
      </c>
      <c r="U246">
        <v>0</v>
      </c>
      <c r="V246">
        <v>0</v>
      </c>
      <c r="W246">
        <v>0</v>
      </c>
      <c r="X246">
        <v>0</v>
      </c>
      <c r="Y246">
        <v>0.5</v>
      </c>
      <c r="Z246">
        <v>0.5</v>
      </c>
    </row>
    <row r="247" spans="1:30">
      <c r="A247" t="s">
        <v>409</v>
      </c>
      <c r="B247">
        <v>60</v>
      </c>
      <c r="C247">
        <v>55.625</v>
      </c>
      <c r="D247">
        <v>1</v>
      </c>
      <c r="E247">
        <v>6.1875</v>
      </c>
      <c r="F247" t="s">
        <v>157</v>
      </c>
      <c r="G247">
        <v>1</v>
      </c>
      <c r="H247">
        <v>0</v>
      </c>
      <c r="I247">
        <v>0</v>
      </c>
      <c r="L247" t="s">
        <v>151</v>
      </c>
      <c r="N247">
        <v>0.5</v>
      </c>
      <c r="O247">
        <v>0.38</v>
      </c>
      <c r="P247">
        <v>3.5</v>
      </c>
      <c r="Q247">
        <v>3.5</v>
      </c>
      <c r="R247">
        <v>0</v>
      </c>
      <c r="S247">
        <v>4</v>
      </c>
      <c r="T247">
        <v>0.5</v>
      </c>
      <c r="U247">
        <v>1</v>
      </c>
      <c r="V247">
        <v>0</v>
      </c>
      <c r="W247">
        <v>0</v>
      </c>
      <c r="X247">
        <v>0</v>
      </c>
      <c r="Y247">
        <v>0</v>
      </c>
      <c r="Z247">
        <v>0.5</v>
      </c>
      <c r="AA247">
        <v>15.5</v>
      </c>
      <c r="AB247">
        <v>28.875</v>
      </c>
      <c r="AC247">
        <v>21</v>
      </c>
      <c r="AD247">
        <v>17</v>
      </c>
    </row>
    <row r="248" spans="1:30">
      <c r="A248" t="s">
        <v>410</v>
      </c>
      <c r="B248">
        <v>60</v>
      </c>
      <c r="C248">
        <v>44</v>
      </c>
      <c r="D248">
        <v>1.25</v>
      </c>
      <c r="E248">
        <v>5.6875</v>
      </c>
      <c r="F248" t="s">
        <v>157</v>
      </c>
      <c r="G248">
        <v>1</v>
      </c>
      <c r="H248">
        <v>0</v>
      </c>
      <c r="I248">
        <v>1</v>
      </c>
      <c r="J248">
        <v>0</v>
      </c>
      <c r="K248">
        <v>12</v>
      </c>
      <c r="N248">
        <v>0.5</v>
      </c>
      <c r="O248">
        <v>0.38</v>
      </c>
      <c r="P248">
        <v>3.5</v>
      </c>
      <c r="Q248">
        <v>3.25</v>
      </c>
      <c r="R248">
        <v>0</v>
      </c>
      <c r="S248">
        <v>4</v>
      </c>
      <c r="T248">
        <v>0.5</v>
      </c>
      <c r="U248">
        <v>1</v>
      </c>
      <c r="V248">
        <v>1</v>
      </c>
      <c r="W248">
        <v>0</v>
      </c>
      <c r="X248">
        <v>0</v>
      </c>
      <c r="Y248">
        <v>0</v>
      </c>
      <c r="Z248">
        <v>0</v>
      </c>
    </row>
    <row r="249" spans="1:30">
      <c r="A249" t="s">
        <v>411</v>
      </c>
      <c r="B249">
        <v>60</v>
      </c>
      <c r="C249">
        <v>41.9375</v>
      </c>
      <c r="D249">
        <v>7.0625</v>
      </c>
      <c r="E249">
        <v>1</v>
      </c>
      <c r="F249" t="s">
        <v>157</v>
      </c>
      <c r="G249">
        <v>1</v>
      </c>
      <c r="H249">
        <v>0</v>
      </c>
      <c r="I249">
        <v>1</v>
      </c>
      <c r="J249">
        <v>0</v>
      </c>
      <c r="K249">
        <v>24</v>
      </c>
      <c r="L249" t="s">
        <v>120</v>
      </c>
      <c r="N249">
        <v>0.5</v>
      </c>
      <c r="O249">
        <v>0.38</v>
      </c>
      <c r="P249">
        <v>3.5</v>
      </c>
      <c r="Q249">
        <v>-2.5625</v>
      </c>
      <c r="R249">
        <v>3.5</v>
      </c>
      <c r="S249">
        <v>4</v>
      </c>
      <c r="T249">
        <v>0.5</v>
      </c>
      <c r="U249">
        <v>0</v>
      </c>
      <c r="V249">
        <v>0</v>
      </c>
      <c r="W249">
        <v>0</v>
      </c>
      <c r="X249">
        <v>0</v>
      </c>
      <c r="Y249">
        <v>0.5</v>
      </c>
      <c r="Z249">
        <v>0.5</v>
      </c>
      <c r="AA249">
        <v>11.5</v>
      </c>
      <c r="AB249">
        <v>10.875</v>
      </c>
      <c r="AC249">
        <v>4.9400000000000004</v>
      </c>
      <c r="AD249">
        <v>10.9375</v>
      </c>
    </row>
    <row r="250" spans="1:30">
      <c r="A250" t="s">
        <v>412</v>
      </c>
      <c r="B250">
        <v>60</v>
      </c>
      <c r="C250">
        <v>66.4375</v>
      </c>
      <c r="D250">
        <v>2.3125</v>
      </c>
      <c r="E250">
        <v>1</v>
      </c>
      <c r="F250" t="s">
        <v>157</v>
      </c>
      <c r="G250">
        <v>1</v>
      </c>
      <c r="H250">
        <v>0</v>
      </c>
      <c r="I250">
        <v>1</v>
      </c>
      <c r="J250">
        <v>0</v>
      </c>
      <c r="N250">
        <v>0.5</v>
      </c>
      <c r="O250">
        <v>0.38</v>
      </c>
      <c r="P250">
        <v>3.5</v>
      </c>
      <c r="Q250">
        <v>2.1875</v>
      </c>
      <c r="R250">
        <v>3.5</v>
      </c>
      <c r="S250">
        <v>4</v>
      </c>
      <c r="T250">
        <v>0.5</v>
      </c>
      <c r="U250">
        <v>1</v>
      </c>
      <c r="V250">
        <v>1</v>
      </c>
      <c r="W250">
        <v>0</v>
      </c>
      <c r="X250">
        <v>0</v>
      </c>
      <c r="Y250">
        <v>0</v>
      </c>
      <c r="Z250">
        <v>0</v>
      </c>
    </row>
    <row r="251" spans="1:30">
      <c r="A251" t="s">
        <v>413</v>
      </c>
      <c r="B251">
        <v>60</v>
      </c>
      <c r="C251">
        <v>40.1875</v>
      </c>
      <c r="D251">
        <v>9</v>
      </c>
      <c r="E251">
        <v>2.5</v>
      </c>
      <c r="F251" t="s">
        <v>157</v>
      </c>
      <c r="G251">
        <v>1</v>
      </c>
      <c r="H251">
        <v>0</v>
      </c>
      <c r="I251">
        <v>1</v>
      </c>
      <c r="J251">
        <v>1</v>
      </c>
      <c r="N251">
        <v>0.5</v>
      </c>
      <c r="O251">
        <v>0.38</v>
      </c>
      <c r="P251">
        <v>3.5</v>
      </c>
      <c r="Q251">
        <v>-4.5</v>
      </c>
      <c r="R251">
        <v>2</v>
      </c>
      <c r="S251">
        <v>4</v>
      </c>
      <c r="T251">
        <v>0.5</v>
      </c>
      <c r="U251">
        <v>0</v>
      </c>
      <c r="V251">
        <v>0</v>
      </c>
      <c r="W251">
        <v>0</v>
      </c>
      <c r="X251">
        <v>0</v>
      </c>
      <c r="Y251">
        <v>0.5</v>
      </c>
      <c r="Z251">
        <v>0.5</v>
      </c>
    </row>
    <row r="252" spans="1:30">
      <c r="A252" t="s">
        <v>414</v>
      </c>
      <c r="B252">
        <v>60</v>
      </c>
      <c r="C252">
        <v>72.3125</v>
      </c>
      <c r="D252">
        <v>6.875</v>
      </c>
      <c r="E252">
        <v>4.875</v>
      </c>
      <c r="F252" t="s">
        <v>157</v>
      </c>
      <c r="G252">
        <v>1</v>
      </c>
      <c r="H252">
        <v>1</v>
      </c>
      <c r="I252">
        <v>0</v>
      </c>
      <c r="L252" t="s">
        <v>120</v>
      </c>
      <c r="N252">
        <v>0.5</v>
      </c>
      <c r="O252">
        <v>0.38</v>
      </c>
      <c r="P252">
        <v>3.5</v>
      </c>
      <c r="Q252">
        <v>-2.375</v>
      </c>
      <c r="R252">
        <v>0</v>
      </c>
      <c r="S252">
        <v>4</v>
      </c>
      <c r="T252">
        <v>0.5</v>
      </c>
      <c r="U252">
        <v>0</v>
      </c>
      <c r="V252">
        <v>0</v>
      </c>
      <c r="W252">
        <v>0</v>
      </c>
      <c r="X252">
        <v>0</v>
      </c>
      <c r="Y252">
        <v>0.5</v>
      </c>
      <c r="Z252">
        <v>0.5</v>
      </c>
      <c r="AA252">
        <v>11.5</v>
      </c>
      <c r="AB252">
        <v>10.875</v>
      </c>
      <c r="AC252">
        <v>28.94</v>
      </c>
      <c r="AD252">
        <v>11.125</v>
      </c>
    </row>
    <row r="253" spans="1:30">
      <c r="A253" t="s">
        <v>415</v>
      </c>
      <c r="B253">
        <v>60</v>
      </c>
      <c r="C253">
        <v>59.1875</v>
      </c>
      <c r="D253">
        <v>12</v>
      </c>
      <c r="E253">
        <v>5.625</v>
      </c>
      <c r="F253" t="s">
        <v>157</v>
      </c>
      <c r="G253">
        <v>1</v>
      </c>
      <c r="H253">
        <v>1</v>
      </c>
      <c r="I253">
        <v>1</v>
      </c>
      <c r="J253">
        <v>0</v>
      </c>
      <c r="K253">
        <v>12</v>
      </c>
      <c r="L253" t="s">
        <v>148</v>
      </c>
      <c r="N253">
        <v>0.5</v>
      </c>
      <c r="O253">
        <v>0.38</v>
      </c>
      <c r="P253">
        <v>3.5</v>
      </c>
      <c r="Q253">
        <v>-7.5</v>
      </c>
      <c r="R253">
        <v>0</v>
      </c>
      <c r="S253">
        <v>4</v>
      </c>
      <c r="T253">
        <v>0.5</v>
      </c>
      <c r="U253">
        <v>0</v>
      </c>
      <c r="V253">
        <v>0</v>
      </c>
      <c r="W253">
        <v>0</v>
      </c>
      <c r="X253">
        <v>0</v>
      </c>
      <c r="Y253">
        <v>0.5</v>
      </c>
      <c r="Z253">
        <v>0.5</v>
      </c>
      <c r="AA253">
        <v>15.5</v>
      </c>
      <c r="AB253">
        <v>28.875</v>
      </c>
      <c r="AC253">
        <v>9</v>
      </c>
      <c r="AD253">
        <v>6</v>
      </c>
    </row>
    <row r="254" spans="1:30">
      <c r="A254" t="s">
        <v>416</v>
      </c>
      <c r="B254">
        <v>60</v>
      </c>
      <c r="C254">
        <v>60.375</v>
      </c>
      <c r="D254">
        <v>8.1875</v>
      </c>
      <c r="E254">
        <v>1</v>
      </c>
      <c r="F254" t="s">
        <v>157</v>
      </c>
      <c r="G254">
        <v>1</v>
      </c>
      <c r="H254">
        <v>1</v>
      </c>
      <c r="I254">
        <v>1</v>
      </c>
      <c r="J254">
        <v>0</v>
      </c>
      <c r="K254">
        <v>24</v>
      </c>
      <c r="L254" t="s">
        <v>120</v>
      </c>
      <c r="N254">
        <v>0.5</v>
      </c>
      <c r="O254">
        <v>0.38</v>
      </c>
      <c r="P254">
        <v>3.5</v>
      </c>
      <c r="Q254">
        <v>-3.6875</v>
      </c>
      <c r="R254">
        <v>3.5</v>
      </c>
      <c r="S254">
        <v>4</v>
      </c>
      <c r="T254">
        <v>0.5</v>
      </c>
      <c r="U254">
        <v>0</v>
      </c>
      <c r="V254">
        <v>0</v>
      </c>
      <c r="W254">
        <v>0</v>
      </c>
      <c r="X254">
        <v>0</v>
      </c>
      <c r="Y254">
        <v>0.5</v>
      </c>
      <c r="Z254">
        <v>0.5</v>
      </c>
      <c r="AA254">
        <v>11.5</v>
      </c>
      <c r="AB254">
        <v>10.875</v>
      </c>
      <c r="AC254">
        <v>4.9400000000000004</v>
      </c>
      <c r="AD254">
        <v>9.8125</v>
      </c>
    </row>
    <row r="255" spans="1:30">
      <c r="A255" t="s">
        <v>417</v>
      </c>
      <c r="B255">
        <v>60</v>
      </c>
      <c r="C255">
        <v>60.8125</v>
      </c>
      <c r="D255">
        <v>10.0625</v>
      </c>
      <c r="E255">
        <v>1</v>
      </c>
      <c r="F255" t="s">
        <v>157</v>
      </c>
      <c r="G255">
        <v>1</v>
      </c>
      <c r="H255">
        <v>1</v>
      </c>
      <c r="I255">
        <v>1</v>
      </c>
      <c r="J255">
        <v>0</v>
      </c>
      <c r="N255">
        <v>0.5</v>
      </c>
      <c r="O255">
        <v>0.38</v>
      </c>
      <c r="P255">
        <v>3.5</v>
      </c>
      <c r="Q255">
        <v>-5.5625</v>
      </c>
      <c r="R255">
        <v>3.5</v>
      </c>
      <c r="S255">
        <v>4</v>
      </c>
      <c r="T255">
        <v>0.5</v>
      </c>
      <c r="U255">
        <v>0</v>
      </c>
      <c r="V255">
        <v>0</v>
      </c>
      <c r="W255">
        <v>0</v>
      </c>
      <c r="X255">
        <v>0</v>
      </c>
      <c r="Y255">
        <v>0.5</v>
      </c>
      <c r="Z255">
        <v>0.5</v>
      </c>
    </row>
    <row r="256" spans="1:30">
      <c r="A256" t="s">
        <v>418</v>
      </c>
      <c r="B256">
        <v>60</v>
      </c>
      <c r="C256">
        <v>79.6875</v>
      </c>
      <c r="D256">
        <v>2.5625</v>
      </c>
      <c r="E256">
        <v>7</v>
      </c>
      <c r="F256" t="s">
        <v>157</v>
      </c>
      <c r="G256">
        <v>1</v>
      </c>
      <c r="H256">
        <v>1</v>
      </c>
      <c r="I256">
        <v>1</v>
      </c>
      <c r="J256">
        <v>1</v>
      </c>
      <c r="N256">
        <v>0.5</v>
      </c>
      <c r="O256">
        <v>0.38</v>
      </c>
      <c r="P256">
        <v>3.5</v>
      </c>
      <c r="Q256">
        <v>1.9375</v>
      </c>
      <c r="R256">
        <v>0</v>
      </c>
      <c r="S256">
        <v>4</v>
      </c>
      <c r="T256">
        <v>0.5</v>
      </c>
      <c r="U256">
        <v>1</v>
      </c>
      <c r="V256">
        <v>1</v>
      </c>
      <c r="W256">
        <v>0</v>
      </c>
      <c r="X256">
        <v>0</v>
      </c>
      <c r="Y256">
        <v>0</v>
      </c>
      <c r="Z256">
        <v>0</v>
      </c>
    </row>
    <row r="257" spans="1:30">
      <c r="A257" t="s">
        <v>419</v>
      </c>
      <c r="B257">
        <v>57.1875</v>
      </c>
      <c r="C257">
        <v>55.625</v>
      </c>
      <c r="D257">
        <v>9</v>
      </c>
      <c r="E257">
        <v>1.375</v>
      </c>
      <c r="F257" t="s">
        <v>21</v>
      </c>
      <c r="G257">
        <v>0</v>
      </c>
      <c r="I257">
        <v>0</v>
      </c>
      <c r="L257" t="s">
        <v>151</v>
      </c>
      <c r="N257">
        <v>0.5</v>
      </c>
      <c r="O257">
        <v>0.38</v>
      </c>
      <c r="P257">
        <v>3.5</v>
      </c>
      <c r="Q257">
        <v>-4.5</v>
      </c>
      <c r="R257">
        <v>3.125</v>
      </c>
      <c r="S257">
        <v>4</v>
      </c>
      <c r="T257">
        <v>0.5</v>
      </c>
      <c r="U257">
        <v>0</v>
      </c>
      <c r="V257">
        <v>0</v>
      </c>
      <c r="W257">
        <v>0</v>
      </c>
      <c r="X257">
        <v>0</v>
      </c>
      <c r="Y257">
        <v>0.5</v>
      </c>
      <c r="Z257">
        <v>0.5</v>
      </c>
      <c r="AA257">
        <v>15.5</v>
      </c>
      <c r="AB257">
        <v>28.875</v>
      </c>
      <c r="AC257">
        <v>21</v>
      </c>
      <c r="AD257">
        <v>9</v>
      </c>
    </row>
    <row r="258" spans="1:30">
      <c r="A258" t="s">
        <v>420</v>
      </c>
      <c r="B258">
        <v>46.3125</v>
      </c>
      <c r="C258">
        <v>60.3125</v>
      </c>
      <c r="D258">
        <v>2.4375</v>
      </c>
      <c r="E258">
        <v>2.5</v>
      </c>
      <c r="F258" t="s">
        <v>21</v>
      </c>
      <c r="G258">
        <v>0</v>
      </c>
      <c r="I258">
        <v>1</v>
      </c>
      <c r="J258">
        <v>0</v>
      </c>
      <c r="K258">
        <v>12</v>
      </c>
      <c r="L258" t="s">
        <v>145</v>
      </c>
      <c r="N258">
        <v>0.5</v>
      </c>
      <c r="O258">
        <v>0.38</v>
      </c>
      <c r="P258">
        <v>3.5</v>
      </c>
      <c r="Q258">
        <v>2.0625</v>
      </c>
      <c r="R258">
        <v>2</v>
      </c>
      <c r="S258">
        <v>4</v>
      </c>
      <c r="T258">
        <v>0.5</v>
      </c>
      <c r="U258">
        <v>0</v>
      </c>
      <c r="V258">
        <v>1</v>
      </c>
      <c r="W258">
        <v>0</v>
      </c>
      <c r="X258">
        <v>0</v>
      </c>
      <c r="Y258">
        <v>0.5</v>
      </c>
      <c r="Z258">
        <v>0</v>
      </c>
      <c r="AA258">
        <v>15.5</v>
      </c>
      <c r="AB258">
        <v>28.875</v>
      </c>
      <c r="AC258">
        <v>14</v>
      </c>
      <c r="AD258">
        <v>27.692499999999999</v>
      </c>
    </row>
    <row r="259" spans="1:30">
      <c r="A259" t="s">
        <v>421</v>
      </c>
      <c r="B259">
        <v>96.625</v>
      </c>
      <c r="C259">
        <v>59.5625</v>
      </c>
      <c r="D259">
        <v>1</v>
      </c>
      <c r="E259">
        <v>2.125</v>
      </c>
      <c r="F259" t="s">
        <v>21</v>
      </c>
      <c r="G259">
        <v>0</v>
      </c>
      <c r="I259">
        <v>1</v>
      </c>
      <c r="J259">
        <v>0</v>
      </c>
      <c r="K259">
        <v>24</v>
      </c>
      <c r="N259">
        <v>0.5</v>
      </c>
      <c r="O259">
        <v>0.38</v>
      </c>
      <c r="P259">
        <v>3.5</v>
      </c>
      <c r="Q259">
        <v>3.5</v>
      </c>
      <c r="R259">
        <v>2.375</v>
      </c>
      <c r="S259">
        <v>4</v>
      </c>
      <c r="T259">
        <v>0.5</v>
      </c>
      <c r="U259">
        <v>0</v>
      </c>
      <c r="V259">
        <v>1</v>
      </c>
      <c r="W259">
        <v>0</v>
      </c>
      <c r="X259">
        <v>0</v>
      </c>
      <c r="Y259">
        <v>0.5</v>
      </c>
      <c r="Z259">
        <v>0</v>
      </c>
    </row>
    <row r="260" spans="1:30">
      <c r="A260" t="s">
        <v>422</v>
      </c>
      <c r="B260">
        <v>52.25</v>
      </c>
      <c r="C260">
        <v>42.3125</v>
      </c>
      <c r="D260">
        <v>3</v>
      </c>
      <c r="E260">
        <v>4.875</v>
      </c>
      <c r="F260" t="s">
        <v>21</v>
      </c>
      <c r="G260">
        <v>0</v>
      </c>
      <c r="I260">
        <v>1</v>
      </c>
      <c r="J260">
        <v>0</v>
      </c>
      <c r="N260">
        <v>0.5</v>
      </c>
      <c r="O260">
        <v>0.38</v>
      </c>
      <c r="P260">
        <v>3.5</v>
      </c>
      <c r="Q260">
        <v>1.5</v>
      </c>
      <c r="R260">
        <v>0</v>
      </c>
      <c r="S260">
        <v>4</v>
      </c>
      <c r="T260">
        <v>0.5</v>
      </c>
      <c r="U260">
        <v>0</v>
      </c>
      <c r="V260">
        <v>1</v>
      </c>
      <c r="W260">
        <v>0</v>
      </c>
      <c r="X260">
        <v>0</v>
      </c>
      <c r="Y260">
        <v>0.5</v>
      </c>
      <c r="Z260">
        <v>0</v>
      </c>
    </row>
    <row r="261" spans="1:30">
      <c r="A261" t="s">
        <v>423</v>
      </c>
      <c r="B261">
        <v>90.1875</v>
      </c>
      <c r="C261">
        <v>74.1875</v>
      </c>
      <c r="D261">
        <v>3.1875</v>
      </c>
      <c r="E261">
        <v>1</v>
      </c>
      <c r="F261" t="s">
        <v>21</v>
      </c>
      <c r="G261">
        <v>0</v>
      </c>
      <c r="I261">
        <v>1</v>
      </c>
      <c r="J261">
        <v>1</v>
      </c>
      <c r="N261">
        <v>0.5</v>
      </c>
      <c r="O261">
        <v>0.38</v>
      </c>
      <c r="P261">
        <v>3.5</v>
      </c>
      <c r="Q261">
        <v>1.3125</v>
      </c>
      <c r="R261">
        <v>3.5</v>
      </c>
      <c r="S261">
        <v>4</v>
      </c>
      <c r="T261">
        <v>0.5</v>
      </c>
      <c r="U261">
        <v>0</v>
      </c>
      <c r="V261">
        <v>1</v>
      </c>
      <c r="W261">
        <v>0</v>
      </c>
      <c r="X261">
        <v>1</v>
      </c>
      <c r="Y261">
        <v>0.5</v>
      </c>
      <c r="Z261">
        <v>0</v>
      </c>
    </row>
    <row r="262" spans="1:30">
      <c r="A262" t="s">
        <v>424</v>
      </c>
      <c r="B262">
        <v>72.75</v>
      </c>
      <c r="C262">
        <v>32.5</v>
      </c>
      <c r="D262">
        <v>9.75</v>
      </c>
      <c r="E262">
        <v>2.875</v>
      </c>
      <c r="F262" t="s">
        <v>21</v>
      </c>
      <c r="G262">
        <v>1</v>
      </c>
      <c r="H262">
        <v>0</v>
      </c>
      <c r="I262">
        <v>0</v>
      </c>
      <c r="N262">
        <v>0.5</v>
      </c>
      <c r="O262">
        <v>0.38</v>
      </c>
      <c r="P262">
        <v>3.5</v>
      </c>
      <c r="Q262">
        <v>-5.25</v>
      </c>
      <c r="R262">
        <v>1.625</v>
      </c>
      <c r="S262">
        <v>4</v>
      </c>
      <c r="T262">
        <v>0.5</v>
      </c>
      <c r="U262">
        <v>0</v>
      </c>
      <c r="V262">
        <v>0</v>
      </c>
      <c r="W262">
        <v>0</v>
      </c>
      <c r="X262">
        <v>0</v>
      </c>
      <c r="Y262">
        <v>0.5</v>
      </c>
      <c r="Z262">
        <v>0.5</v>
      </c>
    </row>
    <row r="263" spans="1:30">
      <c r="A263" t="s">
        <v>425</v>
      </c>
      <c r="B263">
        <v>96</v>
      </c>
      <c r="C263">
        <v>67.0625</v>
      </c>
      <c r="D263">
        <v>8.75</v>
      </c>
      <c r="E263">
        <v>3.5625</v>
      </c>
      <c r="F263" t="s">
        <v>21</v>
      </c>
      <c r="G263">
        <v>1</v>
      </c>
      <c r="H263">
        <v>0</v>
      </c>
      <c r="I263">
        <v>1</v>
      </c>
      <c r="J263">
        <v>0</v>
      </c>
      <c r="K263">
        <v>12</v>
      </c>
      <c r="L263" t="s">
        <v>145</v>
      </c>
      <c r="N263">
        <v>0.5</v>
      </c>
      <c r="O263">
        <v>0.38</v>
      </c>
      <c r="P263">
        <v>3.5</v>
      </c>
      <c r="Q263">
        <v>-4.25</v>
      </c>
      <c r="R263">
        <v>0.9375</v>
      </c>
      <c r="S263">
        <v>4</v>
      </c>
      <c r="T263">
        <v>0.5</v>
      </c>
      <c r="U263">
        <v>0</v>
      </c>
      <c r="V263">
        <v>0</v>
      </c>
      <c r="W263">
        <v>0</v>
      </c>
      <c r="X263">
        <v>0</v>
      </c>
      <c r="Y263">
        <v>0.5</v>
      </c>
      <c r="Z263">
        <v>0.5</v>
      </c>
      <c r="AA263">
        <v>15.5</v>
      </c>
      <c r="AB263">
        <v>28.875</v>
      </c>
      <c r="AC263">
        <v>14</v>
      </c>
      <c r="AD263">
        <v>21.38</v>
      </c>
    </row>
    <row r="264" spans="1:30">
      <c r="A264" t="s">
        <v>426</v>
      </c>
      <c r="B264">
        <v>79</v>
      </c>
      <c r="C264">
        <v>49.3125</v>
      </c>
      <c r="D264">
        <v>9</v>
      </c>
      <c r="E264">
        <v>1</v>
      </c>
      <c r="F264" t="s">
        <v>21</v>
      </c>
      <c r="G264">
        <v>1</v>
      </c>
      <c r="H264">
        <v>0</v>
      </c>
      <c r="I264">
        <v>1</v>
      </c>
      <c r="J264">
        <v>0</v>
      </c>
      <c r="K264">
        <v>24</v>
      </c>
      <c r="L264" t="s">
        <v>120</v>
      </c>
      <c r="N264">
        <v>0.5</v>
      </c>
      <c r="O264">
        <v>0.38</v>
      </c>
      <c r="P264">
        <v>3.5</v>
      </c>
      <c r="Q264">
        <v>-4.5</v>
      </c>
      <c r="R264">
        <v>3.5</v>
      </c>
      <c r="S264">
        <v>4</v>
      </c>
      <c r="T264">
        <v>0.5</v>
      </c>
      <c r="U264">
        <v>0</v>
      </c>
      <c r="V264">
        <v>0</v>
      </c>
      <c r="W264">
        <v>0</v>
      </c>
      <c r="X264">
        <v>0</v>
      </c>
      <c r="Y264">
        <v>0.5</v>
      </c>
      <c r="Z264">
        <v>0.5</v>
      </c>
      <c r="AA264">
        <v>11.5</v>
      </c>
      <c r="AB264">
        <v>10.875</v>
      </c>
      <c r="AC264">
        <v>4.9400000000000004</v>
      </c>
      <c r="AD264">
        <v>9</v>
      </c>
    </row>
    <row r="265" spans="1:30">
      <c r="A265" t="s">
        <v>427</v>
      </c>
      <c r="B265">
        <v>96</v>
      </c>
      <c r="C265">
        <v>47</v>
      </c>
      <c r="D265">
        <v>12</v>
      </c>
      <c r="E265">
        <v>1</v>
      </c>
      <c r="F265" t="s">
        <v>21</v>
      </c>
      <c r="G265">
        <v>1</v>
      </c>
      <c r="H265">
        <v>0</v>
      </c>
      <c r="I265">
        <v>1</v>
      </c>
      <c r="J265">
        <v>0</v>
      </c>
      <c r="N265">
        <v>0.5</v>
      </c>
      <c r="O265">
        <v>0.38</v>
      </c>
      <c r="P265">
        <v>3.5</v>
      </c>
      <c r="Q265">
        <v>-7.5</v>
      </c>
      <c r="R265">
        <v>3.5</v>
      </c>
      <c r="S265">
        <v>4</v>
      </c>
      <c r="T265">
        <v>0.5</v>
      </c>
      <c r="U265">
        <v>0</v>
      </c>
      <c r="V265">
        <v>0</v>
      </c>
      <c r="W265">
        <v>0</v>
      </c>
      <c r="X265">
        <v>0</v>
      </c>
      <c r="Y265">
        <v>0.5</v>
      </c>
      <c r="Z265">
        <v>0.5</v>
      </c>
    </row>
    <row r="266" spans="1:30">
      <c r="A266" t="s">
        <v>428</v>
      </c>
      <c r="B266">
        <v>96</v>
      </c>
      <c r="C266">
        <v>63.25</v>
      </c>
      <c r="D266">
        <v>4.5</v>
      </c>
      <c r="E266">
        <v>4.3125</v>
      </c>
      <c r="F266" t="s">
        <v>21</v>
      </c>
      <c r="G266">
        <v>1</v>
      </c>
      <c r="H266">
        <v>0</v>
      </c>
      <c r="I266">
        <v>1</v>
      </c>
      <c r="J266">
        <v>1</v>
      </c>
      <c r="N266">
        <v>0.5</v>
      </c>
      <c r="O266">
        <v>0.38</v>
      </c>
      <c r="P266">
        <v>3.5</v>
      </c>
      <c r="Q266">
        <v>0</v>
      </c>
      <c r="R266">
        <v>0.1875</v>
      </c>
      <c r="S266">
        <v>4</v>
      </c>
      <c r="T266">
        <v>0.5</v>
      </c>
      <c r="U266">
        <v>0</v>
      </c>
      <c r="V266">
        <v>0</v>
      </c>
      <c r="W266">
        <v>0</v>
      </c>
      <c r="X266">
        <v>1</v>
      </c>
      <c r="Y266">
        <v>0.5</v>
      </c>
      <c r="Z266">
        <v>0.5</v>
      </c>
    </row>
    <row r="267" spans="1:30">
      <c r="A267" t="s">
        <v>429</v>
      </c>
      <c r="B267">
        <v>52.1875</v>
      </c>
      <c r="C267">
        <v>51.5</v>
      </c>
      <c r="D267">
        <v>4.5</v>
      </c>
      <c r="E267">
        <v>1</v>
      </c>
      <c r="F267" t="s">
        <v>21</v>
      </c>
      <c r="G267">
        <v>1</v>
      </c>
      <c r="H267">
        <v>1</v>
      </c>
      <c r="I267">
        <v>0</v>
      </c>
      <c r="L267" t="s">
        <v>35</v>
      </c>
      <c r="N267">
        <v>0.5</v>
      </c>
      <c r="O267">
        <v>0.38</v>
      </c>
      <c r="P267">
        <v>3.5</v>
      </c>
      <c r="Q267">
        <v>0</v>
      </c>
      <c r="R267">
        <v>3.5</v>
      </c>
      <c r="S267">
        <v>4</v>
      </c>
      <c r="T267">
        <v>0.5</v>
      </c>
      <c r="U267">
        <v>0</v>
      </c>
      <c r="V267">
        <v>0</v>
      </c>
      <c r="W267">
        <v>1</v>
      </c>
      <c r="X267">
        <v>0</v>
      </c>
      <c r="Y267">
        <v>0.5</v>
      </c>
      <c r="Z267">
        <v>0.5</v>
      </c>
      <c r="AA267">
        <v>15.5</v>
      </c>
      <c r="AB267">
        <v>28.875</v>
      </c>
      <c r="AC267">
        <v>26</v>
      </c>
      <c r="AD267">
        <v>25.63</v>
      </c>
    </row>
    <row r="268" spans="1:30">
      <c r="A268" t="s">
        <v>430</v>
      </c>
      <c r="B268">
        <v>68.3125</v>
      </c>
      <c r="C268">
        <v>52.4375</v>
      </c>
      <c r="D268">
        <v>9</v>
      </c>
      <c r="E268">
        <v>5.8125</v>
      </c>
      <c r="F268" t="s">
        <v>21</v>
      </c>
      <c r="G268">
        <v>1</v>
      </c>
      <c r="H268">
        <v>1</v>
      </c>
      <c r="I268">
        <v>1</v>
      </c>
      <c r="J268">
        <v>0</v>
      </c>
      <c r="K268">
        <v>12</v>
      </c>
      <c r="L268" t="s">
        <v>148</v>
      </c>
      <c r="N268">
        <v>0.5</v>
      </c>
      <c r="O268">
        <v>0.38</v>
      </c>
      <c r="P268">
        <v>3.5</v>
      </c>
      <c r="Q268">
        <v>-4.5</v>
      </c>
      <c r="R268">
        <v>0</v>
      </c>
      <c r="S268">
        <v>4</v>
      </c>
      <c r="T268">
        <v>0.5</v>
      </c>
      <c r="U268">
        <v>0</v>
      </c>
      <c r="V268">
        <v>0</v>
      </c>
      <c r="W268">
        <v>0</v>
      </c>
      <c r="X268">
        <v>0</v>
      </c>
      <c r="Y268">
        <v>0.5</v>
      </c>
      <c r="Z268">
        <v>0.5</v>
      </c>
      <c r="AA268">
        <v>15.5</v>
      </c>
      <c r="AB268">
        <v>28.875</v>
      </c>
      <c r="AC268">
        <v>9</v>
      </c>
      <c r="AD268">
        <v>9</v>
      </c>
    </row>
    <row r="269" spans="1:30">
      <c r="A269" t="s">
        <v>431</v>
      </c>
      <c r="B269">
        <v>93.75</v>
      </c>
      <c r="C269">
        <v>72.9375</v>
      </c>
      <c r="D269">
        <v>1</v>
      </c>
      <c r="E269">
        <v>2.5625</v>
      </c>
      <c r="F269" t="s">
        <v>21</v>
      </c>
      <c r="G269">
        <v>1</v>
      </c>
      <c r="H269">
        <v>1</v>
      </c>
      <c r="I269">
        <v>1</v>
      </c>
      <c r="J269">
        <v>0</v>
      </c>
      <c r="K269">
        <v>24</v>
      </c>
      <c r="L269" t="s">
        <v>120</v>
      </c>
      <c r="N269">
        <v>0.5</v>
      </c>
      <c r="O269">
        <v>0.38</v>
      </c>
      <c r="P269">
        <v>3.5</v>
      </c>
      <c r="Q269">
        <v>3.5</v>
      </c>
      <c r="R269">
        <v>1.9375</v>
      </c>
      <c r="S269">
        <v>4</v>
      </c>
      <c r="T269">
        <v>0.5</v>
      </c>
      <c r="U269">
        <v>1</v>
      </c>
      <c r="V269">
        <v>1</v>
      </c>
      <c r="W269">
        <v>1</v>
      </c>
      <c r="X269">
        <v>0</v>
      </c>
      <c r="Y269">
        <v>0</v>
      </c>
      <c r="Z269">
        <v>0</v>
      </c>
      <c r="AA269">
        <v>11.5</v>
      </c>
      <c r="AB269">
        <v>10.875</v>
      </c>
      <c r="AC269">
        <v>4.9400000000000004</v>
      </c>
      <c r="AD269">
        <v>17</v>
      </c>
    </row>
    <row r="270" spans="1:30">
      <c r="A270" t="s">
        <v>432</v>
      </c>
      <c r="B270">
        <v>97.5625</v>
      </c>
      <c r="C270">
        <v>44.6875</v>
      </c>
      <c r="D270">
        <v>4.375</v>
      </c>
      <c r="E270">
        <v>3.25</v>
      </c>
      <c r="F270" t="s">
        <v>21</v>
      </c>
      <c r="G270">
        <v>1</v>
      </c>
      <c r="H270">
        <v>1</v>
      </c>
      <c r="I270">
        <v>1</v>
      </c>
      <c r="J270">
        <v>0</v>
      </c>
      <c r="N270">
        <v>0.5</v>
      </c>
      <c r="O270">
        <v>0.38</v>
      </c>
      <c r="P270">
        <v>3.5</v>
      </c>
      <c r="Q270">
        <v>0.125</v>
      </c>
      <c r="R270">
        <v>1.25</v>
      </c>
      <c r="S270">
        <v>4</v>
      </c>
      <c r="T270">
        <v>0.5</v>
      </c>
      <c r="U270">
        <v>1</v>
      </c>
      <c r="V270">
        <v>1</v>
      </c>
      <c r="W270">
        <v>1</v>
      </c>
      <c r="X270">
        <v>0</v>
      </c>
      <c r="Y270">
        <v>0</v>
      </c>
      <c r="Z270">
        <v>0</v>
      </c>
    </row>
    <row r="271" spans="1:30">
      <c r="A271" t="s">
        <v>433</v>
      </c>
      <c r="B271">
        <v>65.6875</v>
      </c>
      <c r="C271">
        <v>67.5</v>
      </c>
      <c r="D271">
        <v>12</v>
      </c>
      <c r="E271">
        <v>4.0625</v>
      </c>
      <c r="F271" t="s">
        <v>21</v>
      </c>
      <c r="G271">
        <v>1</v>
      </c>
      <c r="H271">
        <v>1</v>
      </c>
      <c r="I271">
        <v>1</v>
      </c>
      <c r="J271">
        <v>1</v>
      </c>
      <c r="N271">
        <v>0.5</v>
      </c>
      <c r="O271">
        <v>0.38</v>
      </c>
      <c r="P271">
        <v>3.5</v>
      </c>
      <c r="Q271">
        <v>-7.5</v>
      </c>
      <c r="R271">
        <v>0.4375</v>
      </c>
      <c r="S271">
        <v>4</v>
      </c>
      <c r="T271">
        <v>0.5</v>
      </c>
      <c r="U271">
        <v>0</v>
      </c>
      <c r="V271">
        <v>0</v>
      </c>
      <c r="W271">
        <v>1</v>
      </c>
      <c r="X271">
        <v>1</v>
      </c>
      <c r="Y271">
        <v>0.5</v>
      </c>
      <c r="Z271">
        <v>0.5</v>
      </c>
    </row>
    <row r="272" spans="1:30">
      <c r="A272" t="s">
        <v>434</v>
      </c>
      <c r="B272">
        <v>20.0625</v>
      </c>
      <c r="C272">
        <v>69.625</v>
      </c>
      <c r="D272">
        <v>11.75</v>
      </c>
      <c r="E272">
        <v>1</v>
      </c>
      <c r="F272" t="s">
        <v>156</v>
      </c>
      <c r="G272">
        <v>0</v>
      </c>
      <c r="I272">
        <v>0</v>
      </c>
      <c r="L272" t="s">
        <v>121</v>
      </c>
      <c r="M272" t="s">
        <v>120</v>
      </c>
      <c r="N272">
        <v>0.5</v>
      </c>
      <c r="O272">
        <v>0.38</v>
      </c>
      <c r="P272">
        <v>3.5</v>
      </c>
      <c r="Q272">
        <v>-7.25</v>
      </c>
      <c r="R272">
        <v>3.5</v>
      </c>
      <c r="S272">
        <v>4</v>
      </c>
      <c r="T272">
        <v>0.5</v>
      </c>
      <c r="U272">
        <v>0</v>
      </c>
      <c r="V272">
        <v>0</v>
      </c>
      <c r="W272">
        <v>0</v>
      </c>
      <c r="X272">
        <v>0</v>
      </c>
      <c r="Y272">
        <v>0.5</v>
      </c>
      <c r="Z272">
        <v>0.5</v>
      </c>
    </row>
    <row r="273" spans="1:30">
      <c r="A273" t="s">
        <v>435</v>
      </c>
      <c r="B273">
        <v>16.4375</v>
      </c>
      <c r="C273">
        <v>65</v>
      </c>
      <c r="D273">
        <v>9</v>
      </c>
      <c r="E273">
        <v>7.75</v>
      </c>
      <c r="F273" t="s">
        <v>156</v>
      </c>
      <c r="G273">
        <v>0</v>
      </c>
      <c r="I273">
        <v>1</v>
      </c>
      <c r="J273">
        <v>0</v>
      </c>
      <c r="K273">
        <v>12</v>
      </c>
      <c r="L273" t="s">
        <v>151</v>
      </c>
      <c r="N273">
        <v>0.5</v>
      </c>
      <c r="O273">
        <v>0.38</v>
      </c>
      <c r="P273">
        <v>3.5</v>
      </c>
      <c r="Q273">
        <v>-4.5</v>
      </c>
      <c r="R273">
        <v>0</v>
      </c>
      <c r="S273">
        <v>4</v>
      </c>
      <c r="T273">
        <v>0.5</v>
      </c>
      <c r="U273">
        <v>0</v>
      </c>
      <c r="V273">
        <v>0</v>
      </c>
      <c r="W273">
        <v>0</v>
      </c>
      <c r="X273">
        <v>0</v>
      </c>
      <c r="Y273">
        <v>0.5</v>
      </c>
      <c r="Z273">
        <v>0.5</v>
      </c>
    </row>
    <row r="274" spans="1:30">
      <c r="A274" t="s">
        <v>436</v>
      </c>
      <c r="B274">
        <v>13.625</v>
      </c>
      <c r="C274">
        <v>20.9375</v>
      </c>
      <c r="D274">
        <v>12</v>
      </c>
      <c r="E274">
        <v>5.3125</v>
      </c>
      <c r="F274" t="s">
        <v>156</v>
      </c>
      <c r="G274">
        <v>0</v>
      </c>
      <c r="I274">
        <v>1</v>
      </c>
      <c r="J274">
        <v>0</v>
      </c>
      <c r="K274">
        <v>24</v>
      </c>
      <c r="N274">
        <v>0.5</v>
      </c>
      <c r="O274">
        <v>0.38</v>
      </c>
      <c r="P274">
        <v>3.5</v>
      </c>
      <c r="Q274">
        <v>-7.5</v>
      </c>
      <c r="R274">
        <v>0</v>
      </c>
      <c r="S274">
        <v>4</v>
      </c>
      <c r="T274">
        <v>0.5</v>
      </c>
      <c r="U274">
        <v>0</v>
      </c>
      <c r="V274">
        <v>0</v>
      </c>
      <c r="W274">
        <v>0</v>
      </c>
      <c r="X274">
        <v>0</v>
      </c>
      <c r="Y274">
        <v>0.5</v>
      </c>
      <c r="Z274">
        <v>0.5</v>
      </c>
    </row>
    <row r="275" spans="1:30">
      <c r="A275" t="s">
        <v>437</v>
      </c>
      <c r="B275">
        <v>11.1875</v>
      </c>
      <c r="C275">
        <v>77.625</v>
      </c>
      <c r="D275">
        <v>9</v>
      </c>
      <c r="E275">
        <v>6.625</v>
      </c>
      <c r="F275" t="s">
        <v>156</v>
      </c>
      <c r="G275">
        <v>0</v>
      </c>
      <c r="I275">
        <v>1</v>
      </c>
      <c r="J275">
        <v>0</v>
      </c>
      <c r="N275">
        <v>0.5</v>
      </c>
      <c r="O275">
        <v>0.38</v>
      </c>
      <c r="P275">
        <v>3.5</v>
      </c>
      <c r="Q275">
        <v>-4.5</v>
      </c>
      <c r="R275">
        <v>0</v>
      </c>
      <c r="S275">
        <v>4</v>
      </c>
      <c r="T275">
        <v>0.5</v>
      </c>
      <c r="U275">
        <v>0</v>
      </c>
      <c r="V275">
        <v>0</v>
      </c>
      <c r="W275">
        <v>0</v>
      </c>
      <c r="X275">
        <v>0</v>
      </c>
      <c r="Y275">
        <v>0.5</v>
      </c>
      <c r="Z275">
        <v>0.5</v>
      </c>
    </row>
    <row r="276" spans="1:30">
      <c r="A276" t="s">
        <v>438</v>
      </c>
      <c r="B276">
        <v>15.375</v>
      </c>
      <c r="C276">
        <v>49.625</v>
      </c>
      <c r="D276">
        <v>1</v>
      </c>
      <c r="E276">
        <v>1.875</v>
      </c>
      <c r="F276" t="s">
        <v>156</v>
      </c>
      <c r="G276">
        <v>0</v>
      </c>
      <c r="I276">
        <v>1</v>
      </c>
      <c r="J276">
        <v>1</v>
      </c>
      <c r="N276">
        <v>0.5</v>
      </c>
      <c r="O276">
        <v>0.38</v>
      </c>
      <c r="P276">
        <v>3.5</v>
      </c>
      <c r="Q276">
        <v>3.5</v>
      </c>
      <c r="R276">
        <v>2.625</v>
      </c>
      <c r="S276">
        <v>4</v>
      </c>
      <c r="T276">
        <v>0.5</v>
      </c>
      <c r="U276">
        <v>0</v>
      </c>
      <c r="V276">
        <v>0</v>
      </c>
      <c r="W276">
        <v>0</v>
      </c>
      <c r="X276">
        <v>1</v>
      </c>
      <c r="Y276">
        <v>0.5</v>
      </c>
      <c r="Z276">
        <v>0.5</v>
      </c>
    </row>
    <row r="277" spans="1:30">
      <c r="A277" t="s">
        <v>439</v>
      </c>
      <c r="B277">
        <v>11.5625</v>
      </c>
      <c r="C277">
        <v>6.875</v>
      </c>
      <c r="D277">
        <v>1</v>
      </c>
      <c r="E277">
        <v>1.125</v>
      </c>
      <c r="F277" t="s">
        <v>156</v>
      </c>
      <c r="G277">
        <v>1</v>
      </c>
      <c r="H277">
        <v>0</v>
      </c>
      <c r="I277">
        <v>0</v>
      </c>
      <c r="N277">
        <v>0.5</v>
      </c>
      <c r="O277">
        <v>0.38</v>
      </c>
      <c r="P277">
        <v>3.5</v>
      </c>
      <c r="Q277">
        <v>3.5</v>
      </c>
      <c r="R277">
        <v>3.375</v>
      </c>
      <c r="S277">
        <v>4</v>
      </c>
      <c r="T277">
        <v>0.5</v>
      </c>
      <c r="U277">
        <v>0</v>
      </c>
      <c r="V277">
        <v>0</v>
      </c>
      <c r="W277">
        <v>0</v>
      </c>
      <c r="X277">
        <v>0</v>
      </c>
      <c r="Y277">
        <v>0.5</v>
      </c>
      <c r="Z277">
        <v>0.5</v>
      </c>
    </row>
    <row r="278" spans="1:30">
      <c r="A278" t="s">
        <v>440</v>
      </c>
      <c r="B278">
        <v>22.0625</v>
      </c>
      <c r="C278">
        <v>43.5625</v>
      </c>
      <c r="D278">
        <v>1</v>
      </c>
      <c r="E278">
        <v>8.5</v>
      </c>
      <c r="F278" t="s">
        <v>156</v>
      </c>
      <c r="G278">
        <v>1</v>
      </c>
      <c r="H278">
        <v>0</v>
      </c>
      <c r="I278">
        <v>1</v>
      </c>
      <c r="J278">
        <v>0</v>
      </c>
      <c r="K278">
        <v>12</v>
      </c>
      <c r="L278" t="s">
        <v>145</v>
      </c>
      <c r="N278">
        <v>0.5</v>
      </c>
      <c r="O278">
        <v>0.38</v>
      </c>
      <c r="P278">
        <v>3.5</v>
      </c>
      <c r="Q278">
        <v>3.5</v>
      </c>
      <c r="R278">
        <v>0</v>
      </c>
      <c r="S278">
        <v>4</v>
      </c>
      <c r="T278">
        <v>0.5</v>
      </c>
      <c r="U278">
        <v>0</v>
      </c>
      <c r="V278">
        <v>0</v>
      </c>
      <c r="W278">
        <v>0</v>
      </c>
      <c r="X278">
        <v>0</v>
      </c>
      <c r="Y278">
        <v>0.5</v>
      </c>
      <c r="Z278">
        <v>0.5</v>
      </c>
    </row>
    <row r="279" spans="1:30">
      <c r="A279" t="s">
        <v>441</v>
      </c>
      <c r="B279">
        <v>32.125</v>
      </c>
      <c r="C279">
        <v>58.4375</v>
      </c>
      <c r="D279">
        <v>9</v>
      </c>
      <c r="E279">
        <v>8.5</v>
      </c>
      <c r="F279" t="s">
        <v>156</v>
      </c>
      <c r="G279">
        <v>1</v>
      </c>
      <c r="H279">
        <v>0</v>
      </c>
      <c r="I279">
        <v>1</v>
      </c>
      <c r="J279">
        <v>0</v>
      </c>
      <c r="K279">
        <v>24</v>
      </c>
      <c r="N279">
        <v>0.5</v>
      </c>
      <c r="O279">
        <v>0.38</v>
      </c>
      <c r="P279">
        <v>3.5</v>
      </c>
      <c r="Q279">
        <v>-4.5</v>
      </c>
      <c r="R279">
        <v>0</v>
      </c>
      <c r="S279">
        <v>4</v>
      </c>
      <c r="T279">
        <v>0.5</v>
      </c>
      <c r="U279">
        <v>0</v>
      </c>
      <c r="V279">
        <v>0</v>
      </c>
      <c r="W279">
        <v>0</v>
      </c>
      <c r="X279">
        <v>0</v>
      </c>
      <c r="Y279">
        <v>0.5</v>
      </c>
      <c r="Z279">
        <v>0.5</v>
      </c>
    </row>
    <row r="280" spans="1:30">
      <c r="A280" t="s">
        <v>442</v>
      </c>
      <c r="B280">
        <v>9.75</v>
      </c>
      <c r="C280">
        <v>50.625</v>
      </c>
      <c r="D280">
        <v>3.75</v>
      </c>
      <c r="E280">
        <v>2.625</v>
      </c>
      <c r="F280" t="s">
        <v>156</v>
      </c>
      <c r="G280">
        <v>1</v>
      </c>
      <c r="H280">
        <v>0</v>
      </c>
      <c r="I280">
        <v>1</v>
      </c>
      <c r="J280">
        <v>0</v>
      </c>
      <c r="N280">
        <v>0.5</v>
      </c>
      <c r="O280">
        <v>0.38</v>
      </c>
      <c r="P280">
        <v>3.5</v>
      </c>
      <c r="Q280">
        <v>0.75</v>
      </c>
      <c r="R280">
        <v>1.875</v>
      </c>
      <c r="S280">
        <v>4</v>
      </c>
      <c r="T280">
        <v>0.5</v>
      </c>
      <c r="U280">
        <v>0</v>
      </c>
      <c r="V280">
        <v>0</v>
      </c>
      <c r="W280">
        <v>0</v>
      </c>
      <c r="X280">
        <v>0</v>
      </c>
      <c r="Y280">
        <v>0.5</v>
      </c>
      <c r="Z280">
        <v>0.5</v>
      </c>
    </row>
    <row r="281" spans="1:30">
      <c r="A281" t="s">
        <v>443</v>
      </c>
      <c r="B281">
        <v>35.6875</v>
      </c>
      <c r="C281">
        <v>52.25</v>
      </c>
      <c r="D281">
        <v>9.75</v>
      </c>
      <c r="E281">
        <v>4.6875</v>
      </c>
      <c r="F281" t="s">
        <v>156</v>
      </c>
      <c r="G281">
        <v>1</v>
      </c>
      <c r="H281">
        <v>0</v>
      </c>
      <c r="I281">
        <v>1</v>
      </c>
      <c r="J281">
        <v>1</v>
      </c>
      <c r="N281">
        <v>0.5</v>
      </c>
      <c r="O281">
        <v>0.38</v>
      </c>
      <c r="P281">
        <v>3.5</v>
      </c>
      <c r="Q281">
        <v>-5.25</v>
      </c>
      <c r="R281">
        <v>0</v>
      </c>
      <c r="S281">
        <v>4</v>
      </c>
      <c r="T281">
        <v>0.5</v>
      </c>
      <c r="U281">
        <v>0</v>
      </c>
      <c r="V281">
        <v>0</v>
      </c>
      <c r="W281">
        <v>0</v>
      </c>
      <c r="X281">
        <v>0</v>
      </c>
      <c r="Y281">
        <v>0.5</v>
      </c>
      <c r="Z281">
        <v>0.5</v>
      </c>
    </row>
    <row r="282" spans="1:30">
      <c r="A282" t="s">
        <v>444</v>
      </c>
      <c r="B282">
        <v>7.625</v>
      </c>
      <c r="C282">
        <v>19.125</v>
      </c>
      <c r="D282">
        <v>1</v>
      </c>
      <c r="E282">
        <v>4.5625</v>
      </c>
      <c r="F282" t="s">
        <v>156</v>
      </c>
      <c r="G282">
        <v>1</v>
      </c>
      <c r="H282">
        <v>1</v>
      </c>
      <c r="I282">
        <v>0</v>
      </c>
      <c r="N282">
        <v>0.5</v>
      </c>
      <c r="O282">
        <v>0.38</v>
      </c>
      <c r="P282">
        <v>3.5</v>
      </c>
      <c r="Q282">
        <v>3.5</v>
      </c>
      <c r="R282">
        <v>0</v>
      </c>
      <c r="S282">
        <v>4</v>
      </c>
      <c r="T282">
        <v>0.5</v>
      </c>
      <c r="U282">
        <v>0</v>
      </c>
      <c r="V282">
        <v>0</v>
      </c>
      <c r="W282">
        <v>0</v>
      </c>
      <c r="X282">
        <v>0</v>
      </c>
      <c r="Y282">
        <v>0.5</v>
      </c>
      <c r="Z282">
        <v>0.5</v>
      </c>
    </row>
    <row r="283" spans="1:30">
      <c r="A283" t="s">
        <v>445</v>
      </c>
      <c r="B283">
        <v>36.75</v>
      </c>
      <c r="C283">
        <v>7.5</v>
      </c>
      <c r="D283">
        <v>1</v>
      </c>
      <c r="E283">
        <v>6.6875</v>
      </c>
      <c r="F283" t="s">
        <v>156</v>
      </c>
      <c r="G283">
        <v>1</v>
      </c>
      <c r="H283">
        <v>1</v>
      </c>
      <c r="I283">
        <v>1</v>
      </c>
      <c r="J283">
        <v>0</v>
      </c>
      <c r="K283">
        <v>12</v>
      </c>
      <c r="N283">
        <v>0.5</v>
      </c>
      <c r="O283">
        <v>0.38</v>
      </c>
      <c r="P283">
        <v>3.5</v>
      </c>
      <c r="Q283">
        <v>3.5</v>
      </c>
      <c r="R283">
        <v>0</v>
      </c>
      <c r="S283">
        <v>4</v>
      </c>
      <c r="T283">
        <v>0.5</v>
      </c>
      <c r="U283">
        <v>0</v>
      </c>
      <c r="V283">
        <v>0</v>
      </c>
      <c r="W283">
        <v>0</v>
      </c>
      <c r="X283">
        <v>0</v>
      </c>
      <c r="Y283">
        <v>0.5</v>
      </c>
      <c r="Z283">
        <v>0.5</v>
      </c>
    </row>
    <row r="284" spans="1:30">
      <c r="A284" t="s">
        <v>446</v>
      </c>
      <c r="B284">
        <v>15.625</v>
      </c>
      <c r="C284">
        <v>64.875</v>
      </c>
      <c r="D284">
        <v>1</v>
      </c>
      <c r="E284">
        <v>5</v>
      </c>
      <c r="F284" t="s">
        <v>156</v>
      </c>
      <c r="G284">
        <v>1</v>
      </c>
      <c r="H284">
        <v>1</v>
      </c>
      <c r="I284">
        <v>1</v>
      </c>
      <c r="J284">
        <v>0</v>
      </c>
      <c r="K284">
        <v>24</v>
      </c>
      <c r="N284">
        <v>0.5</v>
      </c>
      <c r="O284">
        <v>0.38</v>
      </c>
      <c r="P284">
        <v>3.5</v>
      </c>
      <c r="Q284">
        <v>3.5</v>
      </c>
      <c r="R284">
        <v>0</v>
      </c>
      <c r="S284">
        <v>4</v>
      </c>
      <c r="T284">
        <v>0.5</v>
      </c>
      <c r="U284">
        <v>0</v>
      </c>
      <c r="V284">
        <v>0</v>
      </c>
      <c r="W284">
        <v>0</v>
      </c>
      <c r="X284">
        <v>0</v>
      </c>
      <c r="Y284">
        <v>0.5</v>
      </c>
      <c r="Z284">
        <v>0.5</v>
      </c>
    </row>
    <row r="285" spans="1:30">
      <c r="A285" t="s">
        <v>447</v>
      </c>
      <c r="B285">
        <v>22.0625</v>
      </c>
      <c r="C285">
        <v>42.8125</v>
      </c>
      <c r="D285">
        <v>9</v>
      </c>
      <c r="E285">
        <v>5.1875</v>
      </c>
      <c r="F285" t="s">
        <v>156</v>
      </c>
      <c r="G285">
        <v>1</v>
      </c>
      <c r="H285">
        <v>1</v>
      </c>
      <c r="I285">
        <v>1</v>
      </c>
      <c r="J285">
        <v>0</v>
      </c>
      <c r="N285">
        <v>0.5</v>
      </c>
      <c r="O285">
        <v>0.38</v>
      </c>
      <c r="P285">
        <v>3.5</v>
      </c>
      <c r="Q285">
        <v>-4.5</v>
      </c>
      <c r="R285">
        <v>0</v>
      </c>
      <c r="S285">
        <v>4</v>
      </c>
      <c r="T285">
        <v>0.5</v>
      </c>
      <c r="U285">
        <v>0</v>
      </c>
      <c r="V285">
        <v>0</v>
      </c>
      <c r="W285">
        <v>0</v>
      </c>
      <c r="X285">
        <v>0</v>
      </c>
      <c r="Y285">
        <v>0.5</v>
      </c>
      <c r="Z285">
        <v>0.5</v>
      </c>
    </row>
    <row r="286" spans="1:30">
      <c r="A286" t="s">
        <v>448</v>
      </c>
      <c r="B286">
        <v>21.125</v>
      </c>
      <c r="C286">
        <v>68.875</v>
      </c>
      <c r="D286">
        <v>4.5</v>
      </c>
      <c r="E286">
        <v>1.25</v>
      </c>
      <c r="F286" t="s">
        <v>156</v>
      </c>
      <c r="G286">
        <v>1</v>
      </c>
      <c r="H286">
        <v>1</v>
      </c>
      <c r="I286">
        <v>1</v>
      </c>
      <c r="J286">
        <v>1</v>
      </c>
      <c r="N286">
        <v>0.5</v>
      </c>
      <c r="O286">
        <v>0.38</v>
      </c>
      <c r="P286">
        <v>3.5</v>
      </c>
      <c r="Q286">
        <v>0</v>
      </c>
      <c r="R286">
        <v>3.25</v>
      </c>
      <c r="S286">
        <v>4</v>
      </c>
      <c r="T286">
        <v>0.5</v>
      </c>
      <c r="U286">
        <v>0</v>
      </c>
      <c r="V286">
        <v>0</v>
      </c>
      <c r="W286">
        <v>1</v>
      </c>
      <c r="X286">
        <v>1</v>
      </c>
      <c r="Y286">
        <v>0.5</v>
      </c>
      <c r="Z286">
        <v>0.5</v>
      </c>
    </row>
    <row r="287" spans="1:30">
      <c r="A287" t="s">
        <v>449</v>
      </c>
      <c r="B287">
        <v>60</v>
      </c>
      <c r="C287">
        <v>58.5625</v>
      </c>
      <c r="D287">
        <v>12</v>
      </c>
      <c r="E287">
        <v>1</v>
      </c>
      <c r="F287" t="s">
        <v>157</v>
      </c>
      <c r="G287">
        <v>0</v>
      </c>
      <c r="I287">
        <v>0</v>
      </c>
      <c r="L287" t="s">
        <v>145</v>
      </c>
      <c r="N287">
        <v>0.5</v>
      </c>
      <c r="O287">
        <v>0.38</v>
      </c>
      <c r="P287">
        <v>3.5</v>
      </c>
      <c r="Q287">
        <v>-7.5</v>
      </c>
      <c r="R287">
        <v>3.5</v>
      </c>
      <c r="S287">
        <v>4</v>
      </c>
      <c r="T287">
        <v>0.5</v>
      </c>
      <c r="U287">
        <v>0</v>
      </c>
      <c r="V287">
        <v>0</v>
      </c>
      <c r="W287">
        <v>0</v>
      </c>
      <c r="X287">
        <v>0</v>
      </c>
      <c r="Y287">
        <v>0.5</v>
      </c>
      <c r="Z287">
        <v>0.5</v>
      </c>
      <c r="AA287">
        <v>15.5</v>
      </c>
      <c r="AB287">
        <v>28.875</v>
      </c>
      <c r="AC287">
        <v>26</v>
      </c>
      <c r="AD287">
        <v>18.13</v>
      </c>
    </row>
    <row r="288" spans="1:30">
      <c r="A288" t="s">
        <v>450</v>
      </c>
      <c r="B288">
        <v>60</v>
      </c>
      <c r="C288">
        <v>71</v>
      </c>
      <c r="D288">
        <v>9</v>
      </c>
      <c r="E288">
        <v>3.25</v>
      </c>
      <c r="F288" t="s">
        <v>157</v>
      </c>
      <c r="G288">
        <v>0</v>
      </c>
      <c r="I288">
        <v>1</v>
      </c>
      <c r="J288">
        <v>0</v>
      </c>
      <c r="K288">
        <v>12</v>
      </c>
      <c r="L288" t="s">
        <v>149</v>
      </c>
      <c r="N288">
        <v>0.5</v>
      </c>
      <c r="O288">
        <v>0.38</v>
      </c>
      <c r="P288">
        <v>3.5</v>
      </c>
      <c r="Q288">
        <v>-4.5</v>
      </c>
      <c r="R288">
        <v>1.25</v>
      </c>
      <c r="S288">
        <v>4</v>
      </c>
      <c r="T288">
        <v>0.5</v>
      </c>
      <c r="U288">
        <v>0</v>
      </c>
      <c r="V288">
        <v>0</v>
      </c>
      <c r="W288">
        <v>0</v>
      </c>
      <c r="X288">
        <v>0</v>
      </c>
      <c r="Y288">
        <v>0.5</v>
      </c>
      <c r="Z288">
        <v>0.5</v>
      </c>
      <c r="AA288">
        <v>15.5</v>
      </c>
      <c r="AB288">
        <v>28.875</v>
      </c>
      <c r="AC288">
        <v>9</v>
      </c>
      <c r="AD288">
        <v>9</v>
      </c>
    </row>
    <row r="289" spans="1:34">
      <c r="A289" t="s">
        <v>451</v>
      </c>
      <c r="B289">
        <v>60</v>
      </c>
      <c r="C289">
        <v>73.1875</v>
      </c>
      <c r="D289">
        <v>9</v>
      </c>
      <c r="E289">
        <v>6.9375</v>
      </c>
      <c r="F289" t="s">
        <v>157</v>
      </c>
      <c r="G289">
        <v>0</v>
      </c>
      <c r="I289">
        <v>1</v>
      </c>
      <c r="J289">
        <v>0</v>
      </c>
      <c r="K289">
        <v>24</v>
      </c>
      <c r="L289" t="s">
        <v>120</v>
      </c>
      <c r="N289">
        <v>0.5</v>
      </c>
      <c r="O289">
        <v>0.38</v>
      </c>
      <c r="P289">
        <v>3.5</v>
      </c>
      <c r="Q289">
        <v>-4.5</v>
      </c>
      <c r="R289">
        <v>0</v>
      </c>
      <c r="S289">
        <v>4</v>
      </c>
      <c r="T289">
        <v>0.5</v>
      </c>
      <c r="U289">
        <v>0</v>
      </c>
      <c r="V289">
        <v>0</v>
      </c>
      <c r="W289">
        <v>0</v>
      </c>
      <c r="X289">
        <v>0</v>
      </c>
      <c r="Y289">
        <v>0.5</v>
      </c>
      <c r="Z289">
        <v>0.5</v>
      </c>
      <c r="AA289">
        <v>11.5</v>
      </c>
      <c r="AB289">
        <v>10.875</v>
      </c>
      <c r="AC289">
        <v>4.9400000000000004</v>
      </c>
      <c r="AD289">
        <v>9</v>
      </c>
    </row>
    <row r="290" spans="1:34">
      <c r="A290" t="s">
        <v>452</v>
      </c>
      <c r="B290">
        <v>60</v>
      </c>
      <c r="C290">
        <v>51.875</v>
      </c>
      <c r="D290">
        <v>4.5</v>
      </c>
      <c r="E290">
        <v>2.3125</v>
      </c>
      <c r="F290" t="s">
        <v>157</v>
      </c>
      <c r="G290">
        <v>0</v>
      </c>
      <c r="I290">
        <v>1</v>
      </c>
      <c r="J290">
        <v>0</v>
      </c>
      <c r="N290">
        <v>0.5</v>
      </c>
      <c r="O290">
        <v>0.38</v>
      </c>
      <c r="P290">
        <v>3.5</v>
      </c>
      <c r="Q290">
        <v>0</v>
      </c>
      <c r="R290">
        <v>2.1875</v>
      </c>
      <c r="S290">
        <v>4</v>
      </c>
      <c r="T290">
        <v>0.5</v>
      </c>
      <c r="U290">
        <v>0</v>
      </c>
      <c r="V290">
        <v>0</v>
      </c>
      <c r="W290">
        <v>0</v>
      </c>
      <c r="X290">
        <v>0</v>
      </c>
      <c r="Y290">
        <v>0.5</v>
      </c>
      <c r="Z290">
        <v>0.5</v>
      </c>
    </row>
    <row r="291" spans="1:34">
      <c r="A291" t="s">
        <v>453</v>
      </c>
      <c r="B291">
        <v>60</v>
      </c>
      <c r="C291">
        <v>50.5625</v>
      </c>
      <c r="D291">
        <v>2.4375</v>
      </c>
      <c r="E291">
        <v>3.9375</v>
      </c>
      <c r="F291" t="s">
        <v>157</v>
      </c>
      <c r="G291">
        <v>0</v>
      </c>
      <c r="I291">
        <v>1</v>
      </c>
      <c r="J291">
        <v>1</v>
      </c>
      <c r="N291">
        <v>0.5</v>
      </c>
      <c r="O291">
        <v>0.38</v>
      </c>
      <c r="P291">
        <v>3.5</v>
      </c>
      <c r="Q291">
        <v>2.0625</v>
      </c>
      <c r="R291">
        <v>0.5625</v>
      </c>
      <c r="S291">
        <v>4</v>
      </c>
      <c r="T291">
        <v>0.5</v>
      </c>
      <c r="U291">
        <v>0</v>
      </c>
      <c r="V291">
        <v>1</v>
      </c>
      <c r="W291">
        <v>0</v>
      </c>
      <c r="X291">
        <v>0</v>
      </c>
      <c r="Y291">
        <v>0.5</v>
      </c>
      <c r="Z291">
        <v>0</v>
      </c>
    </row>
    <row r="292" spans="1:34">
      <c r="A292" t="s">
        <v>454</v>
      </c>
      <c r="B292">
        <v>60</v>
      </c>
      <c r="C292">
        <v>70.5625</v>
      </c>
      <c r="D292">
        <v>1</v>
      </c>
      <c r="E292">
        <v>4.125</v>
      </c>
      <c r="F292" t="s">
        <v>157</v>
      </c>
      <c r="G292">
        <v>1</v>
      </c>
      <c r="H292">
        <v>0</v>
      </c>
      <c r="I292">
        <v>0</v>
      </c>
      <c r="L292" t="s">
        <v>120</v>
      </c>
      <c r="M292" t="s">
        <v>121</v>
      </c>
      <c r="N292">
        <v>0.5</v>
      </c>
      <c r="O292">
        <v>0.38</v>
      </c>
      <c r="P292">
        <v>3.5</v>
      </c>
      <c r="Q292">
        <v>3.5</v>
      </c>
      <c r="R292">
        <v>0.375</v>
      </c>
      <c r="S292">
        <v>4</v>
      </c>
      <c r="T292">
        <v>0.5</v>
      </c>
      <c r="U292">
        <v>1</v>
      </c>
      <c r="V292">
        <v>0</v>
      </c>
      <c r="W292">
        <v>0</v>
      </c>
      <c r="X292">
        <v>0</v>
      </c>
      <c r="Y292">
        <v>0</v>
      </c>
      <c r="Z292">
        <v>0.5</v>
      </c>
      <c r="AA292">
        <v>11.5</v>
      </c>
      <c r="AB292">
        <v>10.875</v>
      </c>
      <c r="AC292">
        <v>28.94</v>
      </c>
      <c r="AD292">
        <v>17</v>
      </c>
      <c r="AE292">
        <v>11</v>
      </c>
      <c r="AF292">
        <v>9.375</v>
      </c>
      <c r="AG292">
        <v>14.5</v>
      </c>
      <c r="AH292">
        <v>17.75</v>
      </c>
    </row>
    <row r="293" spans="1:34">
      <c r="A293" t="s">
        <v>455</v>
      </c>
      <c r="B293">
        <v>60</v>
      </c>
      <c r="C293">
        <v>43.25</v>
      </c>
      <c r="D293">
        <v>4.5</v>
      </c>
      <c r="E293">
        <v>4.5625</v>
      </c>
      <c r="F293" t="s">
        <v>157</v>
      </c>
      <c r="G293">
        <v>1</v>
      </c>
      <c r="H293">
        <v>0</v>
      </c>
      <c r="I293">
        <v>1</v>
      </c>
      <c r="J293">
        <v>0</v>
      </c>
      <c r="K293">
        <v>12</v>
      </c>
      <c r="L293" t="s">
        <v>145</v>
      </c>
      <c r="N293">
        <v>0.5</v>
      </c>
      <c r="O293">
        <v>0.38</v>
      </c>
      <c r="P293">
        <v>3.5</v>
      </c>
      <c r="Q293">
        <v>0</v>
      </c>
      <c r="R293">
        <v>0</v>
      </c>
      <c r="S293">
        <v>4</v>
      </c>
      <c r="T293">
        <v>0.5</v>
      </c>
      <c r="U293">
        <v>0</v>
      </c>
      <c r="V293">
        <v>0</v>
      </c>
      <c r="W293">
        <v>0</v>
      </c>
      <c r="X293">
        <v>0</v>
      </c>
      <c r="Y293">
        <v>0.5</v>
      </c>
      <c r="Z293">
        <v>0.5</v>
      </c>
      <c r="AA293">
        <v>15.5</v>
      </c>
      <c r="AB293">
        <v>28.875</v>
      </c>
      <c r="AC293">
        <v>14</v>
      </c>
      <c r="AD293">
        <v>25.63</v>
      </c>
    </row>
    <row r="294" spans="1:34">
      <c r="A294" t="s">
        <v>456</v>
      </c>
      <c r="B294">
        <v>60</v>
      </c>
      <c r="C294">
        <v>69.0625</v>
      </c>
      <c r="D294">
        <v>6.375</v>
      </c>
      <c r="E294">
        <v>6.875</v>
      </c>
      <c r="F294" t="s">
        <v>157</v>
      </c>
      <c r="G294">
        <v>1</v>
      </c>
      <c r="H294">
        <v>0</v>
      </c>
      <c r="I294">
        <v>1</v>
      </c>
      <c r="J294">
        <v>0</v>
      </c>
      <c r="K294">
        <v>24</v>
      </c>
      <c r="L294" t="s">
        <v>120</v>
      </c>
      <c r="N294">
        <v>0.5</v>
      </c>
      <c r="O294">
        <v>0.38</v>
      </c>
      <c r="P294">
        <v>3.5</v>
      </c>
      <c r="Q294">
        <v>-1.875</v>
      </c>
      <c r="R294">
        <v>0</v>
      </c>
      <c r="S294">
        <v>4</v>
      </c>
      <c r="T294">
        <v>0.5</v>
      </c>
      <c r="U294">
        <v>0</v>
      </c>
      <c r="V294">
        <v>0</v>
      </c>
      <c r="W294">
        <v>0</v>
      </c>
      <c r="X294">
        <v>0</v>
      </c>
      <c r="Y294">
        <v>0.5</v>
      </c>
      <c r="Z294">
        <v>0.5</v>
      </c>
      <c r="AA294">
        <v>11.5</v>
      </c>
      <c r="AB294">
        <v>10.875</v>
      </c>
      <c r="AC294">
        <v>4.9400000000000004</v>
      </c>
      <c r="AD294">
        <v>11.625</v>
      </c>
    </row>
    <row r="295" spans="1:34">
      <c r="A295" t="s">
        <v>457</v>
      </c>
      <c r="B295">
        <v>60</v>
      </c>
      <c r="C295">
        <v>55.6875</v>
      </c>
      <c r="D295">
        <v>9</v>
      </c>
      <c r="E295">
        <v>8.3125</v>
      </c>
      <c r="F295" t="s">
        <v>157</v>
      </c>
      <c r="G295">
        <v>1</v>
      </c>
      <c r="H295">
        <v>0</v>
      </c>
      <c r="I295">
        <v>1</v>
      </c>
      <c r="J295">
        <v>0</v>
      </c>
      <c r="N295">
        <v>0.5</v>
      </c>
      <c r="O295">
        <v>0.38</v>
      </c>
      <c r="P295">
        <v>3.5</v>
      </c>
      <c r="Q295">
        <v>-4.5</v>
      </c>
      <c r="R295">
        <v>0</v>
      </c>
      <c r="S295">
        <v>4</v>
      </c>
      <c r="T295">
        <v>0.5</v>
      </c>
      <c r="U295">
        <v>0</v>
      </c>
      <c r="V295">
        <v>0</v>
      </c>
      <c r="W295">
        <v>0</v>
      </c>
      <c r="X295">
        <v>0</v>
      </c>
      <c r="Y295">
        <v>0.5</v>
      </c>
      <c r="Z295">
        <v>0.5</v>
      </c>
    </row>
    <row r="296" spans="1:34">
      <c r="A296" t="s">
        <v>458</v>
      </c>
      <c r="B296">
        <v>60</v>
      </c>
      <c r="C296">
        <v>56.6875</v>
      </c>
      <c r="D296">
        <v>9</v>
      </c>
      <c r="E296">
        <v>1</v>
      </c>
      <c r="F296" t="s">
        <v>157</v>
      </c>
      <c r="G296">
        <v>1</v>
      </c>
      <c r="H296">
        <v>0</v>
      </c>
      <c r="I296">
        <v>1</v>
      </c>
      <c r="J296">
        <v>1</v>
      </c>
      <c r="N296">
        <v>0.5</v>
      </c>
      <c r="O296">
        <v>0.38</v>
      </c>
      <c r="P296">
        <v>3.5</v>
      </c>
      <c r="Q296">
        <v>-4.5</v>
      </c>
      <c r="R296">
        <v>3.5</v>
      </c>
      <c r="S296">
        <v>4</v>
      </c>
      <c r="T296">
        <v>0.5</v>
      </c>
      <c r="U296">
        <v>0</v>
      </c>
      <c r="V296">
        <v>0</v>
      </c>
      <c r="W296">
        <v>0</v>
      </c>
      <c r="X296">
        <v>0</v>
      </c>
      <c r="Y296">
        <v>0.5</v>
      </c>
      <c r="Z296">
        <v>0.5</v>
      </c>
    </row>
    <row r="297" spans="1:34">
      <c r="A297" t="s">
        <v>459</v>
      </c>
      <c r="B297">
        <v>60</v>
      </c>
      <c r="C297">
        <v>79.5625</v>
      </c>
      <c r="D297">
        <v>4</v>
      </c>
      <c r="E297">
        <v>2.4375</v>
      </c>
      <c r="F297" t="s">
        <v>157</v>
      </c>
      <c r="G297">
        <v>1</v>
      </c>
      <c r="H297">
        <v>1</v>
      </c>
      <c r="I297">
        <v>0</v>
      </c>
      <c r="L297" t="s">
        <v>145</v>
      </c>
      <c r="N297">
        <v>0.5</v>
      </c>
      <c r="O297">
        <v>0.38</v>
      </c>
      <c r="P297">
        <v>3.5</v>
      </c>
      <c r="Q297">
        <v>0.5</v>
      </c>
      <c r="R297">
        <v>2.0625</v>
      </c>
      <c r="S297">
        <v>4</v>
      </c>
      <c r="T297">
        <v>0.5</v>
      </c>
      <c r="U297">
        <v>1</v>
      </c>
      <c r="V297">
        <v>0</v>
      </c>
      <c r="W297">
        <v>0</v>
      </c>
      <c r="X297">
        <v>0</v>
      </c>
      <c r="Y297">
        <v>0</v>
      </c>
      <c r="Z297">
        <v>0.5</v>
      </c>
      <c r="AA297">
        <v>15.5</v>
      </c>
      <c r="AB297">
        <v>28.875</v>
      </c>
      <c r="AC297">
        <v>26</v>
      </c>
      <c r="AD297">
        <v>26.13</v>
      </c>
    </row>
    <row r="298" spans="1:34">
      <c r="A298" t="s">
        <v>460</v>
      </c>
      <c r="B298">
        <v>60</v>
      </c>
      <c r="C298">
        <v>65.875</v>
      </c>
      <c r="D298">
        <v>8.9375</v>
      </c>
      <c r="E298">
        <v>3.25</v>
      </c>
      <c r="F298" t="s">
        <v>157</v>
      </c>
      <c r="G298">
        <v>1</v>
      </c>
      <c r="H298">
        <v>1</v>
      </c>
      <c r="I298">
        <v>1</v>
      </c>
      <c r="J298">
        <v>0</v>
      </c>
      <c r="K298">
        <v>12</v>
      </c>
      <c r="N298">
        <v>0.5</v>
      </c>
      <c r="O298">
        <v>0.38</v>
      </c>
      <c r="P298">
        <v>3.5</v>
      </c>
      <c r="Q298">
        <v>-4.4375</v>
      </c>
      <c r="R298">
        <v>1.25</v>
      </c>
      <c r="S298">
        <v>4</v>
      </c>
      <c r="T298">
        <v>0.5</v>
      </c>
      <c r="U298">
        <v>0</v>
      </c>
      <c r="V298">
        <v>0</v>
      </c>
      <c r="W298">
        <v>0</v>
      </c>
      <c r="X298">
        <v>0</v>
      </c>
      <c r="Y298">
        <v>0.5</v>
      </c>
      <c r="Z298">
        <v>0.5</v>
      </c>
    </row>
    <row r="299" spans="1:34">
      <c r="A299" t="s">
        <v>461</v>
      </c>
      <c r="B299">
        <v>60</v>
      </c>
      <c r="C299">
        <v>77.9375</v>
      </c>
      <c r="D299">
        <v>1</v>
      </c>
      <c r="E299">
        <v>1.25</v>
      </c>
      <c r="F299" t="s">
        <v>157</v>
      </c>
      <c r="G299">
        <v>1</v>
      </c>
      <c r="H299">
        <v>1</v>
      </c>
      <c r="I299">
        <v>1</v>
      </c>
      <c r="J299">
        <v>0</v>
      </c>
      <c r="K299">
        <v>24</v>
      </c>
      <c r="L299" t="s">
        <v>120</v>
      </c>
      <c r="N299">
        <v>0.5</v>
      </c>
      <c r="O299">
        <v>0.38</v>
      </c>
      <c r="P299">
        <v>3.5</v>
      </c>
      <c r="Q299">
        <v>3.5</v>
      </c>
      <c r="R299">
        <v>3.25</v>
      </c>
      <c r="S299">
        <v>4</v>
      </c>
      <c r="T299">
        <v>0.5</v>
      </c>
      <c r="U299">
        <v>1</v>
      </c>
      <c r="V299">
        <v>1</v>
      </c>
      <c r="W299">
        <v>0</v>
      </c>
      <c r="X299">
        <v>0</v>
      </c>
      <c r="Y299">
        <v>0</v>
      </c>
      <c r="Z299">
        <v>0</v>
      </c>
      <c r="AA299">
        <v>11.5</v>
      </c>
      <c r="AB299">
        <v>10.875</v>
      </c>
      <c r="AC299">
        <v>4.9400000000000004</v>
      </c>
      <c r="AD299">
        <v>17</v>
      </c>
    </row>
    <row r="300" spans="1:34">
      <c r="A300" t="s">
        <v>462</v>
      </c>
      <c r="B300">
        <v>60</v>
      </c>
      <c r="C300">
        <v>42</v>
      </c>
      <c r="D300">
        <v>12</v>
      </c>
      <c r="E300">
        <v>1.875</v>
      </c>
      <c r="F300" t="s">
        <v>157</v>
      </c>
      <c r="G300">
        <v>1</v>
      </c>
      <c r="H300">
        <v>1</v>
      </c>
      <c r="I300">
        <v>1</v>
      </c>
      <c r="J300">
        <v>0</v>
      </c>
      <c r="N300">
        <v>0.5</v>
      </c>
      <c r="O300">
        <v>0.38</v>
      </c>
      <c r="P300">
        <v>3.5</v>
      </c>
      <c r="Q300">
        <v>-7.5</v>
      </c>
      <c r="R300">
        <v>2.625</v>
      </c>
      <c r="S300">
        <v>4</v>
      </c>
      <c r="T300">
        <v>0.5</v>
      </c>
      <c r="U300">
        <v>0</v>
      </c>
      <c r="V300">
        <v>0</v>
      </c>
      <c r="W300">
        <v>0</v>
      </c>
      <c r="X300">
        <v>0</v>
      </c>
      <c r="Y300">
        <v>0.5</v>
      </c>
      <c r="Z300">
        <v>0.5</v>
      </c>
    </row>
    <row r="301" spans="1:34">
      <c r="A301" t="s">
        <v>463</v>
      </c>
      <c r="B301">
        <v>60</v>
      </c>
      <c r="C301">
        <v>42.1875</v>
      </c>
      <c r="D301">
        <v>5.375</v>
      </c>
      <c r="E301">
        <v>1.375</v>
      </c>
      <c r="F301" t="s">
        <v>157</v>
      </c>
      <c r="G301">
        <v>1</v>
      </c>
      <c r="H301">
        <v>1</v>
      </c>
      <c r="I301">
        <v>1</v>
      </c>
      <c r="J301">
        <v>1</v>
      </c>
      <c r="N301">
        <v>0.5</v>
      </c>
      <c r="O301">
        <v>0.38</v>
      </c>
      <c r="P301">
        <v>3.5</v>
      </c>
      <c r="Q301">
        <v>-0.875</v>
      </c>
      <c r="R301">
        <v>3.125</v>
      </c>
      <c r="S301">
        <v>4</v>
      </c>
      <c r="T301">
        <v>0.5</v>
      </c>
      <c r="U301">
        <v>0</v>
      </c>
      <c r="V301">
        <v>0</v>
      </c>
      <c r="W301">
        <v>0</v>
      </c>
      <c r="X301">
        <v>0</v>
      </c>
      <c r="Y301">
        <v>0.5</v>
      </c>
      <c r="Z301">
        <v>0.5</v>
      </c>
    </row>
    <row r="302" spans="1:34">
      <c r="A302" t="s">
        <v>464</v>
      </c>
      <c r="B302">
        <v>53.25</v>
      </c>
      <c r="C302">
        <v>61.9375</v>
      </c>
      <c r="D302">
        <v>4.5</v>
      </c>
      <c r="E302">
        <v>6.875</v>
      </c>
      <c r="F302" t="s">
        <v>21</v>
      </c>
      <c r="G302">
        <v>0</v>
      </c>
      <c r="I302">
        <v>0</v>
      </c>
      <c r="L302" t="s">
        <v>145</v>
      </c>
      <c r="N302">
        <v>0.5</v>
      </c>
      <c r="O302">
        <v>0.38</v>
      </c>
      <c r="P302">
        <v>3.5</v>
      </c>
      <c r="Q302">
        <v>0</v>
      </c>
      <c r="R302">
        <v>0</v>
      </c>
      <c r="S302">
        <v>4</v>
      </c>
      <c r="T302">
        <v>0.5</v>
      </c>
      <c r="U302">
        <v>0</v>
      </c>
      <c r="V302">
        <v>0</v>
      </c>
      <c r="W302">
        <v>0</v>
      </c>
      <c r="X302">
        <v>0</v>
      </c>
      <c r="Y302">
        <v>0.5</v>
      </c>
      <c r="Z302">
        <v>0.5</v>
      </c>
      <c r="AA302">
        <v>15.5</v>
      </c>
      <c r="AB302">
        <v>28.875</v>
      </c>
      <c r="AC302">
        <v>26</v>
      </c>
      <c r="AD302">
        <v>25.63</v>
      </c>
    </row>
    <row r="303" spans="1:34">
      <c r="A303" t="s">
        <v>465</v>
      </c>
      <c r="B303">
        <v>86.4375</v>
      </c>
      <c r="C303">
        <v>44.4375</v>
      </c>
      <c r="D303">
        <v>11.125</v>
      </c>
      <c r="E303">
        <v>2</v>
      </c>
      <c r="F303" t="s">
        <v>21</v>
      </c>
      <c r="G303">
        <v>0</v>
      </c>
      <c r="I303">
        <v>1</v>
      </c>
      <c r="J303">
        <v>0</v>
      </c>
      <c r="K303">
        <v>12</v>
      </c>
      <c r="L303" t="s">
        <v>150</v>
      </c>
      <c r="N303">
        <v>0.5</v>
      </c>
      <c r="O303">
        <v>0.38</v>
      </c>
      <c r="P303">
        <v>3.5</v>
      </c>
      <c r="Q303">
        <v>-6.625</v>
      </c>
      <c r="R303">
        <v>2.5</v>
      </c>
      <c r="S303">
        <v>4</v>
      </c>
      <c r="T303">
        <v>0.5</v>
      </c>
      <c r="U303">
        <v>0</v>
      </c>
      <c r="V303">
        <v>0</v>
      </c>
      <c r="W303">
        <v>0</v>
      </c>
      <c r="X303">
        <v>0</v>
      </c>
      <c r="Y303">
        <v>0.5</v>
      </c>
      <c r="Z303">
        <v>0.5</v>
      </c>
      <c r="AA303">
        <v>15.5</v>
      </c>
      <c r="AB303">
        <v>28.875</v>
      </c>
      <c r="AC303">
        <v>9</v>
      </c>
      <c r="AD303">
        <v>6.875</v>
      </c>
    </row>
    <row r="304" spans="1:34">
      <c r="A304" t="s">
        <v>466</v>
      </c>
      <c r="B304">
        <v>97.5625</v>
      </c>
      <c r="C304">
        <v>67.5</v>
      </c>
      <c r="D304">
        <v>4.5</v>
      </c>
      <c r="E304">
        <v>4.8125</v>
      </c>
      <c r="F304" t="s">
        <v>21</v>
      </c>
      <c r="G304">
        <v>0</v>
      </c>
      <c r="I304">
        <v>1</v>
      </c>
      <c r="J304">
        <v>0</v>
      </c>
      <c r="K304">
        <v>24</v>
      </c>
      <c r="L304" t="s">
        <v>120</v>
      </c>
      <c r="N304">
        <v>0.5</v>
      </c>
      <c r="O304">
        <v>0.38</v>
      </c>
      <c r="P304">
        <v>3.5</v>
      </c>
      <c r="Q304">
        <v>0</v>
      </c>
      <c r="R304">
        <v>0</v>
      </c>
      <c r="S304">
        <v>4</v>
      </c>
      <c r="T304">
        <v>0.5</v>
      </c>
      <c r="U304">
        <v>0</v>
      </c>
      <c r="V304">
        <v>0</v>
      </c>
      <c r="W304">
        <v>0</v>
      </c>
      <c r="X304">
        <v>0</v>
      </c>
      <c r="Y304">
        <v>0.5</v>
      </c>
      <c r="Z304">
        <v>0.5</v>
      </c>
      <c r="AA304">
        <v>11.5</v>
      </c>
      <c r="AB304">
        <v>10.875</v>
      </c>
      <c r="AC304">
        <v>4.9400000000000004</v>
      </c>
      <c r="AD304">
        <v>13.5</v>
      </c>
    </row>
    <row r="305" spans="1:30">
      <c r="A305" t="s">
        <v>467</v>
      </c>
      <c r="B305">
        <v>91.6875</v>
      </c>
      <c r="C305">
        <v>38.0625</v>
      </c>
      <c r="D305">
        <v>3.125</v>
      </c>
      <c r="E305">
        <v>1.3125</v>
      </c>
      <c r="F305" t="s">
        <v>21</v>
      </c>
      <c r="G305">
        <v>0</v>
      </c>
      <c r="I305">
        <v>1</v>
      </c>
      <c r="J305">
        <v>0</v>
      </c>
      <c r="N305">
        <v>0.5</v>
      </c>
      <c r="O305">
        <v>0.38</v>
      </c>
      <c r="P305">
        <v>3.5</v>
      </c>
      <c r="Q305">
        <v>1.375</v>
      </c>
      <c r="R305">
        <v>3.1875</v>
      </c>
      <c r="S305">
        <v>4</v>
      </c>
      <c r="T305">
        <v>0.5</v>
      </c>
      <c r="U305">
        <v>0</v>
      </c>
      <c r="V305">
        <v>1</v>
      </c>
      <c r="W305">
        <v>0</v>
      </c>
      <c r="X305">
        <v>0</v>
      </c>
      <c r="Y305">
        <v>0.5</v>
      </c>
      <c r="Z305">
        <v>0</v>
      </c>
    </row>
    <row r="306" spans="1:30">
      <c r="A306" t="s">
        <v>468</v>
      </c>
      <c r="B306">
        <v>96</v>
      </c>
      <c r="C306">
        <v>61.625</v>
      </c>
      <c r="D306">
        <v>1</v>
      </c>
      <c r="E306">
        <v>1</v>
      </c>
      <c r="F306" t="s">
        <v>21</v>
      </c>
      <c r="G306">
        <v>0</v>
      </c>
      <c r="I306">
        <v>1</v>
      </c>
      <c r="J306">
        <v>1</v>
      </c>
      <c r="N306">
        <v>0.5</v>
      </c>
      <c r="O306">
        <v>0.38</v>
      </c>
      <c r="P306">
        <v>3.5</v>
      </c>
      <c r="Q306">
        <v>3.5</v>
      </c>
      <c r="R306">
        <v>3.5</v>
      </c>
      <c r="S306">
        <v>4</v>
      </c>
      <c r="T306">
        <v>0.5</v>
      </c>
      <c r="U306">
        <v>0</v>
      </c>
      <c r="V306">
        <v>1</v>
      </c>
      <c r="W306">
        <v>0</v>
      </c>
      <c r="X306">
        <v>1</v>
      </c>
      <c r="Y306">
        <v>0.5</v>
      </c>
      <c r="Z306">
        <v>0</v>
      </c>
    </row>
    <row r="307" spans="1:30">
      <c r="A307" t="s">
        <v>469</v>
      </c>
      <c r="B307">
        <v>80.75</v>
      </c>
      <c r="C307">
        <v>41.25</v>
      </c>
      <c r="D307">
        <v>2.4375</v>
      </c>
      <c r="E307">
        <v>4.75</v>
      </c>
      <c r="F307" t="s">
        <v>21</v>
      </c>
      <c r="G307">
        <v>1</v>
      </c>
      <c r="H307">
        <v>0</v>
      </c>
      <c r="I307">
        <v>0</v>
      </c>
      <c r="N307">
        <v>0.5</v>
      </c>
      <c r="O307">
        <v>0.38</v>
      </c>
      <c r="P307">
        <v>3.5</v>
      </c>
      <c r="Q307">
        <v>2.0625</v>
      </c>
      <c r="R307">
        <v>0</v>
      </c>
      <c r="S307">
        <v>4</v>
      </c>
      <c r="T307">
        <v>0.5</v>
      </c>
      <c r="U307">
        <v>1</v>
      </c>
      <c r="V307">
        <v>0</v>
      </c>
      <c r="W307">
        <v>0</v>
      </c>
      <c r="X307">
        <v>0</v>
      </c>
      <c r="Y307">
        <v>0</v>
      </c>
      <c r="Z307">
        <v>0.5</v>
      </c>
    </row>
    <row r="308" spans="1:30">
      <c r="A308" t="s">
        <v>470</v>
      </c>
      <c r="B308">
        <v>63.3125</v>
      </c>
      <c r="C308">
        <v>55.8125</v>
      </c>
      <c r="D308">
        <v>12</v>
      </c>
      <c r="E308">
        <v>5.875</v>
      </c>
      <c r="F308" t="s">
        <v>21</v>
      </c>
      <c r="G308">
        <v>1</v>
      </c>
      <c r="H308">
        <v>0</v>
      </c>
      <c r="I308">
        <v>1</v>
      </c>
      <c r="J308">
        <v>0</v>
      </c>
      <c r="K308">
        <v>12</v>
      </c>
      <c r="L308" t="s">
        <v>120</v>
      </c>
      <c r="N308">
        <v>0.5</v>
      </c>
      <c r="O308">
        <v>0.38</v>
      </c>
      <c r="P308">
        <v>3.5</v>
      </c>
      <c r="Q308">
        <v>-7.5</v>
      </c>
      <c r="R308">
        <v>0</v>
      </c>
      <c r="S308">
        <v>4</v>
      </c>
      <c r="T308">
        <v>0.5</v>
      </c>
      <c r="U308">
        <v>0</v>
      </c>
      <c r="V308">
        <v>0</v>
      </c>
      <c r="W308">
        <v>0</v>
      </c>
      <c r="X308">
        <v>0</v>
      </c>
      <c r="Y308">
        <v>0.5</v>
      </c>
      <c r="Z308">
        <v>0.5</v>
      </c>
      <c r="AA308">
        <v>11.5</v>
      </c>
      <c r="AB308">
        <v>10.875</v>
      </c>
      <c r="AC308">
        <v>16.940000000000001</v>
      </c>
      <c r="AD308">
        <v>6</v>
      </c>
    </row>
    <row r="309" spans="1:30">
      <c r="A309" t="s">
        <v>471</v>
      </c>
      <c r="B309">
        <v>96</v>
      </c>
      <c r="C309">
        <v>56.5</v>
      </c>
      <c r="D309">
        <v>12</v>
      </c>
      <c r="E309">
        <v>1</v>
      </c>
      <c r="F309" t="s">
        <v>21</v>
      </c>
      <c r="G309">
        <v>1</v>
      </c>
      <c r="H309">
        <v>0</v>
      </c>
      <c r="I309">
        <v>1</v>
      </c>
      <c r="J309">
        <v>0</v>
      </c>
      <c r="K309">
        <v>24</v>
      </c>
      <c r="L309" t="s">
        <v>120</v>
      </c>
      <c r="N309">
        <v>0.5</v>
      </c>
      <c r="O309">
        <v>0.38</v>
      </c>
      <c r="P309">
        <v>3.5</v>
      </c>
      <c r="Q309">
        <v>-7.5</v>
      </c>
      <c r="R309">
        <v>3.5</v>
      </c>
      <c r="S309">
        <v>4</v>
      </c>
      <c r="T309">
        <v>0.5</v>
      </c>
      <c r="U309">
        <v>0</v>
      </c>
      <c r="V309">
        <v>0</v>
      </c>
      <c r="W309">
        <v>0</v>
      </c>
      <c r="X309">
        <v>0</v>
      </c>
      <c r="Y309">
        <v>0.5</v>
      </c>
      <c r="Z309">
        <v>0.5</v>
      </c>
      <c r="AA309">
        <v>11.5</v>
      </c>
      <c r="AB309">
        <v>10.875</v>
      </c>
      <c r="AC309">
        <v>4.9400000000000004</v>
      </c>
      <c r="AD309">
        <v>6</v>
      </c>
    </row>
    <row r="310" spans="1:30">
      <c r="A310" t="s">
        <v>472</v>
      </c>
      <c r="B310">
        <v>56.6875</v>
      </c>
      <c r="C310">
        <v>52.9375</v>
      </c>
      <c r="D310">
        <v>9</v>
      </c>
      <c r="E310">
        <v>1</v>
      </c>
      <c r="F310" t="s">
        <v>21</v>
      </c>
      <c r="G310">
        <v>1</v>
      </c>
      <c r="H310">
        <v>0</v>
      </c>
      <c r="I310">
        <v>1</v>
      </c>
      <c r="J310">
        <v>0</v>
      </c>
      <c r="N310">
        <v>0.5</v>
      </c>
      <c r="O310">
        <v>0.38</v>
      </c>
      <c r="P310">
        <v>3.5</v>
      </c>
      <c r="Q310">
        <v>-4.5</v>
      </c>
      <c r="R310">
        <v>3.5</v>
      </c>
      <c r="S310">
        <v>4</v>
      </c>
      <c r="T310">
        <v>0.5</v>
      </c>
      <c r="U310">
        <v>0</v>
      </c>
      <c r="V310">
        <v>0</v>
      </c>
      <c r="W310">
        <v>0</v>
      </c>
      <c r="X310">
        <v>0</v>
      </c>
      <c r="Y310">
        <v>0.5</v>
      </c>
      <c r="Z310">
        <v>0.5</v>
      </c>
    </row>
    <row r="311" spans="1:30">
      <c r="A311" t="s">
        <v>473</v>
      </c>
      <c r="B311">
        <v>88.875</v>
      </c>
      <c r="C311">
        <v>48</v>
      </c>
      <c r="D311">
        <v>1</v>
      </c>
      <c r="E311">
        <v>4.625</v>
      </c>
      <c r="F311" t="s">
        <v>21</v>
      </c>
      <c r="G311">
        <v>1</v>
      </c>
      <c r="H311">
        <v>0</v>
      </c>
      <c r="I311">
        <v>1</v>
      </c>
      <c r="J311">
        <v>1</v>
      </c>
      <c r="N311">
        <v>0.5</v>
      </c>
      <c r="O311">
        <v>0.38</v>
      </c>
      <c r="P311">
        <v>3.5</v>
      </c>
      <c r="Q311">
        <v>3.5</v>
      </c>
      <c r="R311">
        <v>0</v>
      </c>
      <c r="S311">
        <v>4</v>
      </c>
      <c r="T311">
        <v>0.5</v>
      </c>
      <c r="U311">
        <v>1</v>
      </c>
      <c r="V311">
        <v>1</v>
      </c>
      <c r="W311">
        <v>0</v>
      </c>
      <c r="X311">
        <v>0</v>
      </c>
      <c r="Y311">
        <v>0</v>
      </c>
      <c r="Z311">
        <v>0</v>
      </c>
    </row>
    <row r="312" spans="1:30">
      <c r="A312" t="s">
        <v>474</v>
      </c>
      <c r="B312">
        <v>77.9375</v>
      </c>
      <c r="C312">
        <v>68.0625</v>
      </c>
      <c r="D312">
        <v>3.875</v>
      </c>
      <c r="E312">
        <v>5</v>
      </c>
      <c r="F312" t="s">
        <v>21</v>
      </c>
      <c r="G312">
        <v>1</v>
      </c>
      <c r="H312">
        <v>1</v>
      </c>
      <c r="I312">
        <v>0</v>
      </c>
      <c r="L312" t="s">
        <v>149</v>
      </c>
      <c r="N312">
        <v>0.5</v>
      </c>
      <c r="O312">
        <v>0.38</v>
      </c>
      <c r="P312">
        <v>3.5</v>
      </c>
      <c r="Q312">
        <v>0.625</v>
      </c>
      <c r="R312">
        <v>0</v>
      </c>
      <c r="S312">
        <v>4</v>
      </c>
      <c r="T312">
        <v>0.5</v>
      </c>
      <c r="U312">
        <v>1</v>
      </c>
      <c r="V312">
        <v>0</v>
      </c>
      <c r="W312">
        <v>0</v>
      </c>
      <c r="X312">
        <v>0</v>
      </c>
      <c r="Y312">
        <v>0</v>
      </c>
      <c r="Z312">
        <v>0.5</v>
      </c>
      <c r="AA312">
        <v>15.5</v>
      </c>
      <c r="AB312">
        <v>28.875</v>
      </c>
      <c r="AC312">
        <v>21</v>
      </c>
      <c r="AD312">
        <v>14.125</v>
      </c>
    </row>
    <row r="313" spans="1:30">
      <c r="A313" t="s">
        <v>475</v>
      </c>
      <c r="B313">
        <v>57.75</v>
      </c>
      <c r="C313">
        <v>43.1875</v>
      </c>
      <c r="D313">
        <v>9.3125</v>
      </c>
      <c r="E313">
        <v>1.3125</v>
      </c>
      <c r="F313" t="s">
        <v>21</v>
      </c>
      <c r="G313">
        <v>1</v>
      </c>
      <c r="H313">
        <v>1</v>
      </c>
      <c r="I313">
        <v>1</v>
      </c>
      <c r="J313">
        <v>0</v>
      </c>
      <c r="K313">
        <v>12</v>
      </c>
      <c r="N313">
        <v>0.5</v>
      </c>
      <c r="O313">
        <v>0.38</v>
      </c>
      <c r="P313">
        <v>3.5</v>
      </c>
      <c r="Q313">
        <v>-4.8125</v>
      </c>
      <c r="R313">
        <v>3.1875</v>
      </c>
      <c r="S313">
        <v>4</v>
      </c>
      <c r="T313">
        <v>0.5</v>
      </c>
      <c r="U313">
        <v>0</v>
      </c>
      <c r="V313">
        <v>0</v>
      </c>
      <c r="W313">
        <v>1</v>
      </c>
      <c r="X313">
        <v>0</v>
      </c>
      <c r="Y313">
        <v>0.5</v>
      </c>
      <c r="Z313">
        <v>0.5</v>
      </c>
    </row>
    <row r="314" spans="1:30">
      <c r="A314" t="s">
        <v>476</v>
      </c>
      <c r="B314">
        <v>96</v>
      </c>
      <c r="C314">
        <v>64.875</v>
      </c>
      <c r="D314">
        <v>6.5</v>
      </c>
      <c r="E314">
        <v>3.9375</v>
      </c>
      <c r="F314" t="s">
        <v>21</v>
      </c>
      <c r="G314">
        <v>1</v>
      </c>
      <c r="H314">
        <v>1</v>
      </c>
      <c r="I314">
        <v>1</v>
      </c>
      <c r="J314">
        <v>0</v>
      </c>
      <c r="K314">
        <v>24</v>
      </c>
      <c r="L314" t="s">
        <v>120</v>
      </c>
      <c r="N314">
        <v>0.5</v>
      </c>
      <c r="O314">
        <v>0.38</v>
      </c>
      <c r="P314">
        <v>3.5</v>
      </c>
      <c r="Q314">
        <v>-2</v>
      </c>
      <c r="R314">
        <v>0.5625</v>
      </c>
      <c r="S314">
        <v>4</v>
      </c>
      <c r="T314">
        <v>0.5</v>
      </c>
      <c r="U314">
        <v>0</v>
      </c>
      <c r="V314">
        <v>0</v>
      </c>
      <c r="W314">
        <v>1</v>
      </c>
      <c r="X314">
        <v>0</v>
      </c>
      <c r="Y314">
        <v>0.5</v>
      </c>
      <c r="Z314">
        <v>0.5</v>
      </c>
      <c r="AA314">
        <v>11.5</v>
      </c>
      <c r="AB314">
        <v>10.875</v>
      </c>
      <c r="AC314">
        <v>4.9400000000000004</v>
      </c>
      <c r="AD314">
        <v>11.5</v>
      </c>
    </row>
    <row r="315" spans="1:30">
      <c r="A315" t="s">
        <v>477</v>
      </c>
      <c r="B315">
        <v>96</v>
      </c>
      <c r="C315">
        <v>60.75</v>
      </c>
      <c r="D315">
        <v>4.5</v>
      </c>
      <c r="E315">
        <v>4.875</v>
      </c>
      <c r="F315" t="s">
        <v>21</v>
      </c>
      <c r="G315">
        <v>1</v>
      </c>
      <c r="H315">
        <v>1</v>
      </c>
      <c r="I315">
        <v>1</v>
      </c>
      <c r="J315">
        <v>0</v>
      </c>
      <c r="N315">
        <v>0.5</v>
      </c>
      <c r="O315">
        <v>0.38</v>
      </c>
      <c r="P315">
        <v>3.5</v>
      </c>
      <c r="Q315">
        <v>0</v>
      </c>
      <c r="R315">
        <v>0</v>
      </c>
      <c r="S315">
        <v>4</v>
      </c>
      <c r="T315">
        <v>0.5</v>
      </c>
      <c r="U315">
        <v>0</v>
      </c>
      <c r="V315">
        <v>0</v>
      </c>
      <c r="W315">
        <v>0</v>
      </c>
      <c r="X315">
        <v>0</v>
      </c>
      <c r="Y315">
        <v>0.5</v>
      </c>
      <c r="Z315">
        <v>0.5</v>
      </c>
    </row>
    <row r="316" spans="1:30">
      <c r="A316" t="s">
        <v>478</v>
      </c>
      <c r="B316">
        <v>96</v>
      </c>
      <c r="C316">
        <v>43.4375</v>
      </c>
      <c r="D316">
        <v>2.5625</v>
      </c>
      <c r="E316">
        <v>3</v>
      </c>
      <c r="F316" t="s">
        <v>21</v>
      </c>
      <c r="G316">
        <v>1</v>
      </c>
      <c r="H316">
        <v>1</v>
      </c>
      <c r="I316">
        <v>1</v>
      </c>
      <c r="J316">
        <v>1</v>
      </c>
      <c r="N316">
        <v>0.5</v>
      </c>
      <c r="O316">
        <v>0.38</v>
      </c>
      <c r="P316">
        <v>3.5</v>
      </c>
      <c r="Q316">
        <v>1.9375</v>
      </c>
      <c r="R316">
        <v>1.5</v>
      </c>
      <c r="S316">
        <v>4</v>
      </c>
      <c r="T316">
        <v>0.5</v>
      </c>
      <c r="U316">
        <v>1</v>
      </c>
      <c r="V316">
        <v>1</v>
      </c>
      <c r="W316">
        <v>1</v>
      </c>
      <c r="X316">
        <v>1</v>
      </c>
      <c r="Y316">
        <v>0</v>
      </c>
      <c r="Z316">
        <v>0</v>
      </c>
    </row>
    <row r="317" spans="1:30">
      <c r="A317" t="s">
        <v>479</v>
      </c>
      <c r="B317">
        <v>25.875</v>
      </c>
      <c r="C317">
        <v>51.4375</v>
      </c>
      <c r="D317">
        <v>10.375</v>
      </c>
      <c r="E317">
        <v>4.375</v>
      </c>
      <c r="F317" t="s">
        <v>156</v>
      </c>
      <c r="G317">
        <v>0</v>
      </c>
      <c r="I317">
        <v>0</v>
      </c>
      <c r="L317" t="s">
        <v>148</v>
      </c>
      <c r="N317">
        <v>0.5</v>
      </c>
      <c r="O317">
        <v>0.38</v>
      </c>
      <c r="P317">
        <v>3.5</v>
      </c>
      <c r="Q317">
        <v>-5.875</v>
      </c>
      <c r="R317">
        <v>0.125</v>
      </c>
      <c r="S317">
        <v>4</v>
      </c>
      <c r="T317">
        <v>0.5</v>
      </c>
      <c r="U317">
        <v>0</v>
      </c>
      <c r="V317">
        <v>0</v>
      </c>
      <c r="W317">
        <v>0</v>
      </c>
      <c r="X317">
        <v>0</v>
      </c>
      <c r="Y317">
        <v>0.5</v>
      </c>
      <c r="Z317">
        <v>0.5</v>
      </c>
    </row>
    <row r="318" spans="1:30">
      <c r="A318" t="s">
        <v>480</v>
      </c>
      <c r="B318">
        <v>24</v>
      </c>
      <c r="C318">
        <v>63.625</v>
      </c>
      <c r="D318">
        <v>4.5</v>
      </c>
      <c r="E318">
        <v>2.25</v>
      </c>
      <c r="F318" t="s">
        <v>156</v>
      </c>
      <c r="G318">
        <v>0</v>
      </c>
      <c r="I318">
        <v>1</v>
      </c>
      <c r="J318">
        <v>0</v>
      </c>
      <c r="K318">
        <v>12</v>
      </c>
      <c r="L318" t="s">
        <v>145</v>
      </c>
      <c r="N318">
        <v>0.5</v>
      </c>
      <c r="O318">
        <v>0.38</v>
      </c>
      <c r="P318">
        <v>3.5</v>
      </c>
      <c r="Q318">
        <v>0</v>
      </c>
      <c r="R318">
        <v>2.25</v>
      </c>
      <c r="S318">
        <v>4</v>
      </c>
      <c r="T318">
        <v>0.5</v>
      </c>
      <c r="U318">
        <v>0</v>
      </c>
      <c r="V318">
        <v>0</v>
      </c>
      <c r="W318">
        <v>0</v>
      </c>
      <c r="X318">
        <v>0</v>
      </c>
      <c r="Y318">
        <v>0.5</v>
      </c>
      <c r="Z318">
        <v>0.5</v>
      </c>
    </row>
    <row r="319" spans="1:30">
      <c r="A319" t="s">
        <v>481</v>
      </c>
      <c r="B319">
        <v>33</v>
      </c>
      <c r="C319">
        <v>45.375</v>
      </c>
      <c r="D319">
        <v>1</v>
      </c>
      <c r="E319">
        <v>2.875</v>
      </c>
      <c r="F319" t="s">
        <v>156</v>
      </c>
      <c r="G319">
        <v>0</v>
      </c>
      <c r="I319">
        <v>1</v>
      </c>
      <c r="J319">
        <v>0</v>
      </c>
      <c r="K319">
        <v>24</v>
      </c>
      <c r="L319" t="s">
        <v>120</v>
      </c>
      <c r="N319">
        <v>0.5</v>
      </c>
      <c r="O319">
        <v>0.38</v>
      </c>
      <c r="P319">
        <v>3.5</v>
      </c>
      <c r="Q319">
        <v>3.5</v>
      </c>
      <c r="R319">
        <v>1.625</v>
      </c>
      <c r="S319">
        <v>4</v>
      </c>
      <c r="T319">
        <v>0.5</v>
      </c>
      <c r="U319">
        <v>0</v>
      </c>
      <c r="V319">
        <v>0</v>
      </c>
      <c r="W319">
        <v>0</v>
      </c>
      <c r="X319">
        <v>0</v>
      </c>
      <c r="Y319">
        <v>0.5</v>
      </c>
      <c r="Z319">
        <v>0.5</v>
      </c>
    </row>
    <row r="320" spans="1:30">
      <c r="A320" t="s">
        <v>482</v>
      </c>
      <c r="B320">
        <v>31.125</v>
      </c>
      <c r="C320">
        <v>44.5625</v>
      </c>
      <c r="D320">
        <v>1</v>
      </c>
      <c r="E320">
        <v>1</v>
      </c>
      <c r="F320" t="s">
        <v>156</v>
      </c>
      <c r="G320">
        <v>0</v>
      </c>
      <c r="I320">
        <v>1</v>
      </c>
      <c r="J320">
        <v>0</v>
      </c>
      <c r="N320">
        <v>0.5</v>
      </c>
      <c r="O320">
        <v>0.38</v>
      </c>
      <c r="P320">
        <v>3.5</v>
      </c>
      <c r="Q320">
        <v>3.5</v>
      </c>
      <c r="R320">
        <v>3.5</v>
      </c>
      <c r="S320">
        <v>4</v>
      </c>
      <c r="T320">
        <v>0.5</v>
      </c>
      <c r="U320">
        <v>0</v>
      </c>
      <c r="V320">
        <v>0</v>
      </c>
      <c r="W320">
        <v>0</v>
      </c>
      <c r="X320">
        <v>0</v>
      </c>
      <c r="Y320">
        <v>0.5</v>
      </c>
      <c r="Z320">
        <v>0.5</v>
      </c>
    </row>
    <row r="321" spans="1:30">
      <c r="A321" t="s">
        <v>483</v>
      </c>
      <c r="B321">
        <v>11.5</v>
      </c>
      <c r="C321">
        <v>55.75</v>
      </c>
      <c r="D321">
        <v>4.75</v>
      </c>
      <c r="E321">
        <v>3.4375</v>
      </c>
      <c r="F321" t="s">
        <v>156</v>
      </c>
      <c r="G321">
        <v>0</v>
      </c>
      <c r="I321">
        <v>1</v>
      </c>
      <c r="J321">
        <v>1</v>
      </c>
      <c r="N321">
        <v>0.5</v>
      </c>
      <c r="O321">
        <v>0.38</v>
      </c>
      <c r="P321">
        <v>3.5</v>
      </c>
      <c r="Q321">
        <v>-0.25</v>
      </c>
      <c r="R321">
        <v>1.0625</v>
      </c>
      <c r="S321">
        <v>4</v>
      </c>
      <c r="T321">
        <v>0.5</v>
      </c>
      <c r="U321">
        <v>0</v>
      </c>
      <c r="V321">
        <v>0</v>
      </c>
      <c r="W321">
        <v>0</v>
      </c>
      <c r="X321">
        <v>1</v>
      </c>
      <c r="Y321">
        <v>0.5</v>
      </c>
      <c r="Z321">
        <v>0.5</v>
      </c>
    </row>
    <row r="322" spans="1:30">
      <c r="A322" t="s">
        <v>484</v>
      </c>
      <c r="B322">
        <v>10.0625</v>
      </c>
      <c r="C322">
        <v>74.875</v>
      </c>
      <c r="D322">
        <v>9</v>
      </c>
      <c r="E322">
        <v>2.8125</v>
      </c>
      <c r="F322" t="s">
        <v>156</v>
      </c>
      <c r="G322">
        <v>1</v>
      </c>
      <c r="H322">
        <v>0</v>
      </c>
      <c r="I322">
        <v>0</v>
      </c>
      <c r="L322" t="s">
        <v>119</v>
      </c>
      <c r="N322">
        <v>0.5</v>
      </c>
      <c r="O322">
        <v>0.38</v>
      </c>
      <c r="P322">
        <v>3.5</v>
      </c>
      <c r="Q322">
        <v>-4.5</v>
      </c>
      <c r="R322">
        <v>1.6875</v>
      </c>
      <c r="S322">
        <v>4</v>
      </c>
      <c r="T322">
        <v>0.5</v>
      </c>
      <c r="U322">
        <v>0</v>
      </c>
      <c r="V322">
        <v>0</v>
      </c>
      <c r="W322">
        <v>0</v>
      </c>
      <c r="X322">
        <v>0</v>
      </c>
      <c r="Y322">
        <v>0.5</v>
      </c>
      <c r="Z322">
        <v>0.5</v>
      </c>
    </row>
    <row r="323" spans="1:30">
      <c r="A323" t="s">
        <v>485</v>
      </c>
      <c r="B323">
        <v>32.3125</v>
      </c>
      <c r="C323">
        <v>54.4375</v>
      </c>
      <c r="D323">
        <v>4.5</v>
      </c>
      <c r="E323">
        <v>1.25</v>
      </c>
      <c r="F323" t="s">
        <v>156</v>
      </c>
      <c r="G323">
        <v>1</v>
      </c>
      <c r="H323">
        <v>0</v>
      </c>
      <c r="I323">
        <v>1</v>
      </c>
      <c r="J323">
        <v>0</v>
      </c>
      <c r="K323">
        <v>12</v>
      </c>
      <c r="L323" t="s">
        <v>150</v>
      </c>
      <c r="N323">
        <v>0.5</v>
      </c>
      <c r="O323">
        <v>0.38</v>
      </c>
      <c r="P323">
        <v>3.5</v>
      </c>
      <c r="Q323">
        <v>0</v>
      </c>
      <c r="R323">
        <v>3.25</v>
      </c>
      <c r="S323">
        <v>4</v>
      </c>
      <c r="T323">
        <v>0.5</v>
      </c>
      <c r="U323">
        <v>0</v>
      </c>
      <c r="V323">
        <v>0</v>
      </c>
      <c r="W323">
        <v>0</v>
      </c>
      <c r="X323">
        <v>0</v>
      </c>
      <c r="Y323">
        <v>0.5</v>
      </c>
      <c r="Z323">
        <v>0.5</v>
      </c>
    </row>
    <row r="324" spans="1:30">
      <c r="A324" t="s">
        <v>486</v>
      </c>
      <c r="B324">
        <v>20.1875</v>
      </c>
      <c r="C324">
        <v>54.4375</v>
      </c>
      <c r="D324">
        <v>4.5</v>
      </c>
      <c r="E324">
        <v>4.8125</v>
      </c>
      <c r="F324" t="s">
        <v>156</v>
      </c>
      <c r="G324">
        <v>1</v>
      </c>
      <c r="H324">
        <v>0</v>
      </c>
      <c r="I324">
        <v>1</v>
      </c>
      <c r="J324">
        <v>0</v>
      </c>
      <c r="K324">
        <v>24</v>
      </c>
      <c r="N324">
        <v>0.5</v>
      </c>
      <c r="O324">
        <v>0.38</v>
      </c>
      <c r="P324">
        <v>3.5</v>
      </c>
      <c r="Q324">
        <v>0</v>
      </c>
      <c r="R324">
        <v>0</v>
      </c>
      <c r="S324">
        <v>4</v>
      </c>
      <c r="T324">
        <v>0.5</v>
      </c>
      <c r="U324">
        <v>0</v>
      </c>
      <c r="V324">
        <v>0</v>
      </c>
      <c r="W324">
        <v>0</v>
      </c>
      <c r="X324">
        <v>0</v>
      </c>
      <c r="Y324">
        <v>0.5</v>
      </c>
      <c r="Z324">
        <v>0.5</v>
      </c>
    </row>
    <row r="325" spans="1:30">
      <c r="A325" t="s">
        <v>487</v>
      </c>
      <c r="B325">
        <v>11.9375</v>
      </c>
      <c r="C325">
        <v>40.5625</v>
      </c>
      <c r="D325">
        <v>4.5</v>
      </c>
      <c r="E325">
        <v>4.875</v>
      </c>
      <c r="F325" t="s">
        <v>156</v>
      </c>
      <c r="G325">
        <v>1</v>
      </c>
      <c r="H325">
        <v>0</v>
      </c>
      <c r="I325">
        <v>1</v>
      </c>
      <c r="J325">
        <v>0</v>
      </c>
      <c r="N325">
        <v>0.5</v>
      </c>
      <c r="O325">
        <v>0.38</v>
      </c>
      <c r="P325">
        <v>3.5</v>
      </c>
      <c r="Q325">
        <v>0</v>
      </c>
      <c r="R325">
        <v>0</v>
      </c>
      <c r="S325">
        <v>4</v>
      </c>
      <c r="T325">
        <v>0.5</v>
      </c>
      <c r="U325">
        <v>0</v>
      </c>
      <c r="V325">
        <v>0</v>
      </c>
      <c r="W325">
        <v>0</v>
      </c>
      <c r="X325">
        <v>0</v>
      </c>
      <c r="Y325">
        <v>0.5</v>
      </c>
      <c r="Z325">
        <v>0.5</v>
      </c>
    </row>
    <row r="326" spans="1:30">
      <c r="A326" t="s">
        <v>488</v>
      </c>
      <c r="B326">
        <v>25.75</v>
      </c>
      <c r="C326">
        <v>62.125</v>
      </c>
      <c r="D326">
        <v>3.875</v>
      </c>
      <c r="E326">
        <v>6.6875</v>
      </c>
      <c r="F326" t="s">
        <v>156</v>
      </c>
      <c r="G326">
        <v>1</v>
      </c>
      <c r="H326">
        <v>0</v>
      </c>
      <c r="I326">
        <v>1</v>
      </c>
      <c r="J326">
        <v>1</v>
      </c>
      <c r="N326">
        <v>0.5</v>
      </c>
      <c r="O326">
        <v>0.38</v>
      </c>
      <c r="P326">
        <v>3.5</v>
      </c>
      <c r="Q326">
        <v>0.625</v>
      </c>
      <c r="R326">
        <v>0</v>
      </c>
      <c r="S326">
        <v>4</v>
      </c>
      <c r="T326">
        <v>0.5</v>
      </c>
      <c r="U326">
        <v>0</v>
      </c>
      <c r="V326">
        <v>0</v>
      </c>
      <c r="W326">
        <v>0</v>
      </c>
      <c r="X326">
        <v>0</v>
      </c>
      <c r="Y326">
        <v>0.5</v>
      </c>
      <c r="Z326">
        <v>0.5</v>
      </c>
    </row>
    <row r="327" spans="1:30">
      <c r="A327" t="s">
        <v>489</v>
      </c>
      <c r="B327">
        <v>26.1875</v>
      </c>
      <c r="C327">
        <v>45.375</v>
      </c>
      <c r="D327">
        <v>1</v>
      </c>
      <c r="E327">
        <v>2.9375</v>
      </c>
      <c r="F327" t="s">
        <v>156</v>
      </c>
      <c r="G327">
        <v>1</v>
      </c>
      <c r="H327">
        <v>1</v>
      </c>
      <c r="I327">
        <v>0</v>
      </c>
      <c r="L327" t="s">
        <v>119</v>
      </c>
      <c r="N327">
        <v>0.5</v>
      </c>
      <c r="O327">
        <v>0.38</v>
      </c>
      <c r="P327">
        <v>3.5</v>
      </c>
      <c r="Q327">
        <v>3.5</v>
      </c>
      <c r="R327">
        <v>1.5625</v>
      </c>
      <c r="S327">
        <v>4</v>
      </c>
      <c r="T327">
        <v>0.5</v>
      </c>
      <c r="U327">
        <v>0</v>
      </c>
      <c r="V327">
        <v>0</v>
      </c>
      <c r="W327">
        <v>1</v>
      </c>
      <c r="X327">
        <v>0</v>
      </c>
      <c r="Y327">
        <v>0.5</v>
      </c>
      <c r="Z327">
        <v>0.5</v>
      </c>
    </row>
    <row r="328" spans="1:30">
      <c r="A328" t="s">
        <v>490</v>
      </c>
      <c r="B328">
        <v>47.625</v>
      </c>
      <c r="C328">
        <v>50.625</v>
      </c>
      <c r="D328">
        <v>1</v>
      </c>
      <c r="E328">
        <v>4.6875</v>
      </c>
      <c r="F328" t="s">
        <v>156</v>
      </c>
      <c r="G328">
        <v>1</v>
      </c>
      <c r="H328">
        <v>1</v>
      </c>
      <c r="I328">
        <v>1</v>
      </c>
      <c r="J328">
        <v>0</v>
      </c>
      <c r="K328">
        <v>12</v>
      </c>
      <c r="L328" t="s">
        <v>151</v>
      </c>
      <c r="N328">
        <v>0.5</v>
      </c>
      <c r="O328">
        <v>0.38</v>
      </c>
      <c r="P328">
        <v>3.5</v>
      </c>
      <c r="Q328">
        <v>3.5</v>
      </c>
      <c r="R328">
        <v>0</v>
      </c>
      <c r="S328">
        <v>4</v>
      </c>
      <c r="T328">
        <v>0.5</v>
      </c>
      <c r="U328">
        <v>0</v>
      </c>
      <c r="V328">
        <v>0</v>
      </c>
      <c r="W328">
        <v>0</v>
      </c>
      <c r="X328">
        <v>0</v>
      </c>
      <c r="Y328">
        <v>0.5</v>
      </c>
      <c r="Z328">
        <v>0.5</v>
      </c>
    </row>
    <row r="329" spans="1:30">
      <c r="A329" t="s">
        <v>491</v>
      </c>
      <c r="B329">
        <v>46.5</v>
      </c>
      <c r="C329">
        <v>7.5</v>
      </c>
      <c r="D329">
        <v>4.5</v>
      </c>
      <c r="E329">
        <v>5.6875</v>
      </c>
      <c r="F329" t="s">
        <v>156</v>
      </c>
      <c r="G329">
        <v>1</v>
      </c>
      <c r="H329">
        <v>1</v>
      </c>
      <c r="I329">
        <v>1</v>
      </c>
      <c r="J329">
        <v>0</v>
      </c>
      <c r="K329">
        <v>24</v>
      </c>
      <c r="N329">
        <v>0.5</v>
      </c>
      <c r="O329">
        <v>0.38</v>
      </c>
      <c r="P329">
        <v>3.5</v>
      </c>
      <c r="Q329">
        <v>0</v>
      </c>
      <c r="R329">
        <v>0</v>
      </c>
      <c r="S329">
        <v>4</v>
      </c>
      <c r="T329">
        <v>0.5</v>
      </c>
      <c r="U329">
        <v>0</v>
      </c>
      <c r="V329">
        <v>0</v>
      </c>
      <c r="W329">
        <v>0</v>
      </c>
      <c r="X329">
        <v>0</v>
      </c>
      <c r="Y329">
        <v>0.5</v>
      </c>
      <c r="Z329">
        <v>0.5</v>
      </c>
    </row>
    <row r="330" spans="1:30">
      <c r="A330" t="s">
        <v>492</v>
      </c>
      <c r="B330">
        <v>9.875</v>
      </c>
      <c r="C330">
        <v>46.3125</v>
      </c>
      <c r="D330">
        <v>9</v>
      </c>
      <c r="E330">
        <v>3.75</v>
      </c>
      <c r="F330" t="s">
        <v>156</v>
      </c>
      <c r="G330">
        <v>1</v>
      </c>
      <c r="H330">
        <v>1</v>
      </c>
      <c r="I330">
        <v>1</v>
      </c>
      <c r="J330">
        <v>0</v>
      </c>
      <c r="N330">
        <v>0.5</v>
      </c>
      <c r="O330">
        <v>0.38</v>
      </c>
      <c r="P330">
        <v>3.5</v>
      </c>
      <c r="Q330">
        <v>-4.5</v>
      </c>
      <c r="R330">
        <v>0.75</v>
      </c>
      <c r="S330">
        <v>4</v>
      </c>
      <c r="T330">
        <v>0.5</v>
      </c>
      <c r="U330">
        <v>0</v>
      </c>
      <c r="V330">
        <v>0</v>
      </c>
      <c r="W330">
        <v>1</v>
      </c>
      <c r="X330">
        <v>0</v>
      </c>
      <c r="Y330">
        <v>0.5</v>
      </c>
      <c r="Z330">
        <v>0.5</v>
      </c>
    </row>
    <row r="331" spans="1:30">
      <c r="A331" t="s">
        <v>493</v>
      </c>
      <c r="B331">
        <v>5.1875</v>
      </c>
      <c r="C331">
        <v>56.1875</v>
      </c>
      <c r="D331">
        <v>2.9375</v>
      </c>
      <c r="E331">
        <v>3.625</v>
      </c>
      <c r="F331" t="s">
        <v>156</v>
      </c>
      <c r="G331">
        <v>1</v>
      </c>
      <c r="H331">
        <v>1</v>
      </c>
      <c r="I331">
        <v>1</v>
      </c>
      <c r="J331">
        <v>1</v>
      </c>
      <c r="N331">
        <v>0.5</v>
      </c>
      <c r="O331">
        <v>0.38</v>
      </c>
      <c r="P331">
        <v>3.5</v>
      </c>
      <c r="Q331">
        <v>1.5625</v>
      </c>
      <c r="R331">
        <v>0.875</v>
      </c>
      <c r="S331">
        <v>4</v>
      </c>
      <c r="T331">
        <v>0.5</v>
      </c>
      <c r="U331">
        <v>0</v>
      </c>
      <c r="V331">
        <v>0</v>
      </c>
      <c r="W331">
        <v>1</v>
      </c>
      <c r="X331">
        <v>1</v>
      </c>
      <c r="Y331">
        <v>0.5</v>
      </c>
      <c r="Z331">
        <v>0.5</v>
      </c>
    </row>
    <row r="332" spans="1:30">
      <c r="A332" t="s">
        <v>494</v>
      </c>
      <c r="B332">
        <v>60</v>
      </c>
      <c r="C332">
        <v>62.0625</v>
      </c>
      <c r="D332">
        <v>8</v>
      </c>
      <c r="E332">
        <v>5.75</v>
      </c>
      <c r="F332" t="s">
        <v>157</v>
      </c>
      <c r="G332">
        <v>0</v>
      </c>
      <c r="I332">
        <v>0</v>
      </c>
      <c r="N332">
        <v>0.5</v>
      </c>
      <c r="O332">
        <v>0.38</v>
      </c>
      <c r="P332">
        <v>3.5</v>
      </c>
      <c r="Q332">
        <v>-3.5</v>
      </c>
      <c r="R332">
        <v>0</v>
      </c>
      <c r="S332">
        <v>4</v>
      </c>
      <c r="T332">
        <v>0.5</v>
      </c>
      <c r="U332">
        <v>0</v>
      </c>
      <c r="V332">
        <v>0</v>
      </c>
      <c r="W332">
        <v>0</v>
      </c>
      <c r="X332">
        <v>0</v>
      </c>
      <c r="Y332">
        <v>0.5</v>
      </c>
      <c r="Z332">
        <v>0.5</v>
      </c>
    </row>
    <row r="333" spans="1:30">
      <c r="A333" t="s">
        <v>495</v>
      </c>
      <c r="B333">
        <v>60</v>
      </c>
      <c r="C333">
        <v>43.0625</v>
      </c>
      <c r="D333">
        <v>2.1875</v>
      </c>
      <c r="E333">
        <v>1</v>
      </c>
      <c r="F333" t="s">
        <v>157</v>
      </c>
      <c r="G333">
        <v>0</v>
      </c>
      <c r="I333">
        <v>1</v>
      </c>
      <c r="J333">
        <v>0</v>
      </c>
      <c r="K333">
        <v>12</v>
      </c>
      <c r="L333" t="s">
        <v>145</v>
      </c>
      <c r="N333">
        <v>0.5</v>
      </c>
      <c r="O333">
        <v>0.38</v>
      </c>
      <c r="P333">
        <v>3.5</v>
      </c>
      <c r="Q333">
        <v>2.3125</v>
      </c>
      <c r="R333">
        <v>3.5</v>
      </c>
      <c r="S333">
        <v>4</v>
      </c>
      <c r="T333">
        <v>0.5</v>
      </c>
      <c r="U333">
        <v>0</v>
      </c>
      <c r="V333">
        <v>1</v>
      </c>
      <c r="W333">
        <v>0</v>
      </c>
      <c r="X333">
        <v>0</v>
      </c>
      <c r="Y333">
        <v>0.5</v>
      </c>
      <c r="Z333">
        <v>0</v>
      </c>
      <c r="AA333">
        <v>15.5</v>
      </c>
      <c r="AB333">
        <v>28.875</v>
      </c>
      <c r="AC333">
        <v>14</v>
      </c>
      <c r="AD333">
        <v>27.942499999999999</v>
      </c>
    </row>
    <row r="334" spans="1:30">
      <c r="A334" t="s">
        <v>496</v>
      </c>
      <c r="B334">
        <v>60</v>
      </c>
      <c r="C334">
        <v>74.8125</v>
      </c>
      <c r="D334">
        <v>12</v>
      </c>
      <c r="E334">
        <v>7.375</v>
      </c>
      <c r="F334" t="s">
        <v>157</v>
      </c>
      <c r="G334">
        <v>0</v>
      </c>
      <c r="I334">
        <v>1</v>
      </c>
      <c r="J334">
        <v>0</v>
      </c>
      <c r="K334">
        <v>24</v>
      </c>
      <c r="L334" t="s">
        <v>120</v>
      </c>
      <c r="N334">
        <v>0.5</v>
      </c>
      <c r="O334">
        <v>0.38</v>
      </c>
      <c r="P334">
        <v>3.5</v>
      </c>
      <c r="Q334">
        <v>-7.5</v>
      </c>
      <c r="R334">
        <v>0</v>
      </c>
      <c r="S334">
        <v>4</v>
      </c>
      <c r="T334">
        <v>0.5</v>
      </c>
      <c r="U334">
        <v>0</v>
      </c>
      <c r="V334">
        <v>0</v>
      </c>
      <c r="W334">
        <v>0</v>
      </c>
      <c r="X334">
        <v>0</v>
      </c>
      <c r="Y334">
        <v>0.5</v>
      </c>
      <c r="Z334">
        <v>0.5</v>
      </c>
      <c r="AA334">
        <v>11.5</v>
      </c>
      <c r="AB334">
        <v>10.875</v>
      </c>
      <c r="AC334">
        <v>4.9400000000000004</v>
      </c>
      <c r="AD334">
        <v>6</v>
      </c>
    </row>
    <row r="335" spans="1:30">
      <c r="A335" t="s">
        <v>497</v>
      </c>
      <c r="B335">
        <v>60</v>
      </c>
      <c r="C335">
        <v>8.875</v>
      </c>
      <c r="D335">
        <v>9.125</v>
      </c>
      <c r="E335">
        <v>7</v>
      </c>
      <c r="F335" t="s">
        <v>157</v>
      </c>
      <c r="G335">
        <v>0</v>
      </c>
      <c r="I335">
        <v>1</v>
      </c>
      <c r="J335">
        <v>0</v>
      </c>
      <c r="N335">
        <v>0.5</v>
      </c>
      <c r="O335">
        <v>0.38</v>
      </c>
      <c r="P335">
        <v>3.5</v>
      </c>
      <c r="Q335">
        <v>-4.625</v>
      </c>
      <c r="R335">
        <v>0</v>
      </c>
      <c r="S335">
        <v>4</v>
      </c>
      <c r="T335">
        <v>0.5</v>
      </c>
      <c r="U335">
        <v>0</v>
      </c>
      <c r="V335">
        <v>0</v>
      </c>
      <c r="W335">
        <v>0</v>
      </c>
      <c r="X335">
        <v>0</v>
      </c>
      <c r="Y335">
        <v>0.5</v>
      </c>
      <c r="Z335">
        <v>0.5</v>
      </c>
    </row>
    <row r="336" spans="1:30">
      <c r="A336" t="s">
        <v>498</v>
      </c>
      <c r="B336">
        <v>60</v>
      </c>
      <c r="C336">
        <v>78.6875</v>
      </c>
      <c r="D336">
        <v>3.3125</v>
      </c>
      <c r="E336">
        <v>7.625</v>
      </c>
      <c r="F336" t="s">
        <v>157</v>
      </c>
      <c r="G336">
        <v>0</v>
      </c>
      <c r="I336">
        <v>1</v>
      </c>
      <c r="J336">
        <v>1</v>
      </c>
      <c r="N336">
        <v>0.5</v>
      </c>
      <c r="O336">
        <v>0.38</v>
      </c>
      <c r="P336">
        <v>3.5</v>
      </c>
      <c r="Q336">
        <v>1.1875</v>
      </c>
      <c r="R336">
        <v>0</v>
      </c>
      <c r="S336">
        <v>4</v>
      </c>
      <c r="T336">
        <v>0.5</v>
      </c>
      <c r="U336">
        <v>0</v>
      </c>
      <c r="V336">
        <v>1</v>
      </c>
      <c r="W336">
        <v>0</v>
      </c>
      <c r="X336">
        <v>0</v>
      </c>
      <c r="Y336">
        <v>0.5</v>
      </c>
      <c r="Z336">
        <v>0</v>
      </c>
    </row>
    <row r="337" spans="1:34">
      <c r="A337" t="s">
        <v>499</v>
      </c>
      <c r="B337">
        <v>60</v>
      </c>
      <c r="C337">
        <v>47.25</v>
      </c>
      <c r="D337">
        <v>9</v>
      </c>
      <c r="E337">
        <v>3.6875</v>
      </c>
      <c r="F337" t="s">
        <v>157</v>
      </c>
      <c r="G337">
        <v>1</v>
      </c>
      <c r="H337">
        <v>0</v>
      </c>
      <c r="I337">
        <v>0</v>
      </c>
      <c r="L337" t="s">
        <v>121</v>
      </c>
      <c r="M337" t="s">
        <v>120</v>
      </c>
      <c r="N337">
        <v>0.5</v>
      </c>
      <c r="O337">
        <v>0.38</v>
      </c>
      <c r="P337">
        <v>3.5</v>
      </c>
      <c r="Q337">
        <v>-4.5</v>
      </c>
      <c r="R337">
        <v>0.8125</v>
      </c>
      <c r="S337">
        <v>4</v>
      </c>
      <c r="T337">
        <v>0.5</v>
      </c>
      <c r="U337">
        <v>0</v>
      </c>
      <c r="V337">
        <v>0</v>
      </c>
      <c r="W337">
        <v>0</v>
      </c>
      <c r="X337">
        <v>0</v>
      </c>
      <c r="Y337">
        <v>0.5</v>
      </c>
      <c r="Z337">
        <v>0.5</v>
      </c>
      <c r="AA337">
        <v>11</v>
      </c>
      <c r="AB337">
        <v>9.375</v>
      </c>
      <c r="AC337">
        <v>14.5</v>
      </c>
      <c r="AD337">
        <v>9.75</v>
      </c>
      <c r="AE337">
        <v>11.5</v>
      </c>
      <c r="AF337">
        <v>10.875</v>
      </c>
      <c r="AG337">
        <v>28.94</v>
      </c>
      <c r="AH337">
        <v>9</v>
      </c>
    </row>
    <row r="338" spans="1:34">
      <c r="A338" t="s">
        <v>500</v>
      </c>
      <c r="B338">
        <v>60</v>
      </c>
      <c r="C338">
        <v>57.75</v>
      </c>
      <c r="D338">
        <v>4.5</v>
      </c>
      <c r="E338">
        <v>1</v>
      </c>
      <c r="F338" t="s">
        <v>157</v>
      </c>
      <c r="G338">
        <v>1</v>
      </c>
      <c r="H338">
        <v>0</v>
      </c>
      <c r="I338">
        <v>1</v>
      </c>
      <c r="J338">
        <v>0</v>
      </c>
      <c r="K338">
        <v>12</v>
      </c>
      <c r="L338" t="s">
        <v>120</v>
      </c>
      <c r="N338">
        <v>0.5</v>
      </c>
      <c r="O338">
        <v>0.38</v>
      </c>
      <c r="P338">
        <v>3.5</v>
      </c>
      <c r="Q338">
        <v>0</v>
      </c>
      <c r="R338">
        <v>3.5</v>
      </c>
      <c r="S338">
        <v>4</v>
      </c>
      <c r="T338">
        <v>0.5</v>
      </c>
      <c r="U338">
        <v>0</v>
      </c>
      <c r="V338">
        <v>0</v>
      </c>
      <c r="W338">
        <v>0</v>
      </c>
      <c r="X338">
        <v>0</v>
      </c>
      <c r="Y338">
        <v>0.5</v>
      </c>
      <c r="Z338">
        <v>0.5</v>
      </c>
      <c r="AA338">
        <v>11.5</v>
      </c>
      <c r="AB338">
        <v>10.875</v>
      </c>
      <c r="AC338">
        <v>16.940000000000001</v>
      </c>
      <c r="AD338">
        <v>13.5</v>
      </c>
    </row>
    <row r="339" spans="1:34">
      <c r="A339" t="s">
        <v>501</v>
      </c>
      <c r="B339">
        <v>60</v>
      </c>
      <c r="C339">
        <v>78.75</v>
      </c>
      <c r="D339">
        <v>9</v>
      </c>
      <c r="E339">
        <v>3.375</v>
      </c>
      <c r="F339" t="s">
        <v>157</v>
      </c>
      <c r="G339">
        <v>1</v>
      </c>
      <c r="H339">
        <v>0</v>
      </c>
      <c r="I339">
        <v>1</v>
      </c>
      <c r="J339">
        <v>0</v>
      </c>
      <c r="K339">
        <v>24</v>
      </c>
      <c r="L339" t="s">
        <v>120</v>
      </c>
      <c r="N339">
        <v>0.5</v>
      </c>
      <c r="O339">
        <v>0.38</v>
      </c>
      <c r="P339">
        <v>3.5</v>
      </c>
      <c r="Q339">
        <v>-4.5</v>
      </c>
      <c r="R339">
        <v>1.125</v>
      </c>
      <c r="S339">
        <v>4</v>
      </c>
      <c r="T339">
        <v>0.5</v>
      </c>
      <c r="U339">
        <v>0</v>
      </c>
      <c r="V339">
        <v>0</v>
      </c>
      <c r="W339">
        <v>0</v>
      </c>
      <c r="X339">
        <v>0</v>
      </c>
      <c r="Y339">
        <v>0.5</v>
      </c>
      <c r="Z339">
        <v>0.5</v>
      </c>
      <c r="AA339">
        <v>11.5</v>
      </c>
      <c r="AB339">
        <v>10.875</v>
      </c>
      <c r="AC339">
        <v>4.9400000000000004</v>
      </c>
      <c r="AD339">
        <v>9</v>
      </c>
    </row>
    <row r="340" spans="1:34">
      <c r="A340" t="s">
        <v>502</v>
      </c>
      <c r="B340">
        <v>60</v>
      </c>
      <c r="C340">
        <v>62.4375</v>
      </c>
      <c r="D340">
        <v>4.8125</v>
      </c>
      <c r="E340">
        <v>3.5625</v>
      </c>
      <c r="F340" t="s">
        <v>157</v>
      </c>
      <c r="G340">
        <v>1</v>
      </c>
      <c r="H340">
        <v>0</v>
      </c>
      <c r="I340">
        <v>1</v>
      </c>
      <c r="J340">
        <v>0</v>
      </c>
      <c r="N340">
        <v>0.5</v>
      </c>
      <c r="O340">
        <v>0.38</v>
      </c>
      <c r="P340">
        <v>3.5</v>
      </c>
      <c r="Q340">
        <v>-0.3125</v>
      </c>
      <c r="R340">
        <v>0.9375</v>
      </c>
      <c r="S340">
        <v>4</v>
      </c>
      <c r="T340">
        <v>0.5</v>
      </c>
      <c r="U340">
        <v>0</v>
      </c>
      <c r="V340">
        <v>0</v>
      </c>
      <c r="W340">
        <v>0</v>
      </c>
      <c r="X340">
        <v>0</v>
      </c>
      <c r="Y340">
        <v>0.5</v>
      </c>
      <c r="Z340">
        <v>0.5</v>
      </c>
    </row>
    <row r="341" spans="1:34">
      <c r="A341" t="s">
        <v>503</v>
      </c>
      <c r="B341">
        <v>60</v>
      </c>
      <c r="C341">
        <v>79.0625</v>
      </c>
      <c r="D341">
        <v>10.9375</v>
      </c>
      <c r="E341">
        <v>1</v>
      </c>
      <c r="F341" t="s">
        <v>157</v>
      </c>
      <c r="G341">
        <v>1</v>
      </c>
      <c r="H341">
        <v>0</v>
      </c>
      <c r="I341">
        <v>1</v>
      </c>
      <c r="J341">
        <v>1</v>
      </c>
      <c r="N341">
        <v>0.5</v>
      </c>
      <c r="O341">
        <v>0.38</v>
      </c>
      <c r="P341">
        <v>3.5</v>
      </c>
      <c r="Q341">
        <v>-6.4375</v>
      </c>
      <c r="R341">
        <v>3.5</v>
      </c>
      <c r="S341">
        <v>4</v>
      </c>
      <c r="T341">
        <v>0.5</v>
      </c>
      <c r="U341">
        <v>0</v>
      </c>
      <c r="V341">
        <v>0</v>
      </c>
      <c r="W341">
        <v>0</v>
      </c>
      <c r="X341">
        <v>0</v>
      </c>
      <c r="Y341">
        <v>0.5</v>
      </c>
      <c r="Z341">
        <v>0.5</v>
      </c>
    </row>
    <row r="342" spans="1:34">
      <c r="A342" t="s">
        <v>504</v>
      </c>
      <c r="B342">
        <v>60</v>
      </c>
      <c r="C342">
        <v>52.1875</v>
      </c>
      <c r="D342">
        <v>11.125</v>
      </c>
      <c r="E342">
        <v>4.1875</v>
      </c>
      <c r="F342" t="s">
        <v>157</v>
      </c>
      <c r="G342">
        <v>1</v>
      </c>
      <c r="H342">
        <v>1</v>
      </c>
      <c r="I342">
        <v>0</v>
      </c>
      <c r="L342" t="s">
        <v>150</v>
      </c>
      <c r="N342">
        <v>0.5</v>
      </c>
      <c r="O342">
        <v>0.38</v>
      </c>
      <c r="P342">
        <v>3.5</v>
      </c>
      <c r="Q342">
        <v>-6.625</v>
      </c>
      <c r="R342">
        <v>0.3125</v>
      </c>
      <c r="S342">
        <v>4</v>
      </c>
      <c r="T342">
        <v>0.5</v>
      </c>
      <c r="U342">
        <v>0</v>
      </c>
      <c r="V342">
        <v>0</v>
      </c>
      <c r="W342">
        <v>0</v>
      </c>
      <c r="X342">
        <v>0</v>
      </c>
      <c r="Y342">
        <v>0.5</v>
      </c>
      <c r="Z342">
        <v>0.5</v>
      </c>
      <c r="AA342">
        <v>15.5</v>
      </c>
      <c r="AB342">
        <v>28.875</v>
      </c>
      <c r="AC342">
        <v>21</v>
      </c>
      <c r="AD342">
        <v>6.875</v>
      </c>
    </row>
    <row r="343" spans="1:34">
      <c r="A343" t="s">
        <v>505</v>
      </c>
      <c r="B343">
        <v>60</v>
      </c>
      <c r="C343">
        <v>19.8125</v>
      </c>
      <c r="D343">
        <v>4.5</v>
      </c>
      <c r="E343">
        <v>3.0625</v>
      </c>
      <c r="F343" t="s">
        <v>157</v>
      </c>
      <c r="G343">
        <v>1</v>
      </c>
      <c r="H343">
        <v>1</v>
      </c>
      <c r="I343">
        <v>1</v>
      </c>
      <c r="J343">
        <v>0</v>
      </c>
      <c r="K343">
        <v>12</v>
      </c>
      <c r="N343">
        <v>0.5</v>
      </c>
      <c r="O343">
        <v>0.38</v>
      </c>
      <c r="P343">
        <v>3.5</v>
      </c>
      <c r="Q343">
        <v>0</v>
      </c>
      <c r="R343">
        <v>1.4375</v>
      </c>
      <c r="S343">
        <v>4</v>
      </c>
      <c r="T343">
        <v>0.5</v>
      </c>
      <c r="U343">
        <v>0</v>
      </c>
      <c r="V343">
        <v>0</v>
      </c>
      <c r="W343">
        <v>0</v>
      </c>
      <c r="X343">
        <v>0</v>
      </c>
      <c r="Y343">
        <v>0.5</v>
      </c>
      <c r="Z343">
        <v>0.5</v>
      </c>
    </row>
    <row r="344" spans="1:34">
      <c r="A344" t="s">
        <v>506</v>
      </c>
      <c r="B344">
        <v>60</v>
      </c>
      <c r="C344">
        <v>74.25</v>
      </c>
      <c r="D344">
        <v>10.25</v>
      </c>
      <c r="E344">
        <v>5.5</v>
      </c>
      <c r="F344" t="s">
        <v>157</v>
      </c>
      <c r="G344">
        <v>1</v>
      </c>
      <c r="H344">
        <v>1</v>
      </c>
      <c r="I344">
        <v>1</v>
      </c>
      <c r="J344">
        <v>0</v>
      </c>
      <c r="K344">
        <v>24</v>
      </c>
      <c r="L344" t="s">
        <v>120</v>
      </c>
      <c r="N344">
        <v>0.5</v>
      </c>
      <c r="O344">
        <v>0.38</v>
      </c>
      <c r="P344">
        <v>3.5</v>
      </c>
      <c r="Q344">
        <v>-5.75</v>
      </c>
      <c r="R344">
        <v>0</v>
      </c>
      <c r="S344">
        <v>4</v>
      </c>
      <c r="T344">
        <v>0.5</v>
      </c>
      <c r="U344">
        <v>0</v>
      </c>
      <c r="V344">
        <v>0</v>
      </c>
      <c r="W344">
        <v>0</v>
      </c>
      <c r="X344">
        <v>0</v>
      </c>
      <c r="Y344">
        <v>0.5</v>
      </c>
      <c r="Z344">
        <v>0.5</v>
      </c>
      <c r="AA344">
        <v>11.5</v>
      </c>
      <c r="AB344">
        <v>10.875</v>
      </c>
      <c r="AC344">
        <v>4.9400000000000004</v>
      </c>
      <c r="AD344">
        <v>7.75</v>
      </c>
    </row>
    <row r="345" spans="1:34">
      <c r="A345" t="s">
        <v>507</v>
      </c>
      <c r="B345">
        <v>60</v>
      </c>
      <c r="C345">
        <v>51.75</v>
      </c>
      <c r="D345">
        <v>9</v>
      </c>
      <c r="E345">
        <v>1</v>
      </c>
      <c r="F345" t="s">
        <v>157</v>
      </c>
      <c r="G345">
        <v>1</v>
      </c>
      <c r="H345">
        <v>1</v>
      </c>
      <c r="I345">
        <v>1</v>
      </c>
      <c r="J345">
        <v>0</v>
      </c>
      <c r="N345">
        <v>0.5</v>
      </c>
      <c r="O345">
        <v>0.38</v>
      </c>
      <c r="P345">
        <v>3.5</v>
      </c>
      <c r="Q345">
        <v>-4.5</v>
      </c>
      <c r="R345">
        <v>3.5</v>
      </c>
      <c r="S345">
        <v>4</v>
      </c>
      <c r="T345">
        <v>0.5</v>
      </c>
      <c r="U345">
        <v>0</v>
      </c>
      <c r="V345">
        <v>0</v>
      </c>
      <c r="W345">
        <v>0</v>
      </c>
      <c r="X345">
        <v>0</v>
      </c>
      <c r="Y345">
        <v>0.5</v>
      </c>
      <c r="Z345">
        <v>0.5</v>
      </c>
    </row>
    <row r="346" spans="1:34">
      <c r="A346" t="s">
        <v>508</v>
      </c>
      <c r="B346">
        <v>60</v>
      </c>
      <c r="C346">
        <v>5.375</v>
      </c>
      <c r="D346">
        <v>12</v>
      </c>
      <c r="E346">
        <v>7.5625</v>
      </c>
      <c r="F346" t="s">
        <v>157</v>
      </c>
      <c r="G346">
        <v>1</v>
      </c>
      <c r="H346">
        <v>1</v>
      </c>
      <c r="I346">
        <v>1</v>
      </c>
      <c r="J346">
        <v>1</v>
      </c>
      <c r="N346">
        <v>0.5</v>
      </c>
      <c r="O346">
        <v>0.38</v>
      </c>
      <c r="P346">
        <v>3.5</v>
      </c>
      <c r="Q346">
        <v>-7.5</v>
      </c>
      <c r="R346">
        <v>0</v>
      </c>
      <c r="S346">
        <v>4</v>
      </c>
      <c r="T346">
        <v>0.5</v>
      </c>
      <c r="U346">
        <v>0</v>
      </c>
      <c r="V346">
        <v>0</v>
      </c>
      <c r="W346">
        <v>0</v>
      </c>
      <c r="X346">
        <v>0</v>
      </c>
      <c r="Y346">
        <v>0.5</v>
      </c>
      <c r="Z346">
        <v>0.5</v>
      </c>
    </row>
    <row r="347" spans="1:34">
      <c r="A347" t="s">
        <v>509</v>
      </c>
      <c r="B347">
        <v>96</v>
      </c>
      <c r="C347">
        <v>69.875</v>
      </c>
      <c r="D347">
        <v>9</v>
      </c>
      <c r="E347">
        <v>1.1875</v>
      </c>
      <c r="F347" t="s">
        <v>21</v>
      </c>
      <c r="G347">
        <v>0</v>
      </c>
      <c r="I347">
        <v>0</v>
      </c>
      <c r="L347" t="s">
        <v>119</v>
      </c>
      <c r="M347" t="s">
        <v>120</v>
      </c>
      <c r="N347">
        <v>0.5</v>
      </c>
      <c r="O347">
        <v>0.38</v>
      </c>
      <c r="P347">
        <v>3.5</v>
      </c>
      <c r="Q347">
        <v>-4.5</v>
      </c>
      <c r="R347">
        <v>3.3125</v>
      </c>
      <c r="S347">
        <v>4</v>
      </c>
      <c r="T347">
        <v>0.5</v>
      </c>
      <c r="U347">
        <v>0</v>
      </c>
      <c r="V347">
        <v>0</v>
      </c>
      <c r="W347">
        <v>0</v>
      </c>
      <c r="X347">
        <v>0</v>
      </c>
      <c r="Y347">
        <v>0.5</v>
      </c>
      <c r="Z347">
        <v>0.5</v>
      </c>
      <c r="AA347">
        <v>11</v>
      </c>
      <c r="AB347">
        <v>15.5</v>
      </c>
      <c r="AC347">
        <v>14.5</v>
      </c>
      <c r="AD347">
        <v>5.75</v>
      </c>
      <c r="AE347">
        <v>11.5</v>
      </c>
      <c r="AF347">
        <v>10.875</v>
      </c>
      <c r="AG347">
        <v>28.94</v>
      </c>
      <c r="AH347">
        <v>9</v>
      </c>
    </row>
    <row r="348" spans="1:34">
      <c r="A348" t="s">
        <v>510</v>
      </c>
      <c r="B348">
        <v>45.5</v>
      </c>
      <c r="C348">
        <v>74.875</v>
      </c>
      <c r="D348">
        <v>5.5625</v>
      </c>
      <c r="E348">
        <v>3</v>
      </c>
      <c r="F348" t="s">
        <v>21</v>
      </c>
      <c r="G348">
        <v>0</v>
      </c>
      <c r="I348">
        <v>1</v>
      </c>
      <c r="J348">
        <v>0</v>
      </c>
      <c r="K348">
        <v>12</v>
      </c>
      <c r="L348" t="s">
        <v>120</v>
      </c>
      <c r="N348">
        <v>0.5</v>
      </c>
      <c r="O348">
        <v>0.38</v>
      </c>
      <c r="P348">
        <v>3.5</v>
      </c>
      <c r="Q348">
        <v>-1.0625</v>
      </c>
      <c r="R348">
        <v>1.5</v>
      </c>
      <c r="S348">
        <v>4</v>
      </c>
      <c r="T348">
        <v>0.5</v>
      </c>
      <c r="U348">
        <v>0</v>
      </c>
      <c r="V348">
        <v>0</v>
      </c>
      <c r="W348">
        <v>0</v>
      </c>
      <c r="X348">
        <v>0</v>
      </c>
      <c r="Y348">
        <v>0.5</v>
      </c>
      <c r="Z348">
        <v>0.5</v>
      </c>
      <c r="AA348">
        <v>11.5</v>
      </c>
      <c r="AB348">
        <v>10.875</v>
      </c>
      <c r="AC348">
        <v>16.940000000000001</v>
      </c>
      <c r="AD348">
        <v>12.4375</v>
      </c>
    </row>
    <row r="349" spans="1:34">
      <c r="A349" t="s">
        <v>511</v>
      </c>
      <c r="B349">
        <v>96</v>
      </c>
      <c r="C349">
        <v>73.4375</v>
      </c>
      <c r="D349">
        <v>12</v>
      </c>
      <c r="E349">
        <v>1</v>
      </c>
      <c r="F349" t="s">
        <v>21</v>
      </c>
      <c r="G349">
        <v>0</v>
      </c>
      <c r="I349">
        <v>1</v>
      </c>
      <c r="J349">
        <v>0</v>
      </c>
      <c r="K349">
        <v>24</v>
      </c>
      <c r="L349" t="s">
        <v>120</v>
      </c>
      <c r="N349">
        <v>0.5</v>
      </c>
      <c r="O349">
        <v>0.38</v>
      </c>
      <c r="P349">
        <v>3.5</v>
      </c>
      <c r="Q349">
        <v>-7.5</v>
      </c>
      <c r="R349">
        <v>3.5</v>
      </c>
      <c r="S349">
        <v>4</v>
      </c>
      <c r="T349">
        <v>0.5</v>
      </c>
      <c r="U349">
        <v>0</v>
      </c>
      <c r="V349">
        <v>0</v>
      </c>
      <c r="W349">
        <v>0</v>
      </c>
      <c r="X349">
        <v>0</v>
      </c>
      <c r="Y349">
        <v>0.5</v>
      </c>
      <c r="Z349">
        <v>0.5</v>
      </c>
      <c r="AA349">
        <v>11.5</v>
      </c>
      <c r="AB349">
        <v>10.875</v>
      </c>
      <c r="AC349">
        <v>4.9400000000000004</v>
      </c>
      <c r="AD349">
        <v>6</v>
      </c>
    </row>
    <row r="350" spans="1:34">
      <c r="A350" t="s">
        <v>512</v>
      </c>
      <c r="B350">
        <v>96</v>
      </c>
      <c r="C350">
        <v>51.625</v>
      </c>
      <c r="D350">
        <v>12</v>
      </c>
      <c r="E350">
        <v>2.5625</v>
      </c>
      <c r="F350" t="s">
        <v>21</v>
      </c>
      <c r="G350">
        <v>0</v>
      </c>
      <c r="I350">
        <v>1</v>
      </c>
      <c r="J350">
        <v>0</v>
      </c>
      <c r="N350">
        <v>0.5</v>
      </c>
      <c r="O350">
        <v>0.38</v>
      </c>
      <c r="P350">
        <v>3.5</v>
      </c>
      <c r="Q350">
        <v>-7.5</v>
      </c>
      <c r="R350">
        <v>1.9375</v>
      </c>
      <c r="S350">
        <v>4</v>
      </c>
      <c r="T350">
        <v>0.5</v>
      </c>
      <c r="U350">
        <v>0</v>
      </c>
      <c r="V350">
        <v>0</v>
      </c>
      <c r="W350">
        <v>0</v>
      </c>
      <c r="X350">
        <v>0</v>
      </c>
      <c r="Y350">
        <v>0.5</v>
      </c>
      <c r="Z350">
        <v>0.5</v>
      </c>
    </row>
    <row r="351" spans="1:34">
      <c r="A351" t="s">
        <v>513</v>
      </c>
      <c r="B351">
        <v>102.375</v>
      </c>
      <c r="C351">
        <v>64.8125</v>
      </c>
      <c r="D351">
        <v>3.0625</v>
      </c>
      <c r="E351">
        <v>8.3125</v>
      </c>
      <c r="F351" t="s">
        <v>21</v>
      </c>
      <c r="G351">
        <v>0</v>
      </c>
      <c r="I351">
        <v>1</v>
      </c>
      <c r="J351">
        <v>1</v>
      </c>
      <c r="N351">
        <v>0.5</v>
      </c>
      <c r="O351">
        <v>0.38</v>
      </c>
      <c r="P351">
        <v>3.5</v>
      </c>
      <c r="Q351">
        <v>1.4375</v>
      </c>
      <c r="R351">
        <v>0</v>
      </c>
      <c r="S351">
        <v>4</v>
      </c>
      <c r="T351">
        <v>0.5</v>
      </c>
      <c r="U351">
        <v>0</v>
      </c>
      <c r="V351">
        <v>1</v>
      </c>
      <c r="W351">
        <v>0</v>
      </c>
      <c r="X351">
        <v>0</v>
      </c>
      <c r="Y351">
        <v>0.5</v>
      </c>
      <c r="Z351">
        <v>0</v>
      </c>
    </row>
    <row r="352" spans="1:34">
      <c r="A352" t="s">
        <v>514</v>
      </c>
      <c r="B352">
        <v>80.1875</v>
      </c>
      <c r="C352">
        <v>45.375</v>
      </c>
      <c r="D352">
        <v>9</v>
      </c>
      <c r="E352">
        <v>1</v>
      </c>
      <c r="F352" t="s">
        <v>21</v>
      </c>
      <c r="G352">
        <v>1</v>
      </c>
      <c r="H352">
        <v>0</v>
      </c>
      <c r="I352">
        <v>0</v>
      </c>
      <c r="L352" t="s">
        <v>148</v>
      </c>
      <c r="N352">
        <v>0.5</v>
      </c>
      <c r="O352">
        <v>0.38</v>
      </c>
      <c r="P352">
        <v>3.5</v>
      </c>
      <c r="Q352">
        <v>-4.5</v>
      </c>
      <c r="R352">
        <v>3.5</v>
      </c>
      <c r="S352">
        <v>4</v>
      </c>
      <c r="T352">
        <v>0.5</v>
      </c>
      <c r="U352">
        <v>0</v>
      </c>
      <c r="V352">
        <v>0</v>
      </c>
      <c r="W352">
        <v>0</v>
      </c>
      <c r="X352">
        <v>0</v>
      </c>
      <c r="Y352">
        <v>0.5</v>
      </c>
      <c r="Z352">
        <v>0.5</v>
      </c>
      <c r="AA352">
        <v>15.5</v>
      </c>
      <c r="AB352">
        <v>28.875</v>
      </c>
      <c r="AC352">
        <v>21</v>
      </c>
      <c r="AD352">
        <v>9</v>
      </c>
    </row>
    <row r="353" spans="1:30">
      <c r="A353" t="s">
        <v>515</v>
      </c>
      <c r="B353">
        <v>76.3125</v>
      </c>
      <c r="C353">
        <v>44.8125</v>
      </c>
      <c r="D353">
        <v>4.8125</v>
      </c>
      <c r="E353">
        <v>5.125</v>
      </c>
      <c r="F353" t="s">
        <v>21</v>
      </c>
      <c r="G353">
        <v>1</v>
      </c>
      <c r="H353">
        <v>0</v>
      </c>
      <c r="I353">
        <v>1</v>
      </c>
      <c r="J353">
        <v>0</v>
      </c>
      <c r="K353">
        <v>12</v>
      </c>
      <c r="L353" t="s">
        <v>145</v>
      </c>
      <c r="N353">
        <v>0.5</v>
      </c>
      <c r="O353">
        <v>0.38</v>
      </c>
      <c r="P353">
        <v>3.5</v>
      </c>
      <c r="Q353">
        <v>-0.3125</v>
      </c>
      <c r="R353">
        <v>0</v>
      </c>
      <c r="S353">
        <v>4</v>
      </c>
      <c r="T353">
        <v>0.5</v>
      </c>
      <c r="U353">
        <v>0</v>
      </c>
      <c r="V353">
        <v>0</v>
      </c>
      <c r="W353">
        <v>0</v>
      </c>
      <c r="X353">
        <v>0</v>
      </c>
      <c r="Y353">
        <v>0.5</v>
      </c>
      <c r="Z353">
        <v>0.5</v>
      </c>
      <c r="AA353">
        <v>15.5</v>
      </c>
      <c r="AB353">
        <v>28.875</v>
      </c>
      <c r="AC353">
        <v>14</v>
      </c>
      <c r="AD353">
        <v>25.317499999999999</v>
      </c>
    </row>
    <row r="354" spans="1:30">
      <c r="A354" t="s">
        <v>516</v>
      </c>
      <c r="B354">
        <v>98.0625</v>
      </c>
      <c r="C354">
        <v>79.8125</v>
      </c>
      <c r="D354">
        <v>1</v>
      </c>
      <c r="E354">
        <v>1</v>
      </c>
      <c r="F354" t="s">
        <v>21</v>
      </c>
      <c r="G354">
        <v>1</v>
      </c>
      <c r="H354">
        <v>0</v>
      </c>
      <c r="I354">
        <v>1</v>
      </c>
      <c r="J354">
        <v>0</v>
      </c>
      <c r="K354">
        <v>24</v>
      </c>
      <c r="L354" t="s">
        <v>120</v>
      </c>
      <c r="N354">
        <v>0.5</v>
      </c>
      <c r="O354">
        <v>0.38</v>
      </c>
      <c r="P354">
        <v>3.5</v>
      </c>
      <c r="Q354">
        <v>3.5</v>
      </c>
      <c r="R354">
        <v>3.5</v>
      </c>
      <c r="S354">
        <v>4</v>
      </c>
      <c r="T354">
        <v>0.5</v>
      </c>
      <c r="U354">
        <v>1</v>
      </c>
      <c r="V354">
        <v>1</v>
      </c>
      <c r="W354">
        <v>0</v>
      </c>
      <c r="X354">
        <v>0</v>
      </c>
      <c r="Y354">
        <v>0</v>
      </c>
      <c r="Z354">
        <v>0</v>
      </c>
      <c r="AA354">
        <v>11.5</v>
      </c>
      <c r="AB354">
        <v>10.875</v>
      </c>
      <c r="AC354">
        <v>4.9400000000000004</v>
      </c>
      <c r="AD354">
        <v>17</v>
      </c>
    </row>
    <row r="355" spans="1:30">
      <c r="A355" t="s">
        <v>517</v>
      </c>
      <c r="B355">
        <v>43</v>
      </c>
      <c r="C355">
        <v>55.0625</v>
      </c>
      <c r="D355">
        <v>3.4375</v>
      </c>
      <c r="E355">
        <v>1</v>
      </c>
      <c r="F355" t="s">
        <v>21</v>
      </c>
      <c r="G355">
        <v>1</v>
      </c>
      <c r="H355">
        <v>0</v>
      </c>
      <c r="I355">
        <v>1</v>
      </c>
      <c r="J355">
        <v>0</v>
      </c>
      <c r="N355">
        <v>0.5</v>
      </c>
      <c r="O355">
        <v>0.38</v>
      </c>
      <c r="P355">
        <v>3.5</v>
      </c>
      <c r="Q355">
        <v>1.0625</v>
      </c>
      <c r="R355">
        <v>3.5</v>
      </c>
      <c r="S355">
        <v>4</v>
      </c>
      <c r="T355">
        <v>0.5</v>
      </c>
      <c r="U355">
        <v>1</v>
      </c>
      <c r="V355">
        <v>1</v>
      </c>
      <c r="W355">
        <v>0</v>
      </c>
      <c r="X355">
        <v>0</v>
      </c>
      <c r="Y355">
        <v>0</v>
      </c>
      <c r="Z355">
        <v>0</v>
      </c>
    </row>
    <row r="356" spans="1:30">
      <c r="A356" t="s">
        <v>518</v>
      </c>
      <c r="B356">
        <v>83.25</v>
      </c>
      <c r="C356">
        <v>44.3125</v>
      </c>
      <c r="D356">
        <v>7.4375</v>
      </c>
      <c r="E356">
        <v>6.5</v>
      </c>
      <c r="F356" t="s">
        <v>21</v>
      </c>
      <c r="G356">
        <v>1</v>
      </c>
      <c r="H356">
        <v>0</v>
      </c>
      <c r="I356">
        <v>1</v>
      </c>
      <c r="J356">
        <v>1</v>
      </c>
      <c r="N356">
        <v>0.5</v>
      </c>
      <c r="O356">
        <v>0.38</v>
      </c>
      <c r="P356">
        <v>3.5</v>
      </c>
      <c r="Q356">
        <v>-2.9375</v>
      </c>
      <c r="R356">
        <v>0</v>
      </c>
      <c r="S356">
        <v>4</v>
      </c>
      <c r="T356">
        <v>0.5</v>
      </c>
      <c r="U356">
        <v>0</v>
      </c>
      <c r="V356">
        <v>0</v>
      </c>
      <c r="W356">
        <v>0</v>
      </c>
      <c r="X356">
        <v>0</v>
      </c>
      <c r="Y356">
        <v>0.5</v>
      </c>
      <c r="Z356">
        <v>0.5</v>
      </c>
    </row>
    <row r="357" spans="1:30">
      <c r="A357" t="s">
        <v>519</v>
      </c>
      <c r="B357">
        <v>62.125</v>
      </c>
      <c r="C357">
        <v>54.5</v>
      </c>
      <c r="D357">
        <v>8.8125</v>
      </c>
      <c r="E357">
        <v>7.125</v>
      </c>
      <c r="F357" t="s">
        <v>21</v>
      </c>
      <c r="G357">
        <v>1</v>
      </c>
      <c r="H357">
        <v>1</v>
      </c>
      <c r="I357">
        <v>0</v>
      </c>
      <c r="N357">
        <v>0.5</v>
      </c>
      <c r="O357">
        <v>0.38</v>
      </c>
      <c r="P357">
        <v>3.5</v>
      </c>
      <c r="Q357">
        <v>-4.3125</v>
      </c>
      <c r="R357">
        <v>0</v>
      </c>
      <c r="S357">
        <v>4</v>
      </c>
      <c r="T357">
        <v>0.5</v>
      </c>
      <c r="U357">
        <v>0</v>
      </c>
      <c r="V357">
        <v>0</v>
      </c>
      <c r="W357">
        <v>0</v>
      </c>
      <c r="X357">
        <v>0</v>
      </c>
      <c r="Y357">
        <v>0.5</v>
      </c>
      <c r="Z357">
        <v>0.5</v>
      </c>
    </row>
    <row r="358" spans="1:30">
      <c r="A358" t="s">
        <v>520</v>
      </c>
      <c r="B358">
        <v>82.375</v>
      </c>
      <c r="C358">
        <v>73.6875</v>
      </c>
      <c r="D358">
        <v>9</v>
      </c>
      <c r="E358">
        <v>1</v>
      </c>
      <c r="F358" t="s">
        <v>21</v>
      </c>
      <c r="G358">
        <v>1</v>
      </c>
      <c r="H358">
        <v>1</v>
      </c>
      <c r="I358">
        <v>1</v>
      </c>
      <c r="J358">
        <v>0</v>
      </c>
      <c r="K358">
        <v>12</v>
      </c>
      <c r="L358" t="s">
        <v>120</v>
      </c>
      <c r="N358">
        <v>0.5</v>
      </c>
      <c r="O358">
        <v>0.38</v>
      </c>
      <c r="P358">
        <v>3.5</v>
      </c>
      <c r="Q358">
        <v>-4.5</v>
      </c>
      <c r="R358">
        <v>3.5</v>
      </c>
      <c r="S358">
        <v>4</v>
      </c>
      <c r="T358">
        <v>0.5</v>
      </c>
      <c r="U358">
        <v>0</v>
      </c>
      <c r="V358">
        <v>0</v>
      </c>
      <c r="W358">
        <v>1</v>
      </c>
      <c r="X358">
        <v>0</v>
      </c>
      <c r="Y358">
        <v>0.5</v>
      </c>
      <c r="Z358">
        <v>0.5</v>
      </c>
      <c r="AA358">
        <v>11.5</v>
      </c>
      <c r="AB358">
        <v>10.875</v>
      </c>
      <c r="AC358">
        <v>16.940000000000001</v>
      </c>
      <c r="AD358">
        <v>9</v>
      </c>
    </row>
    <row r="359" spans="1:30">
      <c r="A359" t="s">
        <v>521</v>
      </c>
      <c r="B359">
        <v>84.875</v>
      </c>
      <c r="C359">
        <v>14.625</v>
      </c>
      <c r="D359">
        <v>10.1875</v>
      </c>
      <c r="E359">
        <v>7.8125</v>
      </c>
      <c r="F359" t="s">
        <v>21</v>
      </c>
      <c r="G359">
        <v>1</v>
      </c>
      <c r="H359">
        <v>1</v>
      </c>
      <c r="I359">
        <v>1</v>
      </c>
      <c r="J359">
        <v>0</v>
      </c>
      <c r="K359">
        <v>24</v>
      </c>
      <c r="N359">
        <v>0.5</v>
      </c>
      <c r="O359">
        <v>0.38</v>
      </c>
      <c r="P359">
        <v>3.5</v>
      </c>
      <c r="Q359">
        <v>-5.6875</v>
      </c>
      <c r="R359">
        <v>0</v>
      </c>
      <c r="S359">
        <v>4</v>
      </c>
      <c r="T359">
        <v>0.5</v>
      </c>
      <c r="U359">
        <v>0</v>
      </c>
      <c r="V359">
        <v>0</v>
      </c>
      <c r="W359">
        <v>0</v>
      </c>
      <c r="X359">
        <v>0</v>
      </c>
      <c r="Y359">
        <v>0.5</v>
      </c>
      <c r="Z359">
        <v>0.5</v>
      </c>
    </row>
    <row r="360" spans="1:30">
      <c r="A360" t="s">
        <v>522</v>
      </c>
      <c r="B360">
        <v>93.4375</v>
      </c>
      <c r="C360">
        <v>76</v>
      </c>
      <c r="D360">
        <v>9</v>
      </c>
      <c r="E360">
        <v>8</v>
      </c>
      <c r="F360" t="s">
        <v>21</v>
      </c>
      <c r="G360">
        <v>1</v>
      </c>
      <c r="H360">
        <v>1</v>
      </c>
      <c r="I360">
        <v>1</v>
      </c>
      <c r="J360">
        <v>0</v>
      </c>
      <c r="N360">
        <v>0.5</v>
      </c>
      <c r="O360">
        <v>0.38</v>
      </c>
      <c r="P360">
        <v>3.5</v>
      </c>
      <c r="Q360">
        <v>-4.5</v>
      </c>
      <c r="R360">
        <v>0</v>
      </c>
      <c r="S360">
        <v>4</v>
      </c>
      <c r="T360">
        <v>0.5</v>
      </c>
      <c r="U360">
        <v>0</v>
      </c>
      <c r="V360">
        <v>0</v>
      </c>
      <c r="W360">
        <v>0</v>
      </c>
      <c r="X360">
        <v>0</v>
      </c>
      <c r="Y360">
        <v>0.5</v>
      </c>
      <c r="Z360">
        <v>0.5</v>
      </c>
    </row>
    <row r="361" spans="1:30">
      <c r="A361" t="s">
        <v>523</v>
      </c>
      <c r="B361">
        <v>101.625</v>
      </c>
      <c r="C361">
        <v>77.1875</v>
      </c>
      <c r="D361">
        <v>2.75</v>
      </c>
      <c r="E361">
        <v>3.5625</v>
      </c>
      <c r="F361" t="s">
        <v>21</v>
      </c>
      <c r="G361">
        <v>1</v>
      </c>
      <c r="H361">
        <v>1</v>
      </c>
      <c r="I361">
        <v>1</v>
      </c>
      <c r="J361">
        <v>1</v>
      </c>
      <c r="N361">
        <v>0.5</v>
      </c>
      <c r="O361">
        <v>0.38</v>
      </c>
      <c r="P361">
        <v>3.5</v>
      </c>
      <c r="Q361">
        <v>1.75</v>
      </c>
      <c r="R361">
        <v>0.9375</v>
      </c>
      <c r="S361">
        <v>4</v>
      </c>
      <c r="T361">
        <v>0.5</v>
      </c>
      <c r="U361">
        <v>1</v>
      </c>
      <c r="V361">
        <v>1</v>
      </c>
      <c r="W361">
        <v>1</v>
      </c>
      <c r="X361">
        <v>1</v>
      </c>
      <c r="Y361">
        <v>0</v>
      </c>
      <c r="Z361">
        <v>0</v>
      </c>
    </row>
    <row r="362" spans="1:30">
      <c r="A362" t="s">
        <v>524</v>
      </c>
      <c r="B362">
        <v>33.4375</v>
      </c>
      <c r="C362">
        <v>60.25</v>
      </c>
      <c r="D362">
        <v>2.6875</v>
      </c>
      <c r="E362">
        <v>2.625</v>
      </c>
      <c r="F362" t="s">
        <v>156</v>
      </c>
      <c r="G362">
        <v>0</v>
      </c>
      <c r="I362">
        <v>0</v>
      </c>
      <c r="L362" t="s">
        <v>35</v>
      </c>
      <c r="N362">
        <v>0.5</v>
      </c>
      <c r="O362">
        <v>0.38</v>
      </c>
      <c r="P362">
        <v>3.5</v>
      </c>
      <c r="Q362">
        <v>1.8125</v>
      </c>
      <c r="R362">
        <v>1.875</v>
      </c>
      <c r="S362">
        <v>4</v>
      </c>
      <c r="T362">
        <v>0.5</v>
      </c>
      <c r="U362">
        <v>0</v>
      </c>
      <c r="V362">
        <v>0</v>
      </c>
      <c r="W362">
        <v>0</v>
      </c>
      <c r="X362">
        <v>0</v>
      </c>
      <c r="Y362">
        <v>0.5</v>
      </c>
      <c r="Z362">
        <v>0.5</v>
      </c>
    </row>
    <row r="363" spans="1:30">
      <c r="A363" t="s">
        <v>525</v>
      </c>
      <c r="B363">
        <v>27</v>
      </c>
      <c r="C363">
        <v>41.75</v>
      </c>
      <c r="D363">
        <v>9</v>
      </c>
      <c r="E363">
        <v>4.625</v>
      </c>
      <c r="F363" t="s">
        <v>156</v>
      </c>
      <c r="G363">
        <v>0</v>
      </c>
      <c r="I363">
        <v>1</v>
      </c>
      <c r="J363">
        <v>0</v>
      </c>
      <c r="K363">
        <v>12</v>
      </c>
      <c r="L363" t="s">
        <v>120</v>
      </c>
      <c r="N363">
        <v>0.5</v>
      </c>
      <c r="O363">
        <v>0.38</v>
      </c>
      <c r="P363">
        <v>3.5</v>
      </c>
      <c r="Q363">
        <v>-4.5</v>
      </c>
      <c r="R363">
        <v>0</v>
      </c>
      <c r="S363">
        <v>4</v>
      </c>
      <c r="T363">
        <v>0.5</v>
      </c>
      <c r="U363">
        <v>0</v>
      </c>
      <c r="V363">
        <v>0</v>
      </c>
      <c r="W363">
        <v>0</v>
      </c>
      <c r="X363">
        <v>0</v>
      </c>
      <c r="Y363">
        <v>0.5</v>
      </c>
      <c r="Z363">
        <v>0.5</v>
      </c>
    </row>
    <row r="364" spans="1:30">
      <c r="A364" t="s">
        <v>526</v>
      </c>
      <c r="B364">
        <v>40.9375</v>
      </c>
      <c r="C364">
        <v>55.9375</v>
      </c>
      <c r="D364">
        <v>5.5</v>
      </c>
      <c r="E364">
        <v>1</v>
      </c>
      <c r="F364" t="s">
        <v>156</v>
      </c>
      <c r="G364">
        <v>0</v>
      </c>
      <c r="I364">
        <v>1</v>
      </c>
      <c r="J364">
        <v>0</v>
      </c>
      <c r="K364">
        <v>24</v>
      </c>
      <c r="L364" t="s">
        <v>120</v>
      </c>
      <c r="N364">
        <v>0.5</v>
      </c>
      <c r="O364">
        <v>0.38</v>
      </c>
      <c r="P364">
        <v>3.5</v>
      </c>
      <c r="Q364">
        <v>-1</v>
      </c>
      <c r="R364">
        <v>3.5</v>
      </c>
      <c r="S364">
        <v>4</v>
      </c>
      <c r="T364">
        <v>0.5</v>
      </c>
      <c r="U364">
        <v>0</v>
      </c>
      <c r="V364">
        <v>0</v>
      </c>
      <c r="W364">
        <v>0</v>
      </c>
      <c r="X364">
        <v>0</v>
      </c>
      <c r="Y364">
        <v>0.5</v>
      </c>
      <c r="Z364">
        <v>0.5</v>
      </c>
    </row>
    <row r="365" spans="1:30">
      <c r="A365" t="s">
        <v>527</v>
      </c>
      <c r="B365">
        <v>23.6875</v>
      </c>
      <c r="C365">
        <v>54.375</v>
      </c>
      <c r="D365">
        <v>4.5</v>
      </c>
      <c r="E365">
        <v>3.875</v>
      </c>
      <c r="F365" t="s">
        <v>156</v>
      </c>
      <c r="G365">
        <v>0</v>
      </c>
      <c r="I365">
        <v>1</v>
      </c>
      <c r="J365">
        <v>0</v>
      </c>
      <c r="N365">
        <v>0.5</v>
      </c>
      <c r="O365">
        <v>0.38</v>
      </c>
      <c r="P365">
        <v>3.5</v>
      </c>
      <c r="Q365">
        <v>0</v>
      </c>
      <c r="R365">
        <v>0.625</v>
      </c>
      <c r="S365">
        <v>4</v>
      </c>
      <c r="T365">
        <v>0.5</v>
      </c>
      <c r="U365">
        <v>0</v>
      </c>
      <c r="V365">
        <v>0</v>
      </c>
      <c r="W365">
        <v>0</v>
      </c>
      <c r="X365">
        <v>0</v>
      </c>
      <c r="Y365">
        <v>0.5</v>
      </c>
      <c r="Z365">
        <v>0.5</v>
      </c>
    </row>
    <row r="366" spans="1:30">
      <c r="A366" t="s">
        <v>528</v>
      </c>
      <c r="B366">
        <v>14.9375</v>
      </c>
      <c r="C366">
        <v>66.8125</v>
      </c>
      <c r="D366">
        <v>11.375</v>
      </c>
      <c r="E366">
        <v>1.5625</v>
      </c>
      <c r="F366" t="s">
        <v>156</v>
      </c>
      <c r="G366">
        <v>0</v>
      </c>
      <c r="I366">
        <v>1</v>
      </c>
      <c r="J366">
        <v>1</v>
      </c>
      <c r="N366">
        <v>0.5</v>
      </c>
      <c r="O366">
        <v>0.38</v>
      </c>
      <c r="P366">
        <v>3.5</v>
      </c>
      <c r="Q366">
        <v>-6.875</v>
      </c>
      <c r="R366">
        <v>2.9375</v>
      </c>
      <c r="S366">
        <v>4</v>
      </c>
      <c r="T366">
        <v>0.5</v>
      </c>
      <c r="U366">
        <v>0</v>
      </c>
      <c r="V366">
        <v>0</v>
      </c>
      <c r="W366">
        <v>0</v>
      </c>
      <c r="X366">
        <v>1</v>
      </c>
      <c r="Y366">
        <v>0.5</v>
      </c>
      <c r="Z366">
        <v>0.5</v>
      </c>
    </row>
    <row r="367" spans="1:30">
      <c r="A367" t="s">
        <v>529</v>
      </c>
      <c r="B367">
        <v>49.3125</v>
      </c>
      <c r="C367">
        <v>7.1875</v>
      </c>
      <c r="D367">
        <v>9</v>
      </c>
      <c r="E367">
        <v>3.625</v>
      </c>
      <c r="F367" t="s">
        <v>156</v>
      </c>
      <c r="G367">
        <v>1</v>
      </c>
      <c r="H367">
        <v>0</v>
      </c>
      <c r="I367">
        <v>0</v>
      </c>
      <c r="N367">
        <v>0.5</v>
      </c>
      <c r="O367">
        <v>0.38</v>
      </c>
      <c r="P367">
        <v>3.5</v>
      </c>
      <c r="Q367">
        <v>-4.5</v>
      </c>
      <c r="R367">
        <v>0.875</v>
      </c>
      <c r="S367">
        <v>4</v>
      </c>
      <c r="T367">
        <v>0.5</v>
      </c>
      <c r="U367">
        <v>0</v>
      </c>
      <c r="V367">
        <v>0</v>
      </c>
      <c r="W367">
        <v>0</v>
      </c>
      <c r="X367">
        <v>0</v>
      </c>
      <c r="Y367">
        <v>0.5</v>
      </c>
      <c r="Z367">
        <v>0.5</v>
      </c>
    </row>
    <row r="368" spans="1:30">
      <c r="A368" t="s">
        <v>530</v>
      </c>
      <c r="B368">
        <v>16.8125</v>
      </c>
      <c r="C368">
        <v>51.125</v>
      </c>
      <c r="D368">
        <v>3.1875</v>
      </c>
      <c r="E368">
        <v>4</v>
      </c>
      <c r="F368" t="s">
        <v>156</v>
      </c>
      <c r="G368">
        <v>1</v>
      </c>
      <c r="H368">
        <v>0</v>
      </c>
      <c r="I368">
        <v>1</v>
      </c>
      <c r="J368">
        <v>0</v>
      </c>
      <c r="K368">
        <v>12</v>
      </c>
      <c r="N368">
        <v>0.5</v>
      </c>
      <c r="O368">
        <v>0.38</v>
      </c>
      <c r="P368">
        <v>3.5</v>
      </c>
      <c r="Q368">
        <v>1.3125</v>
      </c>
      <c r="R368">
        <v>0.5</v>
      </c>
      <c r="S368">
        <v>4</v>
      </c>
      <c r="T368">
        <v>0.5</v>
      </c>
      <c r="U368">
        <v>0</v>
      </c>
      <c r="V368">
        <v>0</v>
      </c>
      <c r="W368">
        <v>0</v>
      </c>
      <c r="X368">
        <v>0</v>
      </c>
      <c r="Y368">
        <v>0.5</v>
      </c>
      <c r="Z368">
        <v>0.5</v>
      </c>
    </row>
    <row r="369" spans="1:30">
      <c r="A369" t="s">
        <v>531</v>
      </c>
      <c r="B369">
        <v>12.25</v>
      </c>
      <c r="C369">
        <v>54.5</v>
      </c>
      <c r="D369">
        <v>9</v>
      </c>
      <c r="E369">
        <v>4.5</v>
      </c>
      <c r="F369" t="s">
        <v>156</v>
      </c>
      <c r="G369">
        <v>1</v>
      </c>
      <c r="H369">
        <v>0</v>
      </c>
      <c r="I369">
        <v>1</v>
      </c>
      <c r="J369">
        <v>0</v>
      </c>
      <c r="K369">
        <v>24</v>
      </c>
      <c r="L369" t="s">
        <v>120</v>
      </c>
      <c r="N369">
        <v>0.5</v>
      </c>
      <c r="O369">
        <v>0.38</v>
      </c>
      <c r="P369">
        <v>3.5</v>
      </c>
      <c r="Q369">
        <v>-4.5</v>
      </c>
      <c r="R369">
        <v>0</v>
      </c>
      <c r="S369">
        <v>4</v>
      </c>
      <c r="T369">
        <v>0.5</v>
      </c>
      <c r="U369">
        <v>0</v>
      </c>
      <c r="V369">
        <v>0</v>
      </c>
      <c r="W369">
        <v>0</v>
      </c>
      <c r="X369">
        <v>0</v>
      </c>
      <c r="Y369">
        <v>0.5</v>
      </c>
      <c r="Z369">
        <v>0.5</v>
      </c>
    </row>
    <row r="370" spans="1:30">
      <c r="A370" t="s">
        <v>532</v>
      </c>
      <c r="B370">
        <v>36.25</v>
      </c>
      <c r="C370">
        <v>74.6875</v>
      </c>
      <c r="D370">
        <v>7.625</v>
      </c>
      <c r="E370">
        <v>6.125</v>
      </c>
      <c r="F370" t="s">
        <v>156</v>
      </c>
      <c r="G370">
        <v>1</v>
      </c>
      <c r="H370">
        <v>0</v>
      </c>
      <c r="I370">
        <v>1</v>
      </c>
      <c r="J370">
        <v>0</v>
      </c>
      <c r="N370">
        <v>0.5</v>
      </c>
      <c r="O370">
        <v>0.38</v>
      </c>
      <c r="P370">
        <v>3.5</v>
      </c>
      <c r="Q370">
        <v>-3.125</v>
      </c>
      <c r="R370">
        <v>0</v>
      </c>
      <c r="S370">
        <v>4</v>
      </c>
      <c r="T370">
        <v>0.5</v>
      </c>
      <c r="U370">
        <v>0</v>
      </c>
      <c r="V370">
        <v>0</v>
      </c>
      <c r="W370">
        <v>0</v>
      </c>
      <c r="X370">
        <v>0</v>
      </c>
      <c r="Y370">
        <v>0.5</v>
      </c>
      <c r="Z370">
        <v>0.5</v>
      </c>
    </row>
    <row r="371" spans="1:30">
      <c r="A371" t="s">
        <v>533</v>
      </c>
      <c r="B371">
        <v>31.75</v>
      </c>
      <c r="C371">
        <v>65.375</v>
      </c>
      <c r="D371">
        <v>12</v>
      </c>
      <c r="E371">
        <v>4.75</v>
      </c>
      <c r="F371" t="s">
        <v>156</v>
      </c>
      <c r="G371">
        <v>1</v>
      </c>
      <c r="H371">
        <v>0</v>
      </c>
      <c r="I371">
        <v>1</v>
      </c>
      <c r="J371">
        <v>1</v>
      </c>
      <c r="N371">
        <v>0.5</v>
      </c>
      <c r="O371">
        <v>0.38</v>
      </c>
      <c r="P371">
        <v>3.5</v>
      </c>
      <c r="Q371">
        <v>-7.5</v>
      </c>
      <c r="R371">
        <v>0</v>
      </c>
      <c r="S371">
        <v>4</v>
      </c>
      <c r="T371">
        <v>0.5</v>
      </c>
      <c r="U371">
        <v>0</v>
      </c>
      <c r="V371">
        <v>0</v>
      </c>
      <c r="W371">
        <v>0</v>
      </c>
      <c r="X371">
        <v>0</v>
      </c>
      <c r="Y371">
        <v>0.5</v>
      </c>
      <c r="Z371">
        <v>0.5</v>
      </c>
    </row>
    <row r="372" spans="1:30">
      <c r="A372" t="s">
        <v>534</v>
      </c>
      <c r="B372">
        <v>26.5</v>
      </c>
      <c r="C372">
        <v>42.8125</v>
      </c>
      <c r="D372">
        <v>4.5</v>
      </c>
      <c r="E372">
        <v>1.5</v>
      </c>
      <c r="F372" t="s">
        <v>156</v>
      </c>
      <c r="G372">
        <v>1</v>
      </c>
      <c r="H372">
        <v>1</v>
      </c>
      <c r="I372">
        <v>0</v>
      </c>
      <c r="N372">
        <v>0.5</v>
      </c>
      <c r="O372">
        <v>0.38</v>
      </c>
      <c r="P372">
        <v>3.5</v>
      </c>
      <c r="Q372">
        <v>0</v>
      </c>
      <c r="R372">
        <v>3</v>
      </c>
      <c r="S372">
        <v>4</v>
      </c>
      <c r="T372">
        <v>0.5</v>
      </c>
      <c r="U372">
        <v>0</v>
      </c>
      <c r="V372">
        <v>0</v>
      </c>
      <c r="W372">
        <v>1</v>
      </c>
      <c r="X372">
        <v>0</v>
      </c>
      <c r="Y372">
        <v>0.5</v>
      </c>
      <c r="Z372">
        <v>0.5</v>
      </c>
    </row>
    <row r="373" spans="1:30">
      <c r="A373" t="s">
        <v>535</v>
      </c>
      <c r="B373">
        <v>46.5625</v>
      </c>
      <c r="C373">
        <v>41.125</v>
      </c>
      <c r="D373">
        <v>12</v>
      </c>
      <c r="E373">
        <v>7.375</v>
      </c>
      <c r="F373" t="s">
        <v>156</v>
      </c>
      <c r="G373">
        <v>1</v>
      </c>
      <c r="H373">
        <v>1</v>
      </c>
      <c r="I373">
        <v>1</v>
      </c>
      <c r="J373">
        <v>0</v>
      </c>
      <c r="K373">
        <v>12</v>
      </c>
      <c r="L373" t="s">
        <v>148</v>
      </c>
      <c r="N373">
        <v>0.5</v>
      </c>
      <c r="O373">
        <v>0.38</v>
      </c>
      <c r="P373">
        <v>3.5</v>
      </c>
      <c r="Q373">
        <v>-7.5</v>
      </c>
      <c r="R373">
        <v>0</v>
      </c>
      <c r="S373">
        <v>4</v>
      </c>
      <c r="T373">
        <v>0.5</v>
      </c>
      <c r="U373">
        <v>0</v>
      </c>
      <c r="V373">
        <v>0</v>
      </c>
      <c r="W373">
        <v>0</v>
      </c>
      <c r="X373">
        <v>0</v>
      </c>
      <c r="Y373">
        <v>0.5</v>
      </c>
      <c r="Z373">
        <v>0.5</v>
      </c>
    </row>
    <row r="374" spans="1:30">
      <c r="A374" t="s">
        <v>536</v>
      </c>
      <c r="B374">
        <v>3.75</v>
      </c>
      <c r="C374">
        <v>58.8125</v>
      </c>
      <c r="D374">
        <v>2</v>
      </c>
      <c r="E374">
        <v>1</v>
      </c>
      <c r="F374" t="s">
        <v>156</v>
      </c>
      <c r="G374">
        <v>1</v>
      </c>
      <c r="H374">
        <v>1</v>
      </c>
      <c r="I374">
        <v>1</v>
      </c>
      <c r="J374">
        <v>0</v>
      </c>
      <c r="K374">
        <v>24</v>
      </c>
      <c r="L374" t="s">
        <v>120</v>
      </c>
      <c r="N374">
        <v>0.5</v>
      </c>
      <c r="O374">
        <v>0.38</v>
      </c>
      <c r="P374">
        <v>3.5</v>
      </c>
      <c r="Q374">
        <v>2.5</v>
      </c>
      <c r="R374">
        <v>3.5</v>
      </c>
      <c r="S374">
        <v>4</v>
      </c>
      <c r="T374">
        <v>0.5</v>
      </c>
      <c r="U374">
        <v>0</v>
      </c>
      <c r="V374">
        <v>0</v>
      </c>
      <c r="W374">
        <v>1</v>
      </c>
      <c r="X374">
        <v>0</v>
      </c>
      <c r="Y374">
        <v>0.5</v>
      </c>
      <c r="Z374">
        <v>0.5</v>
      </c>
    </row>
    <row r="375" spans="1:30">
      <c r="A375" t="s">
        <v>537</v>
      </c>
      <c r="B375">
        <v>18.25</v>
      </c>
      <c r="C375">
        <v>45.125</v>
      </c>
      <c r="D375">
        <v>11.625</v>
      </c>
      <c r="E375">
        <v>3.8125</v>
      </c>
      <c r="F375" t="s">
        <v>156</v>
      </c>
      <c r="G375">
        <v>1</v>
      </c>
      <c r="H375">
        <v>1</v>
      </c>
      <c r="I375">
        <v>1</v>
      </c>
      <c r="J375">
        <v>0</v>
      </c>
      <c r="N375">
        <v>0.5</v>
      </c>
      <c r="O375">
        <v>0.38</v>
      </c>
      <c r="P375">
        <v>3.5</v>
      </c>
      <c r="Q375">
        <v>-7.125</v>
      </c>
      <c r="R375">
        <v>0.6875</v>
      </c>
      <c r="S375">
        <v>4</v>
      </c>
      <c r="T375">
        <v>0.5</v>
      </c>
      <c r="U375">
        <v>0</v>
      </c>
      <c r="V375">
        <v>0</v>
      </c>
      <c r="W375">
        <v>1</v>
      </c>
      <c r="X375">
        <v>0</v>
      </c>
      <c r="Y375">
        <v>0.5</v>
      </c>
      <c r="Z375">
        <v>0.5</v>
      </c>
    </row>
    <row r="376" spans="1:30">
      <c r="A376" t="s">
        <v>538</v>
      </c>
      <c r="B376">
        <v>37.5</v>
      </c>
      <c r="C376">
        <v>75.875</v>
      </c>
      <c r="D376">
        <v>2.0625</v>
      </c>
      <c r="E376">
        <v>4.4375</v>
      </c>
      <c r="F376" t="s">
        <v>156</v>
      </c>
      <c r="G376">
        <v>1</v>
      </c>
      <c r="H376">
        <v>1</v>
      </c>
      <c r="I376">
        <v>1</v>
      </c>
      <c r="J376">
        <v>1</v>
      </c>
      <c r="N376">
        <v>0.5</v>
      </c>
      <c r="O376">
        <v>0.38</v>
      </c>
      <c r="P376">
        <v>3.5</v>
      </c>
      <c r="Q376">
        <v>2.4375</v>
      </c>
      <c r="R376">
        <v>6.25E-2</v>
      </c>
      <c r="S376">
        <v>4</v>
      </c>
      <c r="T376">
        <v>0.5</v>
      </c>
      <c r="U376">
        <v>0</v>
      </c>
      <c r="V376">
        <v>0</v>
      </c>
      <c r="W376">
        <v>1</v>
      </c>
      <c r="X376">
        <v>1</v>
      </c>
      <c r="Y376">
        <v>0.5</v>
      </c>
      <c r="Z376">
        <v>0.5</v>
      </c>
    </row>
    <row r="377" spans="1:30">
      <c r="A377" t="s">
        <v>539</v>
      </c>
      <c r="B377">
        <v>60</v>
      </c>
      <c r="C377">
        <v>50.8125</v>
      </c>
      <c r="D377">
        <v>3.3125</v>
      </c>
      <c r="E377">
        <v>1</v>
      </c>
      <c r="F377" t="s">
        <v>157</v>
      </c>
      <c r="G377">
        <v>0</v>
      </c>
      <c r="I377">
        <v>0</v>
      </c>
      <c r="L377" t="s">
        <v>121</v>
      </c>
      <c r="N377">
        <v>0.5</v>
      </c>
      <c r="O377">
        <v>0.38</v>
      </c>
      <c r="P377">
        <v>3.5</v>
      </c>
      <c r="Q377">
        <v>1.1875</v>
      </c>
      <c r="R377">
        <v>3.5</v>
      </c>
      <c r="S377">
        <v>4</v>
      </c>
      <c r="T377">
        <v>0.5</v>
      </c>
      <c r="U377">
        <v>0</v>
      </c>
      <c r="V377">
        <v>0</v>
      </c>
      <c r="W377">
        <v>0</v>
      </c>
      <c r="X377">
        <v>0</v>
      </c>
      <c r="Y377">
        <v>0.5</v>
      </c>
      <c r="Z377">
        <v>0.5</v>
      </c>
      <c r="AA377">
        <v>11</v>
      </c>
      <c r="AB377">
        <v>9.375</v>
      </c>
      <c r="AC377">
        <v>14.5</v>
      </c>
      <c r="AD377">
        <v>15.4375</v>
      </c>
    </row>
    <row r="378" spans="1:30">
      <c r="A378" t="s">
        <v>540</v>
      </c>
      <c r="B378">
        <v>60</v>
      </c>
      <c r="C378">
        <v>59.1875</v>
      </c>
      <c r="D378">
        <v>9</v>
      </c>
      <c r="E378">
        <v>1.375</v>
      </c>
      <c r="F378" t="s">
        <v>157</v>
      </c>
      <c r="G378">
        <v>0</v>
      </c>
      <c r="I378">
        <v>1</v>
      </c>
      <c r="J378">
        <v>0</v>
      </c>
      <c r="K378">
        <v>12</v>
      </c>
      <c r="L378" t="s">
        <v>120</v>
      </c>
      <c r="N378">
        <v>0.5</v>
      </c>
      <c r="O378">
        <v>0.38</v>
      </c>
      <c r="P378">
        <v>3.5</v>
      </c>
      <c r="Q378">
        <v>-4.5</v>
      </c>
      <c r="R378">
        <v>3.125</v>
      </c>
      <c r="S378">
        <v>4</v>
      </c>
      <c r="T378">
        <v>0.5</v>
      </c>
      <c r="U378">
        <v>0</v>
      </c>
      <c r="V378">
        <v>0</v>
      </c>
      <c r="W378">
        <v>0</v>
      </c>
      <c r="X378">
        <v>0</v>
      </c>
      <c r="Y378">
        <v>0.5</v>
      </c>
      <c r="Z378">
        <v>0.5</v>
      </c>
      <c r="AA378">
        <v>11.5</v>
      </c>
      <c r="AB378">
        <v>10.875</v>
      </c>
      <c r="AC378">
        <v>16.940000000000001</v>
      </c>
      <c r="AD378">
        <v>9</v>
      </c>
    </row>
    <row r="379" spans="1:30">
      <c r="A379" t="s">
        <v>541</v>
      </c>
      <c r="B379">
        <v>60</v>
      </c>
      <c r="C379">
        <v>57.3125</v>
      </c>
      <c r="D379">
        <v>9</v>
      </c>
      <c r="E379">
        <v>1</v>
      </c>
      <c r="F379" t="s">
        <v>157</v>
      </c>
      <c r="G379">
        <v>0</v>
      </c>
      <c r="I379">
        <v>1</v>
      </c>
      <c r="J379">
        <v>0</v>
      </c>
      <c r="K379">
        <v>24</v>
      </c>
      <c r="N379">
        <v>0.5</v>
      </c>
      <c r="O379">
        <v>0.38</v>
      </c>
      <c r="P379">
        <v>3.5</v>
      </c>
      <c r="Q379">
        <v>-4.5</v>
      </c>
      <c r="R379">
        <v>3.5</v>
      </c>
      <c r="S379">
        <v>4</v>
      </c>
      <c r="T379">
        <v>0.5</v>
      </c>
      <c r="U379">
        <v>0</v>
      </c>
      <c r="V379">
        <v>0</v>
      </c>
      <c r="W379">
        <v>0</v>
      </c>
      <c r="X379">
        <v>0</v>
      </c>
      <c r="Y379">
        <v>0.5</v>
      </c>
      <c r="Z379">
        <v>0.5</v>
      </c>
    </row>
    <row r="380" spans="1:30">
      <c r="A380" t="s">
        <v>542</v>
      </c>
      <c r="B380">
        <v>60</v>
      </c>
      <c r="C380">
        <v>54.75</v>
      </c>
      <c r="D380">
        <v>3.375</v>
      </c>
      <c r="E380">
        <v>1</v>
      </c>
      <c r="F380" t="s">
        <v>157</v>
      </c>
      <c r="G380">
        <v>0</v>
      </c>
      <c r="I380">
        <v>1</v>
      </c>
      <c r="J380">
        <v>0</v>
      </c>
      <c r="N380">
        <v>0.5</v>
      </c>
      <c r="O380">
        <v>0.38</v>
      </c>
      <c r="P380">
        <v>3.5</v>
      </c>
      <c r="Q380">
        <v>1.125</v>
      </c>
      <c r="R380">
        <v>3.5</v>
      </c>
      <c r="S380">
        <v>4</v>
      </c>
      <c r="T380">
        <v>0.5</v>
      </c>
      <c r="U380">
        <v>0</v>
      </c>
      <c r="V380">
        <v>1</v>
      </c>
      <c r="W380">
        <v>0</v>
      </c>
      <c r="X380">
        <v>0</v>
      </c>
      <c r="Y380">
        <v>0.5</v>
      </c>
      <c r="Z380">
        <v>0</v>
      </c>
    </row>
    <row r="381" spans="1:30">
      <c r="A381" t="s">
        <v>543</v>
      </c>
      <c r="B381">
        <v>60</v>
      </c>
      <c r="C381">
        <v>66.6875</v>
      </c>
      <c r="D381">
        <v>3.0625</v>
      </c>
      <c r="E381">
        <v>1</v>
      </c>
      <c r="F381" t="s">
        <v>157</v>
      </c>
      <c r="G381">
        <v>0</v>
      </c>
      <c r="I381">
        <v>1</v>
      </c>
      <c r="J381">
        <v>1</v>
      </c>
      <c r="N381">
        <v>0.5</v>
      </c>
      <c r="O381">
        <v>0.38</v>
      </c>
      <c r="P381">
        <v>3.5</v>
      </c>
      <c r="Q381">
        <v>1.4375</v>
      </c>
      <c r="R381">
        <v>3.5</v>
      </c>
      <c r="S381">
        <v>4</v>
      </c>
      <c r="T381">
        <v>0.5</v>
      </c>
      <c r="U381">
        <v>0</v>
      </c>
      <c r="V381">
        <v>1</v>
      </c>
      <c r="W381">
        <v>0</v>
      </c>
      <c r="X381">
        <v>0</v>
      </c>
      <c r="Y381">
        <v>0.5</v>
      </c>
      <c r="Z381">
        <v>0</v>
      </c>
    </row>
    <row r="382" spans="1:30">
      <c r="A382" t="s">
        <v>544</v>
      </c>
      <c r="B382">
        <v>60</v>
      </c>
      <c r="C382">
        <v>58.125</v>
      </c>
      <c r="D382">
        <v>12</v>
      </c>
      <c r="E382">
        <v>1</v>
      </c>
      <c r="F382" t="s">
        <v>157</v>
      </c>
      <c r="G382">
        <v>1</v>
      </c>
      <c r="H382">
        <v>0</v>
      </c>
      <c r="I382">
        <v>0</v>
      </c>
      <c r="L382" t="s">
        <v>151</v>
      </c>
      <c r="N382">
        <v>0.5</v>
      </c>
      <c r="O382">
        <v>0.38</v>
      </c>
      <c r="P382">
        <v>3.5</v>
      </c>
      <c r="Q382">
        <v>-7.5</v>
      </c>
      <c r="R382">
        <v>3.5</v>
      </c>
      <c r="S382">
        <v>4</v>
      </c>
      <c r="T382">
        <v>0.5</v>
      </c>
      <c r="U382">
        <v>0</v>
      </c>
      <c r="V382">
        <v>0</v>
      </c>
      <c r="W382">
        <v>0</v>
      </c>
      <c r="X382">
        <v>0</v>
      </c>
      <c r="Y382">
        <v>0.5</v>
      </c>
      <c r="Z382">
        <v>0.5</v>
      </c>
      <c r="AA382">
        <v>15.5</v>
      </c>
      <c r="AB382">
        <v>28.875</v>
      </c>
      <c r="AC382">
        <v>21</v>
      </c>
      <c r="AD382">
        <v>6</v>
      </c>
    </row>
    <row r="383" spans="1:30">
      <c r="A383" t="s">
        <v>545</v>
      </c>
      <c r="B383">
        <v>60</v>
      </c>
      <c r="C383">
        <v>70.5</v>
      </c>
      <c r="D383">
        <v>2.4375</v>
      </c>
      <c r="E383">
        <v>2.4375</v>
      </c>
      <c r="F383" t="s">
        <v>157</v>
      </c>
      <c r="G383">
        <v>1</v>
      </c>
      <c r="H383">
        <v>0</v>
      </c>
      <c r="I383">
        <v>1</v>
      </c>
      <c r="J383">
        <v>0</v>
      </c>
      <c r="K383">
        <v>12</v>
      </c>
      <c r="L383" t="s">
        <v>150</v>
      </c>
      <c r="N383">
        <v>0.5</v>
      </c>
      <c r="O383">
        <v>0.38</v>
      </c>
      <c r="P383">
        <v>3.5</v>
      </c>
      <c r="Q383">
        <v>2.0625</v>
      </c>
      <c r="R383">
        <v>2.0625</v>
      </c>
      <c r="S383">
        <v>4</v>
      </c>
      <c r="T383">
        <v>0.5</v>
      </c>
      <c r="U383">
        <v>1</v>
      </c>
      <c r="V383">
        <v>1</v>
      </c>
      <c r="W383">
        <v>0</v>
      </c>
      <c r="X383">
        <v>0</v>
      </c>
      <c r="Y383">
        <v>0</v>
      </c>
      <c r="Z383">
        <v>0</v>
      </c>
      <c r="AA383">
        <v>15.5</v>
      </c>
      <c r="AB383">
        <v>28.875</v>
      </c>
      <c r="AC383">
        <v>9</v>
      </c>
      <c r="AD383">
        <v>15.5625</v>
      </c>
    </row>
    <row r="384" spans="1:30">
      <c r="A384" t="s">
        <v>546</v>
      </c>
      <c r="B384">
        <v>60</v>
      </c>
      <c r="C384">
        <v>67</v>
      </c>
      <c r="D384">
        <v>2.0625</v>
      </c>
      <c r="E384">
        <v>1.0625</v>
      </c>
      <c r="F384" t="s">
        <v>157</v>
      </c>
      <c r="G384">
        <v>1</v>
      </c>
      <c r="H384">
        <v>0</v>
      </c>
      <c r="I384">
        <v>1</v>
      </c>
      <c r="J384">
        <v>0</v>
      </c>
      <c r="K384">
        <v>24</v>
      </c>
      <c r="L384" t="s">
        <v>120</v>
      </c>
      <c r="N384">
        <v>0.5</v>
      </c>
      <c r="O384">
        <v>0.38</v>
      </c>
      <c r="P384">
        <v>3.5</v>
      </c>
      <c r="Q384">
        <v>2.4375</v>
      </c>
      <c r="R384">
        <v>3.4375</v>
      </c>
      <c r="S384">
        <v>4</v>
      </c>
      <c r="T384">
        <v>0.5</v>
      </c>
      <c r="U384">
        <v>1</v>
      </c>
      <c r="V384">
        <v>1</v>
      </c>
      <c r="W384">
        <v>0</v>
      </c>
      <c r="X384">
        <v>0</v>
      </c>
      <c r="Y384">
        <v>0</v>
      </c>
      <c r="Z384">
        <v>0</v>
      </c>
      <c r="AA384">
        <v>11.5</v>
      </c>
      <c r="AB384">
        <v>10.875</v>
      </c>
      <c r="AC384">
        <v>4.9400000000000004</v>
      </c>
      <c r="AD384">
        <v>15.9375</v>
      </c>
    </row>
    <row r="385" spans="1:30">
      <c r="A385" t="s">
        <v>547</v>
      </c>
      <c r="B385">
        <v>60</v>
      </c>
      <c r="C385">
        <v>79.3125</v>
      </c>
      <c r="D385">
        <v>6.5625</v>
      </c>
      <c r="E385">
        <v>6.9375</v>
      </c>
      <c r="F385" t="s">
        <v>157</v>
      </c>
      <c r="G385">
        <v>1</v>
      </c>
      <c r="H385">
        <v>0</v>
      </c>
      <c r="I385">
        <v>1</v>
      </c>
      <c r="J385">
        <v>0</v>
      </c>
      <c r="N385">
        <v>0.5</v>
      </c>
      <c r="O385">
        <v>0.38</v>
      </c>
      <c r="P385">
        <v>3.5</v>
      </c>
      <c r="Q385">
        <v>-2.0625</v>
      </c>
      <c r="R385">
        <v>0</v>
      </c>
      <c r="S385">
        <v>4</v>
      </c>
      <c r="T385">
        <v>0.5</v>
      </c>
      <c r="U385">
        <v>0</v>
      </c>
      <c r="V385">
        <v>0</v>
      </c>
      <c r="W385">
        <v>0</v>
      </c>
      <c r="X385">
        <v>0</v>
      </c>
      <c r="Y385">
        <v>0.5</v>
      </c>
      <c r="Z385">
        <v>0.5</v>
      </c>
    </row>
    <row r="386" spans="1:30">
      <c r="A386" t="s">
        <v>548</v>
      </c>
      <c r="B386">
        <v>60</v>
      </c>
      <c r="C386">
        <v>58.75</v>
      </c>
      <c r="D386">
        <v>3.25</v>
      </c>
      <c r="E386">
        <v>7.9375</v>
      </c>
      <c r="F386" t="s">
        <v>157</v>
      </c>
      <c r="G386">
        <v>1</v>
      </c>
      <c r="H386">
        <v>0</v>
      </c>
      <c r="I386">
        <v>1</v>
      </c>
      <c r="J386">
        <v>1</v>
      </c>
      <c r="N386">
        <v>0.5</v>
      </c>
      <c r="O386">
        <v>0.38</v>
      </c>
      <c r="P386">
        <v>3.5</v>
      </c>
      <c r="Q386">
        <v>1.25</v>
      </c>
      <c r="R386">
        <v>0</v>
      </c>
      <c r="S386">
        <v>4</v>
      </c>
      <c r="T386">
        <v>0.5</v>
      </c>
      <c r="U386">
        <v>1</v>
      </c>
      <c r="V386">
        <v>1</v>
      </c>
      <c r="W386">
        <v>0</v>
      </c>
      <c r="X386">
        <v>0</v>
      </c>
      <c r="Y386">
        <v>0</v>
      </c>
      <c r="Z386">
        <v>0</v>
      </c>
    </row>
    <row r="387" spans="1:30">
      <c r="A387" t="s">
        <v>549</v>
      </c>
      <c r="B387">
        <v>60</v>
      </c>
      <c r="C387">
        <v>57.125</v>
      </c>
      <c r="D387">
        <v>2.6875</v>
      </c>
      <c r="E387">
        <v>2.1875</v>
      </c>
      <c r="F387" t="s">
        <v>157</v>
      </c>
      <c r="G387">
        <v>1</v>
      </c>
      <c r="H387">
        <v>1</v>
      </c>
      <c r="I387">
        <v>0</v>
      </c>
      <c r="L387" t="s">
        <v>35</v>
      </c>
      <c r="N387">
        <v>0.5</v>
      </c>
      <c r="O387">
        <v>0.38</v>
      </c>
      <c r="P387">
        <v>3.5</v>
      </c>
      <c r="Q387">
        <v>1.8125</v>
      </c>
      <c r="R387">
        <v>2.3125</v>
      </c>
      <c r="S387">
        <v>4</v>
      </c>
      <c r="T387">
        <v>0.5</v>
      </c>
      <c r="U387">
        <v>1</v>
      </c>
      <c r="V387">
        <v>0</v>
      </c>
      <c r="W387">
        <v>0</v>
      </c>
      <c r="X387">
        <v>0</v>
      </c>
      <c r="Y387">
        <v>0</v>
      </c>
      <c r="Z387">
        <v>0.5</v>
      </c>
      <c r="AA387">
        <v>15.5</v>
      </c>
      <c r="AB387">
        <v>28.875</v>
      </c>
      <c r="AC387">
        <v>26</v>
      </c>
      <c r="AD387">
        <v>27.442499999999999</v>
      </c>
    </row>
    <row r="388" spans="1:30">
      <c r="A388" t="s">
        <v>550</v>
      </c>
      <c r="B388">
        <v>60</v>
      </c>
      <c r="C388">
        <v>74.875</v>
      </c>
      <c r="D388">
        <v>1</v>
      </c>
      <c r="E388">
        <v>1</v>
      </c>
      <c r="F388" t="s">
        <v>157</v>
      </c>
      <c r="G388">
        <v>1</v>
      </c>
      <c r="H388">
        <v>1</v>
      </c>
      <c r="I388">
        <v>1</v>
      </c>
      <c r="J388">
        <v>0</v>
      </c>
      <c r="K388">
        <v>12</v>
      </c>
      <c r="L388" t="s">
        <v>149</v>
      </c>
      <c r="N388">
        <v>0.5</v>
      </c>
      <c r="O388">
        <v>0.38</v>
      </c>
      <c r="P388">
        <v>3.5</v>
      </c>
      <c r="Q388">
        <v>3.5</v>
      </c>
      <c r="R388">
        <v>3.5</v>
      </c>
      <c r="S388">
        <v>4</v>
      </c>
      <c r="T388">
        <v>0.5</v>
      </c>
      <c r="U388">
        <v>1</v>
      </c>
      <c r="V388">
        <v>1</v>
      </c>
      <c r="W388">
        <v>0</v>
      </c>
      <c r="X388">
        <v>0</v>
      </c>
      <c r="Y388">
        <v>0</v>
      </c>
      <c r="Z388">
        <v>0</v>
      </c>
      <c r="AA388">
        <v>15.5</v>
      </c>
      <c r="AB388">
        <v>28.875</v>
      </c>
      <c r="AC388">
        <v>9</v>
      </c>
      <c r="AD388">
        <v>17</v>
      </c>
    </row>
    <row r="389" spans="1:30">
      <c r="A389" t="s">
        <v>551</v>
      </c>
      <c r="B389">
        <v>60</v>
      </c>
      <c r="C389">
        <v>22.0625</v>
      </c>
      <c r="D389">
        <v>1.5625</v>
      </c>
      <c r="E389">
        <v>3.6875</v>
      </c>
      <c r="F389" t="s">
        <v>157</v>
      </c>
      <c r="G389">
        <v>1</v>
      </c>
      <c r="H389">
        <v>1</v>
      </c>
      <c r="I389">
        <v>1</v>
      </c>
      <c r="J389">
        <v>0</v>
      </c>
      <c r="K389">
        <v>24</v>
      </c>
      <c r="N389">
        <v>0.5</v>
      </c>
      <c r="O389">
        <v>0.38</v>
      </c>
      <c r="P389">
        <v>3.5</v>
      </c>
      <c r="Q389">
        <v>2.9375</v>
      </c>
      <c r="R389">
        <v>0.8125</v>
      </c>
      <c r="S389">
        <v>4</v>
      </c>
      <c r="T389">
        <v>0.5</v>
      </c>
      <c r="U389">
        <v>1</v>
      </c>
      <c r="V389">
        <v>1</v>
      </c>
      <c r="W389">
        <v>0</v>
      </c>
      <c r="X389">
        <v>0</v>
      </c>
      <c r="Y389">
        <v>0</v>
      </c>
      <c r="Z389">
        <v>0</v>
      </c>
    </row>
    <row r="390" spans="1:30">
      <c r="A390" t="s">
        <v>552</v>
      </c>
      <c r="B390">
        <v>60</v>
      </c>
      <c r="C390">
        <v>75.375</v>
      </c>
      <c r="D390">
        <v>1</v>
      </c>
      <c r="E390">
        <v>1</v>
      </c>
      <c r="F390" t="s">
        <v>157</v>
      </c>
      <c r="G390">
        <v>1</v>
      </c>
      <c r="H390">
        <v>1</v>
      </c>
      <c r="I390">
        <v>1</v>
      </c>
      <c r="J390">
        <v>0</v>
      </c>
      <c r="N390">
        <v>0.5</v>
      </c>
      <c r="O390">
        <v>0.38</v>
      </c>
      <c r="P390">
        <v>3.5</v>
      </c>
      <c r="Q390">
        <v>3.5</v>
      </c>
      <c r="R390">
        <v>3.5</v>
      </c>
      <c r="S390">
        <v>4</v>
      </c>
      <c r="T390">
        <v>0.5</v>
      </c>
      <c r="U390">
        <v>1</v>
      </c>
      <c r="V390">
        <v>1</v>
      </c>
      <c r="W390">
        <v>0</v>
      </c>
      <c r="X390">
        <v>0</v>
      </c>
      <c r="Y390">
        <v>0</v>
      </c>
      <c r="Z390">
        <v>0</v>
      </c>
    </row>
    <row r="391" spans="1:30">
      <c r="A391" t="s">
        <v>553</v>
      </c>
      <c r="B391">
        <v>60</v>
      </c>
      <c r="C391">
        <v>5.0625</v>
      </c>
      <c r="D391">
        <v>9</v>
      </c>
      <c r="E391">
        <v>6.125</v>
      </c>
      <c r="F391" t="s">
        <v>157</v>
      </c>
      <c r="G391">
        <v>1</v>
      </c>
      <c r="H391">
        <v>1</v>
      </c>
      <c r="I391">
        <v>1</v>
      </c>
      <c r="J391">
        <v>1</v>
      </c>
      <c r="N391">
        <v>0.5</v>
      </c>
      <c r="O391">
        <v>0.38</v>
      </c>
      <c r="P391">
        <v>3.5</v>
      </c>
      <c r="Q391">
        <v>-4.5</v>
      </c>
      <c r="R391">
        <v>0</v>
      </c>
      <c r="S391">
        <v>4</v>
      </c>
      <c r="T391">
        <v>0.5</v>
      </c>
      <c r="U391">
        <v>0</v>
      </c>
      <c r="V391">
        <v>0</v>
      </c>
      <c r="W391">
        <v>0</v>
      </c>
      <c r="X391">
        <v>0</v>
      </c>
      <c r="Y391">
        <v>0.5</v>
      </c>
      <c r="Z391">
        <v>0.5</v>
      </c>
    </row>
    <row r="392" spans="1:30">
      <c r="A392" t="s">
        <v>554</v>
      </c>
      <c r="B392">
        <v>37.5</v>
      </c>
      <c r="C392">
        <v>9.5</v>
      </c>
      <c r="D392">
        <v>9</v>
      </c>
      <c r="E392">
        <v>2.5</v>
      </c>
      <c r="F392" t="s">
        <v>21</v>
      </c>
      <c r="G392">
        <v>0</v>
      </c>
      <c r="I392">
        <v>0</v>
      </c>
      <c r="N392">
        <v>0.5</v>
      </c>
      <c r="O392">
        <v>0.38</v>
      </c>
      <c r="P392">
        <v>3.5</v>
      </c>
      <c r="Q392">
        <v>-4.5</v>
      </c>
      <c r="R392">
        <v>2</v>
      </c>
      <c r="S392">
        <v>4</v>
      </c>
      <c r="T392">
        <v>0.5</v>
      </c>
      <c r="U392">
        <v>0</v>
      </c>
      <c r="V392">
        <v>0</v>
      </c>
      <c r="W392">
        <v>0</v>
      </c>
      <c r="X392">
        <v>0</v>
      </c>
      <c r="Y392">
        <v>0.5</v>
      </c>
      <c r="Z392">
        <v>0.5</v>
      </c>
    </row>
    <row r="393" spans="1:30">
      <c r="A393" t="s">
        <v>555</v>
      </c>
      <c r="B393">
        <v>77.0625</v>
      </c>
      <c r="C393">
        <v>76.5625</v>
      </c>
      <c r="D393">
        <v>4.5</v>
      </c>
      <c r="E393">
        <v>3.6875</v>
      </c>
      <c r="F393" t="s">
        <v>21</v>
      </c>
      <c r="G393">
        <v>0</v>
      </c>
      <c r="I393">
        <v>1</v>
      </c>
      <c r="J393">
        <v>0</v>
      </c>
      <c r="K393">
        <v>12</v>
      </c>
      <c r="N393">
        <v>0.5</v>
      </c>
      <c r="O393">
        <v>0.38</v>
      </c>
      <c r="P393">
        <v>3.5</v>
      </c>
      <c r="Q393">
        <v>0</v>
      </c>
      <c r="R393">
        <v>0.8125</v>
      </c>
      <c r="S393">
        <v>4</v>
      </c>
      <c r="T393">
        <v>0.5</v>
      </c>
      <c r="U393">
        <v>0</v>
      </c>
      <c r="V393">
        <v>0</v>
      </c>
      <c r="W393">
        <v>0</v>
      </c>
      <c r="X393">
        <v>0</v>
      </c>
      <c r="Y393">
        <v>0.5</v>
      </c>
      <c r="Z393">
        <v>0.5</v>
      </c>
    </row>
    <row r="394" spans="1:30">
      <c r="A394" t="s">
        <v>556</v>
      </c>
      <c r="B394">
        <v>109.1875</v>
      </c>
      <c r="C394">
        <v>60.6875</v>
      </c>
      <c r="D394">
        <v>4.5</v>
      </c>
      <c r="E394">
        <v>1.5625</v>
      </c>
      <c r="F394" t="s">
        <v>21</v>
      </c>
      <c r="G394">
        <v>0</v>
      </c>
      <c r="I394">
        <v>1</v>
      </c>
      <c r="J394">
        <v>0</v>
      </c>
      <c r="K394">
        <v>24</v>
      </c>
      <c r="L394" t="s">
        <v>120</v>
      </c>
      <c r="N394">
        <v>0.5</v>
      </c>
      <c r="O394">
        <v>0.38</v>
      </c>
      <c r="P394">
        <v>3.5</v>
      </c>
      <c r="Q394">
        <v>0</v>
      </c>
      <c r="R394">
        <v>2.9375</v>
      </c>
      <c r="S394">
        <v>4</v>
      </c>
      <c r="T394">
        <v>0.5</v>
      </c>
      <c r="U394">
        <v>0</v>
      </c>
      <c r="V394">
        <v>0</v>
      </c>
      <c r="W394">
        <v>0</v>
      </c>
      <c r="X394">
        <v>0</v>
      </c>
      <c r="Y394">
        <v>0.5</v>
      </c>
      <c r="Z394">
        <v>0.5</v>
      </c>
      <c r="AA394">
        <v>11.5</v>
      </c>
      <c r="AB394">
        <v>10.875</v>
      </c>
      <c r="AC394">
        <v>4.9400000000000004</v>
      </c>
      <c r="AD394">
        <v>13.5</v>
      </c>
    </row>
    <row r="395" spans="1:30">
      <c r="A395" t="s">
        <v>557</v>
      </c>
      <c r="B395">
        <v>88.25</v>
      </c>
      <c r="C395">
        <v>34.25</v>
      </c>
      <c r="D395">
        <v>1</v>
      </c>
      <c r="E395">
        <v>2.5</v>
      </c>
      <c r="F395" t="s">
        <v>21</v>
      </c>
      <c r="G395">
        <v>0</v>
      </c>
      <c r="I395">
        <v>1</v>
      </c>
      <c r="J395">
        <v>0</v>
      </c>
      <c r="N395">
        <v>0.5</v>
      </c>
      <c r="O395">
        <v>0.38</v>
      </c>
      <c r="P395">
        <v>3.5</v>
      </c>
      <c r="Q395">
        <v>3.5</v>
      </c>
      <c r="R395">
        <v>2</v>
      </c>
      <c r="S395">
        <v>4</v>
      </c>
      <c r="T395">
        <v>0.5</v>
      </c>
      <c r="U395">
        <v>0</v>
      </c>
      <c r="V395">
        <v>1</v>
      </c>
      <c r="W395">
        <v>0</v>
      </c>
      <c r="X395">
        <v>0</v>
      </c>
      <c r="Y395">
        <v>0.5</v>
      </c>
      <c r="Z395">
        <v>0</v>
      </c>
    </row>
    <row r="396" spans="1:30">
      <c r="A396" t="s">
        <v>558</v>
      </c>
      <c r="B396">
        <v>75.0625</v>
      </c>
      <c r="C396">
        <v>11</v>
      </c>
      <c r="D396">
        <v>2.625</v>
      </c>
      <c r="E396">
        <v>8.0625</v>
      </c>
      <c r="F396" t="s">
        <v>21</v>
      </c>
      <c r="G396">
        <v>0</v>
      </c>
      <c r="I396">
        <v>1</v>
      </c>
      <c r="J396">
        <v>1</v>
      </c>
      <c r="N396">
        <v>0.5</v>
      </c>
      <c r="O396">
        <v>0.38</v>
      </c>
      <c r="P396">
        <v>3.5</v>
      </c>
      <c r="Q396">
        <v>1.875</v>
      </c>
      <c r="R396">
        <v>0</v>
      </c>
      <c r="S396">
        <v>4</v>
      </c>
      <c r="T396">
        <v>0.5</v>
      </c>
      <c r="U396">
        <v>0</v>
      </c>
      <c r="V396">
        <v>1</v>
      </c>
      <c r="W396">
        <v>0</v>
      </c>
      <c r="X396">
        <v>0</v>
      </c>
      <c r="Y396">
        <v>0.5</v>
      </c>
      <c r="Z396">
        <v>0</v>
      </c>
    </row>
    <row r="397" spans="1:30">
      <c r="A397" t="s">
        <v>559</v>
      </c>
      <c r="B397">
        <v>103.875</v>
      </c>
      <c r="C397">
        <v>61.1875</v>
      </c>
      <c r="D397">
        <v>8.0625</v>
      </c>
      <c r="E397">
        <v>1.3125</v>
      </c>
      <c r="F397" t="s">
        <v>21</v>
      </c>
      <c r="G397">
        <v>1</v>
      </c>
      <c r="H397">
        <v>0</v>
      </c>
      <c r="I397">
        <v>0</v>
      </c>
      <c r="L397" t="s">
        <v>149</v>
      </c>
      <c r="N397">
        <v>0.5</v>
      </c>
      <c r="O397">
        <v>0.38</v>
      </c>
      <c r="P397">
        <v>3.5</v>
      </c>
      <c r="Q397">
        <v>-3.5625</v>
      </c>
      <c r="R397">
        <v>3.1875</v>
      </c>
      <c r="S397">
        <v>4</v>
      </c>
      <c r="T397">
        <v>0.5</v>
      </c>
      <c r="U397">
        <v>0</v>
      </c>
      <c r="V397">
        <v>0</v>
      </c>
      <c r="W397">
        <v>0</v>
      </c>
      <c r="X397">
        <v>0</v>
      </c>
      <c r="Y397">
        <v>0.5</v>
      </c>
      <c r="Z397">
        <v>0.5</v>
      </c>
      <c r="AA397">
        <v>15.5</v>
      </c>
      <c r="AB397">
        <v>28.875</v>
      </c>
      <c r="AC397">
        <v>21</v>
      </c>
      <c r="AD397">
        <v>9.9375</v>
      </c>
    </row>
    <row r="398" spans="1:30">
      <c r="A398" t="s">
        <v>560</v>
      </c>
      <c r="B398">
        <v>97.625</v>
      </c>
      <c r="C398">
        <v>63.25</v>
      </c>
      <c r="D398">
        <v>2.6875</v>
      </c>
      <c r="E398">
        <v>1</v>
      </c>
      <c r="F398" t="s">
        <v>21</v>
      </c>
      <c r="G398">
        <v>1</v>
      </c>
      <c r="H398">
        <v>0</v>
      </c>
      <c r="I398">
        <v>1</v>
      </c>
      <c r="J398">
        <v>0</v>
      </c>
      <c r="K398">
        <v>12</v>
      </c>
      <c r="L398" t="s">
        <v>151</v>
      </c>
      <c r="N398">
        <v>0.5</v>
      </c>
      <c r="O398">
        <v>0.38</v>
      </c>
      <c r="P398">
        <v>3.5</v>
      </c>
      <c r="Q398">
        <v>1.8125</v>
      </c>
      <c r="R398">
        <v>3.5</v>
      </c>
      <c r="S398">
        <v>4</v>
      </c>
      <c r="T398">
        <v>0.5</v>
      </c>
      <c r="U398">
        <v>1</v>
      </c>
      <c r="V398">
        <v>1</v>
      </c>
      <c r="W398">
        <v>0</v>
      </c>
      <c r="X398">
        <v>0</v>
      </c>
      <c r="Y398">
        <v>0</v>
      </c>
      <c r="Z398">
        <v>0</v>
      </c>
      <c r="AA398">
        <v>15.5</v>
      </c>
      <c r="AB398">
        <v>28.875</v>
      </c>
      <c r="AC398">
        <v>9</v>
      </c>
      <c r="AD398">
        <v>15.3125</v>
      </c>
    </row>
    <row r="399" spans="1:30">
      <c r="A399" t="s">
        <v>561</v>
      </c>
      <c r="B399">
        <v>45.75</v>
      </c>
      <c r="C399">
        <v>72.125</v>
      </c>
      <c r="D399">
        <v>4.5</v>
      </c>
      <c r="E399">
        <v>3.8125</v>
      </c>
      <c r="F399" t="s">
        <v>21</v>
      </c>
      <c r="G399">
        <v>1</v>
      </c>
      <c r="H399">
        <v>0</v>
      </c>
      <c r="I399">
        <v>1</v>
      </c>
      <c r="J399">
        <v>0</v>
      </c>
      <c r="K399">
        <v>24</v>
      </c>
      <c r="L399" t="s">
        <v>120</v>
      </c>
      <c r="N399">
        <v>0.5</v>
      </c>
      <c r="O399">
        <v>0.38</v>
      </c>
      <c r="P399">
        <v>3.5</v>
      </c>
      <c r="Q399">
        <v>0</v>
      </c>
      <c r="R399">
        <v>0.6875</v>
      </c>
      <c r="S399">
        <v>4</v>
      </c>
      <c r="T399">
        <v>0.5</v>
      </c>
      <c r="U399">
        <v>0</v>
      </c>
      <c r="V399">
        <v>0</v>
      </c>
      <c r="W399">
        <v>0</v>
      </c>
      <c r="X399">
        <v>0</v>
      </c>
      <c r="Y399">
        <v>0.5</v>
      </c>
      <c r="Z399">
        <v>0.5</v>
      </c>
      <c r="AA399">
        <v>11.5</v>
      </c>
      <c r="AB399">
        <v>10.875</v>
      </c>
      <c r="AC399">
        <v>4.9400000000000004</v>
      </c>
      <c r="AD399">
        <v>13.5</v>
      </c>
    </row>
    <row r="400" spans="1:30">
      <c r="A400" t="s">
        <v>562</v>
      </c>
      <c r="B400">
        <v>66.6875</v>
      </c>
      <c r="C400">
        <v>43</v>
      </c>
      <c r="D400">
        <v>9.3125</v>
      </c>
      <c r="E400">
        <v>1</v>
      </c>
      <c r="F400" t="s">
        <v>21</v>
      </c>
      <c r="G400">
        <v>1</v>
      </c>
      <c r="H400">
        <v>0</v>
      </c>
      <c r="I400">
        <v>1</v>
      </c>
      <c r="J400">
        <v>0</v>
      </c>
      <c r="N400">
        <v>0.5</v>
      </c>
      <c r="O400">
        <v>0.38</v>
      </c>
      <c r="P400">
        <v>3.5</v>
      </c>
      <c r="Q400">
        <v>-4.8125</v>
      </c>
      <c r="R400">
        <v>3.5</v>
      </c>
      <c r="S400">
        <v>4</v>
      </c>
      <c r="T400">
        <v>0.5</v>
      </c>
      <c r="U400">
        <v>0</v>
      </c>
      <c r="V400">
        <v>0</v>
      </c>
      <c r="W400">
        <v>0</v>
      </c>
      <c r="X400">
        <v>0</v>
      </c>
      <c r="Y400">
        <v>0.5</v>
      </c>
      <c r="Z400">
        <v>0.5</v>
      </c>
    </row>
    <row r="401" spans="1:30">
      <c r="A401" t="s">
        <v>563</v>
      </c>
      <c r="B401">
        <v>109.5</v>
      </c>
      <c r="C401">
        <v>72.4375</v>
      </c>
      <c r="D401">
        <v>9</v>
      </c>
      <c r="E401">
        <v>1</v>
      </c>
      <c r="F401" t="s">
        <v>21</v>
      </c>
      <c r="G401">
        <v>1</v>
      </c>
      <c r="H401">
        <v>0</v>
      </c>
      <c r="I401">
        <v>1</v>
      </c>
      <c r="J401">
        <v>1</v>
      </c>
      <c r="N401">
        <v>0.5</v>
      </c>
      <c r="O401">
        <v>0.38</v>
      </c>
      <c r="P401">
        <v>3.5</v>
      </c>
      <c r="Q401">
        <v>-4.5</v>
      </c>
      <c r="R401">
        <v>3.5</v>
      </c>
      <c r="S401">
        <v>4</v>
      </c>
      <c r="T401">
        <v>0.5</v>
      </c>
      <c r="U401">
        <v>0</v>
      </c>
      <c r="V401">
        <v>0</v>
      </c>
      <c r="W401">
        <v>0</v>
      </c>
      <c r="X401">
        <v>1</v>
      </c>
      <c r="Y401">
        <v>0.5</v>
      </c>
      <c r="Z401">
        <v>0.5</v>
      </c>
    </row>
    <row r="402" spans="1:30">
      <c r="A402" t="s">
        <v>564</v>
      </c>
      <c r="B402">
        <v>50.1875</v>
      </c>
      <c r="C402">
        <v>42.25</v>
      </c>
      <c r="D402">
        <v>1.0625</v>
      </c>
      <c r="E402">
        <v>1</v>
      </c>
      <c r="F402" t="s">
        <v>21</v>
      </c>
      <c r="G402">
        <v>1</v>
      </c>
      <c r="H402">
        <v>1</v>
      </c>
      <c r="I402">
        <v>0</v>
      </c>
      <c r="L402" t="s">
        <v>35</v>
      </c>
      <c r="N402">
        <v>0.5</v>
      </c>
      <c r="O402">
        <v>0.38</v>
      </c>
      <c r="P402">
        <v>3.5</v>
      </c>
      <c r="Q402">
        <v>3.4375</v>
      </c>
      <c r="R402">
        <v>3.5</v>
      </c>
      <c r="S402">
        <v>4</v>
      </c>
      <c r="T402">
        <v>0.5</v>
      </c>
      <c r="U402">
        <v>1</v>
      </c>
      <c r="V402">
        <v>0</v>
      </c>
      <c r="W402">
        <v>1</v>
      </c>
      <c r="X402">
        <v>0</v>
      </c>
      <c r="Y402">
        <v>0</v>
      </c>
      <c r="Z402">
        <v>0.5</v>
      </c>
      <c r="AA402">
        <v>15.5</v>
      </c>
      <c r="AB402">
        <v>28.875</v>
      </c>
      <c r="AC402">
        <v>26</v>
      </c>
      <c r="AD402">
        <v>29.067499999999999</v>
      </c>
    </row>
    <row r="403" spans="1:30">
      <c r="A403" t="s">
        <v>565</v>
      </c>
      <c r="B403">
        <v>82.8125</v>
      </c>
      <c r="C403">
        <v>70.75</v>
      </c>
      <c r="D403">
        <v>11.75</v>
      </c>
      <c r="E403">
        <v>3.625</v>
      </c>
      <c r="F403" t="s">
        <v>21</v>
      </c>
      <c r="G403">
        <v>1</v>
      </c>
      <c r="H403">
        <v>1</v>
      </c>
      <c r="I403">
        <v>1</v>
      </c>
      <c r="J403">
        <v>0</v>
      </c>
      <c r="K403">
        <v>12</v>
      </c>
      <c r="L403" t="s">
        <v>150</v>
      </c>
      <c r="N403">
        <v>0.5</v>
      </c>
      <c r="O403">
        <v>0.38</v>
      </c>
      <c r="P403">
        <v>3.5</v>
      </c>
      <c r="Q403">
        <v>-7.25</v>
      </c>
      <c r="R403">
        <v>0.875</v>
      </c>
      <c r="S403">
        <v>4</v>
      </c>
      <c r="T403">
        <v>0.5</v>
      </c>
      <c r="U403">
        <v>0</v>
      </c>
      <c r="V403">
        <v>0</v>
      </c>
      <c r="W403">
        <v>1</v>
      </c>
      <c r="X403">
        <v>0</v>
      </c>
      <c r="Y403">
        <v>0.5</v>
      </c>
      <c r="Z403">
        <v>0.5</v>
      </c>
      <c r="AA403">
        <v>15.5</v>
      </c>
      <c r="AB403">
        <v>28.875</v>
      </c>
      <c r="AC403">
        <v>9</v>
      </c>
      <c r="AD403">
        <v>6.25</v>
      </c>
    </row>
    <row r="404" spans="1:30">
      <c r="A404" t="s">
        <v>566</v>
      </c>
      <c r="B404">
        <v>105.5625</v>
      </c>
      <c r="C404">
        <v>57.9375</v>
      </c>
      <c r="D404">
        <v>9</v>
      </c>
      <c r="E404">
        <v>5.6875</v>
      </c>
      <c r="F404" t="s">
        <v>21</v>
      </c>
      <c r="G404">
        <v>1</v>
      </c>
      <c r="H404">
        <v>1</v>
      </c>
      <c r="I404">
        <v>1</v>
      </c>
      <c r="J404">
        <v>0</v>
      </c>
      <c r="K404">
        <v>24</v>
      </c>
      <c r="L404" t="s">
        <v>120</v>
      </c>
      <c r="N404">
        <v>0.5</v>
      </c>
      <c r="O404">
        <v>0.38</v>
      </c>
      <c r="P404">
        <v>3.5</v>
      </c>
      <c r="Q404">
        <v>-4.5</v>
      </c>
      <c r="R404">
        <v>0</v>
      </c>
      <c r="S404">
        <v>4</v>
      </c>
      <c r="T404">
        <v>0.5</v>
      </c>
      <c r="U404">
        <v>0</v>
      </c>
      <c r="V404">
        <v>0</v>
      </c>
      <c r="W404">
        <v>0</v>
      </c>
      <c r="X404">
        <v>0</v>
      </c>
      <c r="Y404">
        <v>0.5</v>
      </c>
      <c r="Z404">
        <v>0.5</v>
      </c>
      <c r="AA404">
        <v>11.5</v>
      </c>
      <c r="AB404">
        <v>10.875</v>
      </c>
      <c r="AC404">
        <v>4.9400000000000004</v>
      </c>
      <c r="AD404">
        <v>9</v>
      </c>
    </row>
    <row r="405" spans="1:30">
      <c r="A405" t="s">
        <v>567</v>
      </c>
      <c r="B405">
        <v>88.4375</v>
      </c>
      <c r="C405">
        <v>58.3125</v>
      </c>
      <c r="D405">
        <v>1.625</v>
      </c>
      <c r="E405">
        <v>8.0625</v>
      </c>
      <c r="F405" t="s">
        <v>21</v>
      </c>
      <c r="G405">
        <v>1</v>
      </c>
      <c r="H405">
        <v>1</v>
      </c>
      <c r="I405">
        <v>1</v>
      </c>
      <c r="J405">
        <v>0</v>
      </c>
      <c r="N405">
        <v>0.5</v>
      </c>
      <c r="O405">
        <v>0.38</v>
      </c>
      <c r="P405">
        <v>3.5</v>
      </c>
      <c r="Q405">
        <v>2.875</v>
      </c>
      <c r="R405">
        <v>0</v>
      </c>
      <c r="S405">
        <v>4</v>
      </c>
      <c r="T405">
        <v>0.5</v>
      </c>
      <c r="U405">
        <v>1</v>
      </c>
      <c r="V405">
        <v>1</v>
      </c>
      <c r="W405">
        <v>0</v>
      </c>
      <c r="X405">
        <v>0</v>
      </c>
      <c r="Y405">
        <v>0</v>
      </c>
      <c r="Z405">
        <v>0</v>
      </c>
    </row>
    <row r="406" spans="1:30">
      <c r="A406" t="s">
        <v>568</v>
      </c>
      <c r="B406">
        <v>48.5625</v>
      </c>
      <c r="C406">
        <v>69.875</v>
      </c>
      <c r="D406">
        <v>12</v>
      </c>
      <c r="E406">
        <v>1</v>
      </c>
      <c r="F406" t="s">
        <v>21</v>
      </c>
      <c r="G406">
        <v>1</v>
      </c>
      <c r="H406">
        <v>1</v>
      </c>
      <c r="I406">
        <v>1</v>
      </c>
      <c r="J406">
        <v>1</v>
      </c>
      <c r="N406">
        <v>0.5</v>
      </c>
      <c r="O406">
        <v>0.38</v>
      </c>
      <c r="P406">
        <v>3.5</v>
      </c>
      <c r="Q406">
        <v>-7.5</v>
      </c>
      <c r="R406">
        <v>3.5</v>
      </c>
      <c r="S406">
        <v>4</v>
      </c>
      <c r="T406">
        <v>0.5</v>
      </c>
      <c r="U406">
        <v>0</v>
      </c>
      <c r="V406">
        <v>0</v>
      </c>
      <c r="W406">
        <v>1</v>
      </c>
      <c r="X406">
        <v>1</v>
      </c>
      <c r="Y406">
        <v>0.5</v>
      </c>
      <c r="Z406">
        <v>0.5</v>
      </c>
    </row>
    <row r="407" spans="1:30">
      <c r="A407" t="s">
        <v>569</v>
      </c>
      <c r="B407">
        <v>33.375</v>
      </c>
      <c r="C407">
        <v>42.375</v>
      </c>
      <c r="D407">
        <v>9</v>
      </c>
      <c r="E407">
        <v>3.5</v>
      </c>
      <c r="F407" t="s">
        <v>156</v>
      </c>
      <c r="G407">
        <v>0</v>
      </c>
      <c r="I407">
        <v>0</v>
      </c>
      <c r="N407">
        <v>0.5</v>
      </c>
      <c r="O407">
        <v>0.38</v>
      </c>
      <c r="P407">
        <v>3.5</v>
      </c>
      <c r="Q407">
        <v>-4.5</v>
      </c>
      <c r="R407">
        <v>1</v>
      </c>
      <c r="S407">
        <v>4</v>
      </c>
      <c r="T407">
        <v>0.5</v>
      </c>
      <c r="U407">
        <v>0</v>
      </c>
      <c r="V407">
        <v>0</v>
      </c>
      <c r="W407">
        <v>0</v>
      </c>
      <c r="X407">
        <v>0</v>
      </c>
      <c r="Y407">
        <v>0.5</v>
      </c>
      <c r="Z407">
        <v>0.5</v>
      </c>
    </row>
    <row r="408" spans="1:30">
      <c r="A408" t="s">
        <v>570</v>
      </c>
      <c r="B408">
        <v>18.3125</v>
      </c>
      <c r="C408">
        <v>73.4375</v>
      </c>
      <c r="D408">
        <v>9</v>
      </c>
      <c r="E408">
        <v>1</v>
      </c>
      <c r="F408" t="s">
        <v>156</v>
      </c>
      <c r="G408">
        <v>0</v>
      </c>
      <c r="I408">
        <v>1</v>
      </c>
      <c r="J408">
        <v>0</v>
      </c>
      <c r="K408">
        <v>12</v>
      </c>
      <c r="N408">
        <v>0.5</v>
      </c>
      <c r="O408">
        <v>0.38</v>
      </c>
      <c r="P408">
        <v>3.5</v>
      </c>
      <c r="Q408">
        <v>-4.5</v>
      </c>
      <c r="R408">
        <v>3.5</v>
      </c>
      <c r="S408">
        <v>4</v>
      </c>
      <c r="T408">
        <v>0.5</v>
      </c>
      <c r="U408">
        <v>0</v>
      </c>
      <c r="V408">
        <v>0</v>
      </c>
      <c r="W408">
        <v>0</v>
      </c>
      <c r="X408">
        <v>0</v>
      </c>
      <c r="Y408">
        <v>0.5</v>
      </c>
      <c r="Z408">
        <v>0.5</v>
      </c>
    </row>
    <row r="409" spans="1:30">
      <c r="A409" t="s">
        <v>571</v>
      </c>
      <c r="B409">
        <v>45.125</v>
      </c>
      <c r="C409">
        <v>56.8125</v>
      </c>
      <c r="D409">
        <v>9</v>
      </c>
      <c r="E409">
        <v>4.375</v>
      </c>
      <c r="F409" t="s">
        <v>156</v>
      </c>
      <c r="G409">
        <v>0</v>
      </c>
      <c r="I409">
        <v>1</v>
      </c>
      <c r="J409">
        <v>0</v>
      </c>
      <c r="K409">
        <v>24</v>
      </c>
      <c r="L409" t="s">
        <v>120</v>
      </c>
      <c r="N409">
        <v>0.5</v>
      </c>
      <c r="O409">
        <v>0.38</v>
      </c>
      <c r="P409">
        <v>3.5</v>
      </c>
      <c r="Q409">
        <v>-4.5</v>
      </c>
      <c r="R409">
        <v>0.125</v>
      </c>
      <c r="S409">
        <v>4</v>
      </c>
      <c r="T409">
        <v>0.5</v>
      </c>
      <c r="U409">
        <v>0</v>
      </c>
      <c r="V409">
        <v>0</v>
      </c>
      <c r="W409">
        <v>0</v>
      </c>
      <c r="X409">
        <v>0</v>
      </c>
      <c r="Y409">
        <v>0.5</v>
      </c>
      <c r="Z409">
        <v>0.5</v>
      </c>
    </row>
    <row r="410" spans="1:30">
      <c r="A410" t="s">
        <v>572</v>
      </c>
      <c r="B410">
        <v>23.375</v>
      </c>
      <c r="C410">
        <v>65.875</v>
      </c>
      <c r="D410">
        <v>1</v>
      </c>
      <c r="E410">
        <v>1</v>
      </c>
      <c r="F410" t="s">
        <v>156</v>
      </c>
      <c r="G410">
        <v>0</v>
      </c>
      <c r="I410">
        <v>1</v>
      </c>
      <c r="J410">
        <v>0</v>
      </c>
      <c r="N410">
        <v>0.5</v>
      </c>
      <c r="O410">
        <v>0.38</v>
      </c>
      <c r="P410">
        <v>3.5</v>
      </c>
      <c r="Q410">
        <v>3.5</v>
      </c>
      <c r="R410">
        <v>3.5</v>
      </c>
      <c r="S410">
        <v>4</v>
      </c>
      <c r="T410">
        <v>0.5</v>
      </c>
      <c r="U410">
        <v>0</v>
      </c>
      <c r="V410">
        <v>0</v>
      </c>
      <c r="W410">
        <v>0</v>
      </c>
      <c r="X410">
        <v>0</v>
      </c>
      <c r="Y410">
        <v>0.5</v>
      </c>
      <c r="Z410">
        <v>0.5</v>
      </c>
    </row>
    <row r="411" spans="1:30">
      <c r="A411" t="s">
        <v>573</v>
      </c>
      <c r="B411">
        <v>34.625</v>
      </c>
      <c r="C411">
        <v>64.5</v>
      </c>
      <c r="D411">
        <v>12</v>
      </c>
      <c r="E411">
        <v>3.375</v>
      </c>
      <c r="F411" t="s">
        <v>156</v>
      </c>
      <c r="G411">
        <v>0</v>
      </c>
      <c r="I411">
        <v>1</v>
      </c>
      <c r="J411">
        <v>1</v>
      </c>
      <c r="N411">
        <v>0.5</v>
      </c>
      <c r="O411">
        <v>0.38</v>
      </c>
      <c r="P411">
        <v>3.5</v>
      </c>
      <c r="Q411">
        <v>-7.5</v>
      </c>
      <c r="R411">
        <v>1.125</v>
      </c>
      <c r="S411">
        <v>4</v>
      </c>
      <c r="T411">
        <v>0.5</v>
      </c>
      <c r="U411">
        <v>0</v>
      </c>
      <c r="V411">
        <v>0</v>
      </c>
      <c r="W411">
        <v>0</v>
      </c>
      <c r="X411">
        <v>1</v>
      </c>
      <c r="Y411">
        <v>0.5</v>
      </c>
      <c r="Z411">
        <v>0.5</v>
      </c>
    </row>
    <row r="412" spans="1:30">
      <c r="A412" t="s">
        <v>574</v>
      </c>
      <c r="B412">
        <v>29.125</v>
      </c>
      <c r="C412">
        <v>60.25</v>
      </c>
      <c r="D412">
        <v>6.5</v>
      </c>
      <c r="E412">
        <v>1</v>
      </c>
      <c r="F412" t="s">
        <v>156</v>
      </c>
      <c r="G412">
        <v>1</v>
      </c>
      <c r="H412">
        <v>0</v>
      </c>
      <c r="I412">
        <v>0</v>
      </c>
      <c r="L412" t="s">
        <v>120</v>
      </c>
      <c r="N412">
        <v>0.5</v>
      </c>
      <c r="O412">
        <v>0.38</v>
      </c>
      <c r="P412">
        <v>3.5</v>
      </c>
      <c r="Q412">
        <v>-2</v>
      </c>
      <c r="R412">
        <v>3.5</v>
      </c>
      <c r="S412">
        <v>4</v>
      </c>
      <c r="T412">
        <v>0.5</v>
      </c>
      <c r="U412">
        <v>0</v>
      </c>
      <c r="V412">
        <v>0</v>
      </c>
      <c r="W412">
        <v>0</v>
      </c>
      <c r="X412">
        <v>0</v>
      </c>
      <c r="Y412">
        <v>0.5</v>
      </c>
      <c r="Z412">
        <v>0.5</v>
      </c>
    </row>
    <row r="413" spans="1:30">
      <c r="A413" t="s">
        <v>575</v>
      </c>
      <c r="B413">
        <v>48.5625</v>
      </c>
      <c r="C413">
        <v>20.625</v>
      </c>
      <c r="D413">
        <v>9</v>
      </c>
      <c r="E413">
        <v>5.9375</v>
      </c>
      <c r="F413" t="s">
        <v>156</v>
      </c>
      <c r="G413">
        <v>1</v>
      </c>
      <c r="H413">
        <v>0</v>
      </c>
      <c r="I413">
        <v>1</v>
      </c>
      <c r="J413">
        <v>0</v>
      </c>
      <c r="K413">
        <v>12</v>
      </c>
      <c r="N413">
        <v>0.5</v>
      </c>
      <c r="O413">
        <v>0.38</v>
      </c>
      <c r="P413">
        <v>3.5</v>
      </c>
      <c r="Q413">
        <v>-4.5</v>
      </c>
      <c r="R413">
        <v>0</v>
      </c>
      <c r="S413">
        <v>4</v>
      </c>
      <c r="T413">
        <v>0.5</v>
      </c>
      <c r="U413">
        <v>0</v>
      </c>
      <c r="V413">
        <v>0</v>
      </c>
      <c r="W413">
        <v>0</v>
      </c>
      <c r="X413">
        <v>0</v>
      </c>
      <c r="Y413">
        <v>0.5</v>
      </c>
      <c r="Z413">
        <v>0.5</v>
      </c>
    </row>
    <row r="414" spans="1:30">
      <c r="A414" t="s">
        <v>576</v>
      </c>
      <c r="B414">
        <v>42.75</v>
      </c>
      <c r="C414">
        <v>56.0625</v>
      </c>
      <c r="D414">
        <v>4.5</v>
      </c>
      <c r="E414">
        <v>4.25</v>
      </c>
      <c r="F414" t="s">
        <v>156</v>
      </c>
      <c r="G414">
        <v>1</v>
      </c>
      <c r="H414">
        <v>0</v>
      </c>
      <c r="I414">
        <v>1</v>
      </c>
      <c r="J414">
        <v>0</v>
      </c>
      <c r="K414">
        <v>24</v>
      </c>
      <c r="L414" t="s">
        <v>120</v>
      </c>
      <c r="N414">
        <v>0.5</v>
      </c>
      <c r="O414">
        <v>0.38</v>
      </c>
      <c r="P414">
        <v>3.5</v>
      </c>
      <c r="Q414">
        <v>0</v>
      </c>
      <c r="R414">
        <v>0.25</v>
      </c>
      <c r="S414">
        <v>4</v>
      </c>
      <c r="T414">
        <v>0.5</v>
      </c>
      <c r="U414">
        <v>0</v>
      </c>
      <c r="V414">
        <v>0</v>
      </c>
      <c r="W414">
        <v>0</v>
      </c>
      <c r="X414">
        <v>0</v>
      </c>
      <c r="Y414">
        <v>0.5</v>
      </c>
      <c r="Z414">
        <v>0.5</v>
      </c>
    </row>
    <row r="415" spans="1:30">
      <c r="A415" t="s">
        <v>577</v>
      </c>
      <c r="B415">
        <v>31.25</v>
      </c>
      <c r="C415">
        <v>71.125</v>
      </c>
      <c r="D415">
        <v>2.125</v>
      </c>
      <c r="E415">
        <v>2.0625</v>
      </c>
      <c r="F415" t="s">
        <v>156</v>
      </c>
      <c r="G415">
        <v>1</v>
      </c>
      <c r="H415">
        <v>0</v>
      </c>
      <c r="I415">
        <v>1</v>
      </c>
      <c r="J415">
        <v>0</v>
      </c>
      <c r="N415">
        <v>0.5</v>
      </c>
      <c r="O415">
        <v>0.38</v>
      </c>
      <c r="P415">
        <v>3.5</v>
      </c>
      <c r="Q415">
        <v>2.375</v>
      </c>
      <c r="R415">
        <v>2.4375</v>
      </c>
      <c r="S415">
        <v>4</v>
      </c>
      <c r="T415">
        <v>0.5</v>
      </c>
      <c r="U415">
        <v>0</v>
      </c>
      <c r="V415">
        <v>0</v>
      </c>
      <c r="W415">
        <v>0</v>
      </c>
      <c r="X415">
        <v>0</v>
      </c>
      <c r="Y415">
        <v>0.5</v>
      </c>
      <c r="Z415">
        <v>0.5</v>
      </c>
    </row>
    <row r="416" spans="1:30">
      <c r="A416" t="s">
        <v>578</v>
      </c>
      <c r="B416">
        <v>20.375</v>
      </c>
      <c r="C416">
        <v>45.0625</v>
      </c>
      <c r="D416">
        <v>1</v>
      </c>
      <c r="E416">
        <v>5.625</v>
      </c>
      <c r="F416" t="s">
        <v>156</v>
      </c>
      <c r="G416">
        <v>1</v>
      </c>
      <c r="H416">
        <v>0</v>
      </c>
      <c r="I416">
        <v>1</v>
      </c>
      <c r="J416">
        <v>1</v>
      </c>
      <c r="N416">
        <v>0.5</v>
      </c>
      <c r="O416">
        <v>0.38</v>
      </c>
      <c r="P416">
        <v>3.5</v>
      </c>
      <c r="Q416">
        <v>3.5</v>
      </c>
      <c r="R416">
        <v>0</v>
      </c>
      <c r="S416">
        <v>4</v>
      </c>
      <c r="T416">
        <v>0.5</v>
      </c>
      <c r="U416">
        <v>0</v>
      </c>
      <c r="V416">
        <v>0</v>
      </c>
      <c r="W416">
        <v>0</v>
      </c>
      <c r="X416">
        <v>0</v>
      </c>
      <c r="Y416">
        <v>0.5</v>
      </c>
      <c r="Z416">
        <v>0.5</v>
      </c>
    </row>
    <row r="417" spans="1:30">
      <c r="A417" t="s">
        <v>579</v>
      </c>
      <c r="B417">
        <v>13.5</v>
      </c>
      <c r="C417">
        <v>52</v>
      </c>
      <c r="D417">
        <v>4.0625</v>
      </c>
      <c r="E417">
        <v>8.1875</v>
      </c>
      <c r="F417" t="s">
        <v>156</v>
      </c>
      <c r="G417">
        <v>1</v>
      </c>
      <c r="H417">
        <v>1</v>
      </c>
      <c r="I417">
        <v>0</v>
      </c>
      <c r="N417">
        <v>0.5</v>
      </c>
      <c r="O417">
        <v>0.38</v>
      </c>
      <c r="P417">
        <v>3.5</v>
      </c>
      <c r="Q417">
        <v>0.4375</v>
      </c>
      <c r="R417">
        <v>0</v>
      </c>
      <c r="S417">
        <v>4</v>
      </c>
      <c r="T417">
        <v>0.5</v>
      </c>
      <c r="U417">
        <v>0</v>
      </c>
      <c r="V417">
        <v>0</v>
      </c>
      <c r="W417">
        <v>0</v>
      </c>
      <c r="X417">
        <v>0</v>
      </c>
      <c r="Y417">
        <v>0.5</v>
      </c>
      <c r="Z417">
        <v>0.5</v>
      </c>
    </row>
    <row r="418" spans="1:30">
      <c r="A418" t="s">
        <v>580</v>
      </c>
      <c r="B418">
        <v>46.5625</v>
      </c>
      <c r="C418">
        <v>46.6875</v>
      </c>
      <c r="D418">
        <v>12</v>
      </c>
      <c r="E418">
        <v>8.5</v>
      </c>
      <c r="F418" t="s">
        <v>156</v>
      </c>
      <c r="G418">
        <v>1</v>
      </c>
      <c r="H418">
        <v>1</v>
      </c>
      <c r="I418">
        <v>1</v>
      </c>
      <c r="J418">
        <v>0</v>
      </c>
      <c r="K418">
        <v>12</v>
      </c>
      <c r="L418" t="s">
        <v>145</v>
      </c>
      <c r="N418">
        <v>0.5</v>
      </c>
      <c r="O418">
        <v>0.38</v>
      </c>
      <c r="P418">
        <v>3.5</v>
      </c>
      <c r="Q418">
        <v>-7.5</v>
      </c>
      <c r="R418">
        <v>0</v>
      </c>
      <c r="S418">
        <v>4</v>
      </c>
      <c r="T418">
        <v>0.5</v>
      </c>
      <c r="U418">
        <v>0</v>
      </c>
      <c r="V418">
        <v>0</v>
      </c>
      <c r="W418">
        <v>0</v>
      </c>
      <c r="X418">
        <v>0</v>
      </c>
      <c r="Y418">
        <v>0.5</v>
      </c>
      <c r="Z418">
        <v>0.5</v>
      </c>
    </row>
    <row r="419" spans="1:30">
      <c r="A419" t="s">
        <v>581</v>
      </c>
      <c r="B419">
        <v>41.75</v>
      </c>
      <c r="C419">
        <v>55.375</v>
      </c>
      <c r="D419">
        <v>4.5</v>
      </c>
      <c r="E419">
        <v>1</v>
      </c>
      <c r="F419" t="s">
        <v>156</v>
      </c>
      <c r="G419">
        <v>1</v>
      </c>
      <c r="H419">
        <v>1</v>
      </c>
      <c r="I419">
        <v>1</v>
      </c>
      <c r="J419">
        <v>0</v>
      </c>
      <c r="K419">
        <v>24</v>
      </c>
      <c r="L419" t="s">
        <v>120</v>
      </c>
      <c r="N419">
        <v>0.5</v>
      </c>
      <c r="O419">
        <v>0.38</v>
      </c>
      <c r="P419">
        <v>3.5</v>
      </c>
      <c r="Q419">
        <v>0</v>
      </c>
      <c r="R419">
        <v>3.5</v>
      </c>
      <c r="S419">
        <v>4</v>
      </c>
      <c r="T419">
        <v>0.5</v>
      </c>
      <c r="U419">
        <v>0</v>
      </c>
      <c r="V419">
        <v>0</v>
      </c>
      <c r="W419">
        <v>1</v>
      </c>
      <c r="X419">
        <v>0</v>
      </c>
      <c r="Y419">
        <v>0.5</v>
      </c>
      <c r="Z419">
        <v>0.5</v>
      </c>
    </row>
    <row r="420" spans="1:30">
      <c r="A420" t="s">
        <v>582</v>
      </c>
      <c r="B420">
        <v>24.6875</v>
      </c>
      <c r="C420">
        <v>79.125</v>
      </c>
      <c r="D420">
        <v>4.5</v>
      </c>
      <c r="E420">
        <v>4.5625</v>
      </c>
      <c r="F420" t="s">
        <v>156</v>
      </c>
      <c r="G420">
        <v>1</v>
      </c>
      <c r="H420">
        <v>1</v>
      </c>
      <c r="I420">
        <v>1</v>
      </c>
      <c r="J420">
        <v>0</v>
      </c>
      <c r="N420">
        <v>0.5</v>
      </c>
      <c r="O420">
        <v>0.38</v>
      </c>
      <c r="P420">
        <v>3.5</v>
      </c>
      <c r="Q420">
        <v>0</v>
      </c>
      <c r="R420">
        <v>0</v>
      </c>
      <c r="S420">
        <v>4</v>
      </c>
      <c r="T420">
        <v>0.5</v>
      </c>
      <c r="U420">
        <v>0</v>
      </c>
      <c r="V420">
        <v>0</v>
      </c>
      <c r="W420">
        <v>0</v>
      </c>
      <c r="X420">
        <v>0</v>
      </c>
      <c r="Y420">
        <v>0.5</v>
      </c>
      <c r="Z420">
        <v>0.5</v>
      </c>
    </row>
    <row r="421" spans="1:30">
      <c r="A421" t="s">
        <v>583</v>
      </c>
      <c r="B421">
        <v>16.375</v>
      </c>
      <c r="C421">
        <v>56</v>
      </c>
      <c r="D421">
        <v>2.75</v>
      </c>
      <c r="E421">
        <v>1</v>
      </c>
      <c r="F421" t="s">
        <v>156</v>
      </c>
      <c r="G421">
        <v>1</v>
      </c>
      <c r="H421">
        <v>1</v>
      </c>
      <c r="I421">
        <v>1</v>
      </c>
      <c r="J421">
        <v>1</v>
      </c>
      <c r="N421">
        <v>0.5</v>
      </c>
      <c r="O421">
        <v>0.38</v>
      </c>
      <c r="P421">
        <v>3.5</v>
      </c>
      <c r="Q421">
        <v>1.75</v>
      </c>
      <c r="R421">
        <v>3.5</v>
      </c>
      <c r="S421">
        <v>4</v>
      </c>
      <c r="T421">
        <v>0.5</v>
      </c>
      <c r="U421">
        <v>0</v>
      </c>
      <c r="V421">
        <v>0</v>
      </c>
      <c r="W421">
        <v>1</v>
      </c>
      <c r="X421">
        <v>1</v>
      </c>
      <c r="Y421">
        <v>0.5</v>
      </c>
      <c r="Z421">
        <v>0.5</v>
      </c>
    </row>
    <row r="422" spans="1:30">
      <c r="A422" t="s">
        <v>584</v>
      </c>
      <c r="B422">
        <v>60</v>
      </c>
      <c r="C422">
        <v>46.875</v>
      </c>
      <c r="D422">
        <v>9</v>
      </c>
      <c r="E422">
        <v>1</v>
      </c>
      <c r="F422" t="s">
        <v>157</v>
      </c>
      <c r="G422">
        <v>0</v>
      </c>
      <c r="I422">
        <v>0</v>
      </c>
      <c r="L422" t="s">
        <v>150</v>
      </c>
      <c r="N422">
        <v>0.5</v>
      </c>
      <c r="O422">
        <v>0.38</v>
      </c>
      <c r="P422">
        <v>3.5</v>
      </c>
      <c r="Q422">
        <v>-4.5</v>
      </c>
      <c r="R422">
        <v>3.5</v>
      </c>
      <c r="S422">
        <v>4</v>
      </c>
      <c r="T422">
        <v>0.5</v>
      </c>
      <c r="U422">
        <v>0</v>
      </c>
      <c r="V422">
        <v>0</v>
      </c>
      <c r="W422">
        <v>0</v>
      </c>
      <c r="X422">
        <v>0</v>
      </c>
      <c r="Y422">
        <v>0.5</v>
      </c>
      <c r="Z422">
        <v>0.5</v>
      </c>
      <c r="AA422">
        <v>15.5</v>
      </c>
      <c r="AB422">
        <v>28.875</v>
      </c>
      <c r="AC422">
        <v>21</v>
      </c>
      <c r="AD422">
        <v>9</v>
      </c>
    </row>
    <row r="423" spans="1:30">
      <c r="A423" t="s">
        <v>585</v>
      </c>
      <c r="B423">
        <v>60</v>
      </c>
      <c r="C423">
        <v>67.0625</v>
      </c>
      <c r="D423">
        <v>12</v>
      </c>
      <c r="E423">
        <v>4</v>
      </c>
      <c r="F423" t="s">
        <v>157</v>
      </c>
      <c r="G423">
        <v>0</v>
      </c>
      <c r="I423">
        <v>1</v>
      </c>
      <c r="J423">
        <v>0</v>
      </c>
      <c r="K423">
        <v>12</v>
      </c>
      <c r="L423" t="s">
        <v>35</v>
      </c>
      <c r="N423">
        <v>0.5</v>
      </c>
      <c r="O423">
        <v>0.38</v>
      </c>
      <c r="P423">
        <v>3.5</v>
      </c>
      <c r="Q423">
        <v>-7.5</v>
      </c>
      <c r="R423">
        <v>0.5</v>
      </c>
      <c r="S423">
        <v>4</v>
      </c>
      <c r="T423">
        <v>0.5</v>
      </c>
      <c r="U423">
        <v>0</v>
      </c>
      <c r="V423">
        <v>0</v>
      </c>
      <c r="W423">
        <v>0</v>
      </c>
      <c r="X423">
        <v>0</v>
      </c>
      <c r="Y423">
        <v>0.5</v>
      </c>
      <c r="Z423">
        <v>0.5</v>
      </c>
      <c r="AA423">
        <v>15.5</v>
      </c>
      <c r="AB423">
        <v>28.875</v>
      </c>
      <c r="AC423">
        <v>14</v>
      </c>
      <c r="AD423">
        <v>18.13</v>
      </c>
    </row>
    <row r="424" spans="1:30">
      <c r="A424" t="s">
        <v>586</v>
      </c>
      <c r="B424">
        <v>60</v>
      </c>
      <c r="C424">
        <v>75.375</v>
      </c>
      <c r="D424">
        <v>8.5</v>
      </c>
      <c r="E424">
        <v>8.3125</v>
      </c>
      <c r="F424" t="s">
        <v>157</v>
      </c>
      <c r="G424">
        <v>0</v>
      </c>
      <c r="I424">
        <v>1</v>
      </c>
      <c r="J424">
        <v>0</v>
      </c>
      <c r="K424">
        <v>24</v>
      </c>
      <c r="N424">
        <v>0.5</v>
      </c>
      <c r="O424">
        <v>0.38</v>
      </c>
      <c r="P424">
        <v>3.5</v>
      </c>
      <c r="Q424">
        <v>-4</v>
      </c>
      <c r="R424">
        <v>0</v>
      </c>
      <c r="S424">
        <v>4</v>
      </c>
      <c r="T424">
        <v>0.5</v>
      </c>
      <c r="U424">
        <v>0</v>
      </c>
      <c r="V424">
        <v>0</v>
      </c>
      <c r="W424">
        <v>0</v>
      </c>
      <c r="X424">
        <v>0</v>
      </c>
      <c r="Y424">
        <v>0.5</v>
      </c>
      <c r="Z424">
        <v>0.5</v>
      </c>
    </row>
    <row r="425" spans="1:30">
      <c r="A425" t="s">
        <v>587</v>
      </c>
      <c r="B425">
        <v>60</v>
      </c>
      <c r="C425">
        <v>70.4375</v>
      </c>
      <c r="D425">
        <v>9</v>
      </c>
      <c r="E425">
        <v>7.3125</v>
      </c>
      <c r="F425" t="s">
        <v>157</v>
      </c>
      <c r="G425">
        <v>0</v>
      </c>
      <c r="I425">
        <v>1</v>
      </c>
      <c r="J425">
        <v>0</v>
      </c>
      <c r="N425">
        <v>0.5</v>
      </c>
      <c r="O425">
        <v>0.38</v>
      </c>
      <c r="P425">
        <v>3.5</v>
      </c>
      <c r="Q425">
        <v>-4.5</v>
      </c>
      <c r="R425">
        <v>0</v>
      </c>
      <c r="S425">
        <v>4</v>
      </c>
      <c r="T425">
        <v>0.5</v>
      </c>
      <c r="U425">
        <v>0</v>
      </c>
      <c r="V425">
        <v>0</v>
      </c>
      <c r="W425">
        <v>0</v>
      </c>
      <c r="X425">
        <v>0</v>
      </c>
      <c r="Y425">
        <v>0.5</v>
      </c>
      <c r="Z425">
        <v>0.5</v>
      </c>
    </row>
    <row r="426" spans="1:30">
      <c r="A426" t="s">
        <v>588</v>
      </c>
      <c r="B426">
        <v>60</v>
      </c>
      <c r="C426">
        <v>71.5625</v>
      </c>
      <c r="D426">
        <v>9</v>
      </c>
      <c r="E426">
        <v>2.625</v>
      </c>
      <c r="F426" t="s">
        <v>157</v>
      </c>
      <c r="G426">
        <v>0</v>
      </c>
      <c r="I426">
        <v>1</v>
      </c>
      <c r="J426">
        <v>1</v>
      </c>
      <c r="N426">
        <v>0.5</v>
      </c>
      <c r="O426">
        <v>0.38</v>
      </c>
      <c r="P426">
        <v>3.5</v>
      </c>
      <c r="Q426">
        <v>-4.5</v>
      </c>
      <c r="R426">
        <v>1.875</v>
      </c>
      <c r="S426">
        <v>4</v>
      </c>
      <c r="T426">
        <v>0.5</v>
      </c>
      <c r="U426">
        <v>0</v>
      </c>
      <c r="V426">
        <v>0</v>
      </c>
      <c r="W426">
        <v>0</v>
      </c>
      <c r="X426">
        <v>0</v>
      </c>
      <c r="Y426">
        <v>0.5</v>
      </c>
      <c r="Z426">
        <v>0.5</v>
      </c>
    </row>
    <row r="427" spans="1:30">
      <c r="A427" t="s">
        <v>589</v>
      </c>
      <c r="B427">
        <v>60</v>
      </c>
      <c r="C427">
        <v>11.9375</v>
      </c>
      <c r="D427">
        <v>4.5</v>
      </c>
      <c r="E427">
        <v>4.875</v>
      </c>
      <c r="F427" t="s">
        <v>157</v>
      </c>
      <c r="G427">
        <v>1</v>
      </c>
      <c r="H427">
        <v>0</v>
      </c>
      <c r="I427">
        <v>0</v>
      </c>
      <c r="N427">
        <v>0.5</v>
      </c>
      <c r="O427">
        <v>0.38</v>
      </c>
      <c r="P427">
        <v>3.5</v>
      </c>
      <c r="Q427">
        <v>0</v>
      </c>
      <c r="R427">
        <v>0</v>
      </c>
      <c r="S427">
        <v>4</v>
      </c>
      <c r="T427">
        <v>0.5</v>
      </c>
      <c r="U427">
        <v>0</v>
      </c>
      <c r="V427">
        <v>0</v>
      </c>
      <c r="W427">
        <v>0</v>
      </c>
      <c r="X427">
        <v>0</v>
      </c>
      <c r="Y427">
        <v>0.5</v>
      </c>
      <c r="Z427">
        <v>0.5</v>
      </c>
    </row>
    <row r="428" spans="1:30">
      <c r="A428" t="s">
        <v>590</v>
      </c>
      <c r="B428">
        <v>60</v>
      </c>
      <c r="C428">
        <v>62.25</v>
      </c>
      <c r="D428">
        <v>4.125</v>
      </c>
      <c r="E428">
        <v>2.1875</v>
      </c>
      <c r="F428" t="s">
        <v>157</v>
      </c>
      <c r="G428">
        <v>1</v>
      </c>
      <c r="H428">
        <v>0</v>
      </c>
      <c r="I428">
        <v>1</v>
      </c>
      <c r="J428">
        <v>0</v>
      </c>
      <c r="K428">
        <v>12</v>
      </c>
      <c r="L428" t="s">
        <v>120</v>
      </c>
      <c r="N428">
        <v>0.5</v>
      </c>
      <c r="O428">
        <v>0.38</v>
      </c>
      <c r="P428">
        <v>3.5</v>
      </c>
      <c r="Q428">
        <v>0.375</v>
      </c>
      <c r="R428">
        <v>2.3125</v>
      </c>
      <c r="S428">
        <v>4</v>
      </c>
      <c r="T428">
        <v>0.5</v>
      </c>
      <c r="U428">
        <v>1</v>
      </c>
      <c r="V428">
        <v>1</v>
      </c>
      <c r="W428">
        <v>0</v>
      </c>
      <c r="X428">
        <v>0</v>
      </c>
      <c r="Y428">
        <v>0</v>
      </c>
      <c r="Z428">
        <v>0</v>
      </c>
      <c r="AA428">
        <v>11.5</v>
      </c>
      <c r="AB428">
        <v>10.875</v>
      </c>
      <c r="AC428">
        <v>16.940000000000001</v>
      </c>
      <c r="AD428">
        <v>13.875</v>
      </c>
    </row>
    <row r="429" spans="1:30">
      <c r="A429" t="s">
        <v>591</v>
      </c>
      <c r="B429">
        <v>60</v>
      </c>
      <c r="C429">
        <v>47.1875</v>
      </c>
      <c r="D429">
        <v>9</v>
      </c>
      <c r="E429">
        <v>8.1875</v>
      </c>
      <c r="F429" t="s">
        <v>157</v>
      </c>
      <c r="G429">
        <v>1</v>
      </c>
      <c r="H429">
        <v>0</v>
      </c>
      <c r="I429">
        <v>1</v>
      </c>
      <c r="J429">
        <v>0</v>
      </c>
      <c r="K429">
        <v>24</v>
      </c>
      <c r="L429" t="s">
        <v>120</v>
      </c>
      <c r="N429">
        <v>0.5</v>
      </c>
      <c r="O429">
        <v>0.38</v>
      </c>
      <c r="P429">
        <v>3.5</v>
      </c>
      <c r="Q429">
        <v>-4.5</v>
      </c>
      <c r="R429">
        <v>0</v>
      </c>
      <c r="S429">
        <v>4</v>
      </c>
      <c r="T429">
        <v>0.5</v>
      </c>
      <c r="U429">
        <v>0</v>
      </c>
      <c r="V429">
        <v>0</v>
      </c>
      <c r="W429">
        <v>0</v>
      </c>
      <c r="X429">
        <v>0</v>
      </c>
      <c r="Y429">
        <v>0.5</v>
      </c>
      <c r="Z429">
        <v>0.5</v>
      </c>
      <c r="AA429">
        <v>11.5</v>
      </c>
      <c r="AB429">
        <v>10.875</v>
      </c>
      <c r="AC429">
        <v>4.9400000000000004</v>
      </c>
      <c r="AD429">
        <v>9</v>
      </c>
    </row>
    <row r="430" spans="1:30">
      <c r="A430" t="s">
        <v>592</v>
      </c>
      <c r="B430">
        <v>60</v>
      </c>
      <c r="C430">
        <v>64.5</v>
      </c>
      <c r="D430">
        <v>1.6875</v>
      </c>
      <c r="E430">
        <v>1</v>
      </c>
      <c r="F430" t="s">
        <v>157</v>
      </c>
      <c r="G430">
        <v>1</v>
      </c>
      <c r="H430">
        <v>0</v>
      </c>
      <c r="I430">
        <v>1</v>
      </c>
      <c r="J430">
        <v>0</v>
      </c>
      <c r="N430">
        <v>0.5</v>
      </c>
      <c r="O430">
        <v>0.38</v>
      </c>
      <c r="P430">
        <v>3.5</v>
      </c>
      <c r="Q430">
        <v>2.8125</v>
      </c>
      <c r="R430">
        <v>3.5</v>
      </c>
      <c r="S430">
        <v>4</v>
      </c>
      <c r="T430">
        <v>0.5</v>
      </c>
      <c r="U430">
        <v>1</v>
      </c>
      <c r="V430">
        <v>1</v>
      </c>
      <c r="W430">
        <v>0</v>
      </c>
      <c r="X430">
        <v>0</v>
      </c>
      <c r="Y430">
        <v>0</v>
      </c>
      <c r="Z430">
        <v>0</v>
      </c>
    </row>
    <row r="431" spans="1:30">
      <c r="A431" t="s">
        <v>593</v>
      </c>
      <c r="B431">
        <v>60</v>
      </c>
      <c r="C431">
        <v>64.8125</v>
      </c>
      <c r="D431">
        <v>1</v>
      </c>
      <c r="E431">
        <v>1</v>
      </c>
      <c r="F431" t="s">
        <v>157</v>
      </c>
      <c r="G431">
        <v>1</v>
      </c>
      <c r="H431">
        <v>0</v>
      </c>
      <c r="I431">
        <v>1</v>
      </c>
      <c r="J431">
        <v>1</v>
      </c>
      <c r="N431">
        <v>0.5</v>
      </c>
      <c r="O431">
        <v>0.38</v>
      </c>
      <c r="P431">
        <v>3.5</v>
      </c>
      <c r="Q431">
        <v>3.5</v>
      </c>
      <c r="R431">
        <v>3.5</v>
      </c>
      <c r="S431">
        <v>4</v>
      </c>
      <c r="T431">
        <v>0.5</v>
      </c>
      <c r="U431">
        <v>1</v>
      </c>
      <c r="V431">
        <v>1</v>
      </c>
      <c r="W431">
        <v>0</v>
      </c>
      <c r="X431">
        <v>0</v>
      </c>
      <c r="Y431">
        <v>0</v>
      </c>
      <c r="Z431">
        <v>0</v>
      </c>
    </row>
    <row r="432" spans="1:30">
      <c r="A432" t="s">
        <v>594</v>
      </c>
      <c r="B432">
        <v>60</v>
      </c>
      <c r="C432">
        <v>47.5</v>
      </c>
      <c r="D432">
        <v>1</v>
      </c>
      <c r="E432">
        <v>1.6875</v>
      </c>
      <c r="F432" t="s">
        <v>157</v>
      </c>
      <c r="G432">
        <v>1</v>
      </c>
      <c r="H432">
        <v>1</v>
      </c>
      <c r="I432">
        <v>0</v>
      </c>
      <c r="L432" t="s">
        <v>120</v>
      </c>
      <c r="N432">
        <v>0.5</v>
      </c>
      <c r="O432">
        <v>0.38</v>
      </c>
      <c r="P432">
        <v>3.5</v>
      </c>
      <c r="Q432">
        <v>3.5</v>
      </c>
      <c r="R432">
        <v>2.8125</v>
      </c>
      <c r="S432">
        <v>4</v>
      </c>
      <c r="T432">
        <v>0.5</v>
      </c>
      <c r="U432">
        <v>1</v>
      </c>
      <c r="V432">
        <v>0</v>
      </c>
      <c r="W432">
        <v>0</v>
      </c>
      <c r="X432">
        <v>0</v>
      </c>
      <c r="Y432">
        <v>0</v>
      </c>
      <c r="Z432">
        <v>0.5</v>
      </c>
      <c r="AA432">
        <v>11.5</v>
      </c>
      <c r="AB432">
        <v>10.875</v>
      </c>
      <c r="AC432">
        <v>28.94</v>
      </c>
      <c r="AD432">
        <v>17</v>
      </c>
    </row>
    <row r="433" spans="1:34">
      <c r="A433" t="s">
        <v>595</v>
      </c>
      <c r="B433">
        <v>60</v>
      </c>
      <c r="C433">
        <v>74.6875</v>
      </c>
      <c r="D433">
        <v>10.375</v>
      </c>
      <c r="E433">
        <v>7</v>
      </c>
      <c r="F433" t="s">
        <v>157</v>
      </c>
      <c r="G433">
        <v>1</v>
      </c>
      <c r="H433">
        <v>1</v>
      </c>
      <c r="I433">
        <v>1</v>
      </c>
      <c r="J433">
        <v>0</v>
      </c>
      <c r="K433">
        <v>12</v>
      </c>
      <c r="L433" t="s">
        <v>145</v>
      </c>
      <c r="N433">
        <v>0.5</v>
      </c>
      <c r="O433">
        <v>0.38</v>
      </c>
      <c r="P433">
        <v>3.5</v>
      </c>
      <c r="Q433">
        <v>-5.875</v>
      </c>
      <c r="R433">
        <v>0</v>
      </c>
      <c r="S433">
        <v>4</v>
      </c>
      <c r="T433">
        <v>0.5</v>
      </c>
      <c r="U433">
        <v>0</v>
      </c>
      <c r="V433">
        <v>0</v>
      </c>
      <c r="W433">
        <v>0</v>
      </c>
      <c r="X433">
        <v>0</v>
      </c>
      <c r="Y433">
        <v>0.5</v>
      </c>
      <c r="Z433">
        <v>0.5</v>
      </c>
      <c r="AA433">
        <v>15.5</v>
      </c>
      <c r="AB433">
        <v>28.875</v>
      </c>
      <c r="AC433">
        <v>14</v>
      </c>
      <c r="AD433">
        <v>19.754999999999999</v>
      </c>
    </row>
    <row r="434" spans="1:34">
      <c r="A434" t="s">
        <v>596</v>
      </c>
      <c r="B434">
        <v>60</v>
      </c>
      <c r="C434">
        <v>28.5625</v>
      </c>
      <c r="D434">
        <v>1</v>
      </c>
      <c r="E434">
        <v>4.125</v>
      </c>
      <c r="F434" t="s">
        <v>157</v>
      </c>
      <c r="G434">
        <v>1</v>
      </c>
      <c r="H434">
        <v>1</v>
      </c>
      <c r="I434">
        <v>1</v>
      </c>
      <c r="J434">
        <v>0</v>
      </c>
      <c r="K434">
        <v>24</v>
      </c>
      <c r="N434">
        <v>0.5</v>
      </c>
      <c r="O434">
        <v>0.38</v>
      </c>
      <c r="P434">
        <v>3.5</v>
      </c>
      <c r="Q434">
        <v>3.5</v>
      </c>
      <c r="R434">
        <v>0.375</v>
      </c>
      <c r="S434">
        <v>4</v>
      </c>
      <c r="T434">
        <v>0.5</v>
      </c>
      <c r="U434">
        <v>1</v>
      </c>
      <c r="V434">
        <v>1</v>
      </c>
      <c r="W434">
        <v>0</v>
      </c>
      <c r="X434">
        <v>0</v>
      </c>
      <c r="Y434">
        <v>0</v>
      </c>
      <c r="Z434">
        <v>0</v>
      </c>
    </row>
    <row r="435" spans="1:34">
      <c r="A435" t="s">
        <v>597</v>
      </c>
      <c r="B435">
        <v>60</v>
      </c>
      <c r="C435">
        <v>63.125</v>
      </c>
      <c r="D435">
        <v>1</v>
      </c>
      <c r="E435">
        <v>2.6875</v>
      </c>
      <c r="F435" t="s">
        <v>157</v>
      </c>
      <c r="G435">
        <v>1</v>
      </c>
      <c r="H435">
        <v>1</v>
      </c>
      <c r="I435">
        <v>1</v>
      </c>
      <c r="J435">
        <v>0</v>
      </c>
      <c r="N435">
        <v>0.5</v>
      </c>
      <c r="O435">
        <v>0.38</v>
      </c>
      <c r="P435">
        <v>3.5</v>
      </c>
      <c r="Q435">
        <v>3.5</v>
      </c>
      <c r="R435">
        <v>1.8125</v>
      </c>
      <c r="S435">
        <v>4</v>
      </c>
      <c r="T435">
        <v>0.5</v>
      </c>
      <c r="U435">
        <v>1</v>
      </c>
      <c r="V435">
        <v>1</v>
      </c>
      <c r="W435">
        <v>0</v>
      </c>
      <c r="X435">
        <v>0</v>
      </c>
      <c r="Y435">
        <v>0</v>
      </c>
      <c r="Z435">
        <v>0</v>
      </c>
    </row>
    <row r="436" spans="1:34">
      <c r="A436" t="s">
        <v>598</v>
      </c>
      <c r="B436">
        <v>60</v>
      </c>
      <c r="C436">
        <v>65.1875</v>
      </c>
      <c r="D436">
        <v>1.9375</v>
      </c>
      <c r="E436">
        <v>2</v>
      </c>
      <c r="F436" t="s">
        <v>157</v>
      </c>
      <c r="G436">
        <v>1</v>
      </c>
      <c r="H436">
        <v>1</v>
      </c>
      <c r="I436">
        <v>1</v>
      </c>
      <c r="J436">
        <v>1</v>
      </c>
      <c r="N436">
        <v>0.5</v>
      </c>
      <c r="O436">
        <v>0.38</v>
      </c>
      <c r="P436">
        <v>3.5</v>
      </c>
      <c r="Q436">
        <v>2.5625</v>
      </c>
      <c r="R436">
        <v>2.5</v>
      </c>
      <c r="S436">
        <v>4</v>
      </c>
      <c r="T436">
        <v>0.5</v>
      </c>
      <c r="U436">
        <v>1</v>
      </c>
      <c r="V436">
        <v>1</v>
      </c>
      <c r="W436">
        <v>0</v>
      </c>
      <c r="X436">
        <v>0</v>
      </c>
      <c r="Y436">
        <v>0</v>
      </c>
      <c r="Z436">
        <v>0</v>
      </c>
    </row>
    <row r="437" spans="1:34">
      <c r="A437" t="s">
        <v>599</v>
      </c>
      <c r="B437">
        <v>95.875</v>
      </c>
      <c r="C437">
        <v>35.4375</v>
      </c>
      <c r="D437">
        <v>1</v>
      </c>
      <c r="E437">
        <v>4.8125</v>
      </c>
      <c r="F437" t="s">
        <v>21</v>
      </c>
      <c r="G437">
        <v>0</v>
      </c>
      <c r="I437">
        <v>0</v>
      </c>
      <c r="N437">
        <v>0.5</v>
      </c>
      <c r="O437">
        <v>0.38</v>
      </c>
      <c r="P437">
        <v>3.5</v>
      </c>
      <c r="Q437">
        <v>3.5</v>
      </c>
      <c r="R437">
        <v>0</v>
      </c>
      <c r="S437">
        <v>4</v>
      </c>
      <c r="T437">
        <v>0.5</v>
      </c>
      <c r="U437">
        <v>0</v>
      </c>
      <c r="V437">
        <v>0</v>
      </c>
      <c r="W437">
        <v>0</v>
      </c>
      <c r="X437">
        <v>0</v>
      </c>
      <c r="Y437">
        <v>0.5</v>
      </c>
      <c r="Z437">
        <v>0.5</v>
      </c>
    </row>
    <row r="438" spans="1:34">
      <c r="A438" t="s">
        <v>600</v>
      </c>
      <c r="B438">
        <v>104.9375</v>
      </c>
      <c r="C438">
        <v>68.5625</v>
      </c>
      <c r="D438">
        <v>1</v>
      </c>
      <c r="E438">
        <v>2.25</v>
      </c>
      <c r="F438" t="s">
        <v>21</v>
      </c>
      <c r="G438">
        <v>0</v>
      </c>
      <c r="I438">
        <v>1</v>
      </c>
      <c r="J438">
        <v>0</v>
      </c>
      <c r="K438">
        <v>12</v>
      </c>
      <c r="L438" t="s">
        <v>145</v>
      </c>
      <c r="N438">
        <v>0.5</v>
      </c>
      <c r="O438">
        <v>0.38</v>
      </c>
      <c r="P438">
        <v>3.5</v>
      </c>
      <c r="Q438">
        <v>3.5</v>
      </c>
      <c r="R438">
        <v>2.25</v>
      </c>
      <c r="S438">
        <v>4</v>
      </c>
      <c r="T438">
        <v>0.5</v>
      </c>
      <c r="U438">
        <v>0</v>
      </c>
      <c r="V438">
        <v>1</v>
      </c>
      <c r="W438">
        <v>0</v>
      </c>
      <c r="X438">
        <v>0</v>
      </c>
      <c r="Y438">
        <v>0.5</v>
      </c>
      <c r="Z438">
        <v>0</v>
      </c>
      <c r="AA438">
        <v>15.5</v>
      </c>
      <c r="AB438">
        <v>28.875</v>
      </c>
      <c r="AC438">
        <v>14</v>
      </c>
      <c r="AD438">
        <v>29.13</v>
      </c>
    </row>
    <row r="439" spans="1:34">
      <c r="A439" t="s">
        <v>601</v>
      </c>
      <c r="B439">
        <v>96</v>
      </c>
      <c r="C439">
        <v>40.875</v>
      </c>
      <c r="D439">
        <v>9</v>
      </c>
      <c r="E439">
        <v>3.5625</v>
      </c>
      <c r="F439" t="s">
        <v>21</v>
      </c>
      <c r="G439">
        <v>0</v>
      </c>
      <c r="I439">
        <v>1</v>
      </c>
      <c r="J439">
        <v>0</v>
      </c>
      <c r="K439">
        <v>24</v>
      </c>
      <c r="L439" t="s">
        <v>120</v>
      </c>
      <c r="N439">
        <v>0.5</v>
      </c>
      <c r="O439">
        <v>0.38</v>
      </c>
      <c r="P439">
        <v>3.5</v>
      </c>
      <c r="Q439">
        <v>-4.5</v>
      </c>
      <c r="R439">
        <v>0.9375</v>
      </c>
      <c r="S439">
        <v>4</v>
      </c>
      <c r="T439">
        <v>0.5</v>
      </c>
      <c r="U439">
        <v>0</v>
      </c>
      <c r="V439">
        <v>0</v>
      </c>
      <c r="W439">
        <v>0</v>
      </c>
      <c r="X439">
        <v>0</v>
      </c>
      <c r="Y439">
        <v>0.5</v>
      </c>
      <c r="Z439">
        <v>0.5</v>
      </c>
      <c r="AA439">
        <v>11.5</v>
      </c>
      <c r="AB439">
        <v>10.875</v>
      </c>
      <c r="AC439">
        <v>4.9400000000000004</v>
      </c>
      <c r="AD439">
        <v>9</v>
      </c>
    </row>
    <row r="440" spans="1:34">
      <c r="A440" t="s">
        <v>602</v>
      </c>
      <c r="B440">
        <v>86.1875</v>
      </c>
      <c r="C440">
        <v>44.4375</v>
      </c>
      <c r="D440">
        <v>5.5</v>
      </c>
      <c r="E440">
        <v>5.5</v>
      </c>
      <c r="F440" t="s">
        <v>21</v>
      </c>
      <c r="G440">
        <v>0</v>
      </c>
      <c r="I440">
        <v>1</v>
      </c>
      <c r="J440">
        <v>0</v>
      </c>
      <c r="N440">
        <v>0.5</v>
      </c>
      <c r="O440">
        <v>0.38</v>
      </c>
      <c r="P440">
        <v>3.5</v>
      </c>
      <c r="Q440">
        <v>-1</v>
      </c>
      <c r="R440">
        <v>0</v>
      </c>
      <c r="S440">
        <v>4</v>
      </c>
      <c r="T440">
        <v>0.5</v>
      </c>
      <c r="U440">
        <v>0</v>
      </c>
      <c r="V440">
        <v>0</v>
      </c>
      <c r="W440">
        <v>0</v>
      </c>
      <c r="X440">
        <v>0</v>
      </c>
      <c r="Y440">
        <v>0.5</v>
      </c>
      <c r="Z440">
        <v>0.5</v>
      </c>
    </row>
    <row r="441" spans="1:34">
      <c r="A441" t="s">
        <v>603</v>
      </c>
      <c r="B441">
        <v>38.5625</v>
      </c>
      <c r="C441">
        <v>18.4375</v>
      </c>
      <c r="D441">
        <v>12</v>
      </c>
      <c r="E441">
        <v>2.75</v>
      </c>
      <c r="F441" t="s">
        <v>21</v>
      </c>
      <c r="G441">
        <v>0</v>
      </c>
      <c r="I441">
        <v>1</v>
      </c>
      <c r="J441">
        <v>1</v>
      </c>
      <c r="N441">
        <v>0.5</v>
      </c>
      <c r="O441">
        <v>0.38</v>
      </c>
      <c r="P441">
        <v>3.5</v>
      </c>
      <c r="Q441">
        <v>-7.5</v>
      </c>
      <c r="R441">
        <v>1.75</v>
      </c>
      <c r="S441">
        <v>4</v>
      </c>
      <c r="T441">
        <v>0.5</v>
      </c>
      <c r="U441">
        <v>0</v>
      </c>
      <c r="V441">
        <v>0</v>
      </c>
      <c r="W441">
        <v>0</v>
      </c>
      <c r="X441">
        <v>1</v>
      </c>
      <c r="Y441">
        <v>0.5</v>
      </c>
      <c r="Z441">
        <v>0.5</v>
      </c>
    </row>
    <row r="442" spans="1:34">
      <c r="A442" t="s">
        <v>604</v>
      </c>
      <c r="B442">
        <v>74.4375</v>
      </c>
      <c r="C442">
        <v>55.1875</v>
      </c>
      <c r="D442">
        <v>4.25</v>
      </c>
      <c r="E442">
        <v>7.5625</v>
      </c>
      <c r="F442" t="s">
        <v>21</v>
      </c>
      <c r="G442">
        <v>1</v>
      </c>
      <c r="H442">
        <v>0</v>
      </c>
      <c r="I442">
        <v>0</v>
      </c>
      <c r="L442" t="s">
        <v>119</v>
      </c>
      <c r="M442" t="s">
        <v>120</v>
      </c>
      <c r="N442">
        <v>0.5</v>
      </c>
      <c r="O442">
        <v>0.38</v>
      </c>
      <c r="P442">
        <v>3.5</v>
      </c>
      <c r="Q442">
        <v>0.25</v>
      </c>
      <c r="R442">
        <v>0</v>
      </c>
      <c r="S442">
        <v>4</v>
      </c>
      <c r="T442">
        <v>0.5</v>
      </c>
      <c r="U442">
        <v>1</v>
      </c>
      <c r="V442">
        <v>0</v>
      </c>
      <c r="W442">
        <v>0</v>
      </c>
      <c r="X442">
        <v>0</v>
      </c>
      <c r="Y442">
        <v>0</v>
      </c>
      <c r="Z442">
        <v>0.5</v>
      </c>
      <c r="AA442">
        <v>11</v>
      </c>
      <c r="AB442">
        <v>15.5</v>
      </c>
      <c r="AC442">
        <v>14.5</v>
      </c>
      <c r="AD442">
        <v>10.5</v>
      </c>
      <c r="AE442">
        <v>11.5</v>
      </c>
      <c r="AF442">
        <v>10.875</v>
      </c>
      <c r="AG442">
        <v>28.94</v>
      </c>
      <c r="AH442">
        <v>13.75</v>
      </c>
    </row>
    <row r="443" spans="1:34">
      <c r="A443" t="s">
        <v>605</v>
      </c>
      <c r="B443">
        <v>50.9375</v>
      </c>
      <c r="C443">
        <v>75.1875</v>
      </c>
      <c r="D443">
        <v>9</v>
      </c>
      <c r="E443">
        <v>6.125</v>
      </c>
      <c r="F443" t="s">
        <v>21</v>
      </c>
      <c r="G443">
        <v>1</v>
      </c>
      <c r="H443">
        <v>0</v>
      </c>
      <c r="I443">
        <v>1</v>
      </c>
      <c r="J443">
        <v>0</v>
      </c>
      <c r="K443">
        <v>12</v>
      </c>
      <c r="L443" t="s">
        <v>149</v>
      </c>
      <c r="N443">
        <v>0.5</v>
      </c>
      <c r="O443">
        <v>0.38</v>
      </c>
      <c r="P443">
        <v>3.5</v>
      </c>
      <c r="Q443">
        <v>-4.5</v>
      </c>
      <c r="R443">
        <v>0</v>
      </c>
      <c r="S443">
        <v>4</v>
      </c>
      <c r="T443">
        <v>0.5</v>
      </c>
      <c r="U443">
        <v>0</v>
      </c>
      <c r="V443">
        <v>0</v>
      </c>
      <c r="W443">
        <v>0</v>
      </c>
      <c r="X443">
        <v>0</v>
      </c>
      <c r="Y443">
        <v>0.5</v>
      </c>
      <c r="Z443">
        <v>0.5</v>
      </c>
      <c r="AA443">
        <v>15.5</v>
      </c>
      <c r="AB443">
        <v>28.875</v>
      </c>
      <c r="AC443">
        <v>9</v>
      </c>
      <c r="AD443">
        <v>9</v>
      </c>
    </row>
    <row r="444" spans="1:34">
      <c r="A444" t="s">
        <v>606</v>
      </c>
      <c r="B444">
        <v>82.4375</v>
      </c>
      <c r="C444">
        <v>66.625</v>
      </c>
      <c r="D444">
        <v>3.0625</v>
      </c>
      <c r="E444">
        <v>1</v>
      </c>
      <c r="F444" t="s">
        <v>21</v>
      </c>
      <c r="G444">
        <v>1</v>
      </c>
      <c r="H444">
        <v>0</v>
      </c>
      <c r="I444">
        <v>1</v>
      </c>
      <c r="J444">
        <v>0</v>
      </c>
      <c r="K444">
        <v>24</v>
      </c>
      <c r="L444" t="s">
        <v>120</v>
      </c>
      <c r="N444">
        <v>0.5</v>
      </c>
      <c r="O444">
        <v>0.38</v>
      </c>
      <c r="P444">
        <v>3.5</v>
      </c>
      <c r="Q444">
        <v>1.4375</v>
      </c>
      <c r="R444">
        <v>3.5</v>
      </c>
      <c r="S444">
        <v>4</v>
      </c>
      <c r="T444">
        <v>0.5</v>
      </c>
      <c r="U444">
        <v>1</v>
      </c>
      <c r="V444">
        <v>1</v>
      </c>
      <c r="W444">
        <v>0</v>
      </c>
      <c r="X444">
        <v>0</v>
      </c>
      <c r="Y444">
        <v>0</v>
      </c>
      <c r="Z444">
        <v>0</v>
      </c>
      <c r="AA444">
        <v>11.5</v>
      </c>
      <c r="AB444">
        <v>10.875</v>
      </c>
      <c r="AC444">
        <v>4.9400000000000004</v>
      </c>
      <c r="AD444">
        <v>14.9375</v>
      </c>
    </row>
    <row r="445" spans="1:34">
      <c r="A445" t="s">
        <v>607</v>
      </c>
      <c r="B445">
        <v>96</v>
      </c>
      <c r="C445">
        <v>77</v>
      </c>
      <c r="D445">
        <v>1</v>
      </c>
      <c r="E445">
        <v>1</v>
      </c>
      <c r="F445" t="s">
        <v>21</v>
      </c>
      <c r="G445">
        <v>1</v>
      </c>
      <c r="H445">
        <v>0</v>
      </c>
      <c r="I445">
        <v>1</v>
      </c>
      <c r="J445">
        <v>0</v>
      </c>
      <c r="N445">
        <v>0.5</v>
      </c>
      <c r="O445">
        <v>0.38</v>
      </c>
      <c r="P445">
        <v>3.5</v>
      </c>
      <c r="Q445">
        <v>3.5</v>
      </c>
      <c r="R445">
        <v>3.5</v>
      </c>
      <c r="S445">
        <v>4</v>
      </c>
      <c r="T445">
        <v>0.5</v>
      </c>
      <c r="U445">
        <v>1</v>
      </c>
      <c r="V445">
        <v>1</v>
      </c>
      <c r="W445">
        <v>0</v>
      </c>
      <c r="X445">
        <v>0</v>
      </c>
      <c r="Y445">
        <v>0</v>
      </c>
      <c r="Z445">
        <v>0</v>
      </c>
    </row>
    <row r="446" spans="1:34">
      <c r="A446" t="s">
        <v>608</v>
      </c>
      <c r="B446">
        <v>59.5625</v>
      </c>
      <c r="C446">
        <v>68.8125</v>
      </c>
      <c r="D446">
        <v>5.1875</v>
      </c>
      <c r="E446">
        <v>4.875</v>
      </c>
      <c r="F446" t="s">
        <v>21</v>
      </c>
      <c r="G446">
        <v>1</v>
      </c>
      <c r="H446">
        <v>0</v>
      </c>
      <c r="I446">
        <v>1</v>
      </c>
      <c r="J446">
        <v>1</v>
      </c>
      <c r="N446">
        <v>0.5</v>
      </c>
      <c r="O446">
        <v>0.38</v>
      </c>
      <c r="P446">
        <v>3.5</v>
      </c>
      <c r="Q446">
        <v>-0.6875</v>
      </c>
      <c r="R446">
        <v>0</v>
      </c>
      <c r="S446">
        <v>4</v>
      </c>
      <c r="T446">
        <v>0.5</v>
      </c>
      <c r="U446">
        <v>0</v>
      </c>
      <c r="V446">
        <v>0</v>
      </c>
      <c r="W446">
        <v>0</v>
      </c>
      <c r="X446">
        <v>0</v>
      </c>
      <c r="Y446">
        <v>0.5</v>
      </c>
      <c r="Z446">
        <v>0.5</v>
      </c>
    </row>
    <row r="447" spans="1:34">
      <c r="A447" t="s">
        <v>609</v>
      </c>
      <c r="B447">
        <v>39.125</v>
      </c>
      <c r="C447">
        <v>10.3125</v>
      </c>
      <c r="D447">
        <v>9</v>
      </c>
      <c r="E447">
        <v>1</v>
      </c>
      <c r="F447" t="s">
        <v>21</v>
      </c>
      <c r="G447">
        <v>1</v>
      </c>
      <c r="H447">
        <v>1</v>
      </c>
      <c r="I447">
        <v>0</v>
      </c>
      <c r="N447">
        <v>0.5</v>
      </c>
      <c r="O447">
        <v>0.38</v>
      </c>
      <c r="P447">
        <v>3.5</v>
      </c>
      <c r="Q447">
        <v>-4.5</v>
      </c>
      <c r="R447">
        <v>3.5</v>
      </c>
      <c r="S447">
        <v>4</v>
      </c>
      <c r="T447">
        <v>0.5</v>
      </c>
      <c r="U447">
        <v>0</v>
      </c>
      <c r="V447">
        <v>0</v>
      </c>
      <c r="W447">
        <v>1</v>
      </c>
      <c r="X447">
        <v>0</v>
      </c>
      <c r="Y447">
        <v>0.5</v>
      </c>
      <c r="Z447">
        <v>0.5</v>
      </c>
    </row>
    <row r="448" spans="1:34">
      <c r="A448" t="s">
        <v>610</v>
      </c>
      <c r="B448">
        <v>96</v>
      </c>
      <c r="C448">
        <v>52.75</v>
      </c>
      <c r="D448">
        <v>6.25</v>
      </c>
      <c r="E448">
        <v>1</v>
      </c>
      <c r="F448" t="s">
        <v>21</v>
      </c>
      <c r="G448">
        <v>1</v>
      </c>
      <c r="H448">
        <v>1</v>
      </c>
      <c r="I448">
        <v>1</v>
      </c>
      <c r="J448">
        <v>0</v>
      </c>
      <c r="K448">
        <v>12</v>
      </c>
      <c r="L448" t="s">
        <v>120</v>
      </c>
      <c r="N448">
        <v>0.5</v>
      </c>
      <c r="O448">
        <v>0.38</v>
      </c>
      <c r="P448">
        <v>3.5</v>
      </c>
      <c r="Q448">
        <v>-1.75</v>
      </c>
      <c r="R448">
        <v>3.5</v>
      </c>
      <c r="S448">
        <v>4</v>
      </c>
      <c r="T448">
        <v>0.5</v>
      </c>
      <c r="U448">
        <v>0</v>
      </c>
      <c r="V448">
        <v>0</v>
      </c>
      <c r="W448">
        <v>1</v>
      </c>
      <c r="X448">
        <v>0</v>
      </c>
      <c r="Y448">
        <v>0.5</v>
      </c>
      <c r="Z448">
        <v>0.5</v>
      </c>
      <c r="AA448">
        <v>11.5</v>
      </c>
      <c r="AB448">
        <v>10.875</v>
      </c>
      <c r="AC448">
        <v>16.940000000000001</v>
      </c>
      <c r="AD448">
        <v>11.75</v>
      </c>
    </row>
    <row r="449" spans="1:30">
      <c r="A449" t="s">
        <v>611</v>
      </c>
      <c r="B449">
        <v>96</v>
      </c>
      <c r="C449">
        <v>79.6875</v>
      </c>
      <c r="D449">
        <v>7.75</v>
      </c>
      <c r="E449">
        <v>1</v>
      </c>
      <c r="F449" t="s">
        <v>21</v>
      </c>
      <c r="G449">
        <v>1</v>
      </c>
      <c r="H449">
        <v>1</v>
      </c>
      <c r="I449">
        <v>1</v>
      </c>
      <c r="J449">
        <v>0</v>
      </c>
      <c r="K449">
        <v>24</v>
      </c>
      <c r="L449" t="s">
        <v>120</v>
      </c>
      <c r="N449">
        <v>0.5</v>
      </c>
      <c r="O449">
        <v>0.38</v>
      </c>
      <c r="P449">
        <v>3.5</v>
      </c>
      <c r="Q449">
        <v>-3.25</v>
      </c>
      <c r="R449">
        <v>3.5</v>
      </c>
      <c r="S449">
        <v>4</v>
      </c>
      <c r="T449">
        <v>0.5</v>
      </c>
      <c r="U449">
        <v>0</v>
      </c>
      <c r="V449">
        <v>0</v>
      </c>
      <c r="W449">
        <v>1</v>
      </c>
      <c r="X449">
        <v>0</v>
      </c>
      <c r="Y449">
        <v>0.5</v>
      </c>
      <c r="Z449">
        <v>0.5</v>
      </c>
      <c r="AA449">
        <v>11.5</v>
      </c>
      <c r="AB449">
        <v>10.875</v>
      </c>
      <c r="AC449">
        <v>4.9400000000000004</v>
      </c>
      <c r="AD449">
        <v>10.25</v>
      </c>
    </row>
    <row r="450" spans="1:30">
      <c r="A450" t="s">
        <v>612</v>
      </c>
      <c r="B450">
        <v>96</v>
      </c>
      <c r="C450">
        <v>18.875</v>
      </c>
      <c r="D450">
        <v>12</v>
      </c>
      <c r="E450">
        <v>5.25</v>
      </c>
      <c r="F450" t="s">
        <v>21</v>
      </c>
      <c r="G450">
        <v>1</v>
      </c>
      <c r="H450">
        <v>1</v>
      </c>
      <c r="I450">
        <v>1</v>
      </c>
      <c r="J450">
        <v>0</v>
      </c>
      <c r="N450">
        <v>0.5</v>
      </c>
      <c r="O450">
        <v>0.38</v>
      </c>
      <c r="P450">
        <v>3.5</v>
      </c>
      <c r="Q450">
        <v>-7.5</v>
      </c>
      <c r="R450">
        <v>0</v>
      </c>
      <c r="S450">
        <v>4</v>
      </c>
      <c r="T450">
        <v>0.5</v>
      </c>
      <c r="U450">
        <v>0</v>
      </c>
      <c r="V450">
        <v>0</v>
      </c>
      <c r="W450">
        <v>0</v>
      </c>
      <c r="X450">
        <v>0</v>
      </c>
      <c r="Y450">
        <v>0.5</v>
      </c>
      <c r="Z450">
        <v>0.5</v>
      </c>
    </row>
    <row r="451" spans="1:30">
      <c r="A451" t="s">
        <v>613</v>
      </c>
      <c r="B451">
        <v>39.0625</v>
      </c>
      <c r="C451">
        <v>55.3125</v>
      </c>
      <c r="D451">
        <v>4.0625</v>
      </c>
      <c r="E451">
        <v>1</v>
      </c>
      <c r="F451" t="s">
        <v>21</v>
      </c>
      <c r="G451">
        <v>1</v>
      </c>
      <c r="H451">
        <v>1</v>
      </c>
      <c r="I451">
        <v>1</v>
      </c>
      <c r="J451">
        <v>1</v>
      </c>
      <c r="N451">
        <v>0.5</v>
      </c>
      <c r="O451">
        <v>0.38</v>
      </c>
      <c r="P451">
        <v>3.5</v>
      </c>
      <c r="Q451">
        <v>0.4375</v>
      </c>
      <c r="R451">
        <v>3.5</v>
      </c>
      <c r="S451">
        <v>4</v>
      </c>
      <c r="T451">
        <v>0.5</v>
      </c>
      <c r="U451">
        <v>1</v>
      </c>
      <c r="V451">
        <v>1</v>
      </c>
      <c r="W451">
        <v>1</v>
      </c>
      <c r="X451">
        <v>1</v>
      </c>
      <c r="Y451">
        <v>0</v>
      </c>
      <c r="Z451">
        <v>0</v>
      </c>
    </row>
    <row r="452" spans="1:30">
      <c r="A452" t="s">
        <v>614</v>
      </c>
      <c r="B452">
        <v>18.0625</v>
      </c>
      <c r="C452">
        <v>58.375</v>
      </c>
      <c r="D452">
        <v>11</v>
      </c>
      <c r="E452">
        <v>4</v>
      </c>
      <c r="F452" t="s">
        <v>156</v>
      </c>
      <c r="G452">
        <v>0</v>
      </c>
      <c r="I452">
        <v>0</v>
      </c>
      <c r="L452" t="s">
        <v>119</v>
      </c>
      <c r="N452">
        <v>0.5</v>
      </c>
      <c r="O452">
        <v>0.38</v>
      </c>
      <c r="P452">
        <v>3.5</v>
      </c>
      <c r="Q452">
        <v>-6.5</v>
      </c>
      <c r="R452">
        <v>0.5</v>
      </c>
      <c r="S452">
        <v>4</v>
      </c>
      <c r="T452">
        <v>0.5</v>
      </c>
      <c r="U452">
        <v>0</v>
      </c>
      <c r="V452">
        <v>0</v>
      </c>
      <c r="W452">
        <v>0</v>
      </c>
      <c r="X452">
        <v>0</v>
      </c>
      <c r="Y452">
        <v>0.5</v>
      </c>
      <c r="Z452">
        <v>0.5</v>
      </c>
    </row>
    <row r="453" spans="1:30">
      <c r="A453" t="s">
        <v>615</v>
      </c>
      <c r="B453">
        <v>6</v>
      </c>
      <c r="C453">
        <v>61.875</v>
      </c>
      <c r="D453">
        <v>9</v>
      </c>
      <c r="E453">
        <v>7.4375</v>
      </c>
      <c r="F453" t="s">
        <v>156</v>
      </c>
      <c r="G453">
        <v>0</v>
      </c>
      <c r="I453">
        <v>1</v>
      </c>
      <c r="J453">
        <v>0</v>
      </c>
      <c r="K453">
        <v>12</v>
      </c>
      <c r="L453" t="s">
        <v>145</v>
      </c>
      <c r="N453">
        <v>0.5</v>
      </c>
      <c r="O453">
        <v>0.38</v>
      </c>
      <c r="P453">
        <v>3.5</v>
      </c>
      <c r="Q453">
        <v>-4.5</v>
      </c>
      <c r="R453">
        <v>0</v>
      </c>
      <c r="S453">
        <v>4</v>
      </c>
      <c r="T453">
        <v>0.5</v>
      </c>
      <c r="U453">
        <v>0</v>
      </c>
      <c r="V453">
        <v>0</v>
      </c>
      <c r="W453">
        <v>0</v>
      </c>
      <c r="X453">
        <v>0</v>
      </c>
      <c r="Y453">
        <v>0.5</v>
      </c>
      <c r="Z453">
        <v>0.5</v>
      </c>
    </row>
    <row r="454" spans="1:30">
      <c r="A454" t="s">
        <v>616</v>
      </c>
      <c r="B454">
        <v>10.5625</v>
      </c>
      <c r="C454">
        <v>58.875</v>
      </c>
      <c r="D454">
        <v>9</v>
      </c>
      <c r="E454">
        <v>3.6875</v>
      </c>
      <c r="F454" t="s">
        <v>156</v>
      </c>
      <c r="G454">
        <v>0</v>
      </c>
      <c r="I454">
        <v>1</v>
      </c>
      <c r="J454">
        <v>0</v>
      </c>
      <c r="K454">
        <v>24</v>
      </c>
      <c r="L454" t="s">
        <v>120</v>
      </c>
      <c r="N454">
        <v>0.5</v>
      </c>
      <c r="O454">
        <v>0.38</v>
      </c>
      <c r="P454">
        <v>3.5</v>
      </c>
      <c r="Q454">
        <v>-4.5</v>
      </c>
      <c r="R454">
        <v>0.8125</v>
      </c>
      <c r="S454">
        <v>4</v>
      </c>
      <c r="T454">
        <v>0.5</v>
      </c>
      <c r="U454">
        <v>0</v>
      </c>
      <c r="V454">
        <v>0</v>
      </c>
      <c r="W454">
        <v>0</v>
      </c>
      <c r="X454">
        <v>0</v>
      </c>
      <c r="Y454">
        <v>0.5</v>
      </c>
      <c r="Z454">
        <v>0.5</v>
      </c>
    </row>
    <row r="455" spans="1:30">
      <c r="A455" t="s">
        <v>617</v>
      </c>
      <c r="B455">
        <v>42.875</v>
      </c>
      <c r="C455">
        <v>76.75</v>
      </c>
      <c r="D455">
        <v>12</v>
      </c>
      <c r="E455">
        <v>1.1875</v>
      </c>
      <c r="F455" t="s">
        <v>156</v>
      </c>
      <c r="G455">
        <v>0</v>
      </c>
      <c r="I455">
        <v>1</v>
      </c>
      <c r="J455">
        <v>0</v>
      </c>
      <c r="N455">
        <v>0.5</v>
      </c>
      <c r="O455">
        <v>0.38</v>
      </c>
      <c r="P455">
        <v>3.5</v>
      </c>
      <c r="Q455">
        <v>-7.5</v>
      </c>
      <c r="R455">
        <v>3.3125</v>
      </c>
      <c r="S455">
        <v>4</v>
      </c>
      <c r="T455">
        <v>0.5</v>
      </c>
      <c r="U455">
        <v>0</v>
      </c>
      <c r="V455">
        <v>0</v>
      </c>
      <c r="W455">
        <v>0</v>
      </c>
      <c r="X455">
        <v>0</v>
      </c>
      <c r="Y455">
        <v>0.5</v>
      </c>
      <c r="Z455">
        <v>0.5</v>
      </c>
    </row>
    <row r="456" spans="1:30">
      <c r="A456" t="s">
        <v>618</v>
      </c>
      <c r="B456">
        <v>11.4375</v>
      </c>
      <c r="C456">
        <v>64.8125</v>
      </c>
      <c r="D456">
        <v>3.375</v>
      </c>
      <c r="E456">
        <v>3.9375</v>
      </c>
      <c r="F456" t="s">
        <v>156</v>
      </c>
      <c r="G456">
        <v>0</v>
      </c>
      <c r="I456">
        <v>1</v>
      </c>
      <c r="J456">
        <v>1</v>
      </c>
      <c r="N456">
        <v>0.5</v>
      </c>
      <c r="O456">
        <v>0.38</v>
      </c>
      <c r="P456">
        <v>3.5</v>
      </c>
      <c r="Q456">
        <v>1.125</v>
      </c>
      <c r="R456">
        <v>0.5625</v>
      </c>
      <c r="S456">
        <v>4</v>
      </c>
      <c r="T456">
        <v>0.5</v>
      </c>
      <c r="U456">
        <v>0</v>
      </c>
      <c r="V456">
        <v>0</v>
      </c>
      <c r="W456">
        <v>0</v>
      </c>
      <c r="X456">
        <v>1</v>
      </c>
      <c r="Y456">
        <v>0.5</v>
      </c>
      <c r="Z456">
        <v>0.5</v>
      </c>
    </row>
    <row r="457" spans="1:30">
      <c r="A457" t="s">
        <v>619</v>
      </c>
      <c r="B457">
        <v>20.6875</v>
      </c>
      <c r="C457">
        <v>53.0625</v>
      </c>
      <c r="D457">
        <v>4.5</v>
      </c>
      <c r="E457">
        <v>4.5</v>
      </c>
      <c r="F457" t="s">
        <v>156</v>
      </c>
      <c r="G457">
        <v>1</v>
      </c>
      <c r="H457">
        <v>0</v>
      </c>
      <c r="I457">
        <v>0</v>
      </c>
      <c r="L457" t="s">
        <v>149</v>
      </c>
      <c r="N457">
        <v>0.5</v>
      </c>
      <c r="O457">
        <v>0.38</v>
      </c>
      <c r="P457">
        <v>3.5</v>
      </c>
      <c r="Q457">
        <v>0</v>
      </c>
      <c r="R457">
        <v>0</v>
      </c>
      <c r="S457">
        <v>4</v>
      </c>
      <c r="T457">
        <v>0.5</v>
      </c>
      <c r="U457">
        <v>0</v>
      </c>
      <c r="V457">
        <v>0</v>
      </c>
      <c r="W457">
        <v>0</v>
      </c>
      <c r="X457">
        <v>0</v>
      </c>
      <c r="Y457">
        <v>0.5</v>
      </c>
      <c r="Z457">
        <v>0.5</v>
      </c>
    </row>
    <row r="458" spans="1:30">
      <c r="A458" t="s">
        <v>620</v>
      </c>
      <c r="B458">
        <v>20.625</v>
      </c>
      <c r="C458">
        <v>72.25</v>
      </c>
      <c r="D458">
        <v>4</v>
      </c>
      <c r="E458">
        <v>1</v>
      </c>
      <c r="F458" t="s">
        <v>156</v>
      </c>
      <c r="G458">
        <v>1</v>
      </c>
      <c r="H458">
        <v>0</v>
      </c>
      <c r="I458">
        <v>1</v>
      </c>
      <c r="J458">
        <v>0</v>
      </c>
      <c r="K458">
        <v>12</v>
      </c>
      <c r="L458" t="s">
        <v>35</v>
      </c>
      <c r="N458">
        <v>0.5</v>
      </c>
      <c r="O458">
        <v>0.38</v>
      </c>
      <c r="P458">
        <v>3.5</v>
      </c>
      <c r="Q458">
        <v>0.5</v>
      </c>
      <c r="R458">
        <v>3.5</v>
      </c>
      <c r="S458">
        <v>4</v>
      </c>
      <c r="T458">
        <v>0.5</v>
      </c>
      <c r="U458">
        <v>0</v>
      </c>
      <c r="V458">
        <v>0</v>
      </c>
      <c r="W458">
        <v>0</v>
      </c>
      <c r="X458">
        <v>0</v>
      </c>
      <c r="Y458">
        <v>0.5</v>
      </c>
      <c r="Z458">
        <v>0.5</v>
      </c>
    </row>
    <row r="459" spans="1:30">
      <c r="A459" t="s">
        <v>621</v>
      </c>
      <c r="B459">
        <v>29.625</v>
      </c>
      <c r="C459">
        <v>76.8125</v>
      </c>
      <c r="D459">
        <v>1</v>
      </c>
      <c r="E459">
        <v>6.5</v>
      </c>
      <c r="F459" t="s">
        <v>156</v>
      </c>
      <c r="G459">
        <v>1</v>
      </c>
      <c r="H459">
        <v>0</v>
      </c>
      <c r="I459">
        <v>1</v>
      </c>
      <c r="J459">
        <v>0</v>
      </c>
      <c r="K459">
        <v>24</v>
      </c>
      <c r="L459" t="s">
        <v>120</v>
      </c>
      <c r="N459">
        <v>0.5</v>
      </c>
      <c r="O459">
        <v>0.38</v>
      </c>
      <c r="P459">
        <v>3.5</v>
      </c>
      <c r="Q459">
        <v>3.5</v>
      </c>
      <c r="R459">
        <v>0</v>
      </c>
      <c r="S459">
        <v>4</v>
      </c>
      <c r="T459">
        <v>0.5</v>
      </c>
      <c r="U459">
        <v>0</v>
      </c>
      <c r="V459">
        <v>0</v>
      </c>
      <c r="W459">
        <v>0</v>
      </c>
      <c r="X459">
        <v>0</v>
      </c>
      <c r="Y459">
        <v>0.5</v>
      </c>
      <c r="Z459">
        <v>0.5</v>
      </c>
    </row>
    <row r="460" spans="1:30">
      <c r="A460" t="s">
        <v>622</v>
      </c>
      <c r="B460">
        <v>47.375</v>
      </c>
      <c r="C460">
        <v>71.875</v>
      </c>
      <c r="D460">
        <v>1.375</v>
      </c>
      <c r="E460">
        <v>1</v>
      </c>
      <c r="F460" t="s">
        <v>156</v>
      </c>
      <c r="G460">
        <v>1</v>
      </c>
      <c r="H460">
        <v>0</v>
      </c>
      <c r="I460">
        <v>1</v>
      </c>
      <c r="J460">
        <v>0</v>
      </c>
      <c r="N460">
        <v>0.5</v>
      </c>
      <c r="O460">
        <v>0.38</v>
      </c>
      <c r="P460">
        <v>3.5</v>
      </c>
      <c r="Q460">
        <v>3.125</v>
      </c>
      <c r="R460">
        <v>3.5</v>
      </c>
      <c r="S460">
        <v>4</v>
      </c>
      <c r="T460">
        <v>0.5</v>
      </c>
      <c r="U460">
        <v>0</v>
      </c>
      <c r="V460">
        <v>0</v>
      </c>
      <c r="W460">
        <v>0</v>
      </c>
      <c r="X460">
        <v>0</v>
      </c>
      <c r="Y460">
        <v>0.5</v>
      </c>
      <c r="Z460">
        <v>0.5</v>
      </c>
    </row>
    <row r="461" spans="1:30">
      <c r="A461" t="s">
        <v>623</v>
      </c>
      <c r="B461">
        <v>48.1875</v>
      </c>
      <c r="C461">
        <v>67.3125</v>
      </c>
      <c r="D461">
        <v>1</v>
      </c>
      <c r="E461">
        <v>1</v>
      </c>
      <c r="F461" t="s">
        <v>156</v>
      </c>
      <c r="G461">
        <v>1</v>
      </c>
      <c r="H461">
        <v>0</v>
      </c>
      <c r="I461">
        <v>1</v>
      </c>
      <c r="J461">
        <v>1</v>
      </c>
      <c r="N461">
        <v>0.5</v>
      </c>
      <c r="O461">
        <v>0.38</v>
      </c>
      <c r="P461">
        <v>3.5</v>
      </c>
      <c r="Q461">
        <v>3.5</v>
      </c>
      <c r="R461">
        <v>3.5</v>
      </c>
      <c r="S461">
        <v>4</v>
      </c>
      <c r="T461">
        <v>0.5</v>
      </c>
      <c r="U461">
        <v>0</v>
      </c>
      <c r="V461">
        <v>0</v>
      </c>
      <c r="W461">
        <v>0</v>
      </c>
      <c r="X461">
        <v>1</v>
      </c>
      <c r="Y461">
        <v>0.5</v>
      </c>
      <c r="Z461">
        <v>0.5</v>
      </c>
    </row>
    <row r="462" spans="1:30">
      <c r="A462" t="s">
        <v>624</v>
      </c>
      <c r="B462">
        <v>10.6875</v>
      </c>
      <c r="C462">
        <v>55.125</v>
      </c>
      <c r="D462">
        <v>9</v>
      </c>
      <c r="E462">
        <v>8.0625</v>
      </c>
      <c r="F462" t="s">
        <v>156</v>
      </c>
      <c r="G462">
        <v>1</v>
      </c>
      <c r="H462">
        <v>1</v>
      </c>
      <c r="I462">
        <v>0</v>
      </c>
      <c r="L462" t="s">
        <v>119</v>
      </c>
      <c r="N462">
        <v>0.5</v>
      </c>
      <c r="O462">
        <v>0.38</v>
      </c>
      <c r="P462">
        <v>3.5</v>
      </c>
      <c r="Q462">
        <v>-4.5</v>
      </c>
      <c r="R462">
        <v>0</v>
      </c>
      <c r="S462">
        <v>4</v>
      </c>
      <c r="T462">
        <v>0.5</v>
      </c>
      <c r="U462">
        <v>0</v>
      </c>
      <c r="V462">
        <v>0</v>
      </c>
      <c r="W462">
        <v>0</v>
      </c>
      <c r="X462">
        <v>0</v>
      </c>
      <c r="Y462">
        <v>0.5</v>
      </c>
      <c r="Z462">
        <v>0.5</v>
      </c>
    </row>
    <row r="463" spans="1:30">
      <c r="A463" t="s">
        <v>625</v>
      </c>
      <c r="B463">
        <v>15.75</v>
      </c>
      <c r="C463">
        <v>22.8125</v>
      </c>
      <c r="D463">
        <v>1</v>
      </c>
      <c r="E463">
        <v>1</v>
      </c>
      <c r="F463" t="s">
        <v>156</v>
      </c>
      <c r="G463">
        <v>1</v>
      </c>
      <c r="H463">
        <v>1</v>
      </c>
      <c r="I463">
        <v>1</v>
      </c>
      <c r="J463">
        <v>0</v>
      </c>
      <c r="K463">
        <v>12</v>
      </c>
      <c r="N463">
        <v>0.5</v>
      </c>
      <c r="O463">
        <v>0.38</v>
      </c>
      <c r="P463">
        <v>3.5</v>
      </c>
      <c r="Q463">
        <v>3.5</v>
      </c>
      <c r="R463">
        <v>3.5</v>
      </c>
      <c r="S463">
        <v>4</v>
      </c>
      <c r="T463">
        <v>0.5</v>
      </c>
      <c r="U463">
        <v>0</v>
      </c>
      <c r="V463">
        <v>0</v>
      </c>
      <c r="W463">
        <v>1</v>
      </c>
      <c r="X463">
        <v>0</v>
      </c>
      <c r="Y463">
        <v>0.5</v>
      </c>
      <c r="Z463">
        <v>0.5</v>
      </c>
    </row>
    <row r="464" spans="1:30">
      <c r="A464" t="s">
        <v>626</v>
      </c>
      <c r="B464">
        <v>7.0625</v>
      </c>
      <c r="C464">
        <v>75.625</v>
      </c>
      <c r="D464">
        <v>4.5</v>
      </c>
      <c r="E464">
        <v>8.0625</v>
      </c>
      <c r="F464" t="s">
        <v>156</v>
      </c>
      <c r="G464">
        <v>1</v>
      </c>
      <c r="H464">
        <v>1</v>
      </c>
      <c r="I464">
        <v>1</v>
      </c>
      <c r="J464">
        <v>0</v>
      </c>
      <c r="K464">
        <v>24</v>
      </c>
      <c r="L464" t="s">
        <v>120</v>
      </c>
      <c r="N464">
        <v>0.5</v>
      </c>
      <c r="O464">
        <v>0.38</v>
      </c>
      <c r="P464">
        <v>3.5</v>
      </c>
      <c r="Q464">
        <v>0</v>
      </c>
      <c r="R464">
        <v>0</v>
      </c>
      <c r="S464">
        <v>4</v>
      </c>
      <c r="T464">
        <v>0.5</v>
      </c>
      <c r="U464">
        <v>0</v>
      </c>
      <c r="V464">
        <v>0</v>
      </c>
      <c r="W464">
        <v>0</v>
      </c>
      <c r="X464">
        <v>0</v>
      </c>
      <c r="Y464">
        <v>0.5</v>
      </c>
      <c r="Z464">
        <v>0.5</v>
      </c>
    </row>
    <row r="465" spans="1:34">
      <c r="A465" t="s">
        <v>627</v>
      </c>
      <c r="B465">
        <v>32.4375</v>
      </c>
      <c r="C465">
        <v>40.1875</v>
      </c>
      <c r="D465">
        <v>7.6875</v>
      </c>
      <c r="E465">
        <v>3.3125</v>
      </c>
      <c r="F465" t="s">
        <v>156</v>
      </c>
      <c r="G465">
        <v>1</v>
      </c>
      <c r="H465">
        <v>1</v>
      </c>
      <c r="I465">
        <v>1</v>
      </c>
      <c r="J465">
        <v>0</v>
      </c>
      <c r="N465">
        <v>0.5</v>
      </c>
      <c r="O465">
        <v>0.38</v>
      </c>
      <c r="P465">
        <v>3.5</v>
      </c>
      <c r="Q465">
        <v>-3.1875</v>
      </c>
      <c r="R465">
        <v>1.1875</v>
      </c>
      <c r="S465">
        <v>4</v>
      </c>
      <c r="T465">
        <v>0.5</v>
      </c>
      <c r="U465">
        <v>0</v>
      </c>
      <c r="V465">
        <v>0</v>
      </c>
      <c r="W465">
        <v>1</v>
      </c>
      <c r="X465">
        <v>0</v>
      </c>
      <c r="Y465">
        <v>0.5</v>
      </c>
      <c r="Z465">
        <v>0.5</v>
      </c>
    </row>
    <row r="466" spans="1:34">
      <c r="A466" t="s">
        <v>628</v>
      </c>
      <c r="B466">
        <v>45.5625</v>
      </c>
      <c r="C466">
        <v>61</v>
      </c>
      <c r="D466">
        <v>1</v>
      </c>
      <c r="E466">
        <v>8.4375</v>
      </c>
      <c r="F466" t="s">
        <v>156</v>
      </c>
      <c r="G466">
        <v>1</v>
      </c>
      <c r="H466">
        <v>1</v>
      </c>
      <c r="I466">
        <v>1</v>
      </c>
      <c r="J466">
        <v>1</v>
      </c>
      <c r="N466">
        <v>0.5</v>
      </c>
      <c r="O466">
        <v>0.38</v>
      </c>
      <c r="P466">
        <v>3.5</v>
      </c>
      <c r="Q466">
        <v>3.5</v>
      </c>
      <c r="R466">
        <v>0</v>
      </c>
      <c r="S466">
        <v>4</v>
      </c>
      <c r="T466">
        <v>0.5</v>
      </c>
      <c r="U466">
        <v>0</v>
      </c>
      <c r="V466">
        <v>0</v>
      </c>
      <c r="W466">
        <v>0</v>
      </c>
      <c r="X466">
        <v>0</v>
      </c>
      <c r="Y466">
        <v>0.5</v>
      </c>
      <c r="Z466">
        <v>0.5</v>
      </c>
    </row>
    <row r="467" spans="1:34">
      <c r="A467" t="s">
        <v>629</v>
      </c>
      <c r="B467">
        <v>60</v>
      </c>
      <c r="C467">
        <v>33.1875</v>
      </c>
      <c r="D467">
        <v>7.4375</v>
      </c>
      <c r="E467">
        <v>8.3125</v>
      </c>
      <c r="F467" t="s">
        <v>157</v>
      </c>
      <c r="G467">
        <v>0</v>
      </c>
      <c r="I467">
        <v>0</v>
      </c>
      <c r="N467">
        <v>0.5</v>
      </c>
      <c r="O467">
        <v>0.38</v>
      </c>
      <c r="P467">
        <v>3.5</v>
      </c>
      <c r="Q467">
        <v>-2.9375</v>
      </c>
      <c r="R467">
        <v>0</v>
      </c>
      <c r="S467">
        <v>4</v>
      </c>
      <c r="T467">
        <v>0.5</v>
      </c>
      <c r="U467">
        <v>0</v>
      </c>
      <c r="V467">
        <v>0</v>
      </c>
      <c r="W467">
        <v>0</v>
      </c>
      <c r="X467">
        <v>0</v>
      </c>
      <c r="Y467">
        <v>0.5</v>
      </c>
      <c r="Z467">
        <v>0.5</v>
      </c>
    </row>
    <row r="468" spans="1:34">
      <c r="A468" t="s">
        <v>630</v>
      </c>
      <c r="B468">
        <v>60</v>
      </c>
      <c r="C468">
        <v>58.375</v>
      </c>
      <c r="D468">
        <v>9</v>
      </c>
      <c r="E468">
        <v>5.5625</v>
      </c>
      <c r="F468" t="s">
        <v>157</v>
      </c>
      <c r="G468">
        <v>0</v>
      </c>
      <c r="I468">
        <v>1</v>
      </c>
      <c r="J468">
        <v>0</v>
      </c>
      <c r="K468">
        <v>12</v>
      </c>
      <c r="L468" t="s">
        <v>120</v>
      </c>
      <c r="N468">
        <v>0.5</v>
      </c>
      <c r="O468">
        <v>0.38</v>
      </c>
      <c r="P468">
        <v>3.5</v>
      </c>
      <c r="Q468">
        <v>-4.5</v>
      </c>
      <c r="R468">
        <v>0</v>
      </c>
      <c r="S468">
        <v>4</v>
      </c>
      <c r="T468">
        <v>0.5</v>
      </c>
      <c r="U468">
        <v>0</v>
      </c>
      <c r="V468">
        <v>0</v>
      </c>
      <c r="W468">
        <v>0</v>
      </c>
      <c r="X468">
        <v>0</v>
      </c>
      <c r="Y468">
        <v>0.5</v>
      </c>
      <c r="Z468">
        <v>0.5</v>
      </c>
      <c r="AA468">
        <v>11.5</v>
      </c>
      <c r="AB468">
        <v>10.875</v>
      </c>
      <c r="AC468">
        <v>16.940000000000001</v>
      </c>
      <c r="AD468">
        <v>9</v>
      </c>
    </row>
    <row r="469" spans="1:34">
      <c r="A469" t="s">
        <v>631</v>
      </c>
      <c r="B469">
        <v>60</v>
      </c>
      <c r="C469">
        <v>62.625</v>
      </c>
      <c r="D469">
        <v>9</v>
      </c>
      <c r="E469">
        <v>2.5</v>
      </c>
      <c r="F469" t="s">
        <v>157</v>
      </c>
      <c r="G469">
        <v>0</v>
      </c>
      <c r="I469">
        <v>1</v>
      </c>
      <c r="J469">
        <v>0</v>
      </c>
      <c r="K469">
        <v>24</v>
      </c>
      <c r="N469">
        <v>0.5</v>
      </c>
      <c r="O469">
        <v>0.38</v>
      </c>
      <c r="P469">
        <v>3.5</v>
      </c>
      <c r="Q469">
        <v>-4.5</v>
      </c>
      <c r="R469">
        <v>2</v>
      </c>
      <c r="S469">
        <v>4</v>
      </c>
      <c r="T469">
        <v>0.5</v>
      </c>
      <c r="U469">
        <v>0</v>
      </c>
      <c r="V469">
        <v>0</v>
      </c>
      <c r="W469">
        <v>0</v>
      </c>
      <c r="X469">
        <v>0</v>
      </c>
      <c r="Y469">
        <v>0.5</v>
      </c>
      <c r="Z469">
        <v>0.5</v>
      </c>
    </row>
    <row r="470" spans="1:34">
      <c r="A470" t="s">
        <v>632</v>
      </c>
      <c r="B470">
        <v>60</v>
      </c>
      <c r="C470">
        <v>50.8125</v>
      </c>
      <c r="D470">
        <v>9</v>
      </c>
      <c r="E470">
        <v>1</v>
      </c>
      <c r="F470" t="s">
        <v>157</v>
      </c>
      <c r="G470">
        <v>0</v>
      </c>
      <c r="I470">
        <v>1</v>
      </c>
      <c r="J470">
        <v>0</v>
      </c>
      <c r="N470">
        <v>0.5</v>
      </c>
      <c r="O470">
        <v>0.38</v>
      </c>
      <c r="P470">
        <v>3.5</v>
      </c>
      <c r="Q470">
        <v>-4.5</v>
      </c>
      <c r="R470">
        <v>3.5</v>
      </c>
      <c r="S470">
        <v>4</v>
      </c>
      <c r="T470">
        <v>0.5</v>
      </c>
      <c r="U470">
        <v>0</v>
      </c>
      <c r="V470">
        <v>0</v>
      </c>
      <c r="W470">
        <v>0</v>
      </c>
      <c r="X470">
        <v>0</v>
      </c>
      <c r="Y470">
        <v>0.5</v>
      </c>
      <c r="Z470">
        <v>0.5</v>
      </c>
    </row>
    <row r="471" spans="1:34">
      <c r="A471" t="s">
        <v>633</v>
      </c>
      <c r="B471">
        <v>60</v>
      </c>
      <c r="C471">
        <v>32.4375</v>
      </c>
      <c r="D471">
        <v>4.5</v>
      </c>
      <c r="E471">
        <v>1</v>
      </c>
      <c r="F471" t="s">
        <v>157</v>
      </c>
      <c r="G471">
        <v>0</v>
      </c>
      <c r="I471">
        <v>1</v>
      </c>
      <c r="J471">
        <v>1</v>
      </c>
      <c r="N471">
        <v>0.5</v>
      </c>
      <c r="O471">
        <v>0.38</v>
      </c>
      <c r="P471">
        <v>3.5</v>
      </c>
      <c r="Q471">
        <v>0</v>
      </c>
      <c r="R471">
        <v>3.5</v>
      </c>
      <c r="S471">
        <v>4</v>
      </c>
      <c r="T471">
        <v>0.5</v>
      </c>
      <c r="U471">
        <v>0</v>
      </c>
      <c r="V471">
        <v>0</v>
      </c>
      <c r="W471">
        <v>0</v>
      </c>
      <c r="X471">
        <v>0</v>
      </c>
      <c r="Y471">
        <v>0.5</v>
      </c>
      <c r="Z471">
        <v>0.5</v>
      </c>
    </row>
    <row r="472" spans="1:34">
      <c r="A472" t="s">
        <v>634</v>
      </c>
      <c r="B472">
        <v>60</v>
      </c>
      <c r="C472">
        <v>15.5</v>
      </c>
      <c r="D472">
        <v>3.5</v>
      </c>
      <c r="E472">
        <v>4.125</v>
      </c>
      <c r="F472" t="s">
        <v>157</v>
      </c>
      <c r="G472">
        <v>1</v>
      </c>
      <c r="H472">
        <v>0</v>
      </c>
      <c r="I472">
        <v>0</v>
      </c>
      <c r="N472">
        <v>0.5</v>
      </c>
      <c r="O472">
        <v>0.38</v>
      </c>
      <c r="P472">
        <v>3.5</v>
      </c>
      <c r="Q472">
        <v>1</v>
      </c>
      <c r="R472">
        <v>0.375</v>
      </c>
      <c r="S472">
        <v>4</v>
      </c>
      <c r="T472">
        <v>0.5</v>
      </c>
      <c r="U472">
        <v>1</v>
      </c>
      <c r="V472">
        <v>0</v>
      </c>
      <c r="W472">
        <v>0</v>
      </c>
      <c r="X472">
        <v>0</v>
      </c>
      <c r="Y472">
        <v>0</v>
      </c>
      <c r="Z472">
        <v>0.5</v>
      </c>
    </row>
    <row r="473" spans="1:34">
      <c r="A473" t="s">
        <v>635</v>
      </c>
      <c r="B473">
        <v>60</v>
      </c>
      <c r="C473">
        <v>45.5</v>
      </c>
      <c r="D473">
        <v>8.75</v>
      </c>
      <c r="E473">
        <v>8.1875</v>
      </c>
      <c r="F473" t="s">
        <v>157</v>
      </c>
      <c r="G473">
        <v>1</v>
      </c>
      <c r="H473">
        <v>0</v>
      </c>
      <c r="I473">
        <v>1</v>
      </c>
      <c r="J473">
        <v>0</v>
      </c>
      <c r="K473">
        <v>12</v>
      </c>
      <c r="N473">
        <v>0.5</v>
      </c>
      <c r="O473">
        <v>0.38</v>
      </c>
      <c r="P473">
        <v>3.5</v>
      </c>
      <c r="Q473">
        <v>-4.25</v>
      </c>
      <c r="R473">
        <v>0</v>
      </c>
      <c r="S473">
        <v>4</v>
      </c>
      <c r="T473">
        <v>0.5</v>
      </c>
      <c r="U473">
        <v>0</v>
      </c>
      <c r="V473">
        <v>0</v>
      </c>
      <c r="W473">
        <v>0</v>
      </c>
      <c r="X473">
        <v>0</v>
      </c>
      <c r="Y473">
        <v>0.5</v>
      </c>
      <c r="Z473">
        <v>0.5</v>
      </c>
    </row>
    <row r="474" spans="1:34">
      <c r="A474" t="s">
        <v>636</v>
      </c>
      <c r="B474">
        <v>60</v>
      </c>
      <c r="C474">
        <v>76.4375</v>
      </c>
      <c r="D474">
        <v>3.25</v>
      </c>
      <c r="E474">
        <v>4.9375</v>
      </c>
      <c r="F474" t="s">
        <v>157</v>
      </c>
      <c r="G474">
        <v>1</v>
      </c>
      <c r="H474">
        <v>0</v>
      </c>
      <c r="I474">
        <v>1</v>
      </c>
      <c r="J474">
        <v>0</v>
      </c>
      <c r="K474">
        <v>24</v>
      </c>
      <c r="N474">
        <v>0.5</v>
      </c>
      <c r="O474">
        <v>0.38</v>
      </c>
      <c r="P474">
        <v>3.5</v>
      </c>
      <c r="Q474">
        <v>1.25</v>
      </c>
      <c r="R474">
        <v>0</v>
      </c>
      <c r="S474">
        <v>4</v>
      </c>
      <c r="T474">
        <v>0.5</v>
      </c>
      <c r="U474">
        <v>1</v>
      </c>
      <c r="V474">
        <v>1</v>
      </c>
      <c r="W474">
        <v>0</v>
      </c>
      <c r="X474">
        <v>0</v>
      </c>
      <c r="Y474">
        <v>0</v>
      </c>
      <c r="Z474">
        <v>0</v>
      </c>
    </row>
    <row r="475" spans="1:34">
      <c r="A475" t="s">
        <v>637</v>
      </c>
      <c r="B475">
        <v>60</v>
      </c>
      <c r="C475">
        <v>41.625</v>
      </c>
      <c r="D475">
        <v>4.5</v>
      </c>
      <c r="E475">
        <v>1</v>
      </c>
      <c r="F475" t="s">
        <v>157</v>
      </c>
      <c r="G475">
        <v>1</v>
      </c>
      <c r="H475">
        <v>0</v>
      </c>
      <c r="I475">
        <v>1</v>
      </c>
      <c r="J475">
        <v>0</v>
      </c>
      <c r="N475">
        <v>0.5</v>
      </c>
      <c r="O475">
        <v>0.38</v>
      </c>
      <c r="P475">
        <v>3.5</v>
      </c>
      <c r="Q475">
        <v>0</v>
      </c>
      <c r="R475">
        <v>3.5</v>
      </c>
      <c r="S475">
        <v>4</v>
      </c>
      <c r="T475">
        <v>0.5</v>
      </c>
      <c r="U475">
        <v>0</v>
      </c>
      <c r="V475">
        <v>0</v>
      </c>
      <c r="W475">
        <v>0</v>
      </c>
      <c r="X475">
        <v>0</v>
      </c>
      <c r="Y475">
        <v>0.5</v>
      </c>
      <c r="Z475">
        <v>0.5</v>
      </c>
    </row>
    <row r="476" spans="1:34">
      <c r="A476" t="s">
        <v>638</v>
      </c>
      <c r="B476">
        <v>60</v>
      </c>
      <c r="C476">
        <v>37.125</v>
      </c>
      <c r="D476">
        <v>1</v>
      </c>
      <c r="E476">
        <v>2.1875</v>
      </c>
      <c r="F476" t="s">
        <v>157</v>
      </c>
      <c r="G476">
        <v>1</v>
      </c>
      <c r="H476">
        <v>0</v>
      </c>
      <c r="I476">
        <v>1</v>
      </c>
      <c r="J476">
        <v>1</v>
      </c>
      <c r="N476">
        <v>0.5</v>
      </c>
      <c r="O476">
        <v>0.38</v>
      </c>
      <c r="P476">
        <v>3.5</v>
      </c>
      <c r="Q476">
        <v>3.5</v>
      </c>
      <c r="R476">
        <v>2.3125</v>
      </c>
      <c r="S476">
        <v>4</v>
      </c>
      <c r="T476">
        <v>0.5</v>
      </c>
      <c r="U476">
        <v>1</v>
      </c>
      <c r="V476">
        <v>1</v>
      </c>
      <c r="W476">
        <v>0</v>
      </c>
      <c r="X476">
        <v>0</v>
      </c>
      <c r="Y476">
        <v>0</v>
      </c>
      <c r="Z476">
        <v>0</v>
      </c>
    </row>
    <row r="477" spans="1:34">
      <c r="A477" t="s">
        <v>639</v>
      </c>
      <c r="B477">
        <v>60</v>
      </c>
      <c r="C477">
        <v>40.75</v>
      </c>
      <c r="D477">
        <v>1</v>
      </c>
      <c r="E477">
        <v>3.3125</v>
      </c>
      <c r="F477" t="s">
        <v>157</v>
      </c>
      <c r="G477">
        <v>1</v>
      </c>
      <c r="H477">
        <v>1</v>
      </c>
      <c r="I477">
        <v>0</v>
      </c>
      <c r="L477" t="s">
        <v>121</v>
      </c>
      <c r="M477" t="s">
        <v>120</v>
      </c>
      <c r="N477">
        <v>0.5</v>
      </c>
      <c r="O477">
        <v>0.38</v>
      </c>
      <c r="P477">
        <v>3.5</v>
      </c>
      <c r="Q477">
        <v>3.5</v>
      </c>
      <c r="R477">
        <v>1.1875</v>
      </c>
      <c r="S477">
        <v>4</v>
      </c>
      <c r="T477">
        <v>0.5</v>
      </c>
      <c r="U477">
        <v>1</v>
      </c>
      <c r="V477">
        <v>0</v>
      </c>
      <c r="W477">
        <v>0</v>
      </c>
      <c r="X477">
        <v>0</v>
      </c>
      <c r="Y477">
        <v>0</v>
      </c>
      <c r="Z477">
        <v>0.5</v>
      </c>
      <c r="AA477">
        <v>11</v>
      </c>
      <c r="AB477">
        <v>9.375</v>
      </c>
      <c r="AC477">
        <v>14.5</v>
      </c>
      <c r="AD477">
        <v>17.75</v>
      </c>
      <c r="AE477">
        <v>11.5</v>
      </c>
      <c r="AF477">
        <v>10.875</v>
      </c>
      <c r="AG477">
        <v>28.94</v>
      </c>
      <c r="AH477">
        <v>17</v>
      </c>
    </row>
    <row r="478" spans="1:34">
      <c r="A478" t="s">
        <v>640</v>
      </c>
      <c r="B478">
        <v>60</v>
      </c>
      <c r="C478">
        <v>6.5625</v>
      </c>
      <c r="D478">
        <v>12</v>
      </c>
      <c r="E478">
        <v>1</v>
      </c>
      <c r="F478" t="s">
        <v>157</v>
      </c>
      <c r="G478">
        <v>1</v>
      </c>
      <c r="H478">
        <v>1</v>
      </c>
      <c r="I478">
        <v>1</v>
      </c>
      <c r="J478">
        <v>0</v>
      </c>
      <c r="K478">
        <v>12</v>
      </c>
      <c r="N478">
        <v>0.5</v>
      </c>
      <c r="O478">
        <v>0.38</v>
      </c>
      <c r="P478">
        <v>3.5</v>
      </c>
      <c r="Q478">
        <v>-7.5</v>
      </c>
      <c r="R478">
        <v>3.5</v>
      </c>
      <c r="S478">
        <v>4</v>
      </c>
      <c r="T478">
        <v>0.5</v>
      </c>
      <c r="U478">
        <v>0</v>
      </c>
      <c r="V478">
        <v>0</v>
      </c>
      <c r="W478">
        <v>0</v>
      </c>
      <c r="X478">
        <v>0</v>
      </c>
      <c r="Y478">
        <v>0.5</v>
      </c>
      <c r="Z478">
        <v>0.5</v>
      </c>
    </row>
    <row r="479" spans="1:34">
      <c r="A479" t="s">
        <v>641</v>
      </c>
      <c r="B479">
        <v>60</v>
      </c>
      <c r="C479">
        <v>65.125</v>
      </c>
      <c r="D479">
        <v>1</v>
      </c>
      <c r="E479">
        <v>2</v>
      </c>
      <c r="F479" t="s">
        <v>157</v>
      </c>
      <c r="G479">
        <v>1</v>
      </c>
      <c r="H479">
        <v>1</v>
      </c>
      <c r="I479">
        <v>1</v>
      </c>
      <c r="J479">
        <v>0</v>
      </c>
      <c r="K479">
        <v>24</v>
      </c>
      <c r="L479" t="s">
        <v>120</v>
      </c>
      <c r="N479">
        <v>0.5</v>
      </c>
      <c r="O479">
        <v>0.38</v>
      </c>
      <c r="P479">
        <v>3.5</v>
      </c>
      <c r="Q479">
        <v>3.5</v>
      </c>
      <c r="R479">
        <v>2.5</v>
      </c>
      <c r="S479">
        <v>4</v>
      </c>
      <c r="T479">
        <v>0.5</v>
      </c>
      <c r="U479">
        <v>1</v>
      </c>
      <c r="V479">
        <v>1</v>
      </c>
      <c r="W479">
        <v>0</v>
      </c>
      <c r="X479">
        <v>0</v>
      </c>
      <c r="Y479">
        <v>0</v>
      </c>
      <c r="Z479">
        <v>0</v>
      </c>
      <c r="AA479">
        <v>11.5</v>
      </c>
      <c r="AB479">
        <v>10.875</v>
      </c>
      <c r="AC479">
        <v>4.9400000000000004</v>
      </c>
      <c r="AD479">
        <v>17</v>
      </c>
    </row>
    <row r="480" spans="1:34">
      <c r="A480" t="s">
        <v>642</v>
      </c>
      <c r="B480">
        <v>60</v>
      </c>
      <c r="C480">
        <v>63.4375</v>
      </c>
      <c r="D480">
        <v>12</v>
      </c>
      <c r="E480">
        <v>2.875</v>
      </c>
      <c r="F480" t="s">
        <v>157</v>
      </c>
      <c r="G480">
        <v>1</v>
      </c>
      <c r="H480">
        <v>1</v>
      </c>
      <c r="I480">
        <v>1</v>
      </c>
      <c r="J480">
        <v>0</v>
      </c>
      <c r="N480">
        <v>0.5</v>
      </c>
      <c r="O480">
        <v>0.38</v>
      </c>
      <c r="P480">
        <v>3.5</v>
      </c>
      <c r="Q480">
        <v>-7.5</v>
      </c>
      <c r="R480">
        <v>1.625</v>
      </c>
      <c r="S480">
        <v>4</v>
      </c>
      <c r="T480">
        <v>0.5</v>
      </c>
      <c r="U480">
        <v>0</v>
      </c>
      <c r="V480">
        <v>0</v>
      </c>
      <c r="W480">
        <v>0</v>
      </c>
      <c r="X480">
        <v>0</v>
      </c>
      <c r="Y480">
        <v>0.5</v>
      </c>
      <c r="Z480">
        <v>0.5</v>
      </c>
    </row>
    <row r="481" spans="1:34">
      <c r="A481" t="s">
        <v>643</v>
      </c>
      <c r="B481">
        <v>60</v>
      </c>
      <c r="C481">
        <v>52</v>
      </c>
      <c r="D481">
        <v>9</v>
      </c>
      <c r="E481">
        <v>1</v>
      </c>
      <c r="F481" t="s">
        <v>157</v>
      </c>
      <c r="G481">
        <v>1</v>
      </c>
      <c r="H481">
        <v>1</v>
      </c>
      <c r="I481">
        <v>1</v>
      </c>
      <c r="J481">
        <v>1</v>
      </c>
      <c r="N481">
        <v>0.5</v>
      </c>
      <c r="O481">
        <v>0.38</v>
      </c>
      <c r="P481">
        <v>3.5</v>
      </c>
      <c r="Q481">
        <v>-4.5</v>
      </c>
      <c r="R481">
        <v>3.5</v>
      </c>
      <c r="S481">
        <v>4</v>
      </c>
      <c r="T481">
        <v>0.5</v>
      </c>
      <c r="U481">
        <v>0</v>
      </c>
      <c r="V481">
        <v>0</v>
      </c>
      <c r="W481">
        <v>0</v>
      </c>
      <c r="X481">
        <v>0</v>
      </c>
      <c r="Y481">
        <v>0.5</v>
      </c>
      <c r="Z481">
        <v>0.5</v>
      </c>
    </row>
    <row r="482" spans="1:34">
      <c r="A482" t="s">
        <v>644</v>
      </c>
      <c r="B482">
        <v>41.1875</v>
      </c>
      <c r="C482">
        <v>74.375</v>
      </c>
      <c r="D482">
        <v>12</v>
      </c>
      <c r="E482">
        <v>1</v>
      </c>
      <c r="F482" t="s">
        <v>21</v>
      </c>
      <c r="G482">
        <v>0</v>
      </c>
      <c r="I482">
        <v>0</v>
      </c>
      <c r="N482">
        <v>0.5</v>
      </c>
      <c r="O482">
        <v>0.38</v>
      </c>
      <c r="P482">
        <v>3.5</v>
      </c>
      <c r="Q482">
        <v>-7.5</v>
      </c>
      <c r="R482">
        <v>3.5</v>
      </c>
      <c r="S482">
        <v>4</v>
      </c>
      <c r="T482">
        <v>0.5</v>
      </c>
      <c r="U482">
        <v>0</v>
      </c>
      <c r="V482">
        <v>0</v>
      </c>
      <c r="W482">
        <v>0</v>
      </c>
      <c r="X482">
        <v>0</v>
      </c>
      <c r="Y482">
        <v>0.5</v>
      </c>
      <c r="Z482">
        <v>0.5</v>
      </c>
    </row>
    <row r="483" spans="1:34">
      <c r="A483" t="s">
        <v>645</v>
      </c>
      <c r="B483">
        <v>96</v>
      </c>
      <c r="C483">
        <v>48.625</v>
      </c>
      <c r="D483">
        <v>9</v>
      </c>
      <c r="E483">
        <v>6.5625</v>
      </c>
      <c r="F483" t="s">
        <v>21</v>
      </c>
      <c r="G483">
        <v>0</v>
      </c>
      <c r="I483">
        <v>1</v>
      </c>
      <c r="J483">
        <v>0</v>
      </c>
      <c r="K483">
        <v>12</v>
      </c>
      <c r="L483" t="s">
        <v>120</v>
      </c>
      <c r="N483">
        <v>0.5</v>
      </c>
      <c r="O483">
        <v>0.38</v>
      </c>
      <c r="P483">
        <v>3.5</v>
      </c>
      <c r="Q483">
        <v>-4.5</v>
      </c>
      <c r="R483">
        <v>0</v>
      </c>
      <c r="S483">
        <v>4</v>
      </c>
      <c r="T483">
        <v>0.5</v>
      </c>
      <c r="U483">
        <v>0</v>
      </c>
      <c r="V483">
        <v>0</v>
      </c>
      <c r="W483">
        <v>0</v>
      </c>
      <c r="X483">
        <v>0</v>
      </c>
      <c r="Y483">
        <v>0.5</v>
      </c>
      <c r="Z483">
        <v>0.5</v>
      </c>
      <c r="AA483">
        <v>11.5</v>
      </c>
      <c r="AB483">
        <v>10.875</v>
      </c>
      <c r="AC483">
        <v>16.940000000000001</v>
      </c>
      <c r="AD483">
        <v>9</v>
      </c>
    </row>
    <row r="484" spans="1:34">
      <c r="A484" t="s">
        <v>646</v>
      </c>
      <c r="B484">
        <v>54</v>
      </c>
      <c r="C484">
        <v>77.75</v>
      </c>
      <c r="D484">
        <v>1.4375</v>
      </c>
      <c r="E484">
        <v>2.5625</v>
      </c>
      <c r="F484" t="s">
        <v>21</v>
      </c>
      <c r="G484">
        <v>0</v>
      </c>
      <c r="I484">
        <v>1</v>
      </c>
      <c r="J484">
        <v>0</v>
      </c>
      <c r="K484">
        <v>24</v>
      </c>
      <c r="L484" t="s">
        <v>120</v>
      </c>
      <c r="N484">
        <v>0.5</v>
      </c>
      <c r="O484">
        <v>0.38</v>
      </c>
      <c r="P484">
        <v>3.5</v>
      </c>
      <c r="Q484">
        <v>3.0625</v>
      </c>
      <c r="R484">
        <v>1.9375</v>
      </c>
      <c r="S484">
        <v>4</v>
      </c>
      <c r="T484">
        <v>0.5</v>
      </c>
      <c r="U484">
        <v>0</v>
      </c>
      <c r="V484">
        <v>1</v>
      </c>
      <c r="W484">
        <v>0</v>
      </c>
      <c r="X484">
        <v>0</v>
      </c>
      <c r="Y484">
        <v>0.5</v>
      </c>
      <c r="Z484">
        <v>0</v>
      </c>
      <c r="AA484">
        <v>11.5</v>
      </c>
      <c r="AB484">
        <v>10.875</v>
      </c>
      <c r="AC484">
        <v>4.9400000000000004</v>
      </c>
      <c r="AD484">
        <v>16.5625</v>
      </c>
    </row>
    <row r="485" spans="1:34">
      <c r="A485" t="s">
        <v>647</v>
      </c>
      <c r="B485">
        <v>98.0625</v>
      </c>
      <c r="C485">
        <v>10.6875</v>
      </c>
      <c r="D485">
        <v>10.875</v>
      </c>
      <c r="E485">
        <v>5.1875</v>
      </c>
      <c r="F485" t="s">
        <v>21</v>
      </c>
      <c r="G485">
        <v>0</v>
      </c>
      <c r="I485">
        <v>1</v>
      </c>
      <c r="J485">
        <v>0</v>
      </c>
      <c r="N485">
        <v>0.5</v>
      </c>
      <c r="O485">
        <v>0.38</v>
      </c>
      <c r="P485">
        <v>3.5</v>
      </c>
      <c r="Q485">
        <v>-6.375</v>
      </c>
      <c r="R485">
        <v>0</v>
      </c>
      <c r="S485">
        <v>4</v>
      </c>
      <c r="T485">
        <v>0.5</v>
      </c>
      <c r="U485">
        <v>0</v>
      </c>
      <c r="V485">
        <v>0</v>
      </c>
      <c r="W485">
        <v>0</v>
      </c>
      <c r="X485">
        <v>0</v>
      </c>
      <c r="Y485">
        <v>0.5</v>
      </c>
      <c r="Z485">
        <v>0.5</v>
      </c>
    </row>
    <row r="486" spans="1:34">
      <c r="A486" t="s">
        <v>648</v>
      </c>
      <c r="B486">
        <v>96</v>
      </c>
      <c r="C486">
        <v>79.25</v>
      </c>
      <c r="D486">
        <v>1</v>
      </c>
      <c r="E486">
        <v>1</v>
      </c>
      <c r="F486" t="s">
        <v>21</v>
      </c>
      <c r="G486">
        <v>0</v>
      </c>
      <c r="I486">
        <v>1</v>
      </c>
      <c r="J486">
        <v>1</v>
      </c>
      <c r="N486">
        <v>0.5</v>
      </c>
      <c r="O486">
        <v>0.38</v>
      </c>
      <c r="P486">
        <v>3.5</v>
      </c>
      <c r="Q486">
        <v>3.5</v>
      </c>
      <c r="R486">
        <v>3.5</v>
      </c>
      <c r="S486">
        <v>4</v>
      </c>
      <c r="T486">
        <v>0.5</v>
      </c>
      <c r="U486">
        <v>0</v>
      </c>
      <c r="V486">
        <v>1</v>
      </c>
      <c r="W486">
        <v>0</v>
      </c>
      <c r="X486">
        <v>1</v>
      </c>
      <c r="Y486">
        <v>0.5</v>
      </c>
      <c r="Z486">
        <v>0</v>
      </c>
    </row>
    <row r="487" spans="1:34">
      <c r="A487" t="s">
        <v>649</v>
      </c>
      <c r="B487">
        <v>40.5625</v>
      </c>
      <c r="C487">
        <v>78.4375</v>
      </c>
      <c r="D487">
        <v>4.5</v>
      </c>
      <c r="E487">
        <v>5.875</v>
      </c>
      <c r="F487" t="s">
        <v>21</v>
      </c>
      <c r="G487">
        <v>1</v>
      </c>
      <c r="H487">
        <v>0</v>
      </c>
      <c r="I487">
        <v>0</v>
      </c>
      <c r="L487" t="s">
        <v>121</v>
      </c>
      <c r="M487" t="s">
        <v>120</v>
      </c>
      <c r="N487">
        <v>0.5</v>
      </c>
      <c r="O487">
        <v>0.38</v>
      </c>
      <c r="P487">
        <v>3.5</v>
      </c>
      <c r="Q487">
        <v>0</v>
      </c>
      <c r="R487">
        <v>0</v>
      </c>
      <c r="S487">
        <v>4</v>
      </c>
      <c r="T487">
        <v>0.5</v>
      </c>
      <c r="U487">
        <v>0</v>
      </c>
      <c r="V487">
        <v>0</v>
      </c>
      <c r="W487">
        <v>0</v>
      </c>
      <c r="X487">
        <v>0</v>
      </c>
      <c r="Y487">
        <v>0.5</v>
      </c>
      <c r="Z487">
        <v>0.5</v>
      </c>
      <c r="AA487">
        <v>11</v>
      </c>
      <c r="AB487">
        <v>9.375</v>
      </c>
      <c r="AC487">
        <v>14.5</v>
      </c>
      <c r="AD487">
        <v>14.25</v>
      </c>
      <c r="AE487">
        <v>11.5</v>
      </c>
      <c r="AF487">
        <v>10.875</v>
      </c>
      <c r="AG487">
        <v>28.94</v>
      </c>
      <c r="AH487">
        <v>13.5</v>
      </c>
    </row>
    <row r="488" spans="1:34">
      <c r="A488" t="s">
        <v>650</v>
      </c>
      <c r="B488">
        <v>36.3125</v>
      </c>
      <c r="C488">
        <v>61.3125</v>
      </c>
      <c r="D488">
        <v>12</v>
      </c>
      <c r="E488">
        <v>8.125</v>
      </c>
      <c r="F488" t="s">
        <v>21</v>
      </c>
      <c r="G488">
        <v>1</v>
      </c>
      <c r="H488">
        <v>0</v>
      </c>
      <c r="I488">
        <v>1</v>
      </c>
      <c r="J488">
        <v>0</v>
      </c>
      <c r="K488">
        <v>12</v>
      </c>
      <c r="L488" t="s">
        <v>150</v>
      </c>
      <c r="N488">
        <v>0.5</v>
      </c>
      <c r="O488">
        <v>0.38</v>
      </c>
      <c r="P488">
        <v>3.5</v>
      </c>
      <c r="Q488">
        <v>-7.5</v>
      </c>
      <c r="R488">
        <v>0</v>
      </c>
      <c r="S488">
        <v>4</v>
      </c>
      <c r="T488">
        <v>0.5</v>
      </c>
      <c r="U488">
        <v>0</v>
      </c>
      <c r="V488">
        <v>0</v>
      </c>
      <c r="W488">
        <v>0</v>
      </c>
      <c r="X488">
        <v>0</v>
      </c>
      <c r="Y488">
        <v>0.5</v>
      </c>
      <c r="Z488">
        <v>0.5</v>
      </c>
      <c r="AA488">
        <v>15.5</v>
      </c>
      <c r="AB488">
        <v>28.875</v>
      </c>
      <c r="AC488">
        <v>9</v>
      </c>
      <c r="AD488">
        <v>6</v>
      </c>
    </row>
    <row r="489" spans="1:34">
      <c r="A489" t="s">
        <v>651</v>
      </c>
      <c r="B489">
        <v>87.625</v>
      </c>
      <c r="C489">
        <v>63.8125</v>
      </c>
      <c r="D489">
        <v>4.5</v>
      </c>
      <c r="E489">
        <v>1</v>
      </c>
      <c r="F489" t="s">
        <v>21</v>
      </c>
      <c r="G489">
        <v>1</v>
      </c>
      <c r="H489">
        <v>0</v>
      </c>
      <c r="I489">
        <v>1</v>
      </c>
      <c r="J489">
        <v>0</v>
      </c>
      <c r="K489">
        <v>24</v>
      </c>
      <c r="N489">
        <v>0.5</v>
      </c>
      <c r="O489">
        <v>0.38</v>
      </c>
      <c r="P489">
        <v>3.5</v>
      </c>
      <c r="Q489">
        <v>0</v>
      </c>
      <c r="R489">
        <v>3.5</v>
      </c>
      <c r="S489">
        <v>4</v>
      </c>
      <c r="T489">
        <v>0.5</v>
      </c>
      <c r="U489">
        <v>0</v>
      </c>
      <c r="V489">
        <v>0</v>
      </c>
      <c r="W489">
        <v>0</v>
      </c>
      <c r="X489">
        <v>0</v>
      </c>
      <c r="Y489">
        <v>0.5</v>
      </c>
      <c r="Z489">
        <v>0.5</v>
      </c>
    </row>
    <row r="490" spans="1:34">
      <c r="A490" t="s">
        <v>652</v>
      </c>
      <c r="B490">
        <v>78.0625</v>
      </c>
      <c r="C490">
        <v>65.9375</v>
      </c>
      <c r="D490">
        <v>1</v>
      </c>
      <c r="E490">
        <v>2.625</v>
      </c>
      <c r="F490" t="s">
        <v>21</v>
      </c>
      <c r="G490">
        <v>1</v>
      </c>
      <c r="H490">
        <v>0</v>
      </c>
      <c r="I490">
        <v>1</v>
      </c>
      <c r="J490">
        <v>0</v>
      </c>
      <c r="N490">
        <v>0.5</v>
      </c>
      <c r="O490">
        <v>0.38</v>
      </c>
      <c r="P490">
        <v>3.5</v>
      </c>
      <c r="Q490">
        <v>3.5</v>
      </c>
      <c r="R490">
        <v>1.875</v>
      </c>
      <c r="S490">
        <v>4</v>
      </c>
      <c r="T490">
        <v>0.5</v>
      </c>
      <c r="U490">
        <v>1</v>
      </c>
      <c r="V490">
        <v>1</v>
      </c>
      <c r="W490">
        <v>0</v>
      </c>
      <c r="X490">
        <v>0</v>
      </c>
      <c r="Y490">
        <v>0</v>
      </c>
      <c r="Z490">
        <v>0</v>
      </c>
    </row>
    <row r="491" spans="1:34">
      <c r="A491" t="s">
        <v>653</v>
      </c>
      <c r="B491">
        <v>105.8125</v>
      </c>
      <c r="C491">
        <v>40.5625</v>
      </c>
      <c r="D491">
        <v>9</v>
      </c>
      <c r="E491">
        <v>1</v>
      </c>
      <c r="F491" t="s">
        <v>21</v>
      </c>
      <c r="G491">
        <v>1</v>
      </c>
      <c r="H491">
        <v>0</v>
      </c>
      <c r="I491">
        <v>1</v>
      </c>
      <c r="J491">
        <v>1</v>
      </c>
      <c r="N491">
        <v>0.5</v>
      </c>
      <c r="O491">
        <v>0.38</v>
      </c>
      <c r="P491">
        <v>3.5</v>
      </c>
      <c r="Q491">
        <v>-4.5</v>
      </c>
      <c r="R491">
        <v>3.5</v>
      </c>
      <c r="S491">
        <v>4</v>
      </c>
      <c r="T491">
        <v>0.5</v>
      </c>
      <c r="U491">
        <v>0</v>
      </c>
      <c r="V491">
        <v>0</v>
      </c>
      <c r="W491">
        <v>0</v>
      </c>
      <c r="X491">
        <v>1</v>
      </c>
      <c r="Y491">
        <v>0.5</v>
      </c>
      <c r="Z491">
        <v>0.5</v>
      </c>
    </row>
    <row r="492" spans="1:34">
      <c r="A492" t="s">
        <v>654</v>
      </c>
      <c r="B492">
        <v>73.8125</v>
      </c>
      <c r="C492">
        <v>74.6875</v>
      </c>
      <c r="D492">
        <v>9</v>
      </c>
      <c r="E492">
        <v>1</v>
      </c>
      <c r="F492" t="s">
        <v>21</v>
      </c>
      <c r="G492">
        <v>1</v>
      </c>
      <c r="H492">
        <v>1</v>
      </c>
      <c r="I492">
        <v>0</v>
      </c>
      <c r="N492">
        <v>0.5</v>
      </c>
      <c r="O492">
        <v>0.38</v>
      </c>
      <c r="P492">
        <v>3.5</v>
      </c>
      <c r="Q492">
        <v>-4.5</v>
      </c>
      <c r="R492">
        <v>3.5</v>
      </c>
      <c r="S492">
        <v>4</v>
      </c>
      <c r="T492">
        <v>0.5</v>
      </c>
      <c r="U492">
        <v>0</v>
      </c>
      <c r="V492">
        <v>0</v>
      </c>
      <c r="W492">
        <v>1</v>
      </c>
      <c r="X492">
        <v>0</v>
      </c>
      <c r="Y492">
        <v>0.5</v>
      </c>
      <c r="Z492">
        <v>0.5</v>
      </c>
    </row>
    <row r="493" spans="1:34">
      <c r="A493" t="s">
        <v>655</v>
      </c>
      <c r="B493">
        <v>68.4375</v>
      </c>
      <c r="C493">
        <v>56.75</v>
      </c>
      <c r="D493">
        <v>4.5</v>
      </c>
      <c r="E493">
        <v>1</v>
      </c>
      <c r="F493" t="s">
        <v>21</v>
      </c>
      <c r="G493">
        <v>1</v>
      </c>
      <c r="H493">
        <v>1</v>
      </c>
      <c r="I493">
        <v>1</v>
      </c>
      <c r="J493">
        <v>0</v>
      </c>
      <c r="K493">
        <v>12</v>
      </c>
      <c r="L493" t="s">
        <v>150</v>
      </c>
      <c r="N493">
        <v>0.5</v>
      </c>
      <c r="O493">
        <v>0.38</v>
      </c>
      <c r="P493">
        <v>3.5</v>
      </c>
      <c r="Q493">
        <v>0</v>
      </c>
      <c r="R493">
        <v>3.5</v>
      </c>
      <c r="S493">
        <v>4</v>
      </c>
      <c r="T493">
        <v>0.5</v>
      </c>
      <c r="U493">
        <v>0</v>
      </c>
      <c r="V493">
        <v>0</v>
      </c>
      <c r="W493">
        <v>1</v>
      </c>
      <c r="X493">
        <v>0</v>
      </c>
      <c r="Y493">
        <v>0.5</v>
      </c>
      <c r="Z493">
        <v>0.5</v>
      </c>
      <c r="AA493">
        <v>15.5</v>
      </c>
      <c r="AB493">
        <v>28.875</v>
      </c>
      <c r="AC493">
        <v>9</v>
      </c>
      <c r="AD493">
        <v>13.5</v>
      </c>
    </row>
    <row r="494" spans="1:34">
      <c r="A494" t="s">
        <v>656</v>
      </c>
      <c r="B494">
        <v>88.625</v>
      </c>
      <c r="C494">
        <v>42.8125</v>
      </c>
      <c r="D494">
        <v>12</v>
      </c>
      <c r="E494">
        <v>1.3125</v>
      </c>
      <c r="F494" t="s">
        <v>21</v>
      </c>
      <c r="G494">
        <v>1</v>
      </c>
      <c r="H494">
        <v>1</v>
      </c>
      <c r="I494">
        <v>1</v>
      </c>
      <c r="J494">
        <v>0</v>
      </c>
      <c r="K494">
        <v>24</v>
      </c>
      <c r="N494">
        <v>0.5</v>
      </c>
      <c r="O494">
        <v>0.38</v>
      </c>
      <c r="P494">
        <v>3.5</v>
      </c>
      <c r="Q494">
        <v>-7.5</v>
      </c>
      <c r="R494">
        <v>3.1875</v>
      </c>
      <c r="S494">
        <v>4</v>
      </c>
      <c r="T494">
        <v>0.5</v>
      </c>
      <c r="U494">
        <v>0</v>
      </c>
      <c r="V494">
        <v>0</v>
      </c>
      <c r="W494">
        <v>1</v>
      </c>
      <c r="X494">
        <v>0</v>
      </c>
      <c r="Y494">
        <v>0.5</v>
      </c>
      <c r="Z494">
        <v>0.5</v>
      </c>
    </row>
    <row r="495" spans="1:34">
      <c r="A495" t="s">
        <v>657</v>
      </c>
      <c r="B495">
        <v>99.5</v>
      </c>
      <c r="C495">
        <v>61.125</v>
      </c>
      <c r="D495">
        <v>9.625</v>
      </c>
      <c r="E495">
        <v>1</v>
      </c>
      <c r="F495" t="s">
        <v>21</v>
      </c>
      <c r="G495">
        <v>1</v>
      </c>
      <c r="H495">
        <v>1</v>
      </c>
      <c r="I495">
        <v>1</v>
      </c>
      <c r="J495">
        <v>0</v>
      </c>
      <c r="N495">
        <v>0.5</v>
      </c>
      <c r="O495">
        <v>0.38</v>
      </c>
      <c r="P495">
        <v>3.5</v>
      </c>
      <c r="Q495">
        <v>-5.125</v>
      </c>
      <c r="R495">
        <v>3.5</v>
      </c>
      <c r="S495">
        <v>4</v>
      </c>
      <c r="T495">
        <v>0.5</v>
      </c>
      <c r="U495">
        <v>0</v>
      </c>
      <c r="V495">
        <v>0</v>
      </c>
      <c r="W495">
        <v>1</v>
      </c>
      <c r="X495">
        <v>0</v>
      </c>
      <c r="Y495">
        <v>0.5</v>
      </c>
      <c r="Z495">
        <v>0.5</v>
      </c>
    </row>
    <row r="496" spans="1:34">
      <c r="A496" t="s">
        <v>658</v>
      </c>
      <c r="B496">
        <v>96</v>
      </c>
      <c r="C496">
        <v>52.3125</v>
      </c>
      <c r="D496">
        <v>12</v>
      </c>
      <c r="E496">
        <v>3.5625</v>
      </c>
      <c r="F496" t="s">
        <v>21</v>
      </c>
      <c r="G496">
        <v>1</v>
      </c>
      <c r="H496">
        <v>1</v>
      </c>
      <c r="I496">
        <v>1</v>
      </c>
      <c r="J496">
        <v>1</v>
      </c>
      <c r="N496">
        <v>0.5</v>
      </c>
      <c r="O496">
        <v>0.38</v>
      </c>
      <c r="P496">
        <v>3.5</v>
      </c>
      <c r="Q496">
        <v>-7.5</v>
      </c>
      <c r="R496">
        <v>0.9375</v>
      </c>
      <c r="S496">
        <v>4</v>
      </c>
      <c r="T496">
        <v>0.5</v>
      </c>
      <c r="U496">
        <v>0</v>
      </c>
      <c r="V496">
        <v>0</v>
      </c>
      <c r="W496">
        <v>1</v>
      </c>
      <c r="X496">
        <v>1</v>
      </c>
      <c r="Y496">
        <v>0.5</v>
      </c>
      <c r="Z496">
        <v>0.5</v>
      </c>
    </row>
    <row r="497" spans="1:30">
      <c r="A497" t="s">
        <v>659</v>
      </c>
      <c r="B497">
        <v>28.125</v>
      </c>
      <c r="C497">
        <v>46</v>
      </c>
      <c r="D497">
        <v>12</v>
      </c>
      <c r="E497">
        <v>4.5</v>
      </c>
      <c r="F497" t="s">
        <v>156</v>
      </c>
      <c r="G497">
        <v>0</v>
      </c>
      <c r="I497">
        <v>0</v>
      </c>
      <c r="L497" t="s">
        <v>149</v>
      </c>
      <c r="N497">
        <v>0.5</v>
      </c>
      <c r="O497">
        <v>0.38</v>
      </c>
      <c r="P497">
        <v>3.5</v>
      </c>
      <c r="Q497">
        <v>-7.5</v>
      </c>
      <c r="R497">
        <v>0</v>
      </c>
      <c r="S497">
        <v>4</v>
      </c>
      <c r="T497">
        <v>0.5</v>
      </c>
      <c r="U497">
        <v>0</v>
      </c>
      <c r="V497">
        <v>0</v>
      </c>
      <c r="W497">
        <v>0</v>
      </c>
      <c r="X497">
        <v>0</v>
      </c>
      <c r="Y497">
        <v>0.5</v>
      </c>
      <c r="Z497">
        <v>0.5</v>
      </c>
    </row>
    <row r="498" spans="1:30">
      <c r="A498" t="s">
        <v>660</v>
      </c>
      <c r="B498">
        <v>4.6875</v>
      </c>
      <c r="C498">
        <v>66.25</v>
      </c>
      <c r="D498">
        <v>12</v>
      </c>
      <c r="E498">
        <v>7.75</v>
      </c>
      <c r="F498" t="s">
        <v>156</v>
      </c>
      <c r="G498">
        <v>0</v>
      </c>
      <c r="I498">
        <v>1</v>
      </c>
      <c r="J498">
        <v>0</v>
      </c>
      <c r="K498">
        <v>12</v>
      </c>
      <c r="L498" t="s">
        <v>145</v>
      </c>
      <c r="N498">
        <v>0.5</v>
      </c>
      <c r="O498">
        <v>0.38</v>
      </c>
      <c r="P498">
        <v>3.5</v>
      </c>
      <c r="Q498">
        <v>-7.5</v>
      </c>
      <c r="R498">
        <v>0</v>
      </c>
      <c r="S498">
        <v>4</v>
      </c>
      <c r="T498">
        <v>0.5</v>
      </c>
      <c r="U498">
        <v>0</v>
      </c>
      <c r="V498">
        <v>0</v>
      </c>
      <c r="W498">
        <v>0</v>
      </c>
      <c r="X498">
        <v>0</v>
      </c>
      <c r="Y498">
        <v>0.5</v>
      </c>
      <c r="Z498">
        <v>0.5</v>
      </c>
    </row>
    <row r="499" spans="1:30">
      <c r="A499" t="s">
        <v>661</v>
      </c>
      <c r="B499">
        <v>19.3125</v>
      </c>
      <c r="C499">
        <v>59.625</v>
      </c>
      <c r="D499">
        <v>5.25</v>
      </c>
      <c r="E499">
        <v>2.1875</v>
      </c>
      <c r="F499" t="s">
        <v>156</v>
      </c>
      <c r="G499">
        <v>0</v>
      </c>
      <c r="I499">
        <v>1</v>
      </c>
      <c r="J499">
        <v>0</v>
      </c>
      <c r="K499">
        <v>24</v>
      </c>
      <c r="L499" t="s">
        <v>120</v>
      </c>
      <c r="N499">
        <v>0.5</v>
      </c>
      <c r="O499">
        <v>0.38</v>
      </c>
      <c r="P499">
        <v>3.5</v>
      </c>
      <c r="Q499">
        <v>-0.75</v>
      </c>
      <c r="R499">
        <v>2.3125</v>
      </c>
      <c r="S499">
        <v>4</v>
      </c>
      <c r="T499">
        <v>0.5</v>
      </c>
      <c r="U499">
        <v>0</v>
      </c>
      <c r="V499">
        <v>0</v>
      </c>
      <c r="W499">
        <v>0</v>
      </c>
      <c r="X499">
        <v>0</v>
      </c>
      <c r="Y499">
        <v>0.5</v>
      </c>
      <c r="Z499">
        <v>0.5</v>
      </c>
    </row>
    <row r="500" spans="1:30">
      <c r="A500" t="s">
        <v>662</v>
      </c>
      <c r="B500">
        <v>10.5</v>
      </c>
      <c r="C500">
        <v>47.5</v>
      </c>
      <c r="D500">
        <v>1</v>
      </c>
      <c r="E500">
        <v>4.875</v>
      </c>
      <c r="F500" t="s">
        <v>156</v>
      </c>
      <c r="G500">
        <v>0</v>
      </c>
      <c r="I500">
        <v>1</v>
      </c>
      <c r="J500">
        <v>0</v>
      </c>
      <c r="N500">
        <v>0.5</v>
      </c>
      <c r="O500">
        <v>0.38</v>
      </c>
      <c r="P500">
        <v>3.5</v>
      </c>
      <c r="Q500">
        <v>3.5</v>
      </c>
      <c r="R500">
        <v>0</v>
      </c>
      <c r="S500">
        <v>4</v>
      </c>
      <c r="T500">
        <v>0.5</v>
      </c>
      <c r="U500">
        <v>0</v>
      </c>
      <c r="V500">
        <v>0</v>
      </c>
      <c r="W500">
        <v>0</v>
      </c>
      <c r="X500">
        <v>0</v>
      </c>
      <c r="Y500">
        <v>0.5</v>
      </c>
      <c r="Z500">
        <v>0.5</v>
      </c>
    </row>
    <row r="501" spans="1:30">
      <c r="A501" t="s">
        <v>663</v>
      </c>
      <c r="B501">
        <v>10.625</v>
      </c>
      <c r="C501">
        <v>74.0625</v>
      </c>
      <c r="D501">
        <v>9</v>
      </c>
      <c r="E501">
        <v>4.25</v>
      </c>
      <c r="F501" t="s">
        <v>156</v>
      </c>
      <c r="G501">
        <v>0</v>
      </c>
      <c r="I501">
        <v>1</v>
      </c>
      <c r="J501">
        <v>1</v>
      </c>
      <c r="N501">
        <v>0.5</v>
      </c>
      <c r="O501">
        <v>0.38</v>
      </c>
      <c r="P501">
        <v>3.5</v>
      </c>
      <c r="Q501">
        <v>-4.5</v>
      </c>
      <c r="R501">
        <v>0.25</v>
      </c>
      <c r="S501">
        <v>4</v>
      </c>
      <c r="T501">
        <v>0.5</v>
      </c>
      <c r="U501">
        <v>0</v>
      </c>
      <c r="V501">
        <v>0</v>
      </c>
      <c r="W501">
        <v>0</v>
      </c>
      <c r="X501">
        <v>1</v>
      </c>
      <c r="Y501">
        <v>0.5</v>
      </c>
      <c r="Z501">
        <v>0.5</v>
      </c>
    </row>
    <row r="502" spans="1:30">
      <c r="A502" t="s">
        <v>664</v>
      </c>
      <c r="B502">
        <v>7.25</v>
      </c>
      <c r="C502">
        <v>42.3125</v>
      </c>
      <c r="D502">
        <v>12</v>
      </c>
      <c r="E502">
        <v>1</v>
      </c>
      <c r="F502" t="s">
        <v>156</v>
      </c>
      <c r="G502">
        <v>1</v>
      </c>
      <c r="H502">
        <v>0</v>
      </c>
      <c r="I502">
        <v>0</v>
      </c>
      <c r="L502" t="s">
        <v>150</v>
      </c>
      <c r="N502">
        <v>0.5</v>
      </c>
      <c r="O502">
        <v>0.38</v>
      </c>
      <c r="P502">
        <v>3.5</v>
      </c>
      <c r="Q502">
        <v>-7.5</v>
      </c>
      <c r="R502">
        <v>3.5</v>
      </c>
      <c r="S502">
        <v>4</v>
      </c>
      <c r="T502">
        <v>0.5</v>
      </c>
      <c r="U502">
        <v>0</v>
      </c>
      <c r="V502">
        <v>0</v>
      </c>
      <c r="W502">
        <v>0</v>
      </c>
      <c r="X502">
        <v>0</v>
      </c>
      <c r="Y502">
        <v>0.5</v>
      </c>
      <c r="Z502">
        <v>0.5</v>
      </c>
    </row>
    <row r="503" spans="1:30">
      <c r="A503" t="s">
        <v>665</v>
      </c>
      <c r="B503">
        <v>46.625</v>
      </c>
      <c r="C503">
        <v>64.5</v>
      </c>
      <c r="D503">
        <v>9</v>
      </c>
      <c r="E503">
        <v>4.875</v>
      </c>
      <c r="F503" t="s">
        <v>156</v>
      </c>
      <c r="G503">
        <v>1</v>
      </c>
      <c r="H503">
        <v>0</v>
      </c>
      <c r="I503">
        <v>1</v>
      </c>
      <c r="J503">
        <v>0</v>
      </c>
      <c r="K503">
        <v>12</v>
      </c>
      <c r="L503" t="s">
        <v>120</v>
      </c>
      <c r="N503">
        <v>0.5</v>
      </c>
      <c r="O503">
        <v>0.38</v>
      </c>
      <c r="P503">
        <v>3.5</v>
      </c>
      <c r="Q503">
        <v>-4.5</v>
      </c>
      <c r="R503">
        <v>0</v>
      </c>
      <c r="S503">
        <v>4</v>
      </c>
      <c r="T503">
        <v>0.5</v>
      </c>
      <c r="U503">
        <v>0</v>
      </c>
      <c r="V503">
        <v>0</v>
      </c>
      <c r="W503">
        <v>0</v>
      </c>
      <c r="X503">
        <v>0</v>
      </c>
      <c r="Y503">
        <v>0.5</v>
      </c>
      <c r="Z503">
        <v>0.5</v>
      </c>
    </row>
    <row r="504" spans="1:30">
      <c r="A504" t="s">
        <v>666</v>
      </c>
      <c r="B504">
        <v>10.125</v>
      </c>
      <c r="C504">
        <v>79.8125</v>
      </c>
      <c r="D504">
        <v>9</v>
      </c>
      <c r="E504">
        <v>7.1875</v>
      </c>
      <c r="F504" t="s">
        <v>156</v>
      </c>
      <c r="G504">
        <v>1</v>
      </c>
      <c r="H504">
        <v>0</v>
      </c>
      <c r="I504">
        <v>1</v>
      </c>
      <c r="J504">
        <v>0</v>
      </c>
      <c r="K504">
        <v>24</v>
      </c>
      <c r="L504" t="s">
        <v>120</v>
      </c>
      <c r="N504">
        <v>0.5</v>
      </c>
      <c r="O504">
        <v>0.38</v>
      </c>
      <c r="P504">
        <v>3.5</v>
      </c>
      <c r="Q504">
        <v>-4.5</v>
      </c>
      <c r="R504">
        <v>0</v>
      </c>
      <c r="S504">
        <v>4</v>
      </c>
      <c r="T504">
        <v>0.5</v>
      </c>
      <c r="U504">
        <v>0</v>
      </c>
      <c r="V504">
        <v>0</v>
      </c>
      <c r="W504">
        <v>0</v>
      </c>
      <c r="X504">
        <v>0</v>
      </c>
      <c r="Y504">
        <v>0.5</v>
      </c>
      <c r="Z504">
        <v>0.5</v>
      </c>
    </row>
    <row r="505" spans="1:30">
      <c r="A505" t="s">
        <v>667</v>
      </c>
      <c r="B505">
        <v>39.375</v>
      </c>
      <c r="C505">
        <v>42.5625</v>
      </c>
      <c r="D505">
        <v>1.125</v>
      </c>
      <c r="E505">
        <v>4.4375</v>
      </c>
      <c r="F505" t="s">
        <v>156</v>
      </c>
      <c r="G505">
        <v>1</v>
      </c>
      <c r="H505">
        <v>0</v>
      </c>
      <c r="I505">
        <v>1</v>
      </c>
      <c r="J505">
        <v>0</v>
      </c>
      <c r="N505">
        <v>0.5</v>
      </c>
      <c r="O505">
        <v>0.38</v>
      </c>
      <c r="P505">
        <v>3.5</v>
      </c>
      <c r="Q505">
        <v>3.375</v>
      </c>
      <c r="R505">
        <v>6.25E-2</v>
      </c>
      <c r="S505">
        <v>4</v>
      </c>
      <c r="T505">
        <v>0.5</v>
      </c>
      <c r="U505">
        <v>0</v>
      </c>
      <c r="V505">
        <v>0</v>
      </c>
      <c r="W505">
        <v>0</v>
      </c>
      <c r="X505">
        <v>0</v>
      </c>
      <c r="Y505">
        <v>0.5</v>
      </c>
      <c r="Z505">
        <v>0.5</v>
      </c>
    </row>
    <row r="506" spans="1:30">
      <c r="A506" t="s">
        <v>668</v>
      </c>
      <c r="B506">
        <v>12</v>
      </c>
      <c r="C506">
        <v>43.8125</v>
      </c>
      <c r="D506">
        <v>9</v>
      </c>
      <c r="E506">
        <v>3.5</v>
      </c>
      <c r="F506" t="s">
        <v>156</v>
      </c>
      <c r="G506">
        <v>1</v>
      </c>
      <c r="H506">
        <v>0</v>
      </c>
      <c r="I506">
        <v>1</v>
      </c>
      <c r="J506">
        <v>1</v>
      </c>
      <c r="N506">
        <v>0.5</v>
      </c>
      <c r="O506">
        <v>0.38</v>
      </c>
      <c r="P506">
        <v>3.5</v>
      </c>
      <c r="Q506">
        <v>-4.5</v>
      </c>
      <c r="R506">
        <v>1</v>
      </c>
      <c r="S506">
        <v>4</v>
      </c>
      <c r="T506">
        <v>0.5</v>
      </c>
      <c r="U506">
        <v>0</v>
      </c>
      <c r="V506">
        <v>0</v>
      </c>
      <c r="W506">
        <v>0</v>
      </c>
      <c r="X506">
        <v>1</v>
      </c>
      <c r="Y506">
        <v>0.5</v>
      </c>
      <c r="Z506">
        <v>0.5</v>
      </c>
    </row>
    <row r="507" spans="1:30">
      <c r="A507" t="s">
        <v>669</v>
      </c>
      <c r="B507">
        <v>23.8125</v>
      </c>
      <c r="C507">
        <v>44.0625</v>
      </c>
      <c r="D507">
        <v>1</v>
      </c>
      <c r="E507">
        <v>8.4375</v>
      </c>
      <c r="F507" t="s">
        <v>156</v>
      </c>
      <c r="G507">
        <v>1</v>
      </c>
      <c r="H507">
        <v>1</v>
      </c>
      <c r="I507">
        <v>0</v>
      </c>
      <c r="L507" t="s">
        <v>151</v>
      </c>
      <c r="N507">
        <v>0.5</v>
      </c>
      <c r="O507">
        <v>0.38</v>
      </c>
      <c r="P507">
        <v>3.5</v>
      </c>
      <c r="Q507">
        <v>3.5</v>
      </c>
      <c r="R507">
        <v>0</v>
      </c>
      <c r="S507">
        <v>4</v>
      </c>
      <c r="T507">
        <v>0.5</v>
      </c>
      <c r="U507">
        <v>0</v>
      </c>
      <c r="V507">
        <v>0</v>
      </c>
      <c r="W507">
        <v>0</v>
      </c>
      <c r="X507">
        <v>0</v>
      </c>
      <c r="Y507">
        <v>0.5</v>
      </c>
      <c r="Z507">
        <v>0.5</v>
      </c>
    </row>
    <row r="508" spans="1:30">
      <c r="A508" t="s">
        <v>670</v>
      </c>
      <c r="B508">
        <v>3.375</v>
      </c>
      <c r="C508">
        <v>5.1875</v>
      </c>
      <c r="D508">
        <v>4.5625</v>
      </c>
      <c r="E508">
        <v>1</v>
      </c>
      <c r="F508" t="s">
        <v>156</v>
      </c>
      <c r="G508">
        <v>1</v>
      </c>
      <c r="H508">
        <v>1</v>
      </c>
      <c r="I508">
        <v>1</v>
      </c>
      <c r="J508">
        <v>0</v>
      </c>
      <c r="K508">
        <v>12</v>
      </c>
      <c r="N508">
        <v>0.5</v>
      </c>
      <c r="O508">
        <v>0.38</v>
      </c>
      <c r="P508">
        <v>3.5</v>
      </c>
      <c r="Q508">
        <v>-6.25E-2</v>
      </c>
      <c r="R508">
        <v>3.5</v>
      </c>
      <c r="S508">
        <v>4</v>
      </c>
      <c r="T508">
        <v>0.5</v>
      </c>
      <c r="U508">
        <v>0</v>
      </c>
      <c r="V508">
        <v>0</v>
      </c>
      <c r="W508">
        <v>1</v>
      </c>
      <c r="X508">
        <v>0</v>
      </c>
      <c r="Y508">
        <v>0.5</v>
      </c>
      <c r="Z508">
        <v>0.5</v>
      </c>
    </row>
    <row r="509" spans="1:30">
      <c r="A509" t="s">
        <v>671</v>
      </c>
      <c r="B509">
        <v>40.875</v>
      </c>
      <c r="C509">
        <v>62.5625</v>
      </c>
      <c r="D509">
        <v>12</v>
      </c>
      <c r="E509">
        <v>1.125</v>
      </c>
      <c r="F509" t="s">
        <v>156</v>
      </c>
      <c r="G509">
        <v>1</v>
      </c>
      <c r="H509">
        <v>1</v>
      </c>
      <c r="I509">
        <v>1</v>
      </c>
      <c r="J509">
        <v>0</v>
      </c>
      <c r="K509">
        <v>24</v>
      </c>
      <c r="L509" t="s">
        <v>120</v>
      </c>
      <c r="N509">
        <v>0.5</v>
      </c>
      <c r="O509">
        <v>0.38</v>
      </c>
      <c r="P509">
        <v>3.5</v>
      </c>
      <c r="Q509">
        <v>-7.5</v>
      </c>
      <c r="R509">
        <v>3.375</v>
      </c>
      <c r="S509">
        <v>4</v>
      </c>
      <c r="T509">
        <v>0.5</v>
      </c>
      <c r="U509">
        <v>0</v>
      </c>
      <c r="V509">
        <v>0</v>
      </c>
      <c r="W509">
        <v>1</v>
      </c>
      <c r="X509">
        <v>0</v>
      </c>
      <c r="Y509">
        <v>0.5</v>
      </c>
      <c r="Z509">
        <v>0.5</v>
      </c>
    </row>
    <row r="510" spans="1:30">
      <c r="A510" t="s">
        <v>672</v>
      </c>
      <c r="B510">
        <v>34.75</v>
      </c>
      <c r="C510">
        <v>53.25</v>
      </c>
      <c r="D510">
        <v>4.375</v>
      </c>
      <c r="E510">
        <v>5</v>
      </c>
      <c r="F510" t="s">
        <v>156</v>
      </c>
      <c r="G510">
        <v>1</v>
      </c>
      <c r="H510">
        <v>1</v>
      </c>
      <c r="I510">
        <v>1</v>
      </c>
      <c r="J510">
        <v>0</v>
      </c>
      <c r="N510">
        <v>0.5</v>
      </c>
      <c r="O510">
        <v>0.38</v>
      </c>
      <c r="P510">
        <v>3.5</v>
      </c>
      <c r="Q510">
        <v>0.125</v>
      </c>
      <c r="R510">
        <v>0</v>
      </c>
      <c r="S510">
        <v>4</v>
      </c>
      <c r="T510">
        <v>0.5</v>
      </c>
      <c r="U510">
        <v>0</v>
      </c>
      <c r="V510">
        <v>0</v>
      </c>
      <c r="W510">
        <v>0</v>
      </c>
      <c r="X510">
        <v>0</v>
      </c>
      <c r="Y510">
        <v>0.5</v>
      </c>
      <c r="Z510">
        <v>0.5</v>
      </c>
    </row>
    <row r="511" spans="1:30">
      <c r="A511" t="s">
        <v>673</v>
      </c>
      <c r="B511">
        <v>26.9375</v>
      </c>
      <c r="C511">
        <v>51.75</v>
      </c>
      <c r="D511">
        <v>4.5</v>
      </c>
      <c r="E511">
        <v>2.8125</v>
      </c>
      <c r="F511" t="s">
        <v>156</v>
      </c>
      <c r="G511">
        <v>1</v>
      </c>
      <c r="H511">
        <v>1</v>
      </c>
      <c r="I511">
        <v>1</v>
      </c>
      <c r="J511">
        <v>1</v>
      </c>
      <c r="N511">
        <v>0.5</v>
      </c>
      <c r="O511">
        <v>0.38</v>
      </c>
      <c r="P511">
        <v>3.5</v>
      </c>
      <c r="Q511">
        <v>0</v>
      </c>
      <c r="R511">
        <v>1.6875</v>
      </c>
      <c r="S511">
        <v>4</v>
      </c>
      <c r="T511">
        <v>0.5</v>
      </c>
      <c r="U511">
        <v>0</v>
      </c>
      <c r="V511">
        <v>0</v>
      </c>
      <c r="W511">
        <v>1</v>
      </c>
      <c r="X511">
        <v>1</v>
      </c>
      <c r="Y511">
        <v>0.5</v>
      </c>
      <c r="Z511">
        <v>0.5</v>
      </c>
    </row>
    <row r="512" spans="1:30">
      <c r="A512" t="s">
        <v>674</v>
      </c>
      <c r="B512">
        <v>60</v>
      </c>
      <c r="C512">
        <v>58.375</v>
      </c>
      <c r="D512">
        <v>12</v>
      </c>
      <c r="E512">
        <v>2.5</v>
      </c>
      <c r="F512" t="s">
        <v>157</v>
      </c>
      <c r="G512">
        <v>0</v>
      </c>
      <c r="I512">
        <v>0</v>
      </c>
      <c r="L512" t="s">
        <v>148</v>
      </c>
      <c r="N512">
        <v>0.5</v>
      </c>
      <c r="O512">
        <v>0.38</v>
      </c>
      <c r="P512">
        <v>3.5</v>
      </c>
      <c r="Q512">
        <v>-7.5</v>
      </c>
      <c r="R512">
        <v>2</v>
      </c>
      <c r="S512">
        <v>4</v>
      </c>
      <c r="T512">
        <v>0.5</v>
      </c>
      <c r="U512">
        <v>0</v>
      </c>
      <c r="V512">
        <v>0</v>
      </c>
      <c r="W512">
        <v>0</v>
      </c>
      <c r="X512">
        <v>0</v>
      </c>
      <c r="Y512">
        <v>0.5</v>
      </c>
      <c r="Z512">
        <v>0.5</v>
      </c>
      <c r="AA512">
        <v>15.5</v>
      </c>
      <c r="AB512">
        <v>28.875</v>
      </c>
      <c r="AC512">
        <v>21</v>
      </c>
      <c r="AD512">
        <v>6</v>
      </c>
    </row>
    <row r="513" spans="1:34">
      <c r="A513" t="s">
        <v>675</v>
      </c>
      <c r="B513">
        <v>60</v>
      </c>
      <c r="C513">
        <v>70.5</v>
      </c>
      <c r="D513">
        <v>4.5</v>
      </c>
      <c r="E513">
        <v>7.9375</v>
      </c>
      <c r="F513" t="s">
        <v>157</v>
      </c>
      <c r="G513">
        <v>0</v>
      </c>
      <c r="I513">
        <v>1</v>
      </c>
      <c r="J513">
        <v>0</v>
      </c>
      <c r="K513">
        <v>12</v>
      </c>
      <c r="L513" t="s">
        <v>120</v>
      </c>
      <c r="N513">
        <v>0.5</v>
      </c>
      <c r="O513">
        <v>0.38</v>
      </c>
      <c r="P513">
        <v>3.5</v>
      </c>
      <c r="Q513">
        <v>0</v>
      </c>
      <c r="R513">
        <v>0</v>
      </c>
      <c r="S513">
        <v>4</v>
      </c>
      <c r="T513">
        <v>0.5</v>
      </c>
      <c r="U513">
        <v>0</v>
      </c>
      <c r="V513">
        <v>0</v>
      </c>
      <c r="W513">
        <v>0</v>
      </c>
      <c r="X513">
        <v>0</v>
      </c>
      <c r="Y513">
        <v>0.5</v>
      </c>
      <c r="Z513">
        <v>0.5</v>
      </c>
      <c r="AA513">
        <v>11.5</v>
      </c>
      <c r="AB513">
        <v>10.875</v>
      </c>
      <c r="AC513">
        <v>16.940000000000001</v>
      </c>
      <c r="AD513">
        <v>13.5</v>
      </c>
    </row>
    <row r="514" spans="1:34">
      <c r="A514" t="s">
        <v>676</v>
      </c>
      <c r="B514">
        <v>60</v>
      </c>
      <c r="C514">
        <v>56.4375</v>
      </c>
      <c r="D514">
        <v>1</v>
      </c>
      <c r="E514">
        <v>4.0625</v>
      </c>
      <c r="F514" t="s">
        <v>157</v>
      </c>
      <c r="G514">
        <v>0</v>
      </c>
      <c r="I514">
        <v>1</v>
      </c>
      <c r="J514">
        <v>0</v>
      </c>
      <c r="K514">
        <v>24</v>
      </c>
      <c r="N514">
        <v>0.5</v>
      </c>
      <c r="O514">
        <v>0.38</v>
      </c>
      <c r="P514">
        <v>3.5</v>
      </c>
      <c r="Q514">
        <v>3.5</v>
      </c>
      <c r="R514">
        <v>0.4375</v>
      </c>
      <c r="S514">
        <v>4</v>
      </c>
      <c r="T514">
        <v>0.5</v>
      </c>
      <c r="U514">
        <v>0</v>
      </c>
      <c r="V514">
        <v>1</v>
      </c>
      <c r="W514">
        <v>0</v>
      </c>
      <c r="X514">
        <v>0</v>
      </c>
      <c r="Y514">
        <v>0.5</v>
      </c>
      <c r="Z514">
        <v>0</v>
      </c>
    </row>
    <row r="515" spans="1:34">
      <c r="A515" t="s">
        <v>677</v>
      </c>
      <c r="B515">
        <v>60</v>
      </c>
      <c r="C515">
        <v>69.125</v>
      </c>
      <c r="D515">
        <v>12</v>
      </c>
      <c r="E515">
        <v>4</v>
      </c>
      <c r="F515" t="s">
        <v>157</v>
      </c>
      <c r="G515">
        <v>0</v>
      </c>
      <c r="I515">
        <v>1</v>
      </c>
      <c r="J515">
        <v>0</v>
      </c>
      <c r="N515">
        <v>0.5</v>
      </c>
      <c r="O515">
        <v>0.38</v>
      </c>
      <c r="P515">
        <v>3.5</v>
      </c>
      <c r="Q515">
        <v>-7.5</v>
      </c>
      <c r="R515">
        <v>0.5</v>
      </c>
      <c r="S515">
        <v>4</v>
      </c>
      <c r="T515">
        <v>0.5</v>
      </c>
      <c r="U515">
        <v>0</v>
      </c>
      <c r="V515">
        <v>0</v>
      </c>
      <c r="W515">
        <v>0</v>
      </c>
      <c r="X515">
        <v>0</v>
      </c>
      <c r="Y515">
        <v>0.5</v>
      </c>
      <c r="Z515">
        <v>0.5</v>
      </c>
    </row>
    <row r="516" spans="1:34">
      <c r="A516" t="s">
        <v>678</v>
      </c>
      <c r="B516">
        <v>60</v>
      </c>
      <c r="C516">
        <v>23.1875</v>
      </c>
      <c r="D516">
        <v>3.625</v>
      </c>
      <c r="E516">
        <v>2.875</v>
      </c>
      <c r="F516" t="s">
        <v>157</v>
      </c>
      <c r="G516">
        <v>0</v>
      </c>
      <c r="I516">
        <v>1</v>
      </c>
      <c r="J516">
        <v>1</v>
      </c>
      <c r="N516">
        <v>0.5</v>
      </c>
      <c r="O516">
        <v>0.38</v>
      </c>
      <c r="P516">
        <v>3.5</v>
      </c>
      <c r="Q516">
        <v>0.875</v>
      </c>
      <c r="R516">
        <v>1.625</v>
      </c>
      <c r="S516">
        <v>4</v>
      </c>
      <c r="T516">
        <v>0.5</v>
      </c>
      <c r="U516">
        <v>0</v>
      </c>
      <c r="V516">
        <v>1</v>
      </c>
      <c r="W516">
        <v>0</v>
      </c>
      <c r="X516">
        <v>0</v>
      </c>
      <c r="Y516">
        <v>0.5</v>
      </c>
      <c r="Z516">
        <v>0</v>
      </c>
    </row>
    <row r="517" spans="1:34">
      <c r="A517" t="s">
        <v>679</v>
      </c>
      <c r="B517">
        <v>60</v>
      </c>
      <c r="C517">
        <v>60.1875</v>
      </c>
      <c r="D517">
        <v>12</v>
      </c>
      <c r="E517">
        <v>8.125</v>
      </c>
      <c r="F517" t="s">
        <v>157</v>
      </c>
      <c r="G517">
        <v>1</v>
      </c>
      <c r="H517">
        <v>0</v>
      </c>
      <c r="I517">
        <v>0</v>
      </c>
      <c r="L517" t="s">
        <v>119</v>
      </c>
      <c r="N517">
        <v>0.5</v>
      </c>
      <c r="O517">
        <v>0.38</v>
      </c>
      <c r="P517">
        <v>3.5</v>
      </c>
      <c r="Q517">
        <v>-7.5</v>
      </c>
      <c r="R517">
        <v>0</v>
      </c>
      <c r="S517">
        <v>4</v>
      </c>
      <c r="T517">
        <v>0.5</v>
      </c>
      <c r="U517">
        <v>0</v>
      </c>
      <c r="V517">
        <v>0</v>
      </c>
      <c r="W517">
        <v>0</v>
      </c>
      <c r="X517">
        <v>0</v>
      </c>
      <c r="Y517">
        <v>0.5</v>
      </c>
      <c r="Z517">
        <v>0.5</v>
      </c>
      <c r="AA517">
        <v>11</v>
      </c>
      <c r="AB517">
        <v>15.5</v>
      </c>
      <c r="AC517">
        <v>14.5</v>
      </c>
      <c r="AD517">
        <v>2.75</v>
      </c>
    </row>
    <row r="518" spans="1:34">
      <c r="A518" t="s">
        <v>680</v>
      </c>
      <c r="B518">
        <v>60</v>
      </c>
      <c r="C518">
        <v>67.125</v>
      </c>
      <c r="D518">
        <v>9</v>
      </c>
      <c r="E518">
        <v>1</v>
      </c>
      <c r="F518" t="s">
        <v>157</v>
      </c>
      <c r="G518">
        <v>1</v>
      </c>
      <c r="H518">
        <v>0</v>
      </c>
      <c r="I518">
        <v>1</v>
      </c>
      <c r="J518">
        <v>0</v>
      </c>
      <c r="K518">
        <v>12</v>
      </c>
      <c r="L518" t="s">
        <v>149</v>
      </c>
      <c r="N518">
        <v>0.5</v>
      </c>
      <c r="O518">
        <v>0.38</v>
      </c>
      <c r="P518">
        <v>3.5</v>
      </c>
      <c r="Q518">
        <v>-4.5</v>
      </c>
      <c r="R518">
        <v>3.5</v>
      </c>
      <c r="S518">
        <v>4</v>
      </c>
      <c r="T518">
        <v>0.5</v>
      </c>
      <c r="U518">
        <v>0</v>
      </c>
      <c r="V518">
        <v>0</v>
      </c>
      <c r="W518">
        <v>0</v>
      </c>
      <c r="X518">
        <v>0</v>
      </c>
      <c r="Y518">
        <v>0.5</v>
      </c>
      <c r="Z518">
        <v>0.5</v>
      </c>
      <c r="AA518">
        <v>15.5</v>
      </c>
      <c r="AB518">
        <v>28.875</v>
      </c>
      <c r="AC518">
        <v>9</v>
      </c>
      <c r="AD518">
        <v>9</v>
      </c>
    </row>
    <row r="519" spans="1:34">
      <c r="A519" t="s">
        <v>681</v>
      </c>
      <c r="B519">
        <v>60</v>
      </c>
      <c r="C519">
        <v>77</v>
      </c>
      <c r="D519">
        <v>7.75</v>
      </c>
      <c r="E519">
        <v>1.75</v>
      </c>
      <c r="F519" t="s">
        <v>157</v>
      </c>
      <c r="G519">
        <v>1</v>
      </c>
      <c r="H519">
        <v>0</v>
      </c>
      <c r="I519">
        <v>1</v>
      </c>
      <c r="J519">
        <v>0</v>
      </c>
      <c r="K519">
        <v>24</v>
      </c>
      <c r="L519" t="s">
        <v>120</v>
      </c>
      <c r="N519">
        <v>0.5</v>
      </c>
      <c r="O519">
        <v>0.38</v>
      </c>
      <c r="P519">
        <v>3.5</v>
      </c>
      <c r="Q519">
        <v>-3.25</v>
      </c>
      <c r="R519">
        <v>2.75</v>
      </c>
      <c r="S519">
        <v>4</v>
      </c>
      <c r="T519">
        <v>0.5</v>
      </c>
      <c r="U519">
        <v>0</v>
      </c>
      <c r="V519">
        <v>0</v>
      </c>
      <c r="W519">
        <v>0</v>
      </c>
      <c r="X519">
        <v>0</v>
      </c>
      <c r="Y519">
        <v>0.5</v>
      </c>
      <c r="Z519">
        <v>0.5</v>
      </c>
      <c r="AA519">
        <v>11.5</v>
      </c>
      <c r="AB519">
        <v>10.875</v>
      </c>
      <c r="AC519">
        <v>4.9400000000000004</v>
      </c>
      <c r="AD519">
        <v>10.25</v>
      </c>
    </row>
    <row r="520" spans="1:34">
      <c r="A520" t="s">
        <v>682</v>
      </c>
      <c r="B520">
        <v>60</v>
      </c>
      <c r="C520">
        <v>62.75</v>
      </c>
      <c r="D520">
        <v>4.125</v>
      </c>
      <c r="E520">
        <v>2.875</v>
      </c>
      <c r="F520" t="s">
        <v>157</v>
      </c>
      <c r="G520">
        <v>1</v>
      </c>
      <c r="H520">
        <v>0</v>
      </c>
      <c r="I520">
        <v>1</v>
      </c>
      <c r="J520">
        <v>0</v>
      </c>
      <c r="N520">
        <v>0.5</v>
      </c>
      <c r="O520">
        <v>0.38</v>
      </c>
      <c r="P520">
        <v>3.5</v>
      </c>
      <c r="Q520">
        <v>0.375</v>
      </c>
      <c r="R520">
        <v>1.625</v>
      </c>
      <c r="S520">
        <v>4</v>
      </c>
      <c r="T520">
        <v>0.5</v>
      </c>
      <c r="U520">
        <v>1</v>
      </c>
      <c r="V520">
        <v>1</v>
      </c>
      <c r="W520">
        <v>0</v>
      </c>
      <c r="X520">
        <v>0</v>
      </c>
      <c r="Y520">
        <v>0</v>
      </c>
      <c r="Z520">
        <v>0</v>
      </c>
    </row>
    <row r="521" spans="1:34">
      <c r="A521" t="s">
        <v>683</v>
      </c>
      <c r="B521">
        <v>60</v>
      </c>
      <c r="C521">
        <v>66.125</v>
      </c>
      <c r="D521">
        <v>4.5</v>
      </c>
      <c r="E521">
        <v>1</v>
      </c>
      <c r="F521" t="s">
        <v>157</v>
      </c>
      <c r="G521">
        <v>1</v>
      </c>
      <c r="H521">
        <v>0</v>
      </c>
      <c r="I521">
        <v>1</v>
      </c>
      <c r="J521">
        <v>1</v>
      </c>
      <c r="N521">
        <v>0.5</v>
      </c>
      <c r="O521">
        <v>0.38</v>
      </c>
      <c r="P521">
        <v>3.5</v>
      </c>
      <c r="Q521">
        <v>0</v>
      </c>
      <c r="R521">
        <v>3.5</v>
      </c>
      <c r="S521">
        <v>4</v>
      </c>
      <c r="T521">
        <v>0.5</v>
      </c>
      <c r="U521">
        <v>0</v>
      </c>
      <c r="V521">
        <v>0</v>
      </c>
      <c r="W521">
        <v>0</v>
      </c>
      <c r="X521">
        <v>0</v>
      </c>
      <c r="Y521">
        <v>0.5</v>
      </c>
      <c r="Z521">
        <v>0.5</v>
      </c>
    </row>
    <row r="522" spans="1:34">
      <c r="A522" t="s">
        <v>684</v>
      </c>
      <c r="B522">
        <v>60</v>
      </c>
      <c r="C522">
        <v>47.75</v>
      </c>
      <c r="D522">
        <v>9</v>
      </c>
      <c r="E522">
        <v>1</v>
      </c>
      <c r="F522" t="s">
        <v>157</v>
      </c>
      <c r="G522">
        <v>1</v>
      </c>
      <c r="H522">
        <v>1</v>
      </c>
      <c r="I522">
        <v>0</v>
      </c>
      <c r="L522" t="s">
        <v>121</v>
      </c>
      <c r="M522" t="s">
        <v>120</v>
      </c>
      <c r="N522">
        <v>0.5</v>
      </c>
      <c r="O522">
        <v>0.38</v>
      </c>
      <c r="P522">
        <v>3.5</v>
      </c>
      <c r="Q522">
        <v>-4.5</v>
      </c>
      <c r="R522">
        <v>3.5</v>
      </c>
      <c r="S522">
        <v>4</v>
      </c>
      <c r="T522">
        <v>0.5</v>
      </c>
      <c r="U522">
        <v>0</v>
      </c>
      <c r="V522">
        <v>0</v>
      </c>
      <c r="W522">
        <v>0</v>
      </c>
      <c r="X522">
        <v>0</v>
      </c>
      <c r="Y522">
        <v>0.5</v>
      </c>
      <c r="Z522">
        <v>0.5</v>
      </c>
      <c r="AA522">
        <v>11</v>
      </c>
      <c r="AB522">
        <v>9.375</v>
      </c>
      <c r="AC522">
        <v>14.5</v>
      </c>
      <c r="AD522">
        <v>9.75</v>
      </c>
      <c r="AE522">
        <v>11.5</v>
      </c>
      <c r="AF522">
        <v>10.875</v>
      </c>
      <c r="AG522">
        <v>28.94</v>
      </c>
      <c r="AH522">
        <v>9</v>
      </c>
    </row>
    <row r="523" spans="1:34">
      <c r="A523" t="s">
        <v>685</v>
      </c>
      <c r="B523">
        <v>60</v>
      </c>
      <c r="C523">
        <v>72.1875</v>
      </c>
      <c r="D523">
        <v>12</v>
      </c>
      <c r="E523">
        <v>7.5625</v>
      </c>
      <c r="F523" t="s">
        <v>157</v>
      </c>
      <c r="G523">
        <v>1</v>
      </c>
      <c r="H523">
        <v>1</v>
      </c>
      <c r="I523">
        <v>1</v>
      </c>
      <c r="J523">
        <v>0</v>
      </c>
      <c r="K523">
        <v>12</v>
      </c>
      <c r="L523" t="s">
        <v>120</v>
      </c>
      <c r="N523">
        <v>0.5</v>
      </c>
      <c r="O523">
        <v>0.38</v>
      </c>
      <c r="P523">
        <v>3.5</v>
      </c>
      <c r="Q523">
        <v>-7.5</v>
      </c>
      <c r="R523">
        <v>0</v>
      </c>
      <c r="S523">
        <v>4</v>
      </c>
      <c r="T523">
        <v>0.5</v>
      </c>
      <c r="U523">
        <v>0</v>
      </c>
      <c r="V523">
        <v>0</v>
      </c>
      <c r="W523">
        <v>0</v>
      </c>
      <c r="X523">
        <v>0</v>
      </c>
      <c r="Y523">
        <v>0.5</v>
      </c>
      <c r="Z523">
        <v>0.5</v>
      </c>
      <c r="AA523">
        <v>11.5</v>
      </c>
      <c r="AB523">
        <v>10.875</v>
      </c>
      <c r="AC523">
        <v>16.940000000000001</v>
      </c>
      <c r="AD523">
        <v>6</v>
      </c>
    </row>
    <row r="524" spans="1:34">
      <c r="A524" t="s">
        <v>686</v>
      </c>
      <c r="B524">
        <v>60</v>
      </c>
      <c r="C524">
        <v>61.3125</v>
      </c>
      <c r="D524">
        <v>4.5</v>
      </c>
      <c r="E524">
        <v>3.4375</v>
      </c>
      <c r="F524" t="s">
        <v>157</v>
      </c>
      <c r="G524">
        <v>1</v>
      </c>
      <c r="H524">
        <v>1</v>
      </c>
      <c r="I524">
        <v>1</v>
      </c>
      <c r="J524">
        <v>0</v>
      </c>
      <c r="K524">
        <v>24</v>
      </c>
      <c r="L524" t="s">
        <v>120</v>
      </c>
      <c r="N524">
        <v>0.5</v>
      </c>
      <c r="O524">
        <v>0.38</v>
      </c>
      <c r="P524">
        <v>3.5</v>
      </c>
      <c r="Q524">
        <v>0</v>
      </c>
      <c r="R524">
        <v>1.0625</v>
      </c>
      <c r="S524">
        <v>4</v>
      </c>
      <c r="T524">
        <v>0.5</v>
      </c>
      <c r="U524">
        <v>0</v>
      </c>
      <c r="V524">
        <v>0</v>
      </c>
      <c r="W524">
        <v>0</v>
      </c>
      <c r="X524">
        <v>0</v>
      </c>
      <c r="Y524">
        <v>0.5</v>
      </c>
      <c r="Z524">
        <v>0.5</v>
      </c>
      <c r="AA524">
        <v>11.5</v>
      </c>
      <c r="AB524">
        <v>10.875</v>
      </c>
      <c r="AC524">
        <v>4.9400000000000004</v>
      </c>
      <c r="AD524">
        <v>13.5</v>
      </c>
    </row>
    <row r="525" spans="1:34">
      <c r="A525" t="s">
        <v>687</v>
      </c>
      <c r="B525">
        <v>60</v>
      </c>
      <c r="C525">
        <v>64.375</v>
      </c>
      <c r="D525">
        <v>1</v>
      </c>
      <c r="E525">
        <v>6.4375</v>
      </c>
      <c r="F525" t="s">
        <v>157</v>
      </c>
      <c r="G525">
        <v>1</v>
      </c>
      <c r="H525">
        <v>1</v>
      </c>
      <c r="I525">
        <v>1</v>
      </c>
      <c r="J525">
        <v>0</v>
      </c>
      <c r="N525">
        <v>0.5</v>
      </c>
      <c r="O525">
        <v>0.38</v>
      </c>
      <c r="P525">
        <v>3.5</v>
      </c>
      <c r="Q525">
        <v>3.5</v>
      </c>
      <c r="R525">
        <v>0</v>
      </c>
      <c r="S525">
        <v>4</v>
      </c>
      <c r="T525">
        <v>0.5</v>
      </c>
      <c r="U525">
        <v>1</v>
      </c>
      <c r="V525">
        <v>1</v>
      </c>
      <c r="W525">
        <v>0</v>
      </c>
      <c r="X525">
        <v>0</v>
      </c>
      <c r="Y525">
        <v>0</v>
      </c>
      <c r="Z525">
        <v>0</v>
      </c>
    </row>
    <row r="526" spans="1:34">
      <c r="A526" t="s">
        <v>688</v>
      </c>
      <c r="B526">
        <v>60</v>
      </c>
      <c r="C526">
        <v>46.75</v>
      </c>
      <c r="D526">
        <v>10.1875</v>
      </c>
      <c r="E526">
        <v>8.4375</v>
      </c>
      <c r="F526" t="s">
        <v>157</v>
      </c>
      <c r="G526">
        <v>1</v>
      </c>
      <c r="H526">
        <v>1</v>
      </c>
      <c r="I526">
        <v>1</v>
      </c>
      <c r="J526">
        <v>1</v>
      </c>
      <c r="N526">
        <v>0.5</v>
      </c>
      <c r="O526">
        <v>0.38</v>
      </c>
      <c r="P526">
        <v>3.5</v>
      </c>
      <c r="Q526">
        <v>-5.6875</v>
      </c>
      <c r="R526">
        <v>0</v>
      </c>
      <c r="S526">
        <v>4</v>
      </c>
      <c r="T526">
        <v>0.5</v>
      </c>
      <c r="U526">
        <v>0</v>
      </c>
      <c r="V526">
        <v>0</v>
      </c>
      <c r="W526">
        <v>0</v>
      </c>
      <c r="X526">
        <v>0</v>
      </c>
      <c r="Y526">
        <v>0.5</v>
      </c>
      <c r="Z526">
        <v>0.5</v>
      </c>
    </row>
    <row r="527" spans="1:34">
      <c r="A527" t="s">
        <v>689</v>
      </c>
      <c r="B527">
        <v>90.125</v>
      </c>
      <c r="C527">
        <v>52.9375</v>
      </c>
      <c r="D527">
        <v>9</v>
      </c>
      <c r="E527">
        <v>7.875</v>
      </c>
      <c r="F527" t="s">
        <v>21</v>
      </c>
      <c r="G527">
        <v>0</v>
      </c>
      <c r="I527">
        <v>0</v>
      </c>
      <c r="L527" t="s">
        <v>121</v>
      </c>
      <c r="N527">
        <v>0.5</v>
      </c>
      <c r="O527">
        <v>0.38</v>
      </c>
      <c r="P527">
        <v>3.5</v>
      </c>
      <c r="Q527">
        <v>-4.5</v>
      </c>
      <c r="R527">
        <v>0</v>
      </c>
      <c r="S527">
        <v>4</v>
      </c>
      <c r="T527">
        <v>0.5</v>
      </c>
      <c r="U527">
        <v>0</v>
      </c>
      <c r="V527">
        <v>0</v>
      </c>
      <c r="W527">
        <v>0</v>
      </c>
      <c r="X527">
        <v>0</v>
      </c>
      <c r="Y527">
        <v>0.5</v>
      </c>
      <c r="Z527">
        <v>0.5</v>
      </c>
      <c r="AA527">
        <v>11</v>
      </c>
      <c r="AB527">
        <v>9.375</v>
      </c>
      <c r="AC527">
        <v>14.5</v>
      </c>
      <c r="AD527">
        <v>9.75</v>
      </c>
    </row>
    <row r="528" spans="1:34">
      <c r="A528" t="s">
        <v>690</v>
      </c>
      <c r="B528">
        <v>70.25</v>
      </c>
      <c r="C528">
        <v>58.6875</v>
      </c>
      <c r="D528">
        <v>7.5625</v>
      </c>
      <c r="E528">
        <v>1</v>
      </c>
      <c r="F528" t="s">
        <v>21</v>
      </c>
      <c r="G528">
        <v>0</v>
      </c>
      <c r="I528">
        <v>1</v>
      </c>
      <c r="J528">
        <v>0</v>
      </c>
      <c r="K528">
        <v>12</v>
      </c>
      <c r="L528" t="s">
        <v>149</v>
      </c>
      <c r="N528">
        <v>0.5</v>
      </c>
      <c r="O528">
        <v>0.38</v>
      </c>
      <c r="P528">
        <v>3.5</v>
      </c>
      <c r="Q528">
        <v>-3.0625</v>
      </c>
      <c r="R528">
        <v>3.5</v>
      </c>
      <c r="S528">
        <v>4</v>
      </c>
      <c r="T528">
        <v>0.5</v>
      </c>
      <c r="U528">
        <v>0</v>
      </c>
      <c r="V528">
        <v>0</v>
      </c>
      <c r="W528">
        <v>0</v>
      </c>
      <c r="X528">
        <v>0</v>
      </c>
      <c r="Y528">
        <v>0.5</v>
      </c>
      <c r="Z528">
        <v>0.5</v>
      </c>
      <c r="AA528">
        <v>15.5</v>
      </c>
      <c r="AB528">
        <v>28.875</v>
      </c>
      <c r="AC528">
        <v>9</v>
      </c>
      <c r="AD528">
        <v>10.4375</v>
      </c>
    </row>
    <row r="529" spans="1:30">
      <c r="A529" t="s">
        <v>691</v>
      </c>
      <c r="B529">
        <v>96</v>
      </c>
      <c r="C529">
        <v>60.125</v>
      </c>
      <c r="D529">
        <v>2.875</v>
      </c>
      <c r="E529">
        <v>1.8125</v>
      </c>
      <c r="F529" t="s">
        <v>21</v>
      </c>
      <c r="G529">
        <v>0</v>
      </c>
      <c r="I529">
        <v>1</v>
      </c>
      <c r="J529">
        <v>0</v>
      </c>
      <c r="K529">
        <v>24</v>
      </c>
      <c r="N529">
        <v>0.5</v>
      </c>
      <c r="O529">
        <v>0.38</v>
      </c>
      <c r="P529">
        <v>3.5</v>
      </c>
      <c r="Q529">
        <v>1.625</v>
      </c>
      <c r="R529">
        <v>2.6875</v>
      </c>
      <c r="S529">
        <v>4</v>
      </c>
      <c r="T529">
        <v>0.5</v>
      </c>
      <c r="U529">
        <v>0</v>
      </c>
      <c r="V529">
        <v>1</v>
      </c>
      <c r="W529">
        <v>0</v>
      </c>
      <c r="X529">
        <v>0</v>
      </c>
      <c r="Y529">
        <v>0.5</v>
      </c>
      <c r="Z529">
        <v>0</v>
      </c>
    </row>
    <row r="530" spans="1:30">
      <c r="A530" t="s">
        <v>692</v>
      </c>
      <c r="B530">
        <v>48.375</v>
      </c>
      <c r="C530">
        <v>78.8125</v>
      </c>
      <c r="D530">
        <v>2.0625</v>
      </c>
      <c r="E530">
        <v>1</v>
      </c>
      <c r="F530" t="s">
        <v>21</v>
      </c>
      <c r="G530">
        <v>0</v>
      </c>
      <c r="I530">
        <v>1</v>
      </c>
      <c r="J530">
        <v>0</v>
      </c>
      <c r="N530">
        <v>0.5</v>
      </c>
      <c r="O530">
        <v>0.38</v>
      </c>
      <c r="P530">
        <v>3.5</v>
      </c>
      <c r="Q530">
        <v>2.4375</v>
      </c>
      <c r="R530">
        <v>3.5</v>
      </c>
      <c r="S530">
        <v>4</v>
      </c>
      <c r="T530">
        <v>0.5</v>
      </c>
      <c r="U530">
        <v>0</v>
      </c>
      <c r="V530">
        <v>1</v>
      </c>
      <c r="W530">
        <v>0</v>
      </c>
      <c r="X530">
        <v>0</v>
      </c>
      <c r="Y530">
        <v>0.5</v>
      </c>
      <c r="Z530">
        <v>0</v>
      </c>
    </row>
    <row r="531" spans="1:30">
      <c r="A531" t="s">
        <v>693</v>
      </c>
      <c r="B531">
        <v>72.75</v>
      </c>
      <c r="C531">
        <v>43.5625</v>
      </c>
      <c r="D531">
        <v>12</v>
      </c>
      <c r="E531">
        <v>2.625</v>
      </c>
      <c r="F531" t="s">
        <v>21</v>
      </c>
      <c r="G531">
        <v>0</v>
      </c>
      <c r="I531">
        <v>1</v>
      </c>
      <c r="J531">
        <v>1</v>
      </c>
      <c r="N531">
        <v>0.5</v>
      </c>
      <c r="O531">
        <v>0.38</v>
      </c>
      <c r="P531">
        <v>3.5</v>
      </c>
      <c r="Q531">
        <v>-7.5</v>
      </c>
      <c r="R531">
        <v>1.875</v>
      </c>
      <c r="S531">
        <v>4</v>
      </c>
      <c r="T531">
        <v>0.5</v>
      </c>
      <c r="U531">
        <v>0</v>
      </c>
      <c r="V531">
        <v>0</v>
      </c>
      <c r="W531">
        <v>0</v>
      </c>
      <c r="X531">
        <v>1</v>
      </c>
      <c r="Y531">
        <v>0.5</v>
      </c>
      <c r="Z531">
        <v>0.5</v>
      </c>
    </row>
    <row r="532" spans="1:30">
      <c r="A532" t="s">
        <v>694</v>
      </c>
      <c r="B532">
        <v>62.6875</v>
      </c>
      <c r="C532">
        <v>66.5</v>
      </c>
      <c r="D532">
        <v>12</v>
      </c>
      <c r="E532">
        <v>1.4375</v>
      </c>
      <c r="F532" t="s">
        <v>21</v>
      </c>
      <c r="G532">
        <v>1</v>
      </c>
      <c r="H532">
        <v>0</v>
      </c>
      <c r="I532">
        <v>0</v>
      </c>
      <c r="L532" t="s">
        <v>150</v>
      </c>
      <c r="N532">
        <v>0.5</v>
      </c>
      <c r="O532">
        <v>0.38</v>
      </c>
      <c r="P532">
        <v>3.5</v>
      </c>
      <c r="Q532">
        <v>-7.5</v>
      </c>
      <c r="R532">
        <v>3.0625</v>
      </c>
      <c r="S532">
        <v>4</v>
      </c>
      <c r="T532">
        <v>0.5</v>
      </c>
      <c r="U532">
        <v>0</v>
      </c>
      <c r="V532">
        <v>0</v>
      </c>
      <c r="W532">
        <v>0</v>
      </c>
      <c r="X532">
        <v>0</v>
      </c>
      <c r="Y532">
        <v>0.5</v>
      </c>
      <c r="Z532">
        <v>0.5</v>
      </c>
      <c r="AA532">
        <v>15.5</v>
      </c>
      <c r="AB532">
        <v>28.875</v>
      </c>
      <c r="AC532">
        <v>21</v>
      </c>
      <c r="AD532">
        <v>6</v>
      </c>
    </row>
    <row r="533" spans="1:30">
      <c r="A533" t="s">
        <v>695</v>
      </c>
      <c r="B533">
        <v>106.4375</v>
      </c>
      <c r="C533">
        <v>65.1875</v>
      </c>
      <c r="D533">
        <v>12</v>
      </c>
      <c r="E533">
        <v>2.875</v>
      </c>
      <c r="F533" t="s">
        <v>21</v>
      </c>
      <c r="G533">
        <v>1</v>
      </c>
      <c r="H533">
        <v>0</v>
      </c>
      <c r="I533">
        <v>1</v>
      </c>
      <c r="J533">
        <v>0</v>
      </c>
      <c r="K533">
        <v>12</v>
      </c>
      <c r="L533" t="s">
        <v>120</v>
      </c>
      <c r="N533">
        <v>0.5</v>
      </c>
      <c r="O533">
        <v>0.38</v>
      </c>
      <c r="P533">
        <v>3.5</v>
      </c>
      <c r="Q533">
        <v>-7.5</v>
      </c>
      <c r="R533">
        <v>1.625</v>
      </c>
      <c r="S533">
        <v>4</v>
      </c>
      <c r="T533">
        <v>0.5</v>
      </c>
      <c r="U533">
        <v>0</v>
      </c>
      <c r="V533">
        <v>0</v>
      </c>
      <c r="W533">
        <v>0</v>
      </c>
      <c r="X533">
        <v>0</v>
      </c>
      <c r="Y533">
        <v>0.5</v>
      </c>
      <c r="Z533">
        <v>0.5</v>
      </c>
      <c r="AA533">
        <v>11.5</v>
      </c>
      <c r="AB533">
        <v>10.875</v>
      </c>
      <c r="AC533">
        <v>16.940000000000001</v>
      </c>
      <c r="AD533">
        <v>6</v>
      </c>
    </row>
    <row r="534" spans="1:30">
      <c r="A534" t="s">
        <v>696</v>
      </c>
      <c r="B534">
        <v>52.4375</v>
      </c>
      <c r="C534">
        <v>5.875</v>
      </c>
      <c r="D534">
        <v>8.5</v>
      </c>
      <c r="E534">
        <v>4</v>
      </c>
      <c r="F534" t="s">
        <v>21</v>
      </c>
      <c r="G534">
        <v>1</v>
      </c>
      <c r="H534">
        <v>0</v>
      </c>
      <c r="I534">
        <v>1</v>
      </c>
      <c r="J534">
        <v>0</v>
      </c>
      <c r="K534">
        <v>24</v>
      </c>
      <c r="N534">
        <v>0.5</v>
      </c>
      <c r="O534">
        <v>0.38</v>
      </c>
      <c r="P534">
        <v>3.5</v>
      </c>
      <c r="Q534">
        <v>-4</v>
      </c>
      <c r="R534">
        <v>0.5</v>
      </c>
      <c r="S534">
        <v>4</v>
      </c>
      <c r="T534">
        <v>0.5</v>
      </c>
      <c r="U534">
        <v>0</v>
      </c>
      <c r="V534">
        <v>0</v>
      </c>
      <c r="W534">
        <v>0</v>
      </c>
      <c r="X534">
        <v>0</v>
      </c>
      <c r="Y534">
        <v>0.5</v>
      </c>
      <c r="Z534">
        <v>0.5</v>
      </c>
    </row>
    <row r="535" spans="1:30">
      <c r="A535" t="s">
        <v>697</v>
      </c>
      <c r="B535">
        <v>86.4375</v>
      </c>
      <c r="C535">
        <v>69.9375</v>
      </c>
      <c r="D535">
        <v>1.625</v>
      </c>
      <c r="E535">
        <v>6.1875</v>
      </c>
      <c r="F535" t="s">
        <v>21</v>
      </c>
      <c r="G535">
        <v>1</v>
      </c>
      <c r="H535">
        <v>0</v>
      </c>
      <c r="I535">
        <v>1</v>
      </c>
      <c r="J535">
        <v>0</v>
      </c>
      <c r="N535">
        <v>0.5</v>
      </c>
      <c r="O535">
        <v>0.38</v>
      </c>
      <c r="P535">
        <v>3.5</v>
      </c>
      <c r="Q535">
        <v>2.875</v>
      </c>
      <c r="R535">
        <v>0</v>
      </c>
      <c r="S535">
        <v>4</v>
      </c>
      <c r="T535">
        <v>0.5</v>
      </c>
      <c r="U535">
        <v>1</v>
      </c>
      <c r="V535">
        <v>1</v>
      </c>
      <c r="W535">
        <v>0</v>
      </c>
      <c r="X535">
        <v>0</v>
      </c>
      <c r="Y535">
        <v>0</v>
      </c>
      <c r="Z535">
        <v>0</v>
      </c>
    </row>
    <row r="536" spans="1:30">
      <c r="A536" t="s">
        <v>698</v>
      </c>
      <c r="B536">
        <v>90.125</v>
      </c>
      <c r="C536">
        <v>46.625</v>
      </c>
      <c r="D536">
        <v>3.3125</v>
      </c>
      <c r="E536">
        <v>1.375</v>
      </c>
      <c r="F536" t="s">
        <v>21</v>
      </c>
      <c r="G536">
        <v>1</v>
      </c>
      <c r="H536">
        <v>0</v>
      </c>
      <c r="I536">
        <v>1</v>
      </c>
      <c r="J536">
        <v>1</v>
      </c>
      <c r="N536">
        <v>0.5</v>
      </c>
      <c r="O536">
        <v>0.38</v>
      </c>
      <c r="P536">
        <v>3.5</v>
      </c>
      <c r="Q536">
        <v>1.1875</v>
      </c>
      <c r="R536">
        <v>3.125</v>
      </c>
      <c r="S536">
        <v>4</v>
      </c>
      <c r="T536">
        <v>0.5</v>
      </c>
      <c r="U536">
        <v>1</v>
      </c>
      <c r="V536">
        <v>1</v>
      </c>
      <c r="W536">
        <v>0</v>
      </c>
      <c r="X536">
        <v>1</v>
      </c>
      <c r="Y536">
        <v>0</v>
      </c>
      <c r="Z536">
        <v>0</v>
      </c>
    </row>
    <row r="537" spans="1:30">
      <c r="A537" t="s">
        <v>699</v>
      </c>
      <c r="B537">
        <v>57.5625</v>
      </c>
      <c r="C537">
        <v>50.1875</v>
      </c>
      <c r="D537">
        <v>9</v>
      </c>
      <c r="E537">
        <v>3.75</v>
      </c>
      <c r="F537" t="s">
        <v>21</v>
      </c>
      <c r="G537">
        <v>1</v>
      </c>
      <c r="H537">
        <v>1</v>
      </c>
      <c r="I537">
        <v>0</v>
      </c>
      <c r="L537" t="s">
        <v>151</v>
      </c>
      <c r="N537">
        <v>0.5</v>
      </c>
      <c r="O537">
        <v>0.38</v>
      </c>
      <c r="P537">
        <v>3.5</v>
      </c>
      <c r="Q537">
        <v>-4.5</v>
      </c>
      <c r="R537">
        <v>0.75</v>
      </c>
      <c r="S537">
        <v>4</v>
      </c>
      <c r="T537">
        <v>0.5</v>
      </c>
      <c r="U537">
        <v>0</v>
      </c>
      <c r="V537">
        <v>0</v>
      </c>
      <c r="W537">
        <v>1</v>
      </c>
      <c r="X537">
        <v>0</v>
      </c>
      <c r="Y537">
        <v>0.5</v>
      </c>
      <c r="Z537">
        <v>0.5</v>
      </c>
      <c r="AA537">
        <v>15.5</v>
      </c>
      <c r="AB537">
        <v>28.875</v>
      </c>
      <c r="AC537">
        <v>21</v>
      </c>
      <c r="AD537">
        <v>9</v>
      </c>
    </row>
    <row r="538" spans="1:30">
      <c r="A538" t="s">
        <v>700</v>
      </c>
      <c r="B538">
        <v>96</v>
      </c>
      <c r="C538">
        <v>48.1875</v>
      </c>
      <c r="D538">
        <v>1</v>
      </c>
      <c r="E538">
        <v>1</v>
      </c>
      <c r="F538" t="s">
        <v>21</v>
      </c>
      <c r="G538">
        <v>1</v>
      </c>
      <c r="H538">
        <v>1</v>
      </c>
      <c r="I538">
        <v>1</v>
      </c>
      <c r="J538">
        <v>0</v>
      </c>
      <c r="K538">
        <v>12</v>
      </c>
      <c r="L538" t="s">
        <v>120</v>
      </c>
      <c r="N538">
        <v>0.5</v>
      </c>
      <c r="O538">
        <v>0.38</v>
      </c>
      <c r="P538">
        <v>3.5</v>
      </c>
      <c r="Q538">
        <v>3.5</v>
      </c>
      <c r="R538">
        <v>3.5</v>
      </c>
      <c r="S538">
        <v>4</v>
      </c>
      <c r="T538">
        <v>0.5</v>
      </c>
      <c r="U538">
        <v>1</v>
      </c>
      <c r="V538">
        <v>1</v>
      </c>
      <c r="W538">
        <v>1</v>
      </c>
      <c r="X538">
        <v>0</v>
      </c>
      <c r="Y538">
        <v>0</v>
      </c>
      <c r="Z538">
        <v>0</v>
      </c>
      <c r="AA538">
        <v>11.5</v>
      </c>
      <c r="AB538">
        <v>10.875</v>
      </c>
      <c r="AC538">
        <v>16.940000000000001</v>
      </c>
      <c r="AD538">
        <v>17</v>
      </c>
    </row>
    <row r="539" spans="1:30">
      <c r="A539" t="s">
        <v>701</v>
      </c>
      <c r="B539">
        <v>87.3125</v>
      </c>
      <c r="C539">
        <v>56.6875</v>
      </c>
      <c r="D539">
        <v>3.5625</v>
      </c>
      <c r="E539">
        <v>1</v>
      </c>
      <c r="F539" t="s">
        <v>21</v>
      </c>
      <c r="G539">
        <v>1</v>
      </c>
      <c r="H539">
        <v>1</v>
      </c>
      <c r="I539">
        <v>1</v>
      </c>
      <c r="J539">
        <v>0</v>
      </c>
      <c r="K539">
        <v>24</v>
      </c>
      <c r="L539" t="s">
        <v>120</v>
      </c>
      <c r="N539">
        <v>0.5</v>
      </c>
      <c r="O539">
        <v>0.38</v>
      </c>
      <c r="P539">
        <v>3.5</v>
      </c>
      <c r="Q539">
        <v>0.9375</v>
      </c>
      <c r="R539">
        <v>3.5</v>
      </c>
      <c r="S539">
        <v>4</v>
      </c>
      <c r="T539">
        <v>0.5</v>
      </c>
      <c r="U539">
        <v>1</v>
      </c>
      <c r="V539">
        <v>1</v>
      </c>
      <c r="W539">
        <v>1</v>
      </c>
      <c r="X539">
        <v>0</v>
      </c>
      <c r="Y539">
        <v>0</v>
      </c>
      <c r="Z539">
        <v>0</v>
      </c>
      <c r="AA539">
        <v>11.5</v>
      </c>
      <c r="AB539">
        <v>10.875</v>
      </c>
      <c r="AC539">
        <v>4.9400000000000004</v>
      </c>
      <c r="AD539">
        <v>14.4375</v>
      </c>
    </row>
    <row r="540" spans="1:30">
      <c r="A540" t="s">
        <v>702</v>
      </c>
      <c r="B540">
        <v>98.5</v>
      </c>
      <c r="C540">
        <v>78.125</v>
      </c>
      <c r="D540">
        <v>1</v>
      </c>
      <c r="E540">
        <v>8</v>
      </c>
      <c r="F540" t="s">
        <v>21</v>
      </c>
      <c r="G540">
        <v>1</v>
      </c>
      <c r="H540">
        <v>1</v>
      </c>
      <c r="I540">
        <v>1</v>
      </c>
      <c r="J540">
        <v>0</v>
      </c>
      <c r="N540">
        <v>0.5</v>
      </c>
      <c r="O540">
        <v>0.38</v>
      </c>
      <c r="P540">
        <v>3.5</v>
      </c>
      <c r="Q540">
        <v>3.5</v>
      </c>
      <c r="R540">
        <v>0</v>
      </c>
      <c r="S540">
        <v>4</v>
      </c>
      <c r="T540">
        <v>0.5</v>
      </c>
      <c r="U540">
        <v>1</v>
      </c>
      <c r="V540">
        <v>1</v>
      </c>
      <c r="W540">
        <v>0</v>
      </c>
      <c r="X540">
        <v>0</v>
      </c>
      <c r="Y540">
        <v>0</v>
      </c>
      <c r="Z540">
        <v>0</v>
      </c>
    </row>
    <row r="541" spans="1:30">
      <c r="A541" t="s">
        <v>703</v>
      </c>
      <c r="B541">
        <v>36</v>
      </c>
      <c r="C541">
        <v>40.9375</v>
      </c>
      <c r="D541">
        <v>3.9375</v>
      </c>
      <c r="E541">
        <v>5</v>
      </c>
      <c r="F541" t="s">
        <v>21</v>
      </c>
      <c r="G541">
        <v>1</v>
      </c>
      <c r="H541">
        <v>1</v>
      </c>
      <c r="I541">
        <v>1</v>
      </c>
      <c r="J541">
        <v>1</v>
      </c>
      <c r="N541">
        <v>0.5</v>
      </c>
      <c r="O541">
        <v>0.38</v>
      </c>
      <c r="P541">
        <v>3.5</v>
      </c>
      <c r="Q541">
        <v>0.5625</v>
      </c>
      <c r="R541">
        <v>0</v>
      </c>
      <c r="S541">
        <v>4</v>
      </c>
      <c r="T541">
        <v>0.5</v>
      </c>
      <c r="U541">
        <v>1</v>
      </c>
      <c r="V541">
        <v>1</v>
      </c>
      <c r="W541">
        <v>0</v>
      </c>
      <c r="X541">
        <v>0</v>
      </c>
      <c r="Y541">
        <v>0</v>
      </c>
      <c r="Z541">
        <v>0</v>
      </c>
    </row>
    <row r="542" spans="1:30">
      <c r="A542" t="s">
        <v>704</v>
      </c>
      <c r="B542">
        <v>9.25</v>
      </c>
      <c r="C542">
        <v>66.1875</v>
      </c>
      <c r="D542">
        <v>12</v>
      </c>
      <c r="E542">
        <v>8.375</v>
      </c>
      <c r="F542" t="s">
        <v>156</v>
      </c>
      <c r="G542">
        <v>0</v>
      </c>
      <c r="I542">
        <v>0</v>
      </c>
      <c r="L542" t="s">
        <v>145</v>
      </c>
      <c r="N542">
        <v>0.5</v>
      </c>
      <c r="O542">
        <v>0.38</v>
      </c>
      <c r="P542">
        <v>3.5</v>
      </c>
      <c r="Q542">
        <v>-7.5</v>
      </c>
      <c r="R542">
        <v>0</v>
      </c>
      <c r="S542">
        <v>4</v>
      </c>
      <c r="T542">
        <v>0.5</v>
      </c>
      <c r="U542">
        <v>0</v>
      </c>
      <c r="V542">
        <v>0</v>
      </c>
      <c r="W542">
        <v>0</v>
      </c>
      <c r="X542">
        <v>0</v>
      </c>
      <c r="Y542">
        <v>0.5</v>
      </c>
      <c r="Z542">
        <v>0.5</v>
      </c>
    </row>
    <row r="543" spans="1:30">
      <c r="A543" t="s">
        <v>705</v>
      </c>
      <c r="B543">
        <v>27.5</v>
      </c>
      <c r="C543">
        <v>75.5</v>
      </c>
      <c r="D543">
        <v>2.8125</v>
      </c>
      <c r="E543">
        <v>3.75</v>
      </c>
      <c r="F543" t="s">
        <v>156</v>
      </c>
      <c r="G543">
        <v>0</v>
      </c>
      <c r="I543">
        <v>1</v>
      </c>
      <c r="J543">
        <v>0</v>
      </c>
      <c r="K543">
        <v>12</v>
      </c>
      <c r="L543" t="s">
        <v>120</v>
      </c>
      <c r="N543">
        <v>0.5</v>
      </c>
      <c r="O543">
        <v>0.38</v>
      </c>
      <c r="P543">
        <v>3.5</v>
      </c>
      <c r="Q543">
        <v>1.6875</v>
      </c>
      <c r="R543">
        <v>0.75</v>
      </c>
      <c r="S543">
        <v>4</v>
      </c>
      <c r="T543">
        <v>0.5</v>
      </c>
      <c r="U543">
        <v>0</v>
      </c>
      <c r="V543">
        <v>0</v>
      </c>
      <c r="W543">
        <v>0</v>
      </c>
      <c r="X543">
        <v>0</v>
      </c>
      <c r="Y543">
        <v>0.5</v>
      </c>
      <c r="Z543">
        <v>0.5</v>
      </c>
    </row>
    <row r="544" spans="1:30">
      <c r="A544" t="s">
        <v>706</v>
      </c>
      <c r="B544">
        <v>47.5</v>
      </c>
      <c r="C544">
        <v>48.6875</v>
      </c>
      <c r="D544">
        <v>3.5</v>
      </c>
      <c r="E544">
        <v>1</v>
      </c>
      <c r="F544" t="s">
        <v>156</v>
      </c>
      <c r="G544">
        <v>0</v>
      </c>
      <c r="I544">
        <v>1</v>
      </c>
      <c r="J544">
        <v>0</v>
      </c>
      <c r="K544">
        <v>24</v>
      </c>
      <c r="N544">
        <v>0.5</v>
      </c>
      <c r="O544">
        <v>0.38</v>
      </c>
      <c r="P544">
        <v>3.5</v>
      </c>
      <c r="Q544">
        <v>1</v>
      </c>
      <c r="R544">
        <v>3.5</v>
      </c>
      <c r="S544">
        <v>4</v>
      </c>
      <c r="T544">
        <v>0.5</v>
      </c>
      <c r="U544">
        <v>0</v>
      </c>
      <c r="V544">
        <v>0</v>
      </c>
      <c r="W544">
        <v>0</v>
      </c>
      <c r="X544">
        <v>0</v>
      </c>
      <c r="Y544">
        <v>0.5</v>
      </c>
      <c r="Z544">
        <v>0.5</v>
      </c>
    </row>
    <row r="545" spans="1:34">
      <c r="A545" t="s">
        <v>707</v>
      </c>
      <c r="B545">
        <v>35.9375</v>
      </c>
      <c r="C545">
        <v>55.5625</v>
      </c>
      <c r="D545">
        <v>1</v>
      </c>
      <c r="E545">
        <v>1</v>
      </c>
      <c r="F545" t="s">
        <v>156</v>
      </c>
      <c r="G545">
        <v>0</v>
      </c>
      <c r="I545">
        <v>1</v>
      </c>
      <c r="J545">
        <v>0</v>
      </c>
      <c r="N545">
        <v>0.5</v>
      </c>
      <c r="O545">
        <v>0.38</v>
      </c>
      <c r="P545">
        <v>3.5</v>
      </c>
      <c r="Q545">
        <v>3.5</v>
      </c>
      <c r="R545">
        <v>3.5</v>
      </c>
      <c r="S545">
        <v>4</v>
      </c>
      <c r="T545">
        <v>0.5</v>
      </c>
      <c r="U545">
        <v>0</v>
      </c>
      <c r="V545">
        <v>0</v>
      </c>
      <c r="W545">
        <v>0</v>
      </c>
      <c r="X545">
        <v>0</v>
      </c>
      <c r="Y545">
        <v>0.5</v>
      </c>
      <c r="Z545">
        <v>0.5</v>
      </c>
    </row>
    <row r="546" spans="1:34">
      <c r="A546" t="s">
        <v>708</v>
      </c>
      <c r="B546">
        <v>6.625</v>
      </c>
      <c r="C546">
        <v>79.0625</v>
      </c>
      <c r="D546">
        <v>12</v>
      </c>
      <c r="E546">
        <v>1</v>
      </c>
      <c r="F546" t="s">
        <v>156</v>
      </c>
      <c r="G546">
        <v>0</v>
      </c>
      <c r="I546">
        <v>1</v>
      </c>
      <c r="J546">
        <v>1</v>
      </c>
      <c r="N546">
        <v>0.5</v>
      </c>
      <c r="O546">
        <v>0.38</v>
      </c>
      <c r="P546">
        <v>3.5</v>
      </c>
      <c r="Q546">
        <v>-7.5</v>
      </c>
      <c r="R546">
        <v>3.5</v>
      </c>
      <c r="S546">
        <v>4</v>
      </c>
      <c r="T546">
        <v>0.5</v>
      </c>
      <c r="U546">
        <v>0</v>
      </c>
      <c r="V546">
        <v>0</v>
      </c>
      <c r="W546">
        <v>0</v>
      </c>
      <c r="X546">
        <v>1</v>
      </c>
      <c r="Y546">
        <v>0.5</v>
      </c>
      <c r="Z546">
        <v>0.5</v>
      </c>
    </row>
    <row r="547" spans="1:34">
      <c r="A547" t="s">
        <v>709</v>
      </c>
      <c r="B547">
        <v>15.4375</v>
      </c>
      <c r="C547">
        <v>71.5625</v>
      </c>
      <c r="D547">
        <v>2.875</v>
      </c>
      <c r="E547">
        <v>3.625</v>
      </c>
      <c r="F547" t="s">
        <v>156</v>
      </c>
      <c r="G547">
        <v>1</v>
      </c>
      <c r="H547">
        <v>0</v>
      </c>
      <c r="I547">
        <v>0</v>
      </c>
      <c r="L547" t="s">
        <v>120</v>
      </c>
      <c r="N547">
        <v>0.5</v>
      </c>
      <c r="O547">
        <v>0.38</v>
      </c>
      <c r="P547">
        <v>3.5</v>
      </c>
      <c r="Q547">
        <v>1.625</v>
      </c>
      <c r="R547">
        <v>0.875</v>
      </c>
      <c r="S547">
        <v>4</v>
      </c>
      <c r="T547">
        <v>0.5</v>
      </c>
      <c r="U547">
        <v>0</v>
      </c>
      <c r="V547">
        <v>0</v>
      </c>
      <c r="W547">
        <v>0</v>
      </c>
      <c r="X547">
        <v>0</v>
      </c>
      <c r="Y547">
        <v>0.5</v>
      </c>
      <c r="Z547">
        <v>0.5</v>
      </c>
    </row>
    <row r="548" spans="1:34">
      <c r="A548" t="s">
        <v>710</v>
      </c>
      <c r="B548">
        <v>30.3125</v>
      </c>
      <c r="C548">
        <v>54.375</v>
      </c>
      <c r="D548">
        <v>12</v>
      </c>
      <c r="E548">
        <v>7.3125</v>
      </c>
      <c r="F548" t="s">
        <v>156</v>
      </c>
      <c r="G548">
        <v>1</v>
      </c>
      <c r="H548">
        <v>0</v>
      </c>
      <c r="I548">
        <v>1</v>
      </c>
      <c r="J548">
        <v>0</v>
      </c>
      <c r="K548">
        <v>12</v>
      </c>
      <c r="L548" t="s">
        <v>35</v>
      </c>
      <c r="N548">
        <v>0.5</v>
      </c>
      <c r="O548">
        <v>0.38</v>
      </c>
      <c r="P548">
        <v>3.5</v>
      </c>
      <c r="Q548">
        <v>-7.5</v>
      </c>
      <c r="R548">
        <v>0</v>
      </c>
      <c r="S548">
        <v>4</v>
      </c>
      <c r="T548">
        <v>0.5</v>
      </c>
      <c r="U548">
        <v>0</v>
      </c>
      <c r="V548">
        <v>0</v>
      </c>
      <c r="W548">
        <v>0</v>
      </c>
      <c r="X548">
        <v>0</v>
      </c>
      <c r="Y548">
        <v>0.5</v>
      </c>
      <c r="Z548">
        <v>0.5</v>
      </c>
    </row>
    <row r="549" spans="1:34">
      <c r="A549" t="s">
        <v>711</v>
      </c>
      <c r="B549">
        <v>5.4375</v>
      </c>
      <c r="C549">
        <v>40.75</v>
      </c>
      <c r="D549">
        <v>10.1875</v>
      </c>
      <c r="E549">
        <v>1</v>
      </c>
      <c r="F549" t="s">
        <v>156</v>
      </c>
      <c r="G549">
        <v>1</v>
      </c>
      <c r="H549">
        <v>0</v>
      </c>
      <c r="I549">
        <v>1</v>
      </c>
      <c r="J549">
        <v>0</v>
      </c>
      <c r="K549">
        <v>24</v>
      </c>
      <c r="L549" t="s">
        <v>120</v>
      </c>
      <c r="N549">
        <v>0.5</v>
      </c>
      <c r="O549">
        <v>0.38</v>
      </c>
      <c r="P549">
        <v>3.5</v>
      </c>
      <c r="Q549">
        <v>-5.6875</v>
      </c>
      <c r="R549">
        <v>3.5</v>
      </c>
      <c r="S549">
        <v>4</v>
      </c>
      <c r="T549">
        <v>0.5</v>
      </c>
      <c r="U549">
        <v>0</v>
      </c>
      <c r="V549">
        <v>0</v>
      </c>
      <c r="W549">
        <v>0</v>
      </c>
      <c r="X549">
        <v>0</v>
      </c>
      <c r="Y549">
        <v>0.5</v>
      </c>
      <c r="Z549">
        <v>0.5</v>
      </c>
    </row>
    <row r="550" spans="1:34">
      <c r="A550" t="s">
        <v>712</v>
      </c>
      <c r="B550">
        <v>5.125</v>
      </c>
      <c r="C550">
        <v>42.875</v>
      </c>
      <c r="D550">
        <v>3.5625</v>
      </c>
      <c r="E550">
        <v>1</v>
      </c>
      <c r="F550" t="s">
        <v>156</v>
      </c>
      <c r="G550">
        <v>1</v>
      </c>
      <c r="H550">
        <v>0</v>
      </c>
      <c r="I550">
        <v>1</v>
      </c>
      <c r="J550">
        <v>0</v>
      </c>
      <c r="N550">
        <v>0.5</v>
      </c>
      <c r="O550">
        <v>0.38</v>
      </c>
      <c r="P550">
        <v>3.5</v>
      </c>
      <c r="Q550">
        <v>0.9375</v>
      </c>
      <c r="R550">
        <v>3.5</v>
      </c>
      <c r="S550">
        <v>4</v>
      </c>
      <c r="T550">
        <v>0.5</v>
      </c>
      <c r="U550">
        <v>0</v>
      </c>
      <c r="V550">
        <v>0</v>
      </c>
      <c r="W550">
        <v>0</v>
      </c>
      <c r="X550">
        <v>0</v>
      </c>
      <c r="Y550">
        <v>0.5</v>
      </c>
      <c r="Z550">
        <v>0.5</v>
      </c>
    </row>
    <row r="551" spans="1:34">
      <c r="A551" t="s">
        <v>713</v>
      </c>
      <c r="B551">
        <v>37.125</v>
      </c>
      <c r="C551">
        <v>78.75</v>
      </c>
      <c r="D551">
        <v>1</v>
      </c>
      <c r="E551">
        <v>5</v>
      </c>
      <c r="F551" t="s">
        <v>156</v>
      </c>
      <c r="G551">
        <v>1</v>
      </c>
      <c r="H551">
        <v>0</v>
      </c>
      <c r="I551">
        <v>1</v>
      </c>
      <c r="J551">
        <v>1</v>
      </c>
      <c r="N551">
        <v>0.5</v>
      </c>
      <c r="O551">
        <v>0.38</v>
      </c>
      <c r="P551">
        <v>3.5</v>
      </c>
      <c r="Q551">
        <v>3.5</v>
      </c>
      <c r="R551">
        <v>0</v>
      </c>
      <c r="S551">
        <v>4</v>
      </c>
      <c r="T551">
        <v>0.5</v>
      </c>
      <c r="U551">
        <v>0</v>
      </c>
      <c r="V551">
        <v>0</v>
      </c>
      <c r="W551">
        <v>0</v>
      </c>
      <c r="X551">
        <v>0</v>
      </c>
      <c r="Y551">
        <v>0.5</v>
      </c>
      <c r="Z551">
        <v>0.5</v>
      </c>
    </row>
    <row r="552" spans="1:34">
      <c r="A552" t="s">
        <v>714</v>
      </c>
      <c r="B552">
        <v>42.3125</v>
      </c>
      <c r="C552">
        <v>42.0625</v>
      </c>
      <c r="D552">
        <v>12</v>
      </c>
      <c r="E552">
        <v>2.0625</v>
      </c>
      <c r="F552" t="s">
        <v>156</v>
      </c>
      <c r="G552">
        <v>1</v>
      </c>
      <c r="H552">
        <v>1</v>
      </c>
      <c r="I552">
        <v>0</v>
      </c>
      <c r="L552" t="s">
        <v>120</v>
      </c>
      <c r="N552">
        <v>0.5</v>
      </c>
      <c r="O552">
        <v>0.38</v>
      </c>
      <c r="P552">
        <v>3.5</v>
      </c>
      <c r="Q552">
        <v>-7.5</v>
      </c>
      <c r="R552">
        <v>2.4375</v>
      </c>
      <c r="S552">
        <v>4</v>
      </c>
      <c r="T552">
        <v>0.5</v>
      </c>
      <c r="U552">
        <v>0</v>
      </c>
      <c r="V552">
        <v>0</v>
      </c>
      <c r="W552">
        <v>1</v>
      </c>
      <c r="X552">
        <v>0</v>
      </c>
      <c r="Y552">
        <v>0.5</v>
      </c>
      <c r="Z552">
        <v>0.5</v>
      </c>
    </row>
    <row r="553" spans="1:34">
      <c r="A553" t="s">
        <v>715</v>
      </c>
      <c r="B553">
        <v>12.3125</v>
      </c>
      <c r="C553">
        <v>44.25</v>
      </c>
      <c r="D553">
        <v>12</v>
      </c>
      <c r="E553">
        <v>2.875</v>
      </c>
      <c r="F553" t="s">
        <v>156</v>
      </c>
      <c r="G553">
        <v>1</v>
      </c>
      <c r="H553">
        <v>1</v>
      </c>
      <c r="I553">
        <v>1</v>
      </c>
      <c r="J553">
        <v>0</v>
      </c>
      <c r="K553">
        <v>12</v>
      </c>
      <c r="L553" t="s">
        <v>149</v>
      </c>
      <c r="N553">
        <v>0.5</v>
      </c>
      <c r="O553">
        <v>0.38</v>
      </c>
      <c r="P553">
        <v>3.5</v>
      </c>
      <c r="Q553">
        <v>-7.5</v>
      </c>
      <c r="R553">
        <v>1.625</v>
      </c>
      <c r="S553">
        <v>4</v>
      </c>
      <c r="T553">
        <v>0.5</v>
      </c>
      <c r="U553">
        <v>0</v>
      </c>
      <c r="V553">
        <v>0</v>
      </c>
      <c r="W553">
        <v>1</v>
      </c>
      <c r="X553">
        <v>0</v>
      </c>
      <c r="Y553">
        <v>0.5</v>
      </c>
      <c r="Z553">
        <v>0.5</v>
      </c>
    </row>
    <row r="554" spans="1:34">
      <c r="A554" t="s">
        <v>716</v>
      </c>
      <c r="B554">
        <v>38.4375</v>
      </c>
      <c r="C554">
        <v>74.875</v>
      </c>
      <c r="D554">
        <v>9</v>
      </c>
      <c r="E554">
        <v>1</v>
      </c>
      <c r="F554" t="s">
        <v>156</v>
      </c>
      <c r="G554">
        <v>1</v>
      </c>
      <c r="H554">
        <v>1</v>
      </c>
      <c r="I554">
        <v>1</v>
      </c>
      <c r="J554">
        <v>0</v>
      </c>
      <c r="K554">
        <v>24</v>
      </c>
      <c r="L554" t="s">
        <v>120</v>
      </c>
      <c r="N554">
        <v>0.5</v>
      </c>
      <c r="O554">
        <v>0.38</v>
      </c>
      <c r="P554">
        <v>3.5</v>
      </c>
      <c r="Q554">
        <v>-4.5</v>
      </c>
      <c r="R554">
        <v>3.5</v>
      </c>
      <c r="S554">
        <v>4</v>
      </c>
      <c r="T554">
        <v>0.5</v>
      </c>
      <c r="U554">
        <v>0</v>
      </c>
      <c r="V554">
        <v>0</v>
      </c>
      <c r="W554">
        <v>1</v>
      </c>
      <c r="X554">
        <v>0</v>
      </c>
      <c r="Y554">
        <v>0.5</v>
      </c>
      <c r="Z554">
        <v>0.5</v>
      </c>
    </row>
    <row r="555" spans="1:34">
      <c r="A555" t="s">
        <v>717</v>
      </c>
      <c r="B555">
        <v>31</v>
      </c>
      <c r="C555">
        <v>44.375</v>
      </c>
      <c r="D555">
        <v>4.5</v>
      </c>
      <c r="E555">
        <v>8.375</v>
      </c>
      <c r="F555" t="s">
        <v>156</v>
      </c>
      <c r="G555">
        <v>1</v>
      </c>
      <c r="H555">
        <v>1</v>
      </c>
      <c r="I555">
        <v>1</v>
      </c>
      <c r="J555">
        <v>0</v>
      </c>
      <c r="N555">
        <v>0.5</v>
      </c>
      <c r="O555">
        <v>0.38</v>
      </c>
      <c r="P555">
        <v>3.5</v>
      </c>
      <c r="Q555">
        <v>0</v>
      </c>
      <c r="R555">
        <v>0</v>
      </c>
      <c r="S555">
        <v>4</v>
      </c>
      <c r="T555">
        <v>0.5</v>
      </c>
      <c r="U555">
        <v>0</v>
      </c>
      <c r="V555">
        <v>0</v>
      </c>
      <c r="W555">
        <v>0</v>
      </c>
      <c r="X555">
        <v>0</v>
      </c>
      <c r="Y555">
        <v>0.5</v>
      </c>
      <c r="Z555">
        <v>0.5</v>
      </c>
    </row>
    <row r="556" spans="1:34">
      <c r="A556" t="s">
        <v>718</v>
      </c>
      <c r="B556">
        <v>39.625</v>
      </c>
      <c r="C556">
        <v>35.5</v>
      </c>
      <c r="D556">
        <v>1</v>
      </c>
      <c r="E556">
        <v>8</v>
      </c>
      <c r="F556" t="s">
        <v>156</v>
      </c>
      <c r="G556">
        <v>1</v>
      </c>
      <c r="H556">
        <v>1</v>
      </c>
      <c r="I556">
        <v>1</v>
      </c>
      <c r="J556">
        <v>1</v>
      </c>
      <c r="N556">
        <v>0.5</v>
      </c>
      <c r="O556">
        <v>0.38</v>
      </c>
      <c r="P556">
        <v>3.5</v>
      </c>
      <c r="Q556">
        <v>3.5</v>
      </c>
      <c r="R556">
        <v>0</v>
      </c>
      <c r="S556">
        <v>4</v>
      </c>
      <c r="T556">
        <v>0.5</v>
      </c>
      <c r="U556">
        <v>0</v>
      </c>
      <c r="V556">
        <v>0</v>
      </c>
      <c r="W556">
        <v>0</v>
      </c>
      <c r="X556">
        <v>0</v>
      </c>
      <c r="Y556">
        <v>0.5</v>
      </c>
      <c r="Z556">
        <v>0.5</v>
      </c>
    </row>
    <row r="557" spans="1:34">
      <c r="A557" t="s">
        <v>719</v>
      </c>
      <c r="B557">
        <v>60</v>
      </c>
      <c r="C557">
        <v>56.875</v>
      </c>
      <c r="D557">
        <v>4.5</v>
      </c>
      <c r="E557">
        <v>8.125</v>
      </c>
      <c r="F557" t="s">
        <v>157</v>
      </c>
      <c r="G557">
        <v>0</v>
      </c>
      <c r="I557">
        <v>0</v>
      </c>
      <c r="L557" t="s">
        <v>119</v>
      </c>
      <c r="M557" t="s">
        <v>120</v>
      </c>
      <c r="N557">
        <v>0.5</v>
      </c>
      <c r="O557">
        <v>0.38</v>
      </c>
      <c r="P557">
        <v>3.5</v>
      </c>
      <c r="Q557">
        <v>0</v>
      </c>
      <c r="R557">
        <v>0</v>
      </c>
      <c r="S557">
        <v>4</v>
      </c>
      <c r="T557">
        <v>0.5</v>
      </c>
      <c r="U557">
        <v>0</v>
      </c>
      <c r="V557">
        <v>0</v>
      </c>
      <c r="W557">
        <v>0</v>
      </c>
      <c r="X557">
        <v>0</v>
      </c>
      <c r="Y557">
        <v>0.5</v>
      </c>
      <c r="Z557">
        <v>0.5</v>
      </c>
      <c r="AA557">
        <v>11</v>
      </c>
      <c r="AB557">
        <v>15.5</v>
      </c>
      <c r="AC557">
        <v>14.5</v>
      </c>
      <c r="AD557">
        <v>10.25</v>
      </c>
      <c r="AE557">
        <v>11.5</v>
      </c>
      <c r="AF557">
        <v>10.875</v>
      </c>
      <c r="AG557">
        <v>28.94</v>
      </c>
      <c r="AH557">
        <v>13.5</v>
      </c>
    </row>
    <row r="558" spans="1:34">
      <c r="A558" t="s">
        <v>720</v>
      </c>
      <c r="B558">
        <v>60</v>
      </c>
      <c r="C558">
        <v>48.4375</v>
      </c>
      <c r="D558">
        <v>12</v>
      </c>
      <c r="E558">
        <v>5.5625</v>
      </c>
      <c r="F558" t="s">
        <v>157</v>
      </c>
      <c r="G558">
        <v>0</v>
      </c>
      <c r="I558">
        <v>1</v>
      </c>
      <c r="J558">
        <v>0</v>
      </c>
      <c r="K558">
        <v>12</v>
      </c>
      <c r="L558" t="s">
        <v>145</v>
      </c>
      <c r="N558">
        <v>0.5</v>
      </c>
      <c r="O558">
        <v>0.38</v>
      </c>
      <c r="P558">
        <v>3.5</v>
      </c>
      <c r="Q558">
        <v>-7.5</v>
      </c>
      <c r="R558">
        <v>0</v>
      </c>
      <c r="S558">
        <v>4</v>
      </c>
      <c r="T558">
        <v>0.5</v>
      </c>
      <c r="U558">
        <v>0</v>
      </c>
      <c r="V558">
        <v>0</v>
      </c>
      <c r="W558">
        <v>0</v>
      </c>
      <c r="X558">
        <v>0</v>
      </c>
      <c r="Y558">
        <v>0.5</v>
      </c>
      <c r="Z558">
        <v>0.5</v>
      </c>
      <c r="AA558">
        <v>15.5</v>
      </c>
      <c r="AB558">
        <v>28.875</v>
      </c>
      <c r="AC558">
        <v>14</v>
      </c>
      <c r="AD558">
        <v>18.13</v>
      </c>
    </row>
    <row r="559" spans="1:34">
      <c r="A559" t="s">
        <v>721</v>
      </c>
      <c r="B559">
        <v>60</v>
      </c>
      <c r="C559">
        <v>75.4375</v>
      </c>
      <c r="D559">
        <v>3.125</v>
      </c>
      <c r="E559">
        <v>1</v>
      </c>
      <c r="F559" t="s">
        <v>157</v>
      </c>
      <c r="G559">
        <v>0</v>
      </c>
      <c r="I559">
        <v>1</v>
      </c>
      <c r="J559">
        <v>0</v>
      </c>
      <c r="K559">
        <v>24</v>
      </c>
      <c r="L559" t="s">
        <v>120</v>
      </c>
      <c r="N559">
        <v>0.5</v>
      </c>
      <c r="O559">
        <v>0.38</v>
      </c>
      <c r="P559">
        <v>3.5</v>
      </c>
      <c r="Q559">
        <v>1.375</v>
      </c>
      <c r="R559">
        <v>3.5</v>
      </c>
      <c r="S559">
        <v>4</v>
      </c>
      <c r="T559">
        <v>0.5</v>
      </c>
      <c r="U559">
        <v>0</v>
      </c>
      <c r="V559">
        <v>1</v>
      </c>
      <c r="W559">
        <v>0</v>
      </c>
      <c r="X559">
        <v>0</v>
      </c>
      <c r="Y559">
        <v>0.5</v>
      </c>
      <c r="Z559">
        <v>0</v>
      </c>
      <c r="AA559">
        <v>11.5</v>
      </c>
      <c r="AB559">
        <v>10.875</v>
      </c>
      <c r="AC559">
        <v>4.9400000000000004</v>
      </c>
      <c r="AD559">
        <v>14.875</v>
      </c>
    </row>
    <row r="560" spans="1:34">
      <c r="A560" t="s">
        <v>722</v>
      </c>
      <c r="B560">
        <v>60</v>
      </c>
      <c r="C560">
        <v>50.9375</v>
      </c>
      <c r="D560">
        <v>1</v>
      </c>
      <c r="E560">
        <v>4.25</v>
      </c>
      <c r="F560" t="s">
        <v>157</v>
      </c>
      <c r="G560">
        <v>0</v>
      </c>
      <c r="I560">
        <v>1</v>
      </c>
      <c r="J560">
        <v>0</v>
      </c>
      <c r="N560">
        <v>0.5</v>
      </c>
      <c r="O560">
        <v>0.38</v>
      </c>
      <c r="P560">
        <v>3.5</v>
      </c>
      <c r="Q560">
        <v>3.5</v>
      </c>
      <c r="R560">
        <v>0.25</v>
      </c>
      <c r="S560">
        <v>4</v>
      </c>
      <c r="T560">
        <v>0.5</v>
      </c>
      <c r="U560">
        <v>0</v>
      </c>
      <c r="V560">
        <v>1</v>
      </c>
      <c r="W560">
        <v>0</v>
      </c>
      <c r="X560">
        <v>0</v>
      </c>
      <c r="Y560">
        <v>0.5</v>
      </c>
      <c r="Z560">
        <v>0</v>
      </c>
    </row>
    <row r="561" spans="1:30">
      <c r="A561" t="s">
        <v>723</v>
      </c>
      <c r="B561">
        <v>60</v>
      </c>
      <c r="C561">
        <v>61.5</v>
      </c>
      <c r="D561">
        <v>5.625</v>
      </c>
      <c r="E561">
        <v>1</v>
      </c>
      <c r="F561" t="s">
        <v>157</v>
      </c>
      <c r="G561">
        <v>0</v>
      </c>
      <c r="I561">
        <v>1</v>
      </c>
      <c r="J561">
        <v>1</v>
      </c>
      <c r="N561">
        <v>0.5</v>
      </c>
      <c r="O561">
        <v>0.38</v>
      </c>
      <c r="P561">
        <v>3.5</v>
      </c>
      <c r="Q561">
        <v>-1.125</v>
      </c>
      <c r="R561">
        <v>3.5</v>
      </c>
      <c r="S561">
        <v>4</v>
      </c>
      <c r="T561">
        <v>0.5</v>
      </c>
      <c r="U561">
        <v>0</v>
      </c>
      <c r="V561">
        <v>0</v>
      </c>
      <c r="W561">
        <v>0</v>
      </c>
      <c r="X561">
        <v>0</v>
      </c>
      <c r="Y561">
        <v>0.5</v>
      </c>
      <c r="Z561">
        <v>0.5</v>
      </c>
    </row>
    <row r="562" spans="1:30">
      <c r="A562" t="s">
        <v>724</v>
      </c>
      <c r="B562">
        <v>60</v>
      </c>
      <c r="C562">
        <v>64.875</v>
      </c>
      <c r="D562">
        <v>1.0625</v>
      </c>
      <c r="E562">
        <v>2.625</v>
      </c>
      <c r="F562" t="s">
        <v>157</v>
      </c>
      <c r="G562">
        <v>1</v>
      </c>
      <c r="H562">
        <v>0</v>
      </c>
      <c r="I562">
        <v>0</v>
      </c>
      <c r="L562" t="s">
        <v>35</v>
      </c>
      <c r="N562">
        <v>0.5</v>
      </c>
      <c r="O562">
        <v>0.38</v>
      </c>
      <c r="P562">
        <v>3.5</v>
      </c>
      <c r="Q562">
        <v>3.4375</v>
      </c>
      <c r="R562">
        <v>1.875</v>
      </c>
      <c r="S562">
        <v>4</v>
      </c>
      <c r="T562">
        <v>0.5</v>
      </c>
      <c r="U562">
        <v>1</v>
      </c>
      <c r="V562">
        <v>0</v>
      </c>
      <c r="W562">
        <v>0</v>
      </c>
      <c r="X562">
        <v>0</v>
      </c>
      <c r="Y562">
        <v>0</v>
      </c>
      <c r="Z562">
        <v>0.5</v>
      </c>
      <c r="AA562">
        <v>15.5</v>
      </c>
      <c r="AB562">
        <v>28.875</v>
      </c>
      <c r="AC562">
        <v>26</v>
      </c>
      <c r="AD562">
        <v>29.067499999999999</v>
      </c>
    </row>
    <row r="563" spans="1:30">
      <c r="A563" t="s">
        <v>725</v>
      </c>
      <c r="B563">
        <v>60</v>
      </c>
      <c r="C563">
        <v>45.0625</v>
      </c>
      <c r="D563">
        <v>12</v>
      </c>
      <c r="E563">
        <v>2.5625</v>
      </c>
      <c r="F563" t="s">
        <v>157</v>
      </c>
      <c r="G563">
        <v>1</v>
      </c>
      <c r="H563">
        <v>0</v>
      </c>
      <c r="I563">
        <v>1</v>
      </c>
      <c r="J563">
        <v>0</v>
      </c>
      <c r="K563">
        <v>12</v>
      </c>
      <c r="L563" t="s">
        <v>35</v>
      </c>
      <c r="N563">
        <v>0.5</v>
      </c>
      <c r="O563">
        <v>0.38</v>
      </c>
      <c r="P563">
        <v>3.5</v>
      </c>
      <c r="Q563">
        <v>-7.5</v>
      </c>
      <c r="R563">
        <v>1.9375</v>
      </c>
      <c r="S563">
        <v>4</v>
      </c>
      <c r="T563">
        <v>0.5</v>
      </c>
      <c r="U563">
        <v>0</v>
      </c>
      <c r="V563">
        <v>0</v>
      </c>
      <c r="W563">
        <v>0</v>
      </c>
      <c r="X563">
        <v>0</v>
      </c>
      <c r="Y563">
        <v>0.5</v>
      </c>
      <c r="Z563">
        <v>0.5</v>
      </c>
      <c r="AA563">
        <v>15.5</v>
      </c>
      <c r="AB563">
        <v>28.875</v>
      </c>
      <c r="AC563">
        <v>14</v>
      </c>
      <c r="AD563">
        <v>18.13</v>
      </c>
    </row>
    <row r="564" spans="1:30">
      <c r="A564" t="s">
        <v>726</v>
      </c>
      <c r="B564">
        <v>60</v>
      </c>
      <c r="C564">
        <v>58.3125</v>
      </c>
      <c r="D564">
        <v>10.875</v>
      </c>
      <c r="E564">
        <v>2.4375</v>
      </c>
      <c r="F564" t="s">
        <v>157</v>
      </c>
      <c r="G564">
        <v>1</v>
      </c>
      <c r="H564">
        <v>0</v>
      </c>
      <c r="I564">
        <v>1</v>
      </c>
      <c r="J564">
        <v>0</v>
      </c>
      <c r="K564">
        <v>24</v>
      </c>
      <c r="L564" t="s">
        <v>120</v>
      </c>
      <c r="N564">
        <v>0.5</v>
      </c>
      <c r="O564">
        <v>0.38</v>
      </c>
      <c r="P564">
        <v>3.5</v>
      </c>
      <c r="Q564">
        <v>-6.375</v>
      </c>
      <c r="R564">
        <v>2.0625</v>
      </c>
      <c r="S564">
        <v>4</v>
      </c>
      <c r="T564">
        <v>0.5</v>
      </c>
      <c r="U564">
        <v>0</v>
      </c>
      <c r="V564">
        <v>0</v>
      </c>
      <c r="W564">
        <v>0</v>
      </c>
      <c r="X564">
        <v>0</v>
      </c>
      <c r="Y564">
        <v>0.5</v>
      </c>
      <c r="Z564">
        <v>0.5</v>
      </c>
      <c r="AA564">
        <v>11.5</v>
      </c>
      <c r="AB564">
        <v>10.875</v>
      </c>
      <c r="AC564">
        <v>4.9400000000000004</v>
      </c>
      <c r="AD564">
        <v>7.125</v>
      </c>
    </row>
    <row r="565" spans="1:30">
      <c r="A565" t="s">
        <v>727</v>
      </c>
      <c r="B565">
        <v>60</v>
      </c>
      <c r="C565">
        <v>68.25</v>
      </c>
      <c r="D565">
        <v>1</v>
      </c>
      <c r="E565">
        <v>7.0625</v>
      </c>
      <c r="F565" t="s">
        <v>157</v>
      </c>
      <c r="G565">
        <v>1</v>
      </c>
      <c r="H565">
        <v>0</v>
      </c>
      <c r="I565">
        <v>1</v>
      </c>
      <c r="J565">
        <v>0</v>
      </c>
      <c r="N565">
        <v>0.5</v>
      </c>
      <c r="O565">
        <v>0.38</v>
      </c>
      <c r="P565">
        <v>3.5</v>
      </c>
      <c r="Q565">
        <v>3.5</v>
      </c>
      <c r="R565">
        <v>0</v>
      </c>
      <c r="S565">
        <v>4</v>
      </c>
      <c r="T565">
        <v>0.5</v>
      </c>
      <c r="U565">
        <v>1</v>
      </c>
      <c r="V565">
        <v>1</v>
      </c>
      <c r="W565">
        <v>0</v>
      </c>
      <c r="X565">
        <v>0</v>
      </c>
      <c r="Y565">
        <v>0</v>
      </c>
      <c r="Z565">
        <v>0</v>
      </c>
    </row>
    <row r="566" spans="1:30">
      <c r="A566" t="s">
        <v>728</v>
      </c>
      <c r="B566">
        <v>60</v>
      </c>
      <c r="C566">
        <v>43.4375</v>
      </c>
      <c r="D566">
        <v>6.3125</v>
      </c>
      <c r="E566">
        <v>1</v>
      </c>
      <c r="F566" t="s">
        <v>157</v>
      </c>
      <c r="G566">
        <v>1</v>
      </c>
      <c r="H566">
        <v>0</v>
      </c>
      <c r="I566">
        <v>1</v>
      </c>
      <c r="J566">
        <v>1</v>
      </c>
      <c r="N566">
        <v>0.5</v>
      </c>
      <c r="O566">
        <v>0.38</v>
      </c>
      <c r="P566">
        <v>3.5</v>
      </c>
      <c r="Q566">
        <v>-1.8125</v>
      </c>
      <c r="R566">
        <v>3.5</v>
      </c>
      <c r="S566">
        <v>4</v>
      </c>
      <c r="T566">
        <v>0.5</v>
      </c>
      <c r="U566">
        <v>0</v>
      </c>
      <c r="V566">
        <v>0</v>
      </c>
      <c r="W566">
        <v>0</v>
      </c>
      <c r="X566">
        <v>0</v>
      </c>
      <c r="Y566">
        <v>0.5</v>
      </c>
      <c r="Z566">
        <v>0.5</v>
      </c>
    </row>
    <row r="567" spans="1:30">
      <c r="A567" t="s">
        <v>729</v>
      </c>
      <c r="B567">
        <v>60</v>
      </c>
      <c r="C567">
        <v>76.125</v>
      </c>
      <c r="D567">
        <v>10.8125</v>
      </c>
      <c r="E567">
        <v>2.5</v>
      </c>
      <c r="F567" t="s">
        <v>157</v>
      </c>
      <c r="G567">
        <v>1</v>
      </c>
      <c r="H567">
        <v>1</v>
      </c>
      <c r="I567">
        <v>0</v>
      </c>
      <c r="L567" t="s">
        <v>119</v>
      </c>
      <c r="N567">
        <v>0.5</v>
      </c>
      <c r="O567">
        <v>0.38</v>
      </c>
      <c r="P567">
        <v>3.5</v>
      </c>
      <c r="Q567">
        <v>-6.3125</v>
      </c>
      <c r="R567">
        <v>2</v>
      </c>
      <c r="S567">
        <v>4</v>
      </c>
      <c r="T567">
        <v>0.5</v>
      </c>
      <c r="U567">
        <v>0</v>
      </c>
      <c r="V567">
        <v>0</v>
      </c>
      <c r="W567">
        <v>0</v>
      </c>
      <c r="X567">
        <v>0</v>
      </c>
      <c r="Y567">
        <v>0.5</v>
      </c>
      <c r="Z567">
        <v>0.5</v>
      </c>
      <c r="AA567">
        <v>11</v>
      </c>
      <c r="AB567">
        <v>15.5</v>
      </c>
      <c r="AC567">
        <v>14.5</v>
      </c>
      <c r="AD567">
        <v>3.9375</v>
      </c>
    </row>
    <row r="568" spans="1:30">
      <c r="A568" t="s">
        <v>730</v>
      </c>
      <c r="B568">
        <v>60</v>
      </c>
      <c r="C568">
        <v>67.8125</v>
      </c>
      <c r="D568">
        <v>12</v>
      </c>
      <c r="E568">
        <v>4.8125</v>
      </c>
      <c r="F568" t="s">
        <v>157</v>
      </c>
      <c r="G568">
        <v>1</v>
      </c>
      <c r="H568">
        <v>1</v>
      </c>
      <c r="I568">
        <v>1</v>
      </c>
      <c r="J568">
        <v>0</v>
      </c>
      <c r="K568">
        <v>12</v>
      </c>
      <c r="L568" t="s">
        <v>35</v>
      </c>
      <c r="N568">
        <v>0.5</v>
      </c>
      <c r="O568">
        <v>0.38</v>
      </c>
      <c r="P568">
        <v>3.5</v>
      </c>
      <c r="Q568">
        <v>-7.5</v>
      </c>
      <c r="R568">
        <v>0</v>
      </c>
      <c r="S568">
        <v>4</v>
      </c>
      <c r="T568">
        <v>0.5</v>
      </c>
      <c r="U568">
        <v>0</v>
      </c>
      <c r="V568">
        <v>0</v>
      </c>
      <c r="W568">
        <v>0</v>
      </c>
      <c r="X568">
        <v>0</v>
      </c>
      <c r="Y568">
        <v>0.5</v>
      </c>
      <c r="Z568">
        <v>0.5</v>
      </c>
      <c r="AA568">
        <v>15.5</v>
      </c>
      <c r="AB568">
        <v>28.875</v>
      </c>
      <c r="AC568">
        <v>14</v>
      </c>
      <c r="AD568">
        <v>18.13</v>
      </c>
    </row>
    <row r="569" spans="1:30">
      <c r="A569" t="s">
        <v>731</v>
      </c>
      <c r="B569">
        <v>60</v>
      </c>
      <c r="C569">
        <v>19.25</v>
      </c>
      <c r="D569">
        <v>12</v>
      </c>
      <c r="E569">
        <v>7.375</v>
      </c>
      <c r="F569" t="s">
        <v>157</v>
      </c>
      <c r="G569">
        <v>1</v>
      </c>
      <c r="H569">
        <v>1</v>
      </c>
      <c r="I569">
        <v>1</v>
      </c>
      <c r="J569">
        <v>0</v>
      </c>
      <c r="K569">
        <v>24</v>
      </c>
      <c r="N569">
        <v>0.5</v>
      </c>
      <c r="O569">
        <v>0.38</v>
      </c>
      <c r="P569">
        <v>3.5</v>
      </c>
      <c r="Q569">
        <v>-7.5</v>
      </c>
      <c r="R569">
        <v>0</v>
      </c>
      <c r="S569">
        <v>4</v>
      </c>
      <c r="T569">
        <v>0.5</v>
      </c>
      <c r="U569">
        <v>0</v>
      </c>
      <c r="V569">
        <v>0</v>
      </c>
      <c r="W569">
        <v>0</v>
      </c>
      <c r="X569">
        <v>0</v>
      </c>
      <c r="Y569">
        <v>0.5</v>
      </c>
      <c r="Z569">
        <v>0.5</v>
      </c>
    </row>
    <row r="570" spans="1:30">
      <c r="A570" t="s">
        <v>732</v>
      </c>
      <c r="B570">
        <v>60</v>
      </c>
      <c r="C570">
        <v>42.3125</v>
      </c>
      <c r="D570">
        <v>2.625</v>
      </c>
      <c r="E570">
        <v>6.5625</v>
      </c>
      <c r="F570" t="s">
        <v>157</v>
      </c>
      <c r="G570">
        <v>1</v>
      </c>
      <c r="H570">
        <v>1</v>
      </c>
      <c r="I570">
        <v>1</v>
      </c>
      <c r="J570">
        <v>0</v>
      </c>
      <c r="N570">
        <v>0.5</v>
      </c>
      <c r="O570">
        <v>0.38</v>
      </c>
      <c r="P570">
        <v>3.5</v>
      </c>
      <c r="Q570">
        <v>1.875</v>
      </c>
      <c r="R570">
        <v>0</v>
      </c>
      <c r="S570">
        <v>4</v>
      </c>
      <c r="T570">
        <v>0.5</v>
      </c>
      <c r="U570">
        <v>1</v>
      </c>
      <c r="V570">
        <v>1</v>
      </c>
      <c r="W570">
        <v>0</v>
      </c>
      <c r="X570">
        <v>0</v>
      </c>
      <c r="Y570">
        <v>0</v>
      </c>
      <c r="Z570">
        <v>0</v>
      </c>
    </row>
    <row r="571" spans="1:30">
      <c r="A571" t="s">
        <v>733</v>
      </c>
      <c r="B571">
        <v>60</v>
      </c>
      <c r="C571">
        <v>70</v>
      </c>
      <c r="D571">
        <v>1</v>
      </c>
      <c r="E571">
        <v>5.875</v>
      </c>
      <c r="F571" t="s">
        <v>157</v>
      </c>
      <c r="G571">
        <v>1</v>
      </c>
      <c r="H571">
        <v>1</v>
      </c>
      <c r="I571">
        <v>1</v>
      </c>
      <c r="J571">
        <v>1</v>
      </c>
      <c r="N571">
        <v>0.5</v>
      </c>
      <c r="O571">
        <v>0.38</v>
      </c>
      <c r="P571">
        <v>3.5</v>
      </c>
      <c r="Q571">
        <v>3.5</v>
      </c>
      <c r="R571">
        <v>0</v>
      </c>
      <c r="S571">
        <v>4</v>
      </c>
      <c r="T571">
        <v>0.5</v>
      </c>
      <c r="U571">
        <v>1</v>
      </c>
      <c r="V571">
        <v>1</v>
      </c>
      <c r="W571">
        <v>0</v>
      </c>
      <c r="X571">
        <v>0</v>
      </c>
      <c r="Y571">
        <v>0</v>
      </c>
      <c r="Z571">
        <v>0</v>
      </c>
    </row>
    <row r="572" spans="1:30">
      <c r="A572" t="s">
        <v>734</v>
      </c>
      <c r="B572">
        <v>48.0625</v>
      </c>
      <c r="C572">
        <v>66.5</v>
      </c>
      <c r="D572">
        <v>3.9375</v>
      </c>
      <c r="E572">
        <v>6.125</v>
      </c>
      <c r="F572" t="s">
        <v>21</v>
      </c>
      <c r="G572">
        <v>0</v>
      </c>
      <c r="I572">
        <v>0</v>
      </c>
      <c r="L572" t="s">
        <v>151</v>
      </c>
      <c r="N572">
        <v>0.5</v>
      </c>
      <c r="O572">
        <v>0.38</v>
      </c>
      <c r="P572">
        <v>3.5</v>
      </c>
      <c r="Q572">
        <v>0.5625</v>
      </c>
      <c r="R572">
        <v>0</v>
      </c>
      <c r="S572">
        <v>4</v>
      </c>
      <c r="T572">
        <v>0.5</v>
      </c>
      <c r="U572">
        <v>0</v>
      </c>
      <c r="V572">
        <v>0</v>
      </c>
      <c r="W572">
        <v>0</v>
      </c>
      <c r="X572">
        <v>0</v>
      </c>
      <c r="Y572">
        <v>0.5</v>
      </c>
      <c r="Z572">
        <v>0.5</v>
      </c>
      <c r="AA572">
        <v>15.5</v>
      </c>
      <c r="AB572">
        <v>28.875</v>
      </c>
      <c r="AC572">
        <v>21</v>
      </c>
      <c r="AD572">
        <v>14.0625</v>
      </c>
    </row>
    <row r="573" spans="1:30">
      <c r="A573" t="s">
        <v>735</v>
      </c>
      <c r="B573">
        <v>83.6875</v>
      </c>
      <c r="C573">
        <v>63.4375</v>
      </c>
      <c r="D573">
        <v>11.9375</v>
      </c>
      <c r="E573">
        <v>1</v>
      </c>
      <c r="F573" t="s">
        <v>21</v>
      </c>
      <c r="G573">
        <v>0</v>
      </c>
      <c r="I573">
        <v>1</v>
      </c>
      <c r="J573">
        <v>0</v>
      </c>
      <c r="K573">
        <v>12</v>
      </c>
      <c r="L573" t="s">
        <v>120</v>
      </c>
      <c r="N573">
        <v>0.5</v>
      </c>
      <c r="O573">
        <v>0.38</v>
      </c>
      <c r="P573">
        <v>3.5</v>
      </c>
      <c r="Q573">
        <v>-7.4375</v>
      </c>
      <c r="R573">
        <v>3.5</v>
      </c>
      <c r="S573">
        <v>4</v>
      </c>
      <c r="T573">
        <v>0.5</v>
      </c>
      <c r="U573">
        <v>0</v>
      </c>
      <c r="V573">
        <v>0</v>
      </c>
      <c r="W573">
        <v>0</v>
      </c>
      <c r="X573">
        <v>0</v>
      </c>
      <c r="Y573">
        <v>0.5</v>
      </c>
      <c r="Z573">
        <v>0.5</v>
      </c>
      <c r="AA573">
        <v>11.5</v>
      </c>
      <c r="AB573">
        <v>10.875</v>
      </c>
      <c r="AC573">
        <v>16.940000000000001</v>
      </c>
      <c r="AD573">
        <v>6.0625</v>
      </c>
    </row>
    <row r="574" spans="1:30">
      <c r="A574" t="s">
        <v>736</v>
      </c>
      <c r="B574">
        <v>81.6875</v>
      </c>
      <c r="C574">
        <v>69.0625</v>
      </c>
      <c r="D574">
        <v>4.5</v>
      </c>
      <c r="E574">
        <v>3</v>
      </c>
      <c r="F574" t="s">
        <v>21</v>
      </c>
      <c r="G574">
        <v>0</v>
      </c>
      <c r="I574">
        <v>1</v>
      </c>
      <c r="J574">
        <v>0</v>
      </c>
      <c r="K574">
        <v>24</v>
      </c>
      <c r="L574" t="s">
        <v>120</v>
      </c>
      <c r="N574">
        <v>0.5</v>
      </c>
      <c r="O574">
        <v>0.38</v>
      </c>
      <c r="P574">
        <v>3.5</v>
      </c>
      <c r="Q574">
        <v>0</v>
      </c>
      <c r="R574">
        <v>1.5</v>
      </c>
      <c r="S574">
        <v>4</v>
      </c>
      <c r="T574">
        <v>0.5</v>
      </c>
      <c r="U574">
        <v>0</v>
      </c>
      <c r="V574">
        <v>0</v>
      </c>
      <c r="W574">
        <v>0</v>
      </c>
      <c r="X574">
        <v>0</v>
      </c>
      <c r="Y574">
        <v>0.5</v>
      </c>
      <c r="Z574">
        <v>0.5</v>
      </c>
      <c r="AA574">
        <v>11.5</v>
      </c>
      <c r="AB574">
        <v>10.875</v>
      </c>
      <c r="AC574">
        <v>4.9400000000000004</v>
      </c>
      <c r="AD574">
        <v>13.5</v>
      </c>
    </row>
    <row r="575" spans="1:30">
      <c r="A575" t="s">
        <v>737</v>
      </c>
      <c r="B575">
        <v>104.1875</v>
      </c>
      <c r="C575">
        <v>61.25</v>
      </c>
      <c r="D575">
        <v>3.75</v>
      </c>
      <c r="E575">
        <v>8.375</v>
      </c>
      <c r="F575" t="s">
        <v>21</v>
      </c>
      <c r="G575">
        <v>0</v>
      </c>
      <c r="I575">
        <v>1</v>
      </c>
      <c r="J575">
        <v>0</v>
      </c>
      <c r="N575">
        <v>0.5</v>
      </c>
      <c r="O575">
        <v>0.38</v>
      </c>
      <c r="P575">
        <v>3.5</v>
      </c>
      <c r="Q575">
        <v>0.75</v>
      </c>
      <c r="R575">
        <v>0</v>
      </c>
      <c r="S575">
        <v>4</v>
      </c>
      <c r="T575">
        <v>0.5</v>
      </c>
      <c r="U575">
        <v>0</v>
      </c>
      <c r="V575">
        <v>1</v>
      </c>
      <c r="W575">
        <v>0</v>
      </c>
      <c r="X575">
        <v>0</v>
      </c>
      <c r="Y575">
        <v>0.5</v>
      </c>
      <c r="Z575">
        <v>0</v>
      </c>
    </row>
    <row r="576" spans="1:30">
      <c r="A576" t="s">
        <v>738</v>
      </c>
      <c r="B576">
        <v>96</v>
      </c>
      <c r="C576">
        <v>52.125</v>
      </c>
      <c r="D576">
        <v>1</v>
      </c>
      <c r="E576">
        <v>3.8125</v>
      </c>
      <c r="F576" t="s">
        <v>21</v>
      </c>
      <c r="G576">
        <v>0</v>
      </c>
      <c r="I576">
        <v>1</v>
      </c>
      <c r="J576">
        <v>1</v>
      </c>
      <c r="N576">
        <v>0.5</v>
      </c>
      <c r="O576">
        <v>0.38</v>
      </c>
      <c r="P576">
        <v>3.5</v>
      </c>
      <c r="Q576">
        <v>3.5</v>
      </c>
      <c r="R576">
        <v>0.6875</v>
      </c>
      <c r="S576">
        <v>4</v>
      </c>
      <c r="T576">
        <v>0.5</v>
      </c>
      <c r="U576">
        <v>0</v>
      </c>
      <c r="V576">
        <v>1</v>
      </c>
      <c r="W576">
        <v>0</v>
      </c>
      <c r="X576">
        <v>1</v>
      </c>
      <c r="Y576">
        <v>0.5</v>
      </c>
      <c r="Z576">
        <v>0</v>
      </c>
    </row>
    <row r="577" spans="1:34">
      <c r="A577" t="s">
        <v>739</v>
      </c>
      <c r="B577">
        <v>66.125</v>
      </c>
      <c r="C577">
        <v>70.375</v>
      </c>
      <c r="D577">
        <v>12</v>
      </c>
      <c r="E577">
        <v>8</v>
      </c>
      <c r="F577" t="s">
        <v>21</v>
      </c>
      <c r="G577">
        <v>1</v>
      </c>
      <c r="H577">
        <v>0</v>
      </c>
      <c r="I577">
        <v>0</v>
      </c>
      <c r="N577">
        <v>0.5</v>
      </c>
      <c r="O577">
        <v>0.38</v>
      </c>
      <c r="P577">
        <v>3.5</v>
      </c>
      <c r="Q577">
        <v>-7.5</v>
      </c>
      <c r="R577">
        <v>0</v>
      </c>
      <c r="S577">
        <v>4</v>
      </c>
      <c r="T577">
        <v>0.5</v>
      </c>
      <c r="U577">
        <v>0</v>
      </c>
      <c r="V577">
        <v>0</v>
      </c>
      <c r="W577">
        <v>0</v>
      </c>
      <c r="X577">
        <v>0</v>
      </c>
      <c r="Y577">
        <v>0.5</v>
      </c>
      <c r="Z577">
        <v>0.5</v>
      </c>
    </row>
    <row r="578" spans="1:34">
      <c r="A578" t="s">
        <v>740</v>
      </c>
      <c r="B578">
        <v>101</v>
      </c>
      <c r="C578">
        <v>67.8125</v>
      </c>
      <c r="D578">
        <v>4.5</v>
      </c>
      <c r="E578">
        <v>4.125</v>
      </c>
      <c r="F578" t="s">
        <v>21</v>
      </c>
      <c r="G578">
        <v>1</v>
      </c>
      <c r="H578">
        <v>0</v>
      </c>
      <c r="I578">
        <v>1</v>
      </c>
      <c r="J578">
        <v>0</v>
      </c>
      <c r="K578">
        <v>12</v>
      </c>
      <c r="N578">
        <v>0.5</v>
      </c>
      <c r="O578">
        <v>0.38</v>
      </c>
      <c r="P578">
        <v>3.5</v>
      </c>
      <c r="Q578">
        <v>0</v>
      </c>
      <c r="R578">
        <v>0.375</v>
      </c>
      <c r="S578">
        <v>4</v>
      </c>
      <c r="T578">
        <v>0.5</v>
      </c>
      <c r="U578">
        <v>0</v>
      </c>
      <c r="V578">
        <v>0</v>
      </c>
      <c r="W578">
        <v>0</v>
      </c>
      <c r="X578">
        <v>0</v>
      </c>
      <c r="Y578">
        <v>0.5</v>
      </c>
      <c r="Z578">
        <v>0.5</v>
      </c>
    </row>
    <row r="579" spans="1:34">
      <c r="A579" t="s">
        <v>741</v>
      </c>
      <c r="B579">
        <v>94.9375</v>
      </c>
      <c r="C579">
        <v>50.8125</v>
      </c>
      <c r="D579">
        <v>12</v>
      </c>
      <c r="E579">
        <v>2.6875</v>
      </c>
      <c r="F579" t="s">
        <v>21</v>
      </c>
      <c r="G579">
        <v>1</v>
      </c>
      <c r="H579">
        <v>0</v>
      </c>
      <c r="I579">
        <v>1</v>
      </c>
      <c r="J579">
        <v>0</v>
      </c>
      <c r="K579">
        <v>24</v>
      </c>
      <c r="L579" t="s">
        <v>120</v>
      </c>
      <c r="N579">
        <v>0.5</v>
      </c>
      <c r="O579">
        <v>0.38</v>
      </c>
      <c r="P579">
        <v>3.5</v>
      </c>
      <c r="Q579">
        <v>-7.5</v>
      </c>
      <c r="R579">
        <v>1.8125</v>
      </c>
      <c r="S579">
        <v>4</v>
      </c>
      <c r="T579">
        <v>0.5</v>
      </c>
      <c r="U579">
        <v>0</v>
      </c>
      <c r="V579">
        <v>0</v>
      </c>
      <c r="W579">
        <v>0</v>
      </c>
      <c r="X579">
        <v>0</v>
      </c>
      <c r="Y579">
        <v>0.5</v>
      </c>
      <c r="Z579">
        <v>0.5</v>
      </c>
      <c r="AA579">
        <v>11.5</v>
      </c>
      <c r="AB579">
        <v>10.875</v>
      </c>
      <c r="AC579">
        <v>4.9400000000000004</v>
      </c>
      <c r="AD579">
        <v>6</v>
      </c>
    </row>
    <row r="580" spans="1:34">
      <c r="A580" t="s">
        <v>742</v>
      </c>
      <c r="B580">
        <v>96</v>
      </c>
      <c r="C580">
        <v>73.625</v>
      </c>
      <c r="D580">
        <v>8.125</v>
      </c>
      <c r="E580">
        <v>4.75</v>
      </c>
      <c r="F580" t="s">
        <v>21</v>
      </c>
      <c r="G580">
        <v>1</v>
      </c>
      <c r="H580">
        <v>0</v>
      </c>
      <c r="I580">
        <v>1</v>
      </c>
      <c r="J580">
        <v>0</v>
      </c>
      <c r="N580">
        <v>0.5</v>
      </c>
      <c r="O580">
        <v>0.38</v>
      </c>
      <c r="P580">
        <v>3.5</v>
      </c>
      <c r="Q580">
        <v>-3.625</v>
      </c>
      <c r="R580">
        <v>0</v>
      </c>
      <c r="S580">
        <v>4</v>
      </c>
      <c r="T580">
        <v>0.5</v>
      </c>
      <c r="U580">
        <v>0</v>
      </c>
      <c r="V580">
        <v>0</v>
      </c>
      <c r="W580">
        <v>0</v>
      </c>
      <c r="X580">
        <v>0</v>
      </c>
      <c r="Y580">
        <v>0.5</v>
      </c>
      <c r="Z580">
        <v>0.5</v>
      </c>
    </row>
    <row r="581" spans="1:34">
      <c r="A581" t="s">
        <v>743</v>
      </c>
      <c r="B581">
        <v>96</v>
      </c>
      <c r="C581">
        <v>19.8125</v>
      </c>
      <c r="D581">
        <v>12</v>
      </c>
      <c r="E581">
        <v>2</v>
      </c>
      <c r="F581" t="s">
        <v>21</v>
      </c>
      <c r="G581">
        <v>1</v>
      </c>
      <c r="H581">
        <v>0</v>
      </c>
      <c r="I581">
        <v>1</v>
      </c>
      <c r="J581">
        <v>1</v>
      </c>
      <c r="N581">
        <v>0.5</v>
      </c>
      <c r="O581">
        <v>0.38</v>
      </c>
      <c r="P581">
        <v>3.5</v>
      </c>
      <c r="Q581">
        <v>-7.5</v>
      </c>
      <c r="R581">
        <v>2.5</v>
      </c>
      <c r="S581">
        <v>4</v>
      </c>
      <c r="T581">
        <v>0.5</v>
      </c>
      <c r="U581">
        <v>0</v>
      </c>
      <c r="V581">
        <v>0</v>
      </c>
      <c r="W581">
        <v>0</v>
      </c>
      <c r="X581">
        <v>1</v>
      </c>
      <c r="Y581">
        <v>0.5</v>
      </c>
      <c r="Z581">
        <v>0.5</v>
      </c>
    </row>
    <row r="582" spans="1:34">
      <c r="A582" t="s">
        <v>744</v>
      </c>
      <c r="B582">
        <v>78.5</v>
      </c>
      <c r="C582">
        <v>53.5</v>
      </c>
      <c r="D582">
        <v>9</v>
      </c>
      <c r="E582">
        <v>1</v>
      </c>
      <c r="F582" t="s">
        <v>21</v>
      </c>
      <c r="G582">
        <v>1</v>
      </c>
      <c r="H582">
        <v>1</v>
      </c>
      <c r="I582">
        <v>0</v>
      </c>
      <c r="L582" t="s">
        <v>119</v>
      </c>
      <c r="M582" t="s">
        <v>120</v>
      </c>
      <c r="N582">
        <v>0.5</v>
      </c>
      <c r="O582">
        <v>0.38</v>
      </c>
      <c r="P582">
        <v>3.5</v>
      </c>
      <c r="Q582">
        <v>-4.5</v>
      </c>
      <c r="R582">
        <v>3.5</v>
      </c>
      <c r="S582">
        <v>4</v>
      </c>
      <c r="T582">
        <v>0.5</v>
      </c>
      <c r="U582">
        <v>0</v>
      </c>
      <c r="V582">
        <v>0</v>
      </c>
      <c r="W582">
        <v>1</v>
      </c>
      <c r="X582">
        <v>0</v>
      </c>
      <c r="Y582">
        <v>0.5</v>
      </c>
      <c r="Z582">
        <v>0.5</v>
      </c>
      <c r="AA582">
        <v>11</v>
      </c>
      <c r="AB582">
        <v>15.5</v>
      </c>
      <c r="AC582">
        <v>14.5</v>
      </c>
      <c r="AD582">
        <v>5.75</v>
      </c>
      <c r="AE582">
        <v>11.5</v>
      </c>
      <c r="AF582">
        <v>10.875</v>
      </c>
      <c r="AG582">
        <v>28.94</v>
      </c>
      <c r="AH582">
        <v>9</v>
      </c>
    </row>
    <row r="583" spans="1:34">
      <c r="A583" t="s">
        <v>745</v>
      </c>
      <c r="B583">
        <v>96</v>
      </c>
      <c r="C583">
        <v>67.5</v>
      </c>
      <c r="D583">
        <v>1</v>
      </c>
      <c r="E583">
        <v>4.3125</v>
      </c>
      <c r="F583" t="s">
        <v>21</v>
      </c>
      <c r="G583">
        <v>1</v>
      </c>
      <c r="H583">
        <v>1</v>
      </c>
      <c r="I583">
        <v>1</v>
      </c>
      <c r="J583">
        <v>0</v>
      </c>
      <c r="K583">
        <v>12</v>
      </c>
      <c r="N583">
        <v>0.5</v>
      </c>
      <c r="O583">
        <v>0.38</v>
      </c>
      <c r="P583">
        <v>3.5</v>
      </c>
      <c r="Q583">
        <v>3.5</v>
      </c>
      <c r="R583">
        <v>0.1875</v>
      </c>
      <c r="S583">
        <v>4</v>
      </c>
      <c r="T583">
        <v>0.5</v>
      </c>
      <c r="U583">
        <v>1</v>
      </c>
      <c r="V583">
        <v>1</v>
      </c>
      <c r="W583">
        <v>1</v>
      </c>
      <c r="X583">
        <v>0</v>
      </c>
      <c r="Y583">
        <v>0</v>
      </c>
      <c r="Z583">
        <v>0</v>
      </c>
    </row>
    <row r="584" spans="1:34">
      <c r="A584" t="s">
        <v>746</v>
      </c>
      <c r="B584">
        <v>96</v>
      </c>
      <c r="C584">
        <v>47.375</v>
      </c>
      <c r="D584">
        <v>1.875</v>
      </c>
      <c r="E584">
        <v>3.75</v>
      </c>
      <c r="F584" t="s">
        <v>21</v>
      </c>
      <c r="G584">
        <v>1</v>
      </c>
      <c r="H584">
        <v>1</v>
      </c>
      <c r="I584">
        <v>1</v>
      </c>
      <c r="J584">
        <v>0</v>
      </c>
      <c r="K584">
        <v>24</v>
      </c>
      <c r="L584" t="s">
        <v>120</v>
      </c>
      <c r="N584">
        <v>0.5</v>
      </c>
      <c r="O584">
        <v>0.38</v>
      </c>
      <c r="P584">
        <v>3.5</v>
      </c>
      <c r="Q584">
        <v>2.625</v>
      </c>
      <c r="R584">
        <v>0.75</v>
      </c>
      <c r="S584">
        <v>4</v>
      </c>
      <c r="T584">
        <v>0.5</v>
      </c>
      <c r="U584">
        <v>1</v>
      </c>
      <c r="V584">
        <v>1</v>
      </c>
      <c r="W584">
        <v>1</v>
      </c>
      <c r="X584">
        <v>0</v>
      </c>
      <c r="Y584">
        <v>0</v>
      </c>
      <c r="Z584">
        <v>0</v>
      </c>
      <c r="AA584">
        <v>11.5</v>
      </c>
      <c r="AB584">
        <v>10.875</v>
      </c>
      <c r="AC584">
        <v>4.9400000000000004</v>
      </c>
      <c r="AD584">
        <v>16.125</v>
      </c>
    </row>
    <row r="585" spans="1:34">
      <c r="A585" t="s">
        <v>747</v>
      </c>
      <c r="B585">
        <v>104.5625</v>
      </c>
      <c r="C585">
        <v>58.75</v>
      </c>
      <c r="D585">
        <v>1</v>
      </c>
      <c r="E585">
        <v>4.75</v>
      </c>
      <c r="F585" t="s">
        <v>21</v>
      </c>
      <c r="G585">
        <v>1</v>
      </c>
      <c r="H585">
        <v>1</v>
      </c>
      <c r="I585">
        <v>1</v>
      </c>
      <c r="J585">
        <v>0</v>
      </c>
      <c r="N585">
        <v>0.5</v>
      </c>
      <c r="O585">
        <v>0.38</v>
      </c>
      <c r="P585">
        <v>3.5</v>
      </c>
      <c r="Q585">
        <v>3.5</v>
      </c>
      <c r="R585">
        <v>0</v>
      </c>
      <c r="S585">
        <v>4</v>
      </c>
      <c r="T585">
        <v>0.5</v>
      </c>
      <c r="U585">
        <v>1</v>
      </c>
      <c r="V585">
        <v>1</v>
      </c>
      <c r="W585">
        <v>0</v>
      </c>
      <c r="X585">
        <v>0</v>
      </c>
      <c r="Y585">
        <v>0</v>
      </c>
      <c r="Z585">
        <v>0</v>
      </c>
    </row>
    <row r="586" spans="1:34">
      <c r="A586" t="s">
        <v>748</v>
      </c>
      <c r="B586">
        <v>58.625</v>
      </c>
      <c r="C586">
        <v>72.4375</v>
      </c>
      <c r="D586">
        <v>4.5</v>
      </c>
      <c r="E586">
        <v>2.0625</v>
      </c>
      <c r="F586" t="s">
        <v>21</v>
      </c>
      <c r="G586">
        <v>1</v>
      </c>
      <c r="H586">
        <v>1</v>
      </c>
      <c r="I586">
        <v>1</v>
      </c>
      <c r="J586">
        <v>1</v>
      </c>
      <c r="N586">
        <v>0.5</v>
      </c>
      <c r="O586">
        <v>0.38</v>
      </c>
      <c r="P586">
        <v>3.5</v>
      </c>
      <c r="Q586">
        <v>0</v>
      </c>
      <c r="R586">
        <v>2.4375</v>
      </c>
      <c r="S586">
        <v>4</v>
      </c>
      <c r="T586">
        <v>0.5</v>
      </c>
      <c r="U586">
        <v>0</v>
      </c>
      <c r="V586">
        <v>0</v>
      </c>
      <c r="W586">
        <v>1</v>
      </c>
      <c r="X586">
        <v>1</v>
      </c>
      <c r="Y586">
        <v>0.5</v>
      </c>
      <c r="Z586">
        <v>0.5</v>
      </c>
    </row>
    <row r="587" spans="1:34">
      <c r="A587" t="s">
        <v>749</v>
      </c>
      <c r="B587">
        <v>23.5</v>
      </c>
      <c r="C587">
        <v>76.75</v>
      </c>
      <c r="D587">
        <v>9.125</v>
      </c>
      <c r="E587">
        <v>1</v>
      </c>
      <c r="F587" t="s">
        <v>156</v>
      </c>
      <c r="G587">
        <v>0</v>
      </c>
      <c r="I587">
        <v>0</v>
      </c>
      <c r="L587" t="s">
        <v>145</v>
      </c>
      <c r="N587">
        <v>0.5</v>
      </c>
      <c r="O587">
        <v>0.38</v>
      </c>
      <c r="P587">
        <v>3.5</v>
      </c>
      <c r="Q587">
        <v>-4.625</v>
      </c>
      <c r="R587">
        <v>3.5</v>
      </c>
      <c r="S587">
        <v>4</v>
      </c>
      <c r="T587">
        <v>0.5</v>
      </c>
      <c r="U587">
        <v>0</v>
      </c>
      <c r="V587">
        <v>0</v>
      </c>
      <c r="W587">
        <v>0</v>
      </c>
      <c r="X587">
        <v>0</v>
      </c>
      <c r="Y587">
        <v>0.5</v>
      </c>
      <c r="Z587">
        <v>0.5</v>
      </c>
    </row>
    <row r="588" spans="1:34">
      <c r="A588" t="s">
        <v>750</v>
      </c>
      <c r="B588">
        <v>46.125</v>
      </c>
      <c r="C588">
        <v>42.5625</v>
      </c>
      <c r="D588">
        <v>9</v>
      </c>
      <c r="E588">
        <v>3.6875</v>
      </c>
      <c r="F588" t="s">
        <v>156</v>
      </c>
      <c r="G588">
        <v>0</v>
      </c>
      <c r="I588">
        <v>1</v>
      </c>
      <c r="J588">
        <v>0</v>
      </c>
      <c r="K588">
        <v>12</v>
      </c>
      <c r="L588" t="s">
        <v>35</v>
      </c>
      <c r="N588">
        <v>0.5</v>
      </c>
      <c r="O588">
        <v>0.38</v>
      </c>
      <c r="P588">
        <v>3.5</v>
      </c>
      <c r="Q588">
        <v>-4.5</v>
      </c>
      <c r="R588">
        <v>0.8125</v>
      </c>
      <c r="S588">
        <v>4</v>
      </c>
      <c r="T588">
        <v>0.5</v>
      </c>
      <c r="U588">
        <v>0</v>
      </c>
      <c r="V588">
        <v>0</v>
      </c>
      <c r="W588">
        <v>0</v>
      </c>
      <c r="X588">
        <v>0</v>
      </c>
      <c r="Y588">
        <v>0.5</v>
      </c>
      <c r="Z588">
        <v>0.5</v>
      </c>
    </row>
    <row r="589" spans="1:34">
      <c r="A589" t="s">
        <v>751</v>
      </c>
      <c r="B589">
        <v>16.8125</v>
      </c>
      <c r="C589">
        <v>72.3125</v>
      </c>
      <c r="D589">
        <v>3.6875</v>
      </c>
      <c r="E589">
        <v>1</v>
      </c>
      <c r="F589" t="s">
        <v>156</v>
      </c>
      <c r="G589">
        <v>0</v>
      </c>
      <c r="I589">
        <v>1</v>
      </c>
      <c r="J589">
        <v>0</v>
      </c>
      <c r="K589">
        <v>24</v>
      </c>
      <c r="L589" t="s">
        <v>120</v>
      </c>
      <c r="N589">
        <v>0.5</v>
      </c>
      <c r="O589">
        <v>0.38</v>
      </c>
      <c r="P589">
        <v>3.5</v>
      </c>
      <c r="Q589">
        <v>0.8125</v>
      </c>
      <c r="R589">
        <v>3.5</v>
      </c>
      <c r="S589">
        <v>4</v>
      </c>
      <c r="T589">
        <v>0.5</v>
      </c>
      <c r="U589">
        <v>0</v>
      </c>
      <c r="V589">
        <v>0</v>
      </c>
      <c r="W589">
        <v>0</v>
      </c>
      <c r="X589">
        <v>0</v>
      </c>
      <c r="Y589">
        <v>0.5</v>
      </c>
      <c r="Z589">
        <v>0.5</v>
      </c>
    </row>
    <row r="590" spans="1:34">
      <c r="A590" t="s">
        <v>752</v>
      </c>
      <c r="B590">
        <v>36.5625</v>
      </c>
      <c r="C590">
        <v>48.125</v>
      </c>
      <c r="D590">
        <v>1</v>
      </c>
      <c r="E590">
        <v>3.75</v>
      </c>
      <c r="F590" t="s">
        <v>156</v>
      </c>
      <c r="G590">
        <v>0</v>
      </c>
      <c r="I590">
        <v>1</v>
      </c>
      <c r="J590">
        <v>0</v>
      </c>
      <c r="N590">
        <v>0.5</v>
      </c>
      <c r="O590">
        <v>0.38</v>
      </c>
      <c r="P590">
        <v>3.5</v>
      </c>
      <c r="Q590">
        <v>3.5</v>
      </c>
      <c r="R590">
        <v>0.75</v>
      </c>
      <c r="S590">
        <v>4</v>
      </c>
      <c r="T590">
        <v>0.5</v>
      </c>
      <c r="U590">
        <v>0</v>
      </c>
      <c r="V590">
        <v>0</v>
      </c>
      <c r="W590">
        <v>0</v>
      </c>
      <c r="X590">
        <v>0</v>
      </c>
      <c r="Y590">
        <v>0.5</v>
      </c>
      <c r="Z590">
        <v>0.5</v>
      </c>
    </row>
    <row r="591" spans="1:34">
      <c r="A591" t="s">
        <v>753</v>
      </c>
      <c r="B591">
        <v>27.8125</v>
      </c>
      <c r="C591">
        <v>54.5</v>
      </c>
      <c r="D591">
        <v>1.5625</v>
      </c>
      <c r="E591">
        <v>1</v>
      </c>
      <c r="F591" t="s">
        <v>156</v>
      </c>
      <c r="G591">
        <v>0</v>
      </c>
      <c r="I591">
        <v>1</v>
      </c>
      <c r="J591">
        <v>1</v>
      </c>
      <c r="N591">
        <v>0.5</v>
      </c>
      <c r="O591">
        <v>0.38</v>
      </c>
      <c r="P591">
        <v>3.5</v>
      </c>
      <c r="Q591">
        <v>2.9375</v>
      </c>
      <c r="R591">
        <v>3.5</v>
      </c>
      <c r="S591">
        <v>4</v>
      </c>
      <c r="T591">
        <v>0.5</v>
      </c>
      <c r="U591">
        <v>0</v>
      </c>
      <c r="V591">
        <v>0</v>
      </c>
      <c r="W591">
        <v>0</v>
      </c>
      <c r="X591">
        <v>1</v>
      </c>
      <c r="Y591">
        <v>0.5</v>
      </c>
      <c r="Z591">
        <v>0.5</v>
      </c>
    </row>
    <row r="592" spans="1:34">
      <c r="A592" t="s">
        <v>754</v>
      </c>
      <c r="B592">
        <v>24.625</v>
      </c>
      <c r="C592">
        <v>51.5625</v>
      </c>
      <c r="D592">
        <v>3</v>
      </c>
      <c r="E592">
        <v>5.875</v>
      </c>
      <c r="F592" t="s">
        <v>156</v>
      </c>
      <c r="G592">
        <v>1</v>
      </c>
      <c r="H592">
        <v>0</v>
      </c>
      <c r="I592">
        <v>0</v>
      </c>
      <c r="L592" t="s">
        <v>150</v>
      </c>
      <c r="N592">
        <v>0.5</v>
      </c>
      <c r="O592">
        <v>0.38</v>
      </c>
      <c r="P592">
        <v>3.5</v>
      </c>
      <c r="Q592">
        <v>1.5</v>
      </c>
      <c r="R592">
        <v>0</v>
      </c>
      <c r="S592">
        <v>4</v>
      </c>
      <c r="T592">
        <v>0.5</v>
      </c>
      <c r="U592">
        <v>0</v>
      </c>
      <c r="V592">
        <v>0</v>
      </c>
      <c r="W592">
        <v>0</v>
      </c>
      <c r="X592">
        <v>0</v>
      </c>
      <c r="Y592">
        <v>0.5</v>
      </c>
      <c r="Z592">
        <v>0.5</v>
      </c>
    </row>
    <row r="593" spans="1:30">
      <c r="A593" t="s">
        <v>755</v>
      </c>
      <c r="B593">
        <v>47.875</v>
      </c>
      <c r="C593">
        <v>60.25</v>
      </c>
      <c r="D593">
        <v>1.8125</v>
      </c>
      <c r="E593">
        <v>4.8125</v>
      </c>
      <c r="F593" t="s">
        <v>156</v>
      </c>
      <c r="G593">
        <v>1</v>
      </c>
      <c r="H593">
        <v>0</v>
      </c>
      <c r="I593">
        <v>1</v>
      </c>
      <c r="J593">
        <v>0</v>
      </c>
      <c r="K593">
        <v>12</v>
      </c>
      <c r="L593" t="s">
        <v>149</v>
      </c>
      <c r="N593">
        <v>0.5</v>
      </c>
      <c r="O593">
        <v>0.38</v>
      </c>
      <c r="P593">
        <v>3.5</v>
      </c>
      <c r="Q593">
        <v>2.6875</v>
      </c>
      <c r="R593">
        <v>0</v>
      </c>
      <c r="S593">
        <v>4</v>
      </c>
      <c r="T593">
        <v>0.5</v>
      </c>
      <c r="U593">
        <v>0</v>
      </c>
      <c r="V593">
        <v>0</v>
      </c>
      <c r="W593">
        <v>0</v>
      </c>
      <c r="X593">
        <v>0</v>
      </c>
      <c r="Y593">
        <v>0.5</v>
      </c>
      <c r="Z593">
        <v>0.5</v>
      </c>
    </row>
    <row r="594" spans="1:30">
      <c r="A594" t="s">
        <v>756</v>
      </c>
      <c r="B594">
        <v>47.3125</v>
      </c>
      <c r="C594">
        <v>79.4375</v>
      </c>
      <c r="D594">
        <v>4.5</v>
      </c>
      <c r="E594">
        <v>8.25</v>
      </c>
      <c r="F594" t="s">
        <v>156</v>
      </c>
      <c r="G594">
        <v>1</v>
      </c>
      <c r="H594">
        <v>0</v>
      </c>
      <c r="I594">
        <v>1</v>
      </c>
      <c r="J594">
        <v>0</v>
      </c>
      <c r="K594">
        <v>24</v>
      </c>
      <c r="L594" t="s">
        <v>120</v>
      </c>
      <c r="N594">
        <v>0.5</v>
      </c>
      <c r="O594">
        <v>0.38</v>
      </c>
      <c r="P594">
        <v>3.5</v>
      </c>
      <c r="Q594">
        <v>0</v>
      </c>
      <c r="R594">
        <v>0</v>
      </c>
      <c r="S594">
        <v>4</v>
      </c>
      <c r="T594">
        <v>0.5</v>
      </c>
      <c r="U594">
        <v>0</v>
      </c>
      <c r="V594">
        <v>0</v>
      </c>
      <c r="W594">
        <v>0</v>
      </c>
      <c r="X594">
        <v>0</v>
      </c>
      <c r="Y594">
        <v>0.5</v>
      </c>
      <c r="Z594">
        <v>0.5</v>
      </c>
    </row>
    <row r="595" spans="1:30">
      <c r="A595" t="s">
        <v>757</v>
      </c>
      <c r="B595">
        <v>10.25</v>
      </c>
      <c r="C595">
        <v>79.0625</v>
      </c>
      <c r="D595">
        <v>4.5</v>
      </c>
      <c r="E595">
        <v>6.75</v>
      </c>
      <c r="F595" t="s">
        <v>156</v>
      </c>
      <c r="G595">
        <v>1</v>
      </c>
      <c r="H595">
        <v>0</v>
      </c>
      <c r="I595">
        <v>1</v>
      </c>
      <c r="J595">
        <v>0</v>
      </c>
      <c r="N595">
        <v>0.5</v>
      </c>
      <c r="O595">
        <v>0.38</v>
      </c>
      <c r="P595">
        <v>3.5</v>
      </c>
      <c r="Q595">
        <v>0</v>
      </c>
      <c r="R595">
        <v>0</v>
      </c>
      <c r="S595">
        <v>4</v>
      </c>
      <c r="T595">
        <v>0.5</v>
      </c>
      <c r="U595">
        <v>0</v>
      </c>
      <c r="V595">
        <v>0</v>
      </c>
      <c r="W595">
        <v>0</v>
      </c>
      <c r="X595">
        <v>0</v>
      </c>
      <c r="Y595">
        <v>0.5</v>
      </c>
      <c r="Z595">
        <v>0.5</v>
      </c>
    </row>
    <row r="596" spans="1:30">
      <c r="A596" t="s">
        <v>758</v>
      </c>
      <c r="B596">
        <v>35.8125</v>
      </c>
      <c r="C596">
        <v>37.4375</v>
      </c>
      <c r="D596">
        <v>4.5</v>
      </c>
      <c r="E596">
        <v>7.0625</v>
      </c>
      <c r="F596" t="s">
        <v>156</v>
      </c>
      <c r="G596">
        <v>1</v>
      </c>
      <c r="H596">
        <v>0</v>
      </c>
      <c r="I596">
        <v>1</v>
      </c>
      <c r="J596">
        <v>1</v>
      </c>
      <c r="N596">
        <v>0.5</v>
      </c>
      <c r="O596">
        <v>0.38</v>
      </c>
      <c r="P596">
        <v>3.5</v>
      </c>
      <c r="Q596">
        <v>0</v>
      </c>
      <c r="R596">
        <v>0</v>
      </c>
      <c r="S596">
        <v>4</v>
      </c>
      <c r="T596">
        <v>0.5</v>
      </c>
      <c r="U596">
        <v>0</v>
      </c>
      <c r="V596">
        <v>0</v>
      </c>
      <c r="W596">
        <v>0</v>
      </c>
      <c r="X596">
        <v>0</v>
      </c>
      <c r="Y596">
        <v>0.5</v>
      </c>
      <c r="Z596">
        <v>0.5</v>
      </c>
    </row>
    <row r="597" spans="1:30">
      <c r="A597" t="s">
        <v>759</v>
      </c>
      <c r="B597">
        <v>24.1875</v>
      </c>
      <c r="C597">
        <v>45.125</v>
      </c>
      <c r="D597">
        <v>1</v>
      </c>
      <c r="E597">
        <v>4.8125</v>
      </c>
      <c r="F597" t="s">
        <v>156</v>
      </c>
      <c r="G597">
        <v>1</v>
      </c>
      <c r="H597">
        <v>1</v>
      </c>
      <c r="I597">
        <v>0</v>
      </c>
      <c r="L597" t="s">
        <v>35</v>
      </c>
      <c r="N597">
        <v>0.5</v>
      </c>
      <c r="O597">
        <v>0.38</v>
      </c>
      <c r="P597">
        <v>3.5</v>
      </c>
      <c r="Q597">
        <v>3.5</v>
      </c>
      <c r="R597">
        <v>0</v>
      </c>
      <c r="S597">
        <v>4</v>
      </c>
      <c r="T597">
        <v>0.5</v>
      </c>
      <c r="U597">
        <v>0</v>
      </c>
      <c r="V597">
        <v>0</v>
      </c>
      <c r="W597">
        <v>0</v>
      </c>
      <c r="X597">
        <v>0</v>
      </c>
      <c r="Y597">
        <v>0.5</v>
      </c>
      <c r="Z597">
        <v>0.5</v>
      </c>
    </row>
    <row r="598" spans="1:30">
      <c r="A598" t="s">
        <v>760</v>
      </c>
      <c r="B598">
        <v>43.1875</v>
      </c>
      <c r="C598">
        <v>75.8125</v>
      </c>
      <c r="D598">
        <v>2.3125</v>
      </c>
      <c r="E598">
        <v>7.4375</v>
      </c>
      <c r="F598" t="s">
        <v>156</v>
      </c>
      <c r="G598">
        <v>1</v>
      </c>
      <c r="H598">
        <v>1</v>
      </c>
      <c r="I598">
        <v>1</v>
      </c>
      <c r="J598">
        <v>0</v>
      </c>
      <c r="K598">
        <v>12</v>
      </c>
      <c r="L598" t="s">
        <v>149</v>
      </c>
      <c r="N598">
        <v>0.5</v>
      </c>
      <c r="O598">
        <v>0.38</v>
      </c>
      <c r="P598">
        <v>3.5</v>
      </c>
      <c r="Q598">
        <v>2.1875</v>
      </c>
      <c r="R598">
        <v>0</v>
      </c>
      <c r="S598">
        <v>4</v>
      </c>
      <c r="T598">
        <v>0.5</v>
      </c>
      <c r="U598">
        <v>0</v>
      </c>
      <c r="V598">
        <v>0</v>
      </c>
      <c r="W598">
        <v>0</v>
      </c>
      <c r="X598">
        <v>0</v>
      </c>
      <c r="Y598">
        <v>0.5</v>
      </c>
      <c r="Z598">
        <v>0.5</v>
      </c>
    </row>
    <row r="599" spans="1:30">
      <c r="A599" t="s">
        <v>761</v>
      </c>
      <c r="B599">
        <v>34.5625</v>
      </c>
      <c r="C599">
        <v>57.25</v>
      </c>
      <c r="D599">
        <v>9</v>
      </c>
      <c r="E599">
        <v>1.4375</v>
      </c>
      <c r="F599" t="s">
        <v>156</v>
      </c>
      <c r="G599">
        <v>1</v>
      </c>
      <c r="H599">
        <v>1</v>
      </c>
      <c r="I599">
        <v>1</v>
      </c>
      <c r="J599">
        <v>0</v>
      </c>
      <c r="K599">
        <v>24</v>
      </c>
      <c r="L599" t="s">
        <v>120</v>
      </c>
      <c r="N599">
        <v>0.5</v>
      </c>
      <c r="O599">
        <v>0.38</v>
      </c>
      <c r="P599">
        <v>3.5</v>
      </c>
      <c r="Q599">
        <v>-4.5</v>
      </c>
      <c r="R599">
        <v>3.0625</v>
      </c>
      <c r="S599">
        <v>4</v>
      </c>
      <c r="T599">
        <v>0.5</v>
      </c>
      <c r="U599">
        <v>0</v>
      </c>
      <c r="V599">
        <v>0</v>
      </c>
      <c r="W599">
        <v>1</v>
      </c>
      <c r="X599">
        <v>0</v>
      </c>
      <c r="Y599">
        <v>0.5</v>
      </c>
      <c r="Z599">
        <v>0.5</v>
      </c>
    </row>
    <row r="600" spans="1:30">
      <c r="A600" t="s">
        <v>762</v>
      </c>
      <c r="B600">
        <v>9.5625</v>
      </c>
      <c r="C600">
        <v>77.75</v>
      </c>
      <c r="D600">
        <v>1.625</v>
      </c>
      <c r="E600">
        <v>1</v>
      </c>
      <c r="F600" t="s">
        <v>156</v>
      </c>
      <c r="G600">
        <v>1</v>
      </c>
      <c r="H600">
        <v>1</v>
      </c>
      <c r="I600">
        <v>1</v>
      </c>
      <c r="J600">
        <v>0</v>
      </c>
      <c r="N600">
        <v>0.5</v>
      </c>
      <c r="O600">
        <v>0.38</v>
      </c>
      <c r="P600">
        <v>3.5</v>
      </c>
      <c r="Q600">
        <v>2.875</v>
      </c>
      <c r="R600">
        <v>3.5</v>
      </c>
      <c r="S600">
        <v>4</v>
      </c>
      <c r="T600">
        <v>0.5</v>
      </c>
      <c r="U600">
        <v>0</v>
      </c>
      <c r="V600">
        <v>0</v>
      </c>
      <c r="W600">
        <v>1</v>
      </c>
      <c r="X600">
        <v>0</v>
      </c>
      <c r="Y600">
        <v>0.5</v>
      </c>
      <c r="Z600">
        <v>0.5</v>
      </c>
    </row>
    <row r="601" spans="1:30">
      <c r="A601" t="s">
        <v>763</v>
      </c>
      <c r="B601">
        <v>14.0625</v>
      </c>
      <c r="C601">
        <v>51.9375</v>
      </c>
      <c r="D601">
        <v>12</v>
      </c>
      <c r="E601">
        <v>7.6875</v>
      </c>
      <c r="F601" t="s">
        <v>156</v>
      </c>
      <c r="G601">
        <v>1</v>
      </c>
      <c r="H601">
        <v>1</v>
      </c>
      <c r="I601">
        <v>1</v>
      </c>
      <c r="J601">
        <v>1</v>
      </c>
      <c r="N601">
        <v>0.5</v>
      </c>
      <c r="O601">
        <v>0.38</v>
      </c>
      <c r="P601">
        <v>3.5</v>
      </c>
      <c r="Q601">
        <v>-7.5</v>
      </c>
      <c r="R601">
        <v>0</v>
      </c>
      <c r="S601">
        <v>4</v>
      </c>
      <c r="T601">
        <v>0.5</v>
      </c>
      <c r="U601">
        <v>0</v>
      </c>
      <c r="V601">
        <v>0</v>
      </c>
      <c r="W601">
        <v>0</v>
      </c>
      <c r="X601">
        <v>0</v>
      </c>
      <c r="Y601">
        <v>0.5</v>
      </c>
      <c r="Z601">
        <v>0.5</v>
      </c>
    </row>
    <row r="602" spans="1:30">
      <c r="A602" t="s">
        <v>764</v>
      </c>
      <c r="B602">
        <v>60</v>
      </c>
      <c r="C602">
        <v>61.75</v>
      </c>
      <c r="D602">
        <v>9</v>
      </c>
      <c r="E602">
        <v>3.5</v>
      </c>
      <c r="F602" t="s">
        <v>157</v>
      </c>
      <c r="G602">
        <v>0</v>
      </c>
      <c r="I602">
        <v>0</v>
      </c>
      <c r="L602" t="s">
        <v>119</v>
      </c>
      <c r="N602">
        <v>0.5</v>
      </c>
      <c r="O602">
        <v>0.38</v>
      </c>
      <c r="P602">
        <v>3.5</v>
      </c>
      <c r="Q602">
        <v>-4.5</v>
      </c>
      <c r="R602">
        <v>1</v>
      </c>
      <c r="S602">
        <v>4</v>
      </c>
      <c r="T602">
        <v>0.5</v>
      </c>
      <c r="U602">
        <v>0</v>
      </c>
      <c r="V602">
        <v>0</v>
      </c>
      <c r="W602">
        <v>0</v>
      </c>
      <c r="X602">
        <v>0</v>
      </c>
      <c r="Y602">
        <v>0.5</v>
      </c>
      <c r="Z602">
        <v>0.5</v>
      </c>
      <c r="AA602">
        <v>11</v>
      </c>
      <c r="AB602">
        <v>15.5</v>
      </c>
      <c r="AC602">
        <v>14.5</v>
      </c>
      <c r="AD602">
        <v>5.75</v>
      </c>
    </row>
    <row r="603" spans="1:30">
      <c r="A603" t="s">
        <v>765</v>
      </c>
      <c r="B603">
        <v>60</v>
      </c>
      <c r="C603">
        <v>45.5625</v>
      </c>
      <c r="D603">
        <v>3.1875</v>
      </c>
      <c r="E603">
        <v>1.1875</v>
      </c>
      <c r="F603" t="s">
        <v>157</v>
      </c>
      <c r="G603">
        <v>0</v>
      </c>
      <c r="I603">
        <v>1</v>
      </c>
      <c r="J603">
        <v>0</v>
      </c>
      <c r="K603">
        <v>12</v>
      </c>
      <c r="L603" t="s">
        <v>120</v>
      </c>
      <c r="N603">
        <v>0.5</v>
      </c>
      <c r="O603">
        <v>0.38</v>
      </c>
      <c r="P603">
        <v>3.5</v>
      </c>
      <c r="Q603">
        <v>1.3125</v>
      </c>
      <c r="R603">
        <v>3.3125</v>
      </c>
      <c r="S603">
        <v>4</v>
      </c>
      <c r="T603">
        <v>0.5</v>
      </c>
      <c r="U603">
        <v>0</v>
      </c>
      <c r="V603">
        <v>1</v>
      </c>
      <c r="W603">
        <v>0</v>
      </c>
      <c r="X603">
        <v>0</v>
      </c>
      <c r="Y603">
        <v>0.5</v>
      </c>
      <c r="Z603">
        <v>0</v>
      </c>
      <c r="AA603">
        <v>11.5</v>
      </c>
      <c r="AB603">
        <v>10.875</v>
      </c>
      <c r="AC603">
        <v>16.940000000000001</v>
      </c>
      <c r="AD603">
        <v>14.8125</v>
      </c>
    </row>
    <row r="604" spans="1:30">
      <c r="A604" t="s">
        <v>766</v>
      </c>
      <c r="B604">
        <v>60</v>
      </c>
      <c r="C604">
        <v>66.375</v>
      </c>
      <c r="D604">
        <v>12</v>
      </c>
      <c r="E604">
        <v>1</v>
      </c>
      <c r="F604" t="s">
        <v>157</v>
      </c>
      <c r="G604">
        <v>0</v>
      </c>
      <c r="I604">
        <v>1</v>
      </c>
      <c r="J604">
        <v>0</v>
      </c>
      <c r="K604">
        <v>24</v>
      </c>
      <c r="L604" t="s">
        <v>120</v>
      </c>
      <c r="N604">
        <v>0.5</v>
      </c>
      <c r="O604">
        <v>0.38</v>
      </c>
      <c r="P604">
        <v>3.5</v>
      </c>
      <c r="Q604">
        <v>-7.5</v>
      </c>
      <c r="R604">
        <v>3.5</v>
      </c>
      <c r="S604">
        <v>4</v>
      </c>
      <c r="T604">
        <v>0.5</v>
      </c>
      <c r="U604">
        <v>0</v>
      </c>
      <c r="V604">
        <v>0</v>
      </c>
      <c r="W604">
        <v>0</v>
      </c>
      <c r="X604">
        <v>0</v>
      </c>
      <c r="Y604">
        <v>0.5</v>
      </c>
      <c r="Z604">
        <v>0.5</v>
      </c>
      <c r="AA604">
        <v>11.5</v>
      </c>
      <c r="AB604">
        <v>10.875</v>
      </c>
      <c r="AC604">
        <v>4.9400000000000004</v>
      </c>
      <c r="AD604">
        <v>6</v>
      </c>
    </row>
    <row r="605" spans="1:30">
      <c r="A605" t="s">
        <v>767</v>
      </c>
      <c r="B605">
        <v>60</v>
      </c>
      <c r="C605">
        <v>5.875</v>
      </c>
      <c r="D605">
        <v>7.6875</v>
      </c>
      <c r="E605">
        <v>1</v>
      </c>
      <c r="F605" t="s">
        <v>157</v>
      </c>
      <c r="G605">
        <v>0</v>
      </c>
      <c r="I605">
        <v>1</v>
      </c>
      <c r="J605">
        <v>0</v>
      </c>
      <c r="N605">
        <v>0.5</v>
      </c>
      <c r="O605">
        <v>0.38</v>
      </c>
      <c r="P605">
        <v>3.5</v>
      </c>
      <c r="Q605">
        <v>-3.1875</v>
      </c>
      <c r="R605">
        <v>3.5</v>
      </c>
      <c r="S605">
        <v>4</v>
      </c>
      <c r="T605">
        <v>0.5</v>
      </c>
      <c r="U605">
        <v>0</v>
      </c>
      <c r="V605">
        <v>0</v>
      </c>
      <c r="W605">
        <v>0</v>
      </c>
      <c r="X605">
        <v>0</v>
      </c>
      <c r="Y605">
        <v>0.5</v>
      </c>
      <c r="Z605">
        <v>0.5</v>
      </c>
    </row>
    <row r="606" spans="1:30">
      <c r="A606" t="s">
        <v>768</v>
      </c>
      <c r="B606">
        <v>60</v>
      </c>
      <c r="C606">
        <v>44.375</v>
      </c>
      <c r="D606">
        <v>12</v>
      </c>
      <c r="E606">
        <v>2</v>
      </c>
      <c r="F606" t="s">
        <v>157</v>
      </c>
      <c r="G606">
        <v>0</v>
      </c>
      <c r="I606">
        <v>1</v>
      </c>
      <c r="J606">
        <v>1</v>
      </c>
      <c r="N606">
        <v>0.5</v>
      </c>
      <c r="O606">
        <v>0.38</v>
      </c>
      <c r="P606">
        <v>3.5</v>
      </c>
      <c r="Q606">
        <v>-7.5</v>
      </c>
      <c r="R606">
        <v>2.5</v>
      </c>
      <c r="S606">
        <v>4</v>
      </c>
      <c r="T606">
        <v>0.5</v>
      </c>
      <c r="U606">
        <v>0</v>
      </c>
      <c r="V606">
        <v>0</v>
      </c>
      <c r="W606">
        <v>0</v>
      </c>
      <c r="X606">
        <v>0</v>
      </c>
      <c r="Y606">
        <v>0.5</v>
      </c>
      <c r="Z606">
        <v>0.5</v>
      </c>
    </row>
    <row r="607" spans="1:30">
      <c r="A607" t="s">
        <v>769</v>
      </c>
      <c r="B607">
        <v>60</v>
      </c>
      <c r="C607">
        <v>47.5625</v>
      </c>
      <c r="D607">
        <v>12</v>
      </c>
      <c r="E607">
        <v>1.75</v>
      </c>
      <c r="F607" t="s">
        <v>157</v>
      </c>
      <c r="G607">
        <v>1</v>
      </c>
      <c r="H607">
        <v>0</v>
      </c>
      <c r="I607">
        <v>0</v>
      </c>
      <c r="L607" t="s">
        <v>151</v>
      </c>
      <c r="N607">
        <v>0.5</v>
      </c>
      <c r="O607">
        <v>0.38</v>
      </c>
      <c r="P607">
        <v>3.5</v>
      </c>
      <c r="Q607">
        <v>-7.5</v>
      </c>
      <c r="R607">
        <v>2.75</v>
      </c>
      <c r="S607">
        <v>4</v>
      </c>
      <c r="T607">
        <v>0.5</v>
      </c>
      <c r="U607">
        <v>0</v>
      </c>
      <c r="V607">
        <v>0</v>
      </c>
      <c r="W607">
        <v>0</v>
      </c>
      <c r="X607">
        <v>0</v>
      </c>
      <c r="Y607">
        <v>0.5</v>
      </c>
      <c r="Z607">
        <v>0.5</v>
      </c>
      <c r="AA607">
        <v>15.5</v>
      </c>
      <c r="AB607">
        <v>28.875</v>
      </c>
      <c r="AC607">
        <v>21</v>
      </c>
      <c r="AD607">
        <v>6</v>
      </c>
    </row>
    <row r="608" spans="1:30">
      <c r="A608" t="s">
        <v>770</v>
      </c>
      <c r="B608">
        <v>60</v>
      </c>
      <c r="C608">
        <v>50.25</v>
      </c>
      <c r="D608">
        <v>2.5625</v>
      </c>
      <c r="E608">
        <v>1</v>
      </c>
      <c r="F608" t="s">
        <v>157</v>
      </c>
      <c r="G608">
        <v>1</v>
      </c>
      <c r="H608">
        <v>0</v>
      </c>
      <c r="I608">
        <v>1</v>
      </c>
      <c r="J608">
        <v>0</v>
      </c>
      <c r="K608">
        <v>12</v>
      </c>
      <c r="L608" t="s">
        <v>120</v>
      </c>
      <c r="N608">
        <v>0.5</v>
      </c>
      <c r="O608">
        <v>0.38</v>
      </c>
      <c r="P608">
        <v>3.5</v>
      </c>
      <c r="Q608">
        <v>1.9375</v>
      </c>
      <c r="R608">
        <v>3.5</v>
      </c>
      <c r="S608">
        <v>4</v>
      </c>
      <c r="T608">
        <v>0.5</v>
      </c>
      <c r="U608">
        <v>1</v>
      </c>
      <c r="V608">
        <v>1</v>
      </c>
      <c r="W608">
        <v>0</v>
      </c>
      <c r="X608">
        <v>0</v>
      </c>
      <c r="Y608">
        <v>0</v>
      </c>
      <c r="Z608">
        <v>0</v>
      </c>
      <c r="AA608">
        <v>11.5</v>
      </c>
      <c r="AB608">
        <v>10.875</v>
      </c>
      <c r="AC608">
        <v>16.940000000000001</v>
      </c>
      <c r="AD608">
        <v>15.4375</v>
      </c>
    </row>
    <row r="609" spans="1:34">
      <c r="A609" t="s">
        <v>771</v>
      </c>
      <c r="B609">
        <v>60</v>
      </c>
      <c r="C609">
        <v>47.625</v>
      </c>
      <c r="D609">
        <v>10.0625</v>
      </c>
      <c r="E609">
        <v>4.6875</v>
      </c>
      <c r="F609" t="s">
        <v>157</v>
      </c>
      <c r="G609">
        <v>1</v>
      </c>
      <c r="H609">
        <v>0</v>
      </c>
      <c r="I609">
        <v>1</v>
      </c>
      <c r="J609">
        <v>0</v>
      </c>
      <c r="K609">
        <v>24</v>
      </c>
      <c r="L609" t="s">
        <v>120</v>
      </c>
      <c r="N609">
        <v>0.5</v>
      </c>
      <c r="O609">
        <v>0.38</v>
      </c>
      <c r="P609">
        <v>3.5</v>
      </c>
      <c r="Q609">
        <v>-5.5625</v>
      </c>
      <c r="R609">
        <v>0</v>
      </c>
      <c r="S609">
        <v>4</v>
      </c>
      <c r="T609">
        <v>0.5</v>
      </c>
      <c r="U609">
        <v>0</v>
      </c>
      <c r="V609">
        <v>0</v>
      </c>
      <c r="W609">
        <v>0</v>
      </c>
      <c r="X609">
        <v>0</v>
      </c>
      <c r="Y609">
        <v>0.5</v>
      </c>
      <c r="Z609">
        <v>0.5</v>
      </c>
      <c r="AA609">
        <v>11.5</v>
      </c>
      <c r="AB609">
        <v>10.875</v>
      </c>
      <c r="AC609">
        <v>4.9400000000000004</v>
      </c>
      <c r="AD609">
        <v>7.9375</v>
      </c>
    </row>
    <row r="610" spans="1:34">
      <c r="A610" t="s">
        <v>772</v>
      </c>
      <c r="B610">
        <v>60</v>
      </c>
      <c r="C610">
        <v>79.5625</v>
      </c>
      <c r="D610">
        <v>1.9375</v>
      </c>
      <c r="E610">
        <v>1</v>
      </c>
      <c r="F610" t="s">
        <v>157</v>
      </c>
      <c r="G610">
        <v>1</v>
      </c>
      <c r="H610">
        <v>0</v>
      </c>
      <c r="I610">
        <v>1</v>
      </c>
      <c r="J610">
        <v>0</v>
      </c>
      <c r="N610">
        <v>0.5</v>
      </c>
      <c r="O610">
        <v>0.38</v>
      </c>
      <c r="P610">
        <v>3.5</v>
      </c>
      <c r="Q610">
        <v>2.5625</v>
      </c>
      <c r="R610">
        <v>3.5</v>
      </c>
      <c r="S610">
        <v>4</v>
      </c>
      <c r="T610">
        <v>0.5</v>
      </c>
      <c r="U610">
        <v>1</v>
      </c>
      <c r="V610">
        <v>1</v>
      </c>
      <c r="W610">
        <v>0</v>
      </c>
      <c r="X610">
        <v>0</v>
      </c>
      <c r="Y610">
        <v>0</v>
      </c>
      <c r="Z610">
        <v>0</v>
      </c>
    </row>
    <row r="611" spans="1:34">
      <c r="A611" t="s">
        <v>773</v>
      </c>
      <c r="B611">
        <v>60</v>
      </c>
      <c r="C611">
        <v>59.25</v>
      </c>
      <c r="D611">
        <v>9</v>
      </c>
      <c r="E611">
        <v>2.625</v>
      </c>
      <c r="F611" t="s">
        <v>157</v>
      </c>
      <c r="G611">
        <v>1</v>
      </c>
      <c r="H611">
        <v>0</v>
      </c>
      <c r="I611">
        <v>1</v>
      </c>
      <c r="J611">
        <v>1</v>
      </c>
      <c r="N611">
        <v>0.5</v>
      </c>
      <c r="O611">
        <v>0.38</v>
      </c>
      <c r="P611">
        <v>3.5</v>
      </c>
      <c r="Q611">
        <v>-4.5</v>
      </c>
      <c r="R611">
        <v>1.875</v>
      </c>
      <c r="S611">
        <v>4</v>
      </c>
      <c r="T611">
        <v>0.5</v>
      </c>
      <c r="U611">
        <v>0</v>
      </c>
      <c r="V611">
        <v>0</v>
      </c>
      <c r="W611">
        <v>0</v>
      </c>
      <c r="X611">
        <v>0</v>
      </c>
      <c r="Y611">
        <v>0.5</v>
      </c>
      <c r="Z611">
        <v>0.5</v>
      </c>
    </row>
    <row r="612" spans="1:34">
      <c r="A612" t="s">
        <v>774</v>
      </c>
      <c r="B612">
        <v>60</v>
      </c>
      <c r="C612">
        <v>50.6875</v>
      </c>
      <c r="D612">
        <v>1.125</v>
      </c>
      <c r="E612">
        <v>8.3125</v>
      </c>
      <c r="F612" t="s">
        <v>157</v>
      </c>
      <c r="G612">
        <v>1</v>
      </c>
      <c r="H612">
        <v>1</v>
      </c>
      <c r="I612">
        <v>0</v>
      </c>
      <c r="L612" t="s">
        <v>121</v>
      </c>
      <c r="M612" t="s">
        <v>120</v>
      </c>
      <c r="N612">
        <v>0.5</v>
      </c>
      <c r="O612">
        <v>0.38</v>
      </c>
      <c r="P612">
        <v>3.5</v>
      </c>
      <c r="Q612">
        <v>3.375</v>
      </c>
      <c r="R612">
        <v>0</v>
      </c>
      <c r="S612">
        <v>4</v>
      </c>
      <c r="T612">
        <v>0.5</v>
      </c>
      <c r="U612">
        <v>1</v>
      </c>
      <c r="V612">
        <v>0</v>
      </c>
      <c r="W612">
        <v>0</v>
      </c>
      <c r="X612">
        <v>0</v>
      </c>
      <c r="Y612">
        <v>0</v>
      </c>
      <c r="Z612">
        <v>0.5</v>
      </c>
      <c r="AA612">
        <v>11</v>
      </c>
      <c r="AB612">
        <v>9.375</v>
      </c>
      <c r="AC612">
        <v>14.5</v>
      </c>
      <c r="AD612">
        <v>17.625</v>
      </c>
      <c r="AE612">
        <v>11.5</v>
      </c>
      <c r="AF612">
        <v>10.875</v>
      </c>
      <c r="AG612">
        <v>28.94</v>
      </c>
      <c r="AH612">
        <v>16.875</v>
      </c>
    </row>
    <row r="613" spans="1:34">
      <c r="A613" t="s">
        <v>775</v>
      </c>
      <c r="B613">
        <v>60</v>
      </c>
      <c r="C613">
        <v>79</v>
      </c>
      <c r="D613">
        <v>10.4375</v>
      </c>
      <c r="E613">
        <v>3.25</v>
      </c>
      <c r="F613" t="s">
        <v>157</v>
      </c>
      <c r="G613">
        <v>1</v>
      </c>
      <c r="H613">
        <v>1</v>
      </c>
      <c r="I613">
        <v>1</v>
      </c>
      <c r="J613">
        <v>0</v>
      </c>
      <c r="K613">
        <v>12</v>
      </c>
      <c r="N613">
        <v>0.5</v>
      </c>
      <c r="O613">
        <v>0.38</v>
      </c>
      <c r="P613">
        <v>3.5</v>
      </c>
      <c r="Q613">
        <v>-5.9375</v>
      </c>
      <c r="R613">
        <v>1.25</v>
      </c>
      <c r="S613">
        <v>4</v>
      </c>
      <c r="T613">
        <v>0.5</v>
      </c>
      <c r="U613">
        <v>0</v>
      </c>
      <c r="V613">
        <v>0</v>
      </c>
      <c r="W613">
        <v>0</v>
      </c>
      <c r="X613">
        <v>0</v>
      </c>
      <c r="Y613">
        <v>0.5</v>
      </c>
      <c r="Z613">
        <v>0.5</v>
      </c>
    </row>
    <row r="614" spans="1:34">
      <c r="A614" t="s">
        <v>776</v>
      </c>
      <c r="B614">
        <v>60</v>
      </c>
      <c r="C614">
        <v>76.375</v>
      </c>
      <c r="D614">
        <v>12</v>
      </c>
      <c r="E614">
        <v>1</v>
      </c>
      <c r="F614" t="s">
        <v>157</v>
      </c>
      <c r="G614">
        <v>1</v>
      </c>
      <c r="H614">
        <v>1</v>
      </c>
      <c r="I614">
        <v>1</v>
      </c>
      <c r="J614">
        <v>0</v>
      </c>
      <c r="K614">
        <v>24</v>
      </c>
      <c r="L614" t="s">
        <v>120</v>
      </c>
      <c r="N614">
        <v>0.5</v>
      </c>
      <c r="O614">
        <v>0.38</v>
      </c>
      <c r="P614">
        <v>3.5</v>
      </c>
      <c r="Q614">
        <v>-7.5</v>
      </c>
      <c r="R614">
        <v>3.5</v>
      </c>
      <c r="S614">
        <v>4</v>
      </c>
      <c r="T614">
        <v>0.5</v>
      </c>
      <c r="U614">
        <v>0</v>
      </c>
      <c r="V614">
        <v>0</v>
      </c>
      <c r="W614">
        <v>0</v>
      </c>
      <c r="X614">
        <v>0</v>
      </c>
      <c r="Y614">
        <v>0.5</v>
      </c>
      <c r="Z614">
        <v>0.5</v>
      </c>
      <c r="AA614">
        <v>11.5</v>
      </c>
      <c r="AB614">
        <v>10.875</v>
      </c>
      <c r="AC614">
        <v>4.9400000000000004</v>
      </c>
      <c r="AD614">
        <v>6</v>
      </c>
    </row>
    <row r="615" spans="1:34">
      <c r="A615" t="s">
        <v>777</v>
      </c>
      <c r="B615">
        <v>60</v>
      </c>
      <c r="C615">
        <v>45.0625</v>
      </c>
      <c r="D615">
        <v>4.5</v>
      </c>
      <c r="E615">
        <v>6</v>
      </c>
      <c r="F615" t="s">
        <v>157</v>
      </c>
      <c r="G615">
        <v>1</v>
      </c>
      <c r="H615">
        <v>1</v>
      </c>
      <c r="I615">
        <v>1</v>
      </c>
      <c r="J615">
        <v>0</v>
      </c>
      <c r="N615">
        <v>0.5</v>
      </c>
      <c r="O615">
        <v>0.38</v>
      </c>
      <c r="P615">
        <v>3.5</v>
      </c>
      <c r="Q615">
        <v>0</v>
      </c>
      <c r="R615">
        <v>0</v>
      </c>
      <c r="S615">
        <v>4</v>
      </c>
      <c r="T615">
        <v>0.5</v>
      </c>
      <c r="U615">
        <v>0</v>
      </c>
      <c r="V615">
        <v>0</v>
      </c>
      <c r="W615">
        <v>0</v>
      </c>
      <c r="X615">
        <v>0</v>
      </c>
      <c r="Y615">
        <v>0.5</v>
      </c>
      <c r="Z615">
        <v>0.5</v>
      </c>
    </row>
    <row r="616" spans="1:34">
      <c r="A616" t="s">
        <v>778</v>
      </c>
      <c r="B616">
        <v>60</v>
      </c>
      <c r="C616">
        <v>79.875</v>
      </c>
      <c r="D616">
        <v>4.5</v>
      </c>
      <c r="E616">
        <v>1</v>
      </c>
      <c r="F616" t="s">
        <v>157</v>
      </c>
      <c r="G616">
        <v>1</v>
      </c>
      <c r="H616">
        <v>1</v>
      </c>
      <c r="I616">
        <v>1</v>
      </c>
      <c r="J616">
        <v>1</v>
      </c>
      <c r="N616">
        <v>0.5</v>
      </c>
      <c r="O616">
        <v>0.38</v>
      </c>
      <c r="P616">
        <v>3.5</v>
      </c>
      <c r="Q616">
        <v>0</v>
      </c>
      <c r="R616">
        <v>3.5</v>
      </c>
      <c r="S616">
        <v>4</v>
      </c>
      <c r="T616">
        <v>0.5</v>
      </c>
      <c r="U616">
        <v>0</v>
      </c>
      <c r="V616">
        <v>0</v>
      </c>
      <c r="W616">
        <v>0</v>
      </c>
      <c r="X616">
        <v>0</v>
      </c>
      <c r="Y616">
        <v>0.5</v>
      </c>
      <c r="Z616">
        <v>0.5</v>
      </c>
    </row>
    <row r="617" spans="1:34">
      <c r="A617" t="s">
        <v>779</v>
      </c>
      <c r="B617">
        <v>99</v>
      </c>
      <c r="C617">
        <v>76.3125</v>
      </c>
      <c r="D617">
        <v>3.4375</v>
      </c>
      <c r="E617">
        <v>4.875</v>
      </c>
      <c r="F617" t="s">
        <v>21</v>
      </c>
      <c r="G617">
        <v>0</v>
      </c>
      <c r="I617">
        <v>0</v>
      </c>
      <c r="L617" t="s">
        <v>121</v>
      </c>
      <c r="M617" t="s">
        <v>120</v>
      </c>
      <c r="N617">
        <v>0.5</v>
      </c>
      <c r="O617">
        <v>0.38</v>
      </c>
      <c r="P617">
        <v>3.5</v>
      </c>
      <c r="Q617">
        <v>1.0625</v>
      </c>
      <c r="R617">
        <v>0</v>
      </c>
      <c r="S617">
        <v>4</v>
      </c>
      <c r="T617">
        <v>0.5</v>
      </c>
      <c r="U617">
        <v>0</v>
      </c>
      <c r="V617">
        <v>0</v>
      </c>
      <c r="W617">
        <v>0</v>
      </c>
      <c r="X617">
        <v>0</v>
      </c>
      <c r="Y617">
        <v>0.5</v>
      </c>
      <c r="Z617">
        <v>0.5</v>
      </c>
      <c r="AA617">
        <v>11</v>
      </c>
      <c r="AB617">
        <v>9.375</v>
      </c>
      <c r="AC617">
        <v>14.5</v>
      </c>
      <c r="AD617">
        <v>15.3125</v>
      </c>
      <c r="AE617">
        <v>11.5</v>
      </c>
      <c r="AF617">
        <v>10.875</v>
      </c>
      <c r="AG617">
        <v>28.94</v>
      </c>
      <c r="AH617">
        <v>14.5625</v>
      </c>
    </row>
    <row r="618" spans="1:34">
      <c r="A618" t="s">
        <v>780</v>
      </c>
      <c r="B618">
        <v>65.625</v>
      </c>
      <c r="C618">
        <v>52.5625</v>
      </c>
      <c r="D618">
        <v>8.8125</v>
      </c>
      <c r="E618">
        <v>1.9375</v>
      </c>
      <c r="F618" t="s">
        <v>21</v>
      </c>
      <c r="G618">
        <v>0</v>
      </c>
      <c r="I618">
        <v>1</v>
      </c>
      <c r="J618">
        <v>0</v>
      </c>
      <c r="K618">
        <v>12</v>
      </c>
      <c r="L618" t="s">
        <v>120</v>
      </c>
      <c r="N618">
        <v>0.5</v>
      </c>
      <c r="O618">
        <v>0.38</v>
      </c>
      <c r="P618">
        <v>3.5</v>
      </c>
      <c r="Q618">
        <v>-4.3125</v>
      </c>
      <c r="R618">
        <v>2.5625</v>
      </c>
      <c r="S618">
        <v>4</v>
      </c>
      <c r="T618">
        <v>0.5</v>
      </c>
      <c r="U618">
        <v>0</v>
      </c>
      <c r="V618">
        <v>0</v>
      </c>
      <c r="W618">
        <v>0</v>
      </c>
      <c r="X618">
        <v>0</v>
      </c>
      <c r="Y618">
        <v>0.5</v>
      </c>
      <c r="Z618">
        <v>0.5</v>
      </c>
      <c r="AA618">
        <v>11.5</v>
      </c>
      <c r="AB618">
        <v>10.875</v>
      </c>
      <c r="AC618">
        <v>16.940000000000001</v>
      </c>
      <c r="AD618">
        <v>9.1875</v>
      </c>
    </row>
    <row r="619" spans="1:34">
      <c r="A619" t="s">
        <v>781</v>
      </c>
      <c r="B619">
        <v>96</v>
      </c>
      <c r="C619">
        <v>47.6875</v>
      </c>
      <c r="D619">
        <v>2.6875</v>
      </c>
      <c r="E619">
        <v>1</v>
      </c>
      <c r="F619" t="s">
        <v>21</v>
      </c>
      <c r="G619">
        <v>0</v>
      </c>
      <c r="I619">
        <v>1</v>
      </c>
      <c r="J619">
        <v>0</v>
      </c>
      <c r="K619">
        <v>24</v>
      </c>
      <c r="L619" t="s">
        <v>120</v>
      </c>
      <c r="N619">
        <v>0.5</v>
      </c>
      <c r="O619">
        <v>0.38</v>
      </c>
      <c r="P619">
        <v>3.5</v>
      </c>
      <c r="Q619">
        <v>1.8125</v>
      </c>
      <c r="R619">
        <v>3.5</v>
      </c>
      <c r="S619">
        <v>4</v>
      </c>
      <c r="T619">
        <v>0.5</v>
      </c>
      <c r="U619">
        <v>0</v>
      </c>
      <c r="V619">
        <v>1</v>
      </c>
      <c r="W619">
        <v>0</v>
      </c>
      <c r="X619">
        <v>0</v>
      </c>
      <c r="Y619">
        <v>0.5</v>
      </c>
      <c r="Z619">
        <v>0</v>
      </c>
      <c r="AA619">
        <v>11.5</v>
      </c>
      <c r="AB619">
        <v>10.875</v>
      </c>
      <c r="AC619">
        <v>4.9400000000000004</v>
      </c>
      <c r="AD619">
        <v>15.3125</v>
      </c>
    </row>
    <row r="620" spans="1:34">
      <c r="A620" t="s">
        <v>782</v>
      </c>
      <c r="B620">
        <v>54.125</v>
      </c>
      <c r="C620">
        <v>59.375</v>
      </c>
      <c r="D620">
        <v>4.5</v>
      </c>
      <c r="E620">
        <v>3.75</v>
      </c>
      <c r="F620" t="s">
        <v>21</v>
      </c>
      <c r="G620">
        <v>0</v>
      </c>
      <c r="I620">
        <v>1</v>
      </c>
      <c r="J620">
        <v>0</v>
      </c>
      <c r="N620">
        <v>0.5</v>
      </c>
      <c r="O620">
        <v>0.38</v>
      </c>
      <c r="P620">
        <v>3.5</v>
      </c>
      <c r="Q620">
        <v>0</v>
      </c>
      <c r="R620">
        <v>0.75</v>
      </c>
      <c r="S620">
        <v>4</v>
      </c>
      <c r="T620">
        <v>0.5</v>
      </c>
      <c r="U620">
        <v>0</v>
      </c>
      <c r="V620">
        <v>0</v>
      </c>
      <c r="W620">
        <v>0</v>
      </c>
      <c r="X620">
        <v>0</v>
      </c>
      <c r="Y620">
        <v>0.5</v>
      </c>
      <c r="Z620">
        <v>0.5</v>
      </c>
    </row>
    <row r="621" spans="1:34">
      <c r="A621" t="s">
        <v>783</v>
      </c>
      <c r="B621">
        <v>64.75</v>
      </c>
      <c r="C621">
        <v>40.375</v>
      </c>
      <c r="D621">
        <v>12</v>
      </c>
      <c r="E621">
        <v>8.1875</v>
      </c>
      <c r="F621" t="s">
        <v>21</v>
      </c>
      <c r="G621">
        <v>0</v>
      </c>
      <c r="I621">
        <v>1</v>
      </c>
      <c r="J621">
        <v>1</v>
      </c>
      <c r="N621">
        <v>0.5</v>
      </c>
      <c r="O621">
        <v>0.38</v>
      </c>
      <c r="P621">
        <v>3.5</v>
      </c>
      <c r="Q621">
        <v>-7.5</v>
      </c>
      <c r="R621">
        <v>0</v>
      </c>
      <c r="S621">
        <v>4</v>
      </c>
      <c r="T621">
        <v>0.5</v>
      </c>
      <c r="U621">
        <v>0</v>
      </c>
      <c r="V621">
        <v>0</v>
      </c>
      <c r="W621">
        <v>0</v>
      </c>
      <c r="X621">
        <v>0</v>
      </c>
      <c r="Y621">
        <v>0.5</v>
      </c>
      <c r="Z621">
        <v>0.5</v>
      </c>
    </row>
    <row r="622" spans="1:34">
      <c r="A622" t="s">
        <v>784</v>
      </c>
      <c r="B622">
        <v>75.875</v>
      </c>
      <c r="C622">
        <v>48.3125</v>
      </c>
      <c r="D622">
        <v>4.5</v>
      </c>
      <c r="E622">
        <v>7.875</v>
      </c>
      <c r="F622" t="s">
        <v>21</v>
      </c>
      <c r="G622">
        <v>1</v>
      </c>
      <c r="H622">
        <v>0</v>
      </c>
      <c r="I622">
        <v>0</v>
      </c>
      <c r="L622" t="s">
        <v>119</v>
      </c>
      <c r="M622" t="s">
        <v>120</v>
      </c>
      <c r="N622">
        <v>0.5</v>
      </c>
      <c r="O622">
        <v>0.38</v>
      </c>
      <c r="P622">
        <v>3.5</v>
      </c>
      <c r="Q622">
        <v>0</v>
      </c>
      <c r="R622">
        <v>0</v>
      </c>
      <c r="S622">
        <v>4</v>
      </c>
      <c r="T622">
        <v>0.5</v>
      </c>
      <c r="U622">
        <v>0</v>
      </c>
      <c r="V622">
        <v>0</v>
      </c>
      <c r="W622">
        <v>0</v>
      </c>
      <c r="X622">
        <v>0</v>
      </c>
      <c r="Y622">
        <v>0.5</v>
      </c>
      <c r="Z622">
        <v>0.5</v>
      </c>
      <c r="AA622">
        <v>11</v>
      </c>
      <c r="AB622">
        <v>15.5</v>
      </c>
      <c r="AC622">
        <v>14.5</v>
      </c>
      <c r="AD622">
        <v>10.25</v>
      </c>
      <c r="AE622">
        <v>11.5</v>
      </c>
      <c r="AF622">
        <v>10.875</v>
      </c>
      <c r="AG622">
        <v>28.94</v>
      </c>
      <c r="AH622">
        <v>13.5</v>
      </c>
    </row>
    <row r="623" spans="1:34">
      <c r="A623" t="s">
        <v>785</v>
      </c>
      <c r="B623">
        <v>92.0625</v>
      </c>
      <c r="C623">
        <v>62.25</v>
      </c>
      <c r="D623">
        <v>1</v>
      </c>
      <c r="E623">
        <v>3.1875</v>
      </c>
      <c r="F623" t="s">
        <v>21</v>
      </c>
      <c r="G623">
        <v>1</v>
      </c>
      <c r="H623">
        <v>0</v>
      </c>
      <c r="I623">
        <v>1</v>
      </c>
      <c r="J623">
        <v>0</v>
      </c>
      <c r="K623">
        <v>12</v>
      </c>
      <c r="L623" t="s">
        <v>120</v>
      </c>
      <c r="N623">
        <v>0.5</v>
      </c>
      <c r="O623">
        <v>0.38</v>
      </c>
      <c r="P623">
        <v>3.5</v>
      </c>
      <c r="Q623">
        <v>3.5</v>
      </c>
      <c r="R623">
        <v>1.3125</v>
      </c>
      <c r="S623">
        <v>4</v>
      </c>
      <c r="T623">
        <v>0.5</v>
      </c>
      <c r="U623">
        <v>1</v>
      </c>
      <c r="V623">
        <v>1</v>
      </c>
      <c r="W623">
        <v>0</v>
      </c>
      <c r="X623">
        <v>0</v>
      </c>
      <c r="Y623">
        <v>0</v>
      </c>
      <c r="Z623">
        <v>0</v>
      </c>
      <c r="AA623">
        <v>11.5</v>
      </c>
      <c r="AB623">
        <v>10.875</v>
      </c>
      <c r="AC623">
        <v>16.940000000000001</v>
      </c>
      <c r="AD623">
        <v>17</v>
      </c>
    </row>
    <row r="624" spans="1:34">
      <c r="A624" t="s">
        <v>786</v>
      </c>
      <c r="B624">
        <v>85.0625</v>
      </c>
      <c r="C624">
        <v>46.25</v>
      </c>
      <c r="D624">
        <v>1.625</v>
      </c>
      <c r="E624">
        <v>3.625</v>
      </c>
      <c r="F624" t="s">
        <v>21</v>
      </c>
      <c r="G624">
        <v>1</v>
      </c>
      <c r="H624">
        <v>0</v>
      </c>
      <c r="I624">
        <v>1</v>
      </c>
      <c r="J624">
        <v>0</v>
      </c>
      <c r="K624">
        <v>24</v>
      </c>
      <c r="L624" t="s">
        <v>120</v>
      </c>
      <c r="N624">
        <v>0.5</v>
      </c>
      <c r="O624">
        <v>0.38</v>
      </c>
      <c r="P624">
        <v>3.5</v>
      </c>
      <c r="Q624">
        <v>2.875</v>
      </c>
      <c r="R624">
        <v>0.875</v>
      </c>
      <c r="S624">
        <v>4</v>
      </c>
      <c r="T624">
        <v>0.5</v>
      </c>
      <c r="U624">
        <v>1</v>
      </c>
      <c r="V624">
        <v>1</v>
      </c>
      <c r="W624">
        <v>0</v>
      </c>
      <c r="X624">
        <v>0</v>
      </c>
      <c r="Y624">
        <v>0</v>
      </c>
      <c r="Z624">
        <v>0</v>
      </c>
      <c r="AA624">
        <v>11.5</v>
      </c>
      <c r="AB624">
        <v>10.875</v>
      </c>
      <c r="AC624">
        <v>4.9400000000000004</v>
      </c>
      <c r="AD624">
        <v>16.375</v>
      </c>
    </row>
    <row r="625" spans="1:30">
      <c r="A625" t="s">
        <v>787</v>
      </c>
      <c r="B625">
        <v>98.4375</v>
      </c>
      <c r="C625">
        <v>68.3125</v>
      </c>
      <c r="D625">
        <v>1</v>
      </c>
      <c r="E625">
        <v>5.5</v>
      </c>
      <c r="F625" t="s">
        <v>21</v>
      </c>
      <c r="G625">
        <v>1</v>
      </c>
      <c r="H625">
        <v>0</v>
      </c>
      <c r="I625">
        <v>1</v>
      </c>
      <c r="J625">
        <v>0</v>
      </c>
      <c r="N625">
        <v>0.5</v>
      </c>
      <c r="O625">
        <v>0.38</v>
      </c>
      <c r="P625">
        <v>3.5</v>
      </c>
      <c r="Q625">
        <v>3.5</v>
      </c>
      <c r="R625">
        <v>0</v>
      </c>
      <c r="S625">
        <v>4</v>
      </c>
      <c r="T625">
        <v>0.5</v>
      </c>
      <c r="U625">
        <v>1</v>
      </c>
      <c r="V625">
        <v>1</v>
      </c>
      <c r="W625">
        <v>0</v>
      </c>
      <c r="X625">
        <v>0</v>
      </c>
      <c r="Y625">
        <v>0</v>
      </c>
      <c r="Z625">
        <v>0</v>
      </c>
    </row>
    <row r="626" spans="1:30">
      <c r="A626" t="s">
        <v>788</v>
      </c>
      <c r="B626">
        <v>61</v>
      </c>
      <c r="C626">
        <v>70.25</v>
      </c>
      <c r="D626">
        <v>10.6875</v>
      </c>
      <c r="E626">
        <v>5.625</v>
      </c>
      <c r="F626" t="s">
        <v>21</v>
      </c>
      <c r="G626">
        <v>1</v>
      </c>
      <c r="H626">
        <v>0</v>
      </c>
      <c r="I626">
        <v>1</v>
      </c>
      <c r="J626">
        <v>1</v>
      </c>
      <c r="N626">
        <v>0.5</v>
      </c>
      <c r="O626">
        <v>0.38</v>
      </c>
      <c r="P626">
        <v>3.5</v>
      </c>
      <c r="Q626">
        <v>-6.1875</v>
      </c>
      <c r="R626">
        <v>0</v>
      </c>
      <c r="S626">
        <v>4</v>
      </c>
      <c r="T626">
        <v>0.5</v>
      </c>
      <c r="U626">
        <v>0</v>
      </c>
      <c r="V626">
        <v>0</v>
      </c>
      <c r="W626">
        <v>0</v>
      </c>
      <c r="X626">
        <v>0</v>
      </c>
      <c r="Y626">
        <v>0.5</v>
      </c>
      <c r="Z626">
        <v>0.5</v>
      </c>
    </row>
    <row r="627" spans="1:30">
      <c r="A627" t="s">
        <v>789</v>
      </c>
      <c r="B627">
        <v>96</v>
      </c>
      <c r="C627">
        <v>63.3125</v>
      </c>
      <c r="D627">
        <v>1</v>
      </c>
      <c r="E627">
        <v>1</v>
      </c>
      <c r="F627" t="s">
        <v>21</v>
      </c>
      <c r="G627">
        <v>1</v>
      </c>
      <c r="H627">
        <v>1</v>
      </c>
      <c r="I627">
        <v>0</v>
      </c>
      <c r="L627" t="s">
        <v>120</v>
      </c>
      <c r="N627">
        <v>0.5</v>
      </c>
      <c r="O627">
        <v>0.38</v>
      </c>
      <c r="P627">
        <v>3.5</v>
      </c>
      <c r="Q627">
        <v>3.5</v>
      </c>
      <c r="R627">
        <v>3.5</v>
      </c>
      <c r="S627">
        <v>4</v>
      </c>
      <c r="T627">
        <v>0.5</v>
      </c>
      <c r="U627">
        <v>1</v>
      </c>
      <c r="V627">
        <v>0</v>
      </c>
      <c r="W627">
        <v>1</v>
      </c>
      <c r="X627">
        <v>0</v>
      </c>
      <c r="Y627">
        <v>0</v>
      </c>
      <c r="Z627">
        <v>0.5</v>
      </c>
      <c r="AA627">
        <v>11.5</v>
      </c>
      <c r="AB627">
        <v>10.875</v>
      </c>
      <c r="AC627">
        <v>28.94</v>
      </c>
      <c r="AD627">
        <v>17</v>
      </c>
    </row>
    <row r="628" spans="1:30">
      <c r="A628" t="s">
        <v>790</v>
      </c>
      <c r="B628">
        <v>96</v>
      </c>
      <c r="C628">
        <v>41.8125</v>
      </c>
      <c r="D628">
        <v>9</v>
      </c>
      <c r="E628">
        <v>5</v>
      </c>
      <c r="F628" t="s">
        <v>21</v>
      </c>
      <c r="G628">
        <v>1</v>
      </c>
      <c r="H628">
        <v>1</v>
      </c>
      <c r="I628">
        <v>1</v>
      </c>
      <c r="J628">
        <v>0</v>
      </c>
      <c r="K628">
        <v>12</v>
      </c>
      <c r="N628">
        <v>0.5</v>
      </c>
      <c r="O628">
        <v>0.38</v>
      </c>
      <c r="P628">
        <v>3.5</v>
      </c>
      <c r="Q628">
        <v>-4.5</v>
      </c>
      <c r="R628">
        <v>0</v>
      </c>
      <c r="S628">
        <v>4</v>
      </c>
      <c r="T628">
        <v>0.5</v>
      </c>
      <c r="U628">
        <v>0</v>
      </c>
      <c r="V628">
        <v>0</v>
      </c>
      <c r="W628">
        <v>0</v>
      </c>
      <c r="X628">
        <v>0</v>
      </c>
      <c r="Y628">
        <v>0.5</v>
      </c>
      <c r="Z628">
        <v>0.5</v>
      </c>
    </row>
    <row r="629" spans="1:30">
      <c r="A629" t="s">
        <v>791</v>
      </c>
      <c r="B629">
        <v>60.5</v>
      </c>
      <c r="C629">
        <v>55.5</v>
      </c>
      <c r="D629">
        <v>4.5</v>
      </c>
      <c r="E629">
        <v>3.875</v>
      </c>
      <c r="F629" t="s">
        <v>21</v>
      </c>
      <c r="G629">
        <v>1</v>
      </c>
      <c r="H629">
        <v>1</v>
      </c>
      <c r="I629">
        <v>1</v>
      </c>
      <c r="J629">
        <v>0</v>
      </c>
      <c r="K629">
        <v>24</v>
      </c>
      <c r="N629">
        <v>0.5</v>
      </c>
      <c r="O629">
        <v>0.38</v>
      </c>
      <c r="P629">
        <v>3.5</v>
      </c>
      <c r="Q629">
        <v>0</v>
      </c>
      <c r="R629">
        <v>0.625</v>
      </c>
      <c r="S629">
        <v>4</v>
      </c>
      <c r="T629">
        <v>0.5</v>
      </c>
      <c r="U629">
        <v>0</v>
      </c>
      <c r="V629">
        <v>0</v>
      </c>
      <c r="W629">
        <v>1</v>
      </c>
      <c r="X629">
        <v>0</v>
      </c>
      <c r="Y629">
        <v>0.5</v>
      </c>
      <c r="Z629">
        <v>0.5</v>
      </c>
    </row>
    <row r="630" spans="1:30">
      <c r="A630" t="s">
        <v>792</v>
      </c>
      <c r="B630">
        <v>108.8125</v>
      </c>
      <c r="C630">
        <v>70.125</v>
      </c>
      <c r="D630">
        <v>9.5625</v>
      </c>
      <c r="E630">
        <v>6.0625</v>
      </c>
      <c r="F630" t="s">
        <v>21</v>
      </c>
      <c r="G630">
        <v>1</v>
      </c>
      <c r="H630">
        <v>1</v>
      </c>
      <c r="I630">
        <v>1</v>
      </c>
      <c r="J630">
        <v>0</v>
      </c>
      <c r="N630">
        <v>0.5</v>
      </c>
      <c r="O630">
        <v>0.38</v>
      </c>
      <c r="P630">
        <v>3.5</v>
      </c>
      <c r="Q630">
        <v>-5.0625</v>
      </c>
      <c r="R630">
        <v>0</v>
      </c>
      <c r="S630">
        <v>4</v>
      </c>
      <c r="T630">
        <v>0.5</v>
      </c>
      <c r="U630">
        <v>0</v>
      </c>
      <c r="V630">
        <v>0</v>
      </c>
      <c r="W630">
        <v>0</v>
      </c>
      <c r="X630">
        <v>0</v>
      </c>
      <c r="Y630">
        <v>0.5</v>
      </c>
      <c r="Z630">
        <v>0.5</v>
      </c>
    </row>
    <row r="631" spans="1:30">
      <c r="A631" t="s">
        <v>793</v>
      </c>
      <c r="B631">
        <v>96</v>
      </c>
      <c r="C631">
        <v>45.6875</v>
      </c>
      <c r="D631">
        <v>1</v>
      </c>
      <c r="E631">
        <v>5.6875</v>
      </c>
      <c r="F631" t="s">
        <v>21</v>
      </c>
      <c r="G631">
        <v>1</v>
      </c>
      <c r="H631">
        <v>1</v>
      </c>
      <c r="I631">
        <v>1</v>
      </c>
      <c r="J631">
        <v>1</v>
      </c>
      <c r="N631">
        <v>0.5</v>
      </c>
      <c r="O631">
        <v>0.38</v>
      </c>
      <c r="P631">
        <v>3.5</v>
      </c>
      <c r="Q631">
        <v>3.5</v>
      </c>
      <c r="R631">
        <v>0</v>
      </c>
      <c r="S631">
        <v>4</v>
      </c>
      <c r="T631">
        <v>0.5</v>
      </c>
      <c r="U631">
        <v>1</v>
      </c>
      <c r="V631">
        <v>1</v>
      </c>
      <c r="W631">
        <v>0</v>
      </c>
      <c r="X631">
        <v>0</v>
      </c>
      <c r="Y631">
        <v>0</v>
      </c>
      <c r="Z631">
        <v>0</v>
      </c>
    </row>
    <row r="632" spans="1:30">
      <c r="A632" t="s">
        <v>794</v>
      </c>
      <c r="B632">
        <v>9.375</v>
      </c>
      <c r="C632">
        <v>71</v>
      </c>
      <c r="D632">
        <v>7.25</v>
      </c>
      <c r="E632">
        <v>3.0625</v>
      </c>
      <c r="F632" t="s">
        <v>156</v>
      </c>
      <c r="G632">
        <v>0</v>
      </c>
      <c r="I632">
        <v>0</v>
      </c>
      <c r="L632" t="s">
        <v>120</v>
      </c>
      <c r="M632" t="s">
        <v>121</v>
      </c>
      <c r="N632">
        <v>0.5</v>
      </c>
      <c r="O632">
        <v>0.38</v>
      </c>
      <c r="P632">
        <v>3.5</v>
      </c>
      <c r="Q632">
        <v>-2.75</v>
      </c>
      <c r="R632">
        <v>1.4375</v>
      </c>
      <c r="S632">
        <v>4</v>
      </c>
      <c r="T632">
        <v>0.5</v>
      </c>
      <c r="U632">
        <v>0</v>
      </c>
      <c r="V632">
        <v>0</v>
      </c>
      <c r="W632">
        <v>0</v>
      </c>
      <c r="X632">
        <v>0</v>
      </c>
      <c r="Y632">
        <v>0.5</v>
      </c>
      <c r="Z632">
        <v>0.5</v>
      </c>
    </row>
    <row r="633" spans="1:30">
      <c r="A633" t="s">
        <v>795</v>
      </c>
      <c r="B633">
        <v>17.875</v>
      </c>
      <c r="C633">
        <v>25.0625</v>
      </c>
      <c r="D633">
        <v>9.75</v>
      </c>
      <c r="E633">
        <v>6.875</v>
      </c>
      <c r="F633" t="s">
        <v>156</v>
      </c>
      <c r="G633">
        <v>0</v>
      </c>
      <c r="I633">
        <v>1</v>
      </c>
      <c r="J633">
        <v>0</v>
      </c>
      <c r="K633">
        <v>12</v>
      </c>
      <c r="N633">
        <v>0.5</v>
      </c>
      <c r="O633">
        <v>0.38</v>
      </c>
      <c r="P633">
        <v>3.5</v>
      </c>
      <c r="Q633">
        <v>-5.25</v>
      </c>
      <c r="R633">
        <v>0</v>
      </c>
      <c r="S633">
        <v>4</v>
      </c>
      <c r="T633">
        <v>0.5</v>
      </c>
      <c r="U633">
        <v>0</v>
      </c>
      <c r="V633">
        <v>0</v>
      </c>
      <c r="W633">
        <v>0</v>
      </c>
      <c r="X633">
        <v>0</v>
      </c>
      <c r="Y633">
        <v>0.5</v>
      </c>
      <c r="Z633">
        <v>0.5</v>
      </c>
    </row>
    <row r="634" spans="1:30">
      <c r="A634" t="s">
        <v>796</v>
      </c>
      <c r="B634">
        <v>44.6875</v>
      </c>
      <c r="C634">
        <v>43.0625</v>
      </c>
      <c r="D634">
        <v>12</v>
      </c>
      <c r="E634">
        <v>1.5625</v>
      </c>
      <c r="F634" t="s">
        <v>156</v>
      </c>
      <c r="G634">
        <v>0</v>
      </c>
      <c r="I634">
        <v>1</v>
      </c>
      <c r="J634">
        <v>0</v>
      </c>
      <c r="K634">
        <v>24</v>
      </c>
      <c r="L634" t="s">
        <v>120</v>
      </c>
      <c r="N634">
        <v>0.5</v>
      </c>
      <c r="O634">
        <v>0.38</v>
      </c>
      <c r="P634">
        <v>3.5</v>
      </c>
      <c r="Q634">
        <v>-7.5</v>
      </c>
      <c r="R634">
        <v>2.9375</v>
      </c>
      <c r="S634">
        <v>4</v>
      </c>
      <c r="T634">
        <v>0.5</v>
      </c>
      <c r="U634">
        <v>0</v>
      </c>
      <c r="V634">
        <v>0</v>
      </c>
      <c r="W634">
        <v>0</v>
      </c>
      <c r="X634">
        <v>0</v>
      </c>
      <c r="Y634">
        <v>0.5</v>
      </c>
      <c r="Z634">
        <v>0.5</v>
      </c>
    </row>
    <row r="635" spans="1:30">
      <c r="A635" t="s">
        <v>797</v>
      </c>
      <c r="B635">
        <v>22.125</v>
      </c>
      <c r="C635">
        <v>77.9375</v>
      </c>
      <c r="D635">
        <v>1</v>
      </c>
      <c r="E635">
        <v>1.9375</v>
      </c>
      <c r="F635" t="s">
        <v>156</v>
      </c>
      <c r="G635">
        <v>0</v>
      </c>
      <c r="I635">
        <v>1</v>
      </c>
      <c r="J635">
        <v>0</v>
      </c>
      <c r="N635">
        <v>0.5</v>
      </c>
      <c r="O635">
        <v>0.38</v>
      </c>
      <c r="P635">
        <v>3.5</v>
      </c>
      <c r="Q635">
        <v>3.5</v>
      </c>
      <c r="R635">
        <v>2.5625</v>
      </c>
      <c r="S635">
        <v>4</v>
      </c>
      <c r="T635">
        <v>0.5</v>
      </c>
      <c r="U635">
        <v>0</v>
      </c>
      <c r="V635">
        <v>0</v>
      </c>
      <c r="W635">
        <v>0</v>
      </c>
      <c r="X635">
        <v>0</v>
      </c>
      <c r="Y635">
        <v>0.5</v>
      </c>
      <c r="Z635">
        <v>0.5</v>
      </c>
    </row>
    <row r="636" spans="1:30">
      <c r="A636" t="s">
        <v>798</v>
      </c>
      <c r="B636">
        <v>14.625</v>
      </c>
      <c r="C636">
        <v>55.5</v>
      </c>
      <c r="D636">
        <v>1</v>
      </c>
      <c r="E636">
        <v>5.6875</v>
      </c>
      <c r="F636" t="s">
        <v>156</v>
      </c>
      <c r="G636">
        <v>0</v>
      </c>
      <c r="I636">
        <v>1</v>
      </c>
      <c r="J636">
        <v>1</v>
      </c>
      <c r="N636">
        <v>0.5</v>
      </c>
      <c r="O636">
        <v>0.38</v>
      </c>
      <c r="P636">
        <v>3.5</v>
      </c>
      <c r="Q636">
        <v>3.5</v>
      </c>
      <c r="R636">
        <v>0</v>
      </c>
      <c r="S636">
        <v>4</v>
      </c>
      <c r="T636">
        <v>0.5</v>
      </c>
      <c r="U636">
        <v>0</v>
      </c>
      <c r="V636">
        <v>0</v>
      </c>
      <c r="W636">
        <v>0</v>
      </c>
      <c r="X636">
        <v>0</v>
      </c>
      <c r="Y636">
        <v>0.5</v>
      </c>
      <c r="Z636">
        <v>0.5</v>
      </c>
    </row>
    <row r="637" spans="1:30">
      <c r="A637" t="s">
        <v>799</v>
      </c>
      <c r="B637">
        <v>39.3125</v>
      </c>
      <c r="C637">
        <v>52.5</v>
      </c>
      <c r="D637">
        <v>9</v>
      </c>
      <c r="E637">
        <v>3.9375</v>
      </c>
      <c r="F637" t="s">
        <v>156</v>
      </c>
      <c r="G637">
        <v>1</v>
      </c>
      <c r="H637">
        <v>0</v>
      </c>
      <c r="I637">
        <v>0</v>
      </c>
      <c r="L637" t="s">
        <v>121</v>
      </c>
      <c r="N637">
        <v>0.5</v>
      </c>
      <c r="O637">
        <v>0.38</v>
      </c>
      <c r="P637">
        <v>3.5</v>
      </c>
      <c r="Q637">
        <v>-4.5</v>
      </c>
      <c r="R637">
        <v>0.5625</v>
      </c>
      <c r="S637">
        <v>4</v>
      </c>
      <c r="T637">
        <v>0.5</v>
      </c>
      <c r="U637">
        <v>0</v>
      </c>
      <c r="V637">
        <v>0</v>
      </c>
      <c r="W637">
        <v>0</v>
      </c>
      <c r="X637">
        <v>0</v>
      </c>
      <c r="Y637">
        <v>0.5</v>
      </c>
      <c r="Z637">
        <v>0.5</v>
      </c>
    </row>
    <row r="638" spans="1:30">
      <c r="A638" t="s">
        <v>800</v>
      </c>
      <c r="B638">
        <v>26.9375</v>
      </c>
      <c r="C638">
        <v>46.8125</v>
      </c>
      <c r="D638">
        <v>12</v>
      </c>
      <c r="E638">
        <v>3.8125</v>
      </c>
      <c r="F638" t="s">
        <v>156</v>
      </c>
      <c r="G638">
        <v>1</v>
      </c>
      <c r="H638">
        <v>0</v>
      </c>
      <c r="I638">
        <v>1</v>
      </c>
      <c r="J638">
        <v>0</v>
      </c>
      <c r="K638">
        <v>12</v>
      </c>
      <c r="L638" t="s">
        <v>150</v>
      </c>
      <c r="N638">
        <v>0.5</v>
      </c>
      <c r="O638">
        <v>0.38</v>
      </c>
      <c r="P638">
        <v>3.5</v>
      </c>
      <c r="Q638">
        <v>-7.5</v>
      </c>
      <c r="R638">
        <v>0.6875</v>
      </c>
      <c r="S638">
        <v>4</v>
      </c>
      <c r="T638">
        <v>0.5</v>
      </c>
      <c r="U638">
        <v>0</v>
      </c>
      <c r="V638">
        <v>0</v>
      </c>
      <c r="W638">
        <v>0</v>
      </c>
      <c r="X638">
        <v>0</v>
      </c>
      <c r="Y638">
        <v>0.5</v>
      </c>
      <c r="Z638">
        <v>0.5</v>
      </c>
    </row>
    <row r="639" spans="1:30">
      <c r="A639" t="s">
        <v>801</v>
      </c>
      <c r="B639">
        <v>46</v>
      </c>
      <c r="C639">
        <v>65.125</v>
      </c>
      <c r="D639">
        <v>4.375</v>
      </c>
      <c r="E639">
        <v>3.0625</v>
      </c>
      <c r="F639" t="s">
        <v>156</v>
      </c>
      <c r="G639">
        <v>1</v>
      </c>
      <c r="H639">
        <v>0</v>
      </c>
      <c r="I639">
        <v>1</v>
      </c>
      <c r="J639">
        <v>0</v>
      </c>
      <c r="K639">
        <v>24</v>
      </c>
      <c r="L639" t="s">
        <v>120</v>
      </c>
      <c r="N639">
        <v>0.5</v>
      </c>
      <c r="O639">
        <v>0.38</v>
      </c>
      <c r="P639">
        <v>3.5</v>
      </c>
      <c r="Q639">
        <v>0.125</v>
      </c>
      <c r="R639">
        <v>1.4375</v>
      </c>
      <c r="S639">
        <v>4</v>
      </c>
      <c r="T639">
        <v>0.5</v>
      </c>
      <c r="U639">
        <v>0</v>
      </c>
      <c r="V639">
        <v>0</v>
      </c>
      <c r="W639">
        <v>0</v>
      </c>
      <c r="X639">
        <v>0</v>
      </c>
      <c r="Y639">
        <v>0.5</v>
      </c>
      <c r="Z639">
        <v>0.5</v>
      </c>
    </row>
    <row r="640" spans="1:30">
      <c r="A640" t="s">
        <v>802</v>
      </c>
      <c r="B640">
        <v>15.625</v>
      </c>
      <c r="C640">
        <v>25.8125</v>
      </c>
      <c r="D640">
        <v>4.5</v>
      </c>
      <c r="E640">
        <v>1</v>
      </c>
      <c r="F640" t="s">
        <v>156</v>
      </c>
      <c r="G640">
        <v>1</v>
      </c>
      <c r="H640">
        <v>0</v>
      </c>
      <c r="I640">
        <v>1</v>
      </c>
      <c r="J640">
        <v>0</v>
      </c>
      <c r="N640">
        <v>0.5</v>
      </c>
      <c r="O640">
        <v>0.38</v>
      </c>
      <c r="P640">
        <v>3.5</v>
      </c>
      <c r="Q640">
        <v>0</v>
      </c>
      <c r="R640">
        <v>3.5</v>
      </c>
      <c r="S640">
        <v>4</v>
      </c>
      <c r="T640">
        <v>0.5</v>
      </c>
      <c r="U640">
        <v>0</v>
      </c>
      <c r="V640">
        <v>0</v>
      </c>
      <c r="W640">
        <v>0</v>
      </c>
      <c r="X640">
        <v>0</v>
      </c>
      <c r="Y640">
        <v>0.5</v>
      </c>
      <c r="Z640">
        <v>0.5</v>
      </c>
    </row>
    <row r="641" spans="1:34">
      <c r="A641" t="s">
        <v>803</v>
      </c>
      <c r="B641">
        <v>29.375</v>
      </c>
      <c r="C641">
        <v>78.625</v>
      </c>
      <c r="D641">
        <v>3.0625</v>
      </c>
      <c r="E641">
        <v>4.625</v>
      </c>
      <c r="F641" t="s">
        <v>156</v>
      </c>
      <c r="G641">
        <v>1</v>
      </c>
      <c r="H641">
        <v>0</v>
      </c>
      <c r="I641">
        <v>1</v>
      </c>
      <c r="J641">
        <v>1</v>
      </c>
      <c r="N641">
        <v>0.5</v>
      </c>
      <c r="O641">
        <v>0.38</v>
      </c>
      <c r="P641">
        <v>3.5</v>
      </c>
      <c r="Q641">
        <v>1.4375</v>
      </c>
      <c r="R641">
        <v>0</v>
      </c>
      <c r="S641">
        <v>4</v>
      </c>
      <c r="T641">
        <v>0.5</v>
      </c>
      <c r="U641">
        <v>0</v>
      </c>
      <c r="V641">
        <v>0</v>
      </c>
      <c r="W641">
        <v>0</v>
      </c>
      <c r="X641">
        <v>0</v>
      </c>
      <c r="Y641">
        <v>0.5</v>
      </c>
      <c r="Z641">
        <v>0.5</v>
      </c>
    </row>
    <row r="642" spans="1:34">
      <c r="A642" t="s">
        <v>804</v>
      </c>
      <c r="B642">
        <v>47.625</v>
      </c>
      <c r="C642">
        <v>56.3125</v>
      </c>
      <c r="D642">
        <v>4.8125</v>
      </c>
      <c r="E642">
        <v>1</v>
      </c>
      <c r="F642" t="s">
        <v>156</v>
      </c>
      <c r="G642">
        <v>1</v>
      </c>
      <c r="H642">
        <v>1</v>
      </c>
      <c r="I642">
        <v>0</v>
      </c>
      <c r="N642">
        <v>0.5</v>
      </c>
      <c r="O642">
        <v>0.38</v>
      </c>
      <c r="P642">
        <v>3.5</v>
      </c>
      <c r="Q642">
        <v>-0.3125</v>
      </c>
      <c r="R642">
        <v>3.5</v>
      </c>
      <c r="S642">
        <v>4</v>
      </c>
      <c r="T642">
        <v>0.5</v>
      </c>
      <c r="U642">
        <v>0</v>
      </c>
      <c r="V642">
        <v>0</v>
      </c>
      <c r="W642">
        <v>1</v>
      </c>
      <c r="X642">
        <v>0</v>
      </c>
      <c r="Y642">
        <v>0.5</v>
      </c>
      <c r="Z642">
        <v>0.5</v>
      </c>
    </row>
    <row r="643" spans="1:34">
      <c r="A643" t="s">
        <v>805</v>
      </c>
      <c r="B643">
        <v>23.3125</v>
      </c>
      <c r="C643">
        <v>75.4375</v>
      </c>
      <c r="D643">
        <v>12</v>
      </c>
      <c r="E643">
        <v>4.25</v>
      </c>
      <c r="F643" t="s">
        <v>156</v>
      </c>
      <c r="G643">
        <v>1</v>
      </c>
      <c r="H643">
        <v>1</v>
      </c>
      <c r="I643">
        <v>1</v>
      </c>
      <c r="J643">
        <v>0</v>
      </c>
      <c r="K643">
        <v>12</v>
      </c>
      <c r="N643">
        <v>0.5</v>
      </c>
      <c r="O643">
        <v>0.38</v>
      </c>
      <c r="P643">
        <v>3.5</v>
      </c>
      <c r="Q643">
        <v>-7.5</v>
      </c>
      <c r="R643">
        <v>0.25</v>
      </c>
      <c r="S643">
        <v>4</v>
      </c>
      <c r="T643">
        <v>0.5</v>
      </c>
      <c r="U643">
        <v>0</v>
      </c>
      <c r="V643">
        <v>0</v>
      </c>
      <c r="W643">
        <v>1</v>
      </c>
      <c r="X643">
        <v>0</v>
      </c>
      <c r="Y643">
        <v>0.5</v>
      </c>
      <c r="Z643">
        <v>0.5</v>
      </c>
    </row>
    <row r="644" spans="1:34">
      <c r="A644" t="s">
        <v>806</v>
      </c>
      <c r="B644">
        <v>12.875</v>
      </c>
      <c r="C644">
        <v>67.75</v>
      </c>
      <c r="D644">
        <v>3.1875</v>
      </c>
      <c r="E644">
        <v>1</v>
      </c>
      <c r="F644" t="s">
        <v>156</v>
      </c>
      <c r="G644">
        <v>1</v>
      </c>
      <c r="H644">
        <v>1</v>
      </c>
      <c r="I644">
        <v>1</v>
      </c>
      <c r="J644">
        <v>0</v>
      </c>
      <c r="K644">
        <v>24</v>
      </c>
      <c r="L644" t="s">
        <v>120</v>
      </c>
      <c r="N644">
        <v>0.5</v>
      </c>
      <c r="O644">
        <v>0.38</v>
      </c>
      <c r="P644">
        <v>3.5</v>
      </c>
      <c r="Q644">
        <v>1.3125</v>
      </c>
      <c r="R644">
        <v>3.5</v>
      </c>
      <c r="S644">
        <v>4</v>
      </c>
      <c r="T644">
        <v>0.5</v>
      </c>
      <c r="U644">
        <v>0</v>
      </c>
      <c r="V644">
        <v>0</v>
      </c>
      <c r="W644">
        <v>1</v>
      </c>
      <c r="X644">
        <v>0</v>
      </c>
      <c r="Y644">
        <v>0.5</v>
      </c>
      <c r="Z644">
        <v>0.5</v>
      </c>
    </row>
    <row r="645" spans="1:34">
      <c r="A645" t="s">
        <v>807</v>
      </c>
      <c r="B645">
        <v>35.1875</v>
      </c>
      <c r="C645">
        <v>52.5</v>
      </c>
      <c r="D645">
        <v>9</v>
      </c>
      <c r="E645">
        <v>6.9375</v>
      </c>
      <c r="F645" t="s">
        <v>156</v>
      </c>
      <c r="G645">
        <v>1</v>
      </c>
      <c r="H645">
        <v>1</v>
      </c>
      <c r="I645">
        <v>1</v>
      </c>
      <c r="J645">
        <v>0</v>
      </c>
      <c r="N645">
        <v>0.5</v>
      </c>
      <c r="O645">
        <v>0.38</v>
      </c>
      <c r="P645">
        <v>3.5</v>
      </c>
      <c r="Q645">
        <v>-4.5</v>
      </c>
      <c r="R645">
        <v>0</v>
      </c>
      <c r="S645">
        <v>4</v>
      </c>
      <c r="T645">
        <v>0.5</v>
      </c>
      <c r="U645">
        <v>0</v>
      </c>
      <c r="V645">
        <v>0</v>
      </c>
      <c r="W645">
        <v>0</v>
      </c>
      <c r="X645">
        <v>0</v>
      </c>
      <c r="Y645">
        <v>0.5</v>
      </c>
      <c r="Z645">
        <v>0.5</v>
      </c>
    </row>
    <row r="646" spans="1:34">
      <c r="A646" t="s">
        <v>808</v>
      </c>
      <c r="B646">
        <v>13.5625</v>
      </c>
      <c r="C646">
        <v>46.125</v>
      </c>
      <c r="D646">
        <v>1.375</v>
      </c>
      <c r="E646">
        <v>1</v>
      </c>
      <c r="F646" t="s">
        <v>156</v>
      </c>
      <c r="G646">
        <v>1</v>
      </c>
      <c r="H646">
        <v>1</v>
      </c>
      <c r="I646">
        <v>1</v>
      </c>
      <c r="J646">
        <v>1</v>
      </c>
      <c r="N646">
        <v>0.5</v>
      </c>
      <c r="O646">
        <v>0.38</v>
      </c>
      <c r="P646">
        <v>3.5</v>
      </c>
      <c r="Q646">
        <v>3.125</v>
      </c>
      <c r="R646">
        <v>3.5</v>
      </c>
      <c r="S646">
        <v>4</v>
      </c>
      <c r="T646">
        <v>0.5</v>
      </c>
      <c r="U646">
        <v>0</v>
      </c>
      <c r="V646">
        <v>0</v>
      </c>
      <c r="W646">
        <v>1</v>
      </c>
      <c r="X646">
        <v>1</v>
      </c>
      <c r="Y646">
        <v>0.5</v>
      </c>
      <c r="Z646">
        <v>0.5</v>
      </c>
    </row>
    <row r="647" spans="1:34">
      <c r="A647" t="s">
        <v>809</v>
      </c>
      <c r="B647">
        <v>60</v>
      </c>
      <c r="C647">
        <v>61</v>
      </c>
      <c r="D647">
        <v>3</v>
      </c>
      <c r="E647">
        <v>1</v>
      </c>
      <c r="F647" t="s">
        <v>157</v>
      </c>
      <c r="G647">
        <v>0</v>
      </c>
      <c r="I647">
        <v>0</v>
      </c>
      <c r="L647" t="s">
        <v>121</v>
      </c>
      <c r="M647" t="s">
        <v>120</v>
      </c>
      <c r="N647">
        <v>0.5</v>
      </c>
      <c r="O647">
        <v>0.38</v>
      </c>
      <c r="P647">
        <v>3.5</v>
      </c>
      <c r="Q647">
        <v>1.5</v>
      </c>
      <c r="R647">
        <v>3.5</v>
      </c>
      <c r="S647">
        <v>4</v>
      </c>
      <c r="T647">
        <v>0.5</v>
      </c>
      <c r="U647">
        <v>0</v>
      </c>
      <c r="V647">
        <v>0</v>
      </c>
      <c r="W647">
        <v>0</v>
      </c>
      <c r="X647">
        <v>0</v>
      </c>
      <c r="Y647">
        <v>0.5</v>
      </c>
      <c r="Z647">
        <v>0.5</v>
      </c>
      <c r="AA647">
        <v>11</v>
      </c>
      <c r="AB647">
        <v>9.375</v>
      </c>
      <c r="AC647">
        <v>14.5</v>
      </c>
      <c r="AD647">
        <v>15.75</v>
      </c>
      <c r="AE647">
        <v>11.5</v>
      </c>
      <c r="AF647">
        <v>10.875</v>
      </c>
      <c r="AG647">
        <v>28.94</v>
      </c>
      <c r="AH647">
        <v>15</v>
      </c>
    </row>
    <row r="648" spans="1:34">
      <c r="A648" t="s">
        <v>810</v>
      </c>
      <c r="B648">
        <v>60</v>
      </c>
      <c r="C648">
        <v>47.375</v>
      </c>
      <c r="D648">
        <v>1</v>
      </c>
      <c r="E648">
        <v>3</v>
      </c>
      <c r="F648" t="s">
        <v>157</v>
      </c>
      <c r="G648">
        <v>0</v>
      </c>
      <c r="I648">
        <v>1</v>
      </c>
      <c r="J648">
        <v>0</v>
      </c>
      <c r="K648">
        <v>12</v>
      </c>
      <c r="L648" t="s">
        <v>145</v>
      </c>
      <c r="N648">
        <v>0.5</v>
      </c>
      <c r="O648">
        <v>0.38</v>
      </c>
      <c r="P648">
        <v>3.5</v>
      </c>
      <c r="Q648">
        <v>3.5</v>
      </c>
      <c r="R648">
        <v>1.5</v>
      </c>
      <c r="S648">
        <v>4</v>
      </c>
      <c r="T648">
        <v>0.5</v>
      </c>
      <c r="U648">
        <v>0</v>
      </c>
      <c r="V648">
        <v>1</v>
      </c>
      <c r="W648">
        <v>0</v>
      </c>
      <c r="X648">
        <v>0</v>
      </c>
      <c r="Y648">
        <v>0.5</v>
      </c>
      <c r="Z648">
        <v>0</v>
      </c>
      <c r="AA648">
        <v>15.5</v>
      </c>
      <c r="AB648">
        <v>28.875</v>
      </c>
      <c r="AC648">
        <v>14</v>
      </c>
      <c r="AD648">
        <v>29.13</v>
      </c>
    </row>
    <row r="649" spans="1:34">
      <c r="A649" t="s">
        <v>811</v>
      </c>
      <c r="B649">
        <v>60</v>
      </c>
      <c r="C649">
        <v>56.875</v>
      </c>
      <c r="D649">
        <v>7.3125</v>
      </c>
      <c r="E649">
        <v>1</v>
      </c>
      <c r="F649" t="s">
        <v>157</v>
      </c>
      <c r="G649">
        <v>0</v>
      </c>
      <c r="I649">
        <v>1</v>
      </c>
      <c r="J649">
        <v>0</v>
      </c>
      <c r="K649">
        <v>24</v>
      </c>
      <c r="L649" t="s">
        <v>120</v>
      </c>
      <c r="N649">
        <v>0.5</v>
      </c>
      <c r="O649">
        <v>0.38</v>
      </c>
      <c r="P649">
        <v>3.5</v>
      </c>
      <c r="Q649">
        <v>-2.8125</v>
      </c>
      <c r="R649">
        <v>3.5</v>
      </c>
      <c r="S649">
        <v>4</v>
      </c>
      <c r="T649">
        <v>0.5</v>
      </c>
      <c r="U649">
        <v>0</v>
      </c>
      <c r="V649">
        <v>0</v>
      </c>
      <c r="W649">
        <v>0</v>
      </c>
      <c r="X649">
        <v>0</v>
      </c>
      <c r="Y649">
        <v>0.5</v>
      </c>
      <c r="Z649">
        <v>0.5</v>
      </c>
      <c r="AA649">
        <v>11.5</v>
      </c>
      <c r="AB649">
        <v>10.875</v>
      </c>
      <c r="AC649">
        <v>4.9400000000000004</v>
      </c>
      <c r="AD649">
        <v>10.6875</v>
      </c>
    </row>
    <row r="650" spans="1:34">
      <c r="A650" t="s">
        <v>812</v>
      </c>
      <c r="B650">
        <v>60</v>
      </c>
      <c r="C650">
        <v>67.75</v>
      </c>
      <c r="D650">
        <v>1</v>
      </c>
      <c r="E650">
        <v>2.0625</v>
      </c>
      <c r="F650" t="s">
        <v>157</v>
      </c>
      <c r="G650">
        <v>0</v>
      </c>
      <c r="I650">
        <v>1</v>
      </c>
      <c r="J650">
        <v>0</v>
      </c>
      <c r="N650">
        <v>0.5</v>
      </c>
      <c r="O650">
        <v>0.38</v>
      </c>
      <c r="P650">
        <v>3.5</v>
      </c>
      <c r="Q650">
        <v>3.5</v>
      </c>
      <c r="R650">
        <v>2.4375</v>
      </c>
      <c r="S650">
        <v>4</v>
      </c>
      <c r="T650">
        <v>0.5</v>
      </c>
      <c r="U650">
        <v>0</v>
      </c>
      <c r="V650">
        <v>1</v>
      </c>
      <c r="W650">
        <v>0</v>
      </c>
      <c r="X650">
        <v>0</v>
      </c>
      <c r="Y650">
        <v>0.5</v>
      </c>
      <c r="Z650">
        <v>0</v>
      </c>
    </row>
    <row r="651" spans="1:34">
      <c r="A651" t="s">
        <v>813</v>
      </c>
      <c r="B651">
        <v>60</v>
      </c>
      <c r="C651">
        <v>75.1875</v>
      </c>
      <c r="D651">
        <v>9</v>
      </c>
      <c r="E651">
        <v>6.125</v>
      </c>
      <c r="F651" t="s">
        <v>157</v>
      </c>
      <c r="G651">
        <v>0</v>
      </c>
      <c r="I651">
        <v>1</v>
      </c>
      <c r="J651">
        <v>1</v>
      </c>
      <c r="N651">
        <v>0.5</v>
      </c>
      <c r="O651">
        <v>0.38</v>
      </c>
      <c r="P651">
        <v>3.5</v>
      </c>
      <c r="Q651">
        <v>-4.5</v>
      </c>
      <c r="R651">
        <v>0</v>
      </c>
      <c r="S651">
        <v>4</v>
      </c>
      <c r="T651">
        <v>0.5</v>
      </c>
      <c r="U651">
        <v>0</v>
      </c>
      <c r="V651">
        <v>0</v>
      </c>
      <c r="W651">
        <v>0</v>
      </c>
      <c r="X651">
        <v>0</v>
      </c>
      <c r="Y651">
        <v>0.5</v>
      </c>
      <c r="Z651">
        <v>0.5</v>
      </c>
    </row>
    <row r="652" spans="1:34">
      <c r="A652" t="s">
        <v>814</v>
      </c>
      <c r="B652">
        <v>60</v>
      </c>
      <c r="C652">
        <v>8.875</v>
      </c>
      <c r="D652">
        <v>12</v>
      </c>
      <c r="E652">
        <v>5.5</v>
      </c>
      <c r="F652" t="s">
        <v>157</v>
      </c>
      <c r="G652">
        <v>1</v>
      </c>
      <c r="H652">
        <v>0</v>
      </c>
      <c r="I652">
        <v>0</v>
      </c>
      <c r="N652">
        <v>0.5</v>
      </c>
      <c r="O652">
        <v>0.38</v>
      </c>
      <c r="P652">
        <v>3.5</v>
      </c>
      <c r="Q652">
        <v>-7.5</v>
      </c>
      <c r="R652">
        <v>0</v>
      </c>
      <c r="S652">
        <v>4</v>
      </c>
      <c r="T652">
        <v>0.5</v>
      </c>
      <c r="U652">
        <v>0</v>
      </c>
      <c r="V652">
        <v>0</v>
      </c>
      <c r="W652">
        <v>0</v>
      </c>
      <c r="X652">
        <v>0</v>
      </c>
      <c r="Y652">
        <v>0.5</v>
      </c>
      <c r="Z652">
        <v>0.5</v>
      </c>
    </row>
    <row r="653" spans="1:34">
      <c r="A653" t="s">
        <v>815</v>
      </c>
      <c r="B653">
        <v>60</v>
      </c>
      <c r="C653">
        <v>69.5</v>
      </c>
      <c r="D653">
        <v>4.5</v>
      </c>
      <c r="E653">
        <v>4.25</v>
      </c>
      <c r="F653" t="s">
        <v>157</v>
      </c>
      <c r="G653">
        <v>1</v>
      </c>
      <c r="H653">
        <v>0</v>
      </c>
      <c r="I653">
        <v>1</v>
      </c>
      <c r="J653">
        <v>0</v>
      </c>
      <c r="K653">
        <v>12</v>
      </c>
      <c r="L653" t="s">
        <v>145</v>
      </c>
      <c r="N653">
        <v>0.5</v>
      </c>
      <c r="O653">
        <v>0.38</v>
      </c>
      <c r="P653">
        <v>3.5</v>
      </c>
      <c r="Q653">
        <v>0</v>
      </c>
      <c r="R653">
        <v>0.25</v>
      </c>
      <c r="S653">
        <v>4</v>
      </c>
      <c r="T653">
        <v>0.5</v>
      </c>
      <c r="U653">
        <v>0</v>
      </c>
      <c r="V653">
        <v>0</v>
      </c>
      <c r="W653">
        <v>0</v>
      </c>
      <c r="X653">
        <v>0</v>
      </c>
      <c r="Y653">
        <v>0.5</v>
      </c>
      <c r="Z653">
        <v>0.5</v>
      </c>
      <c r="AA653">
        <v>15.5</v>
      </c>
      <c r="AB653">
        <v>28.875</v>
      </c>
      <c r="AC653">
        <v>14</v>
      </c>
      <c r="AD653">
        <v>25.63</v>
      </c>
    </row>
    <row r="654" spans="1:34">
      <c r="A654" t="s">
        <v>816</v>
      </c>
      <c r="B654">
        <v>60</v>
      </c>
      <c r="C654">
        <v>47.3125</v>
      </c>
      <c r="D654">
        <v>4.5</v>
      </c>
      <c r="E654">
        <v>1.75</v>
      </c>
      <c r="F654" t="s">
        <v>157</v>
      </c>
      <c r="G654">
        <v>1</v>
      </c>
      <c r="H654">
        <v>0</v>
      </c>
      <c r="I654">
        <v>1</v>
      </c>
      <c r="J654">
        <v>0</v>
      </c>
      <c r="K654">
        <v>24</v>
      </c>
      <c r="L654" t="s">
        <v>120</v>
      </c>
      <c r="N654">
        <v>0.5</v>
      </c>
      <c r="O654">
        <v>0.38</v>
      </c>
      <c r="P654">
        <v>3.5</v>
      </c>
      <c r="Q654">
        <v>0</v>
      </c>
      <c r="R654">
        <v>2.75</v>
      </c>
      <c r="S654">
        <v>4</v>
      </c>
      <c r="T654">
        <v>0.5</v>
      </c>
      <c r="U654">
        <v>0</v>
      </c>
      <c r="V654">
        <v>0</v>
      </c>
      <c r="W654">
        <v>0</v>
      </c>
      <c r="X654">
        <v>0</v>
      </c>
      <c r="Y654">
        <v>0.5</v>
      </c>
      <c r="Z654">
        <v>0.5</v>
      </c>
      <c r="AA654">
        <v>11.5</v>
      </c>
      <c r="AB654">
        <v>10.875</v>
      </c>
      <c r="AC654">
        <v>4.9400000000000004</v>
      </c>
      <c r="AD654">
        <v>13.5</v>
      </c>
    </row>
    <row r="655" spans="1:34">
      <c r="A655" t="s">
        <v>817</v>
      </c>
      <c r="B655">
        <v>60</v>
      </c>
      <c r="C655">
        <v>46.75</v>
      </c>
      <c r="D655">
        <v>4.5</v>
      </c>
      <c r="E655">
        <v>1</v>
      </c>
      <c r="F655" t="s">
        <v>157</v>
      </c>
      <c r="G655">
        <v>1</v>
      </c>
      <c r="H655">
        <v>0</v>
      </c>
      <c r="I655">
        <v>1</v>
      </c>
      <c r="J655">
        <v>0</v>
      </c>
      <c r="N655">
        <v>0.5</v>
      </c>
      <c r="O655">
        <v>0.38</v>
      </c>
      <c r="P655">
        <v>3.5</v>
      </c>
      <c r="Q655">
        <v>0</v>
      </c>
      <c r="R655">
        <v>3.5</v>
      </c>
      <c r="S655">
        <v>4</v>
      </c>
      <c r="T655">
        <v>0.5</v>
      </c>
      <c r="U655">
        <v>0</v>
      </c>
      <c r="V655">
        <v>0</v>
      </c>
      <c r="W655">
        <v>0</v>
      </c>
      <c r="X655">
        <v>0</v>
      </c>
      <c r="Y655">
        <v>0.5</v>
      </c>
      <c r="Z655">
        <v>0.5</v>
      </c>
    </row>
    <row r="656" spans="1:34">
      <c r="A656" t="s">
        <v>818</v>
      </c>
      <c r="B656">
        <v>60</v>
      </c>
      <c r="C656">
        <v>12.8125</v>
      </c>
      <c r="D656">
        <v>1</v>
      </c>
      <c r="E656">
        <v>1.375</v>
      </c>
      <c r="F656" t="s">
        <v>157</v>
      </c>
      <c r="G656">
        <v>1</v>
      </c>
      <c r="H656">
        <v>0</v>
      </c>
      <c r="I656">
        <v>1</v>
      </c>
      <c r="J656">
        <v>1</v>
      </c>
      <c r="N656">
        <v>0.5</v>
      </c>
      <c r="O656">
        <v>0.38</v>
      </c>
      <c r="P656">
        <v>3.5</v>
      </c>
      <c r="Q656">
        <v>3.5</v>
      </c>
      <c r="R656">
        <v>3.125</v>
      </c>
      <c r="S656">
        <v>4</v>
      </c>
      <c r="T656">
        <v>0.5</v>
      </c>
      <c r="U656">
        <v>1</v>
      </c>
      <c r="V656">
        <v>1</v>
      </c>
      <c r="W656">
        <v>0</v>
      </c>
      <c r="X656">
        <v>0</v>
      </c>
      <c r="Y656">
        <v>0</v>
      </c>
      <c r="Z656">
        <v>0</v>
      </c>
    </row>
    <row r="657" spans="1:34">
      <c r="A657" t="s">
        <v>819</v>
      </c>
      <c r="B657">
        <v>60</v>
      </c>
      <c r="C657">
        <v>33</v>
      </c>
      <c r="D657">
        <v>9</v>
      </c>
      <c r="E657">
        <v>6.0625</v>
      </c>
      <c r="F657" t="s">
        <v>157</v>
      </c>
      <c r="G657">
        <v>1</v>
      </c>
      <c r="H657">
        <v>1</v>
      </c>
      <c r="I657">
        <v>0</v>
      </c>
      <c r="N657">
        <v>0.5</v>
      </c>
      <c r="O657">
        <v>0.38</v>
      </c>
      <c r="P657">
        <v>3.5</v>
      </c>
      <c r="Q657">
        <v>-4.5</v>
      </c>
      <c r="R657">
        <v>0</v>
      </c>
      <c r="S657">
        <v>4</v>
      </c>
      <c r="T657">
        <v>0.5</v>
      </c>
      <c r="U657">
        <v>0</v>
      </c>
      <c r="V657">
        <v>0</v>
      </c>
      <c r="W657">
        <v>0</v>
      </c>
      <c r="X657">
        <v>0</v>
      </c>
      <c r="Y657">
        <v>0.5</v>
      </c>
      <c r="Z657">
        <v>0.5</v>
      </c>
    </row>
    <row r="658" spans="1:34">
      <c r="A658" t="s">
        <v>820</v>
      </c>
      <c r="B658">
        <v>60</v>
      </c>
      <c r="C658">
        <v>68.4375</v>
      </c>
      <c r="D658">
        <v>12</v>
      </c>
      <c r="E658">
        <v>4.5625</v>
      </c>
      <c r="F658" t="s">
        <v>157</v>
      </c>
      <c r="G658">
        <v>1</v>
      </c>
      <c r="H658">
        <v>1</v>
      </c>
      <c r="I658">
        <v>1</v>
      </c>
      <c r="J658">
        <v>0</v>
      </c>
      <c r="K658">
        <v>12</v>
      </c>
      <c r="L658" t="s">
        <v>145</v>
      </c>
      <c r="N658">
        <v>0.5</v>
      </c>
      <c r="O658">
        <v>0.38</v>
      </c>
      <c r="P658">
        <v>3.5</v>
      </c>
      <c r="Q658">
        <v>-7.5</v>
      </c>
      <c r="R658">
        <v>0</v>
      </c>
      <c r="S658">
        <v>4</v>
      </c>
      <c r="T658">
        <v>0.5</v>
      </c>
      <c r="U658">
        <v>0</v>
      </c>
      <c r="V658">
        <v>0</v>
      </c>
      <c r="W658">
        <v>0</v>
      </c>
      <c r="X658">
        <v>0</v>
      </c>
      <c r="Y658">
        <v>0.5</v>
      </c>
      <c r="Z658">
        <v>0.5</v>
      </c>
      <c r="AA658">
        <v>15.5</v>
      </c>
      <c r="AB658">
        <v>28.875</v>
      </c>
      <c r="AC658">
        <v>14</v>
      </c>
      <c r="AD658">
        <v>18.13</v>
      </c>
    </row>
    <row r="659" spans="1:34">
      <c r="A659" t="s">
        <v>821</v>
      </c>
      <c r="B659">
        <v>60</v>
      </c>
      <c r="C659">
        <v>48.0625</v>
      </c>
      <c r="D659">
        <v>4.5</v>
      </c>
      <c r="E659">
        <v>3.875</v>
      </c>
      <c r="F659" t="s">
        <v>157</v>
      </c>
      <c r="G659">
        <v>1</v>
      </c>
      <c r="H659">
        <v>1</v>
      </c>
      <c r="I659">
        <v>1</v>
      </c>
      <c r="J659">
        <v>0</v>
      </c>
      <c r="K659">
        <v>24</v>
      </c>
      <c r="L659" t="s">
        <v>120</v>
      </c>
      <c r="N659">
        <v>0.5</v>
      </c>
      <c r="O659">
        <v>0.38</v>
      </c>
      <c r="P659">
        <v>3.5</v>
      </c>
      <c r="Q659">
        <v>0</v>
      </c>
      <c r="R659">
        <v>0.625</v>
      </c>
      <c r="S659">
        <v>4</v>
      </c>
      <c r="T659">
        <v>0.5</v>
      </c>
      <c r="U659">
        <v>0</v>
      </c>
      <c r="V659">
        <v>0</v>
      </c>
      <c r="W659">
        <v>0</v>
      </c>
      <c r="X659">
        <v>0</v>
      </c>
      <c r="Y659">
        <v>0.5</v>
      </c>
      <c r="Z659">
        <v>0.5</v>
      </c>
      <c r="AA659">
        <v>11.5</v>
      </c>
      <c r="AB659">
        <v>10.875</v>
      </c>
      <c r="AC659">
        <v>4.9400000000000004</v>
      </c>
      <c r="AD659">
        <v>13.5</v>
      </c>
    </row>
    <row r="660" spans="1:34">
      <c r="A660" t="s">
        <v>822</v>
      </c>
      <c r="B660">
        <v>60</v>
      </c>
      <c r="C660">
        <v>64.8125</v>
      </c>
      <c r="D660">
        <v>9</v>
      </c>
      <c r="E660">
        <v>7.625</v>
      </c>
      <c r="F660" t="s">
        <v>157</v>
      </c>
      <c r="G660">
        <v>1</v>
      </c>
      <c r="H660">
        <v>1</v>
      </c>
      <c r="I660">
        <v>1</v>
      </c>
      <c r="J660">
        <v>0</v>
      </c>
      <c r="N660">
        <v>0.5</v>
      </c>
      <c r="O660">
        <v>0.38</v>
      </c>
      <c r="P660">
        <v>3.5</v>
      </c>
      <c r="Q660">
        <v>-4.5</v>
      </c>
      <c r="R660">
        <v>0</v>
      </c>
      <c r="S660">
        <v>4</v>
      </c>
      <c r="T660">
        <v>0.5</v>
      </c>
      <c r="U660">
        <v>0</v>
      </c>
      <c r="V660">
        <v>0</v>
      </c>
      <c r="W660">
        <v>0</v>
      </c>
      <c r="X660">
        <v>0</v>
      </c>
      <c r="Y660">
        <v>0.5</v>
      </c>
      <c r="Z660">
        <v>0.5</v>
      </c>
    </row>
    <row r="661" spans="1:34">
      <c r="A661" t="s">
        <v>823</v>
      </c>
      <c r="B661">
        <v>60</v>
      </c>
      <c r="C661">
        <v>64.0625</v>
      </c>
      <c r="D661">
        <v>11.375</v>
      </c>
      <c r="E661">
        <v>3.9375</v>
      </c>
      <c r="F661" t="s">
        <v>157</v>
      </c>
      <c r="G661">
        <v>1</v>
      </c>
      <c r="H661">
        <v>1</v>
      </c>
      <c r="I661">
        <v>1</v>
      </c>
      <c r="J661">
        <v>1</v>
      </c>
      <c r="N661">
        <v>0.5</v>
      </c>
      <c r="O661">
        <v>0.38</v>
      </c>
      <c r="P661">
        <v>3.5</v>
      </c>
      <c r="Q661">
        <v>-6.875</v>
      </c>
      <c r="R661">
        <v>0.5625</v>
      </c>
      <c r="S661">
        <v>4</v>
      </c>
      <c r="T661">
        <v>0.5</v>
      </c>
      <c r="U661">
        <v>0</v>
      </c>
      <c r="V661">
        <v>0</v>
      </c>
      <c r="W661">
        <v>0</v>
      </c>
      <c r="X661">
        <v>0</v>
      </c>
      <c r="Y661">
        <v>0.5</v>
      </c>
      <c r="Z661">
        <v>0.5</v>
      </c>
    </row>
    <row r="662" spans="1:34">
      <c r="A662" t="s">
        <v>824</v>
      </c>
      <c r="B662">
        <v>78.6875</v>
      </c>
      <c r="C662">
        <v>78.875</v>
      </c>
      <c r="D662">
        <v>4.5</v>
      </c>
      <c r="E662">
        <v>1</v>
      </c>
      <c r="F662" t="s">
        <v>21</v>
      </c>
      <c r="G662">
        <v>0</v>
      </c>
      <c r="I662">
        <v>0</v>
      </c>
      <c r="L662" t="s">
        <v>121</v>
      </c>
      <c r="N662">
        <v>0.5</v>
      </c>
      <c r="O662">
        <v>0.38</v>
      </c>
      <c r="P662">
        <v>3.5</v>
      </c>
      <c r="Q662">
        <v>0</v>
      </c>
      <c r="R662">
        <v>3.5</v>
      </c>
      <c r="S662">
        <v>4</v>
      </c>
      <c r="T662">
        <v>0.5</v>
      </c>
      <c r="U662">
        <v>0</v>
      </c>
      <c r="V662">
        <v>0</v>
      </c>
      <c r="W662">
        <v>0</v>
      </c>
      <c r="X662">
        <v>0</v>
      </c>
      <c r="Y662">
        <v>0.5</v>
      </c>
      <c r="Z662">
        <v>0.5</v>
      </c>
      <c r="AA662">
        <v>11</v>
      </c>
      <c r="AB662">
        <v>9.375</v>
      </c>
      <c r="AC662">
        <v>14.5</v>
      </c>
      <c r="AD662">
        <v>14.25</v>
      </c>
    </row>
    <row r="663" spans="1:34">
      <c r="A663" t="s">
        <v>825</v>
      </c>
      <c r="B663">
        <v>96.3125</v>
      </c>
      <c r="C663">
        <v>59.3125</v>
      </c>
      <c r="D663">
        <v>9</v>
      </c>
      <c r="E663">
        <v>1.5625</v>
      </c>
      <c r="F663" t="s">
        <v>21</v>
      </c>
      <c r="G663">
        <v>0</v>
      </c>
      <c r="I663">
        <v>1</v>
      </c>
      <c r="J663">
        <v>0</v>
      </c>
      <c r="K663">
        <v>12</v>
      </c>
      <c r="L663" t="s">
        <v>149</v>
      </c>
      <c r="N663">
        <v>0.5</v>
      </c>
      <c r="O663">
        <v>0.38</v>
      </c>
      <c r="P663">
        <v>3.5</v>
      </c>
      <c r="Q663">
        <v>-4.5</v>
      </c>
      <c r="R663">
        <v>2.9375</v>
      </c>
      <c r="S663">
        <v>4</v>
      </c>
      <c r="T663">
        <v>0.5</v>
      </c>
      <c r="U663">
        <v>0</v>
      </c>
      <c r="V663">
        <v>0</v>
      </c>
      <c r="W663">
        <v>0</v>
      </c>
      <c r="X663">
        <v>0</v>
      </c>
      <c r="Y663">
        <v>0.5</v>
      </c>
      <c r="Z663">
        <v>0.5</v>
      </c>
      <c r="AA663">
        <v>15.5</v>
      </c>
      <c r="AB663">
        <v>28.875</v>
      </c>
      <c r="AC663">
        <v>9</v>
      </c>
      <c r="AD663">
        <v>9</v>
      </c>
    </row>
    <row r="664" spans="1:34">
      <c r="A664" t="s">
        <v>826</v>
      </c>
      <c r="B664">
        <v>96</v>
      </c>
      <c r="C664">
        <v>57.625</v>
      </c>
      <c r="D664">
        <v>9</v>
      </c>
      <c r="E664">
        <v>1</v>
      </c>
      <c r="F664" t="s">
        <v>21</v>
      </c>
      <c r="G664">
        <v>0</v>
      </c>
      <c r="I664">
        <v>1</v>
      </c>
      <c r="J664">
        <v>0</v>
      </c>
      <c r="K664">
        <v>24</v>
      </c>
      <c r="L664" t="s">
        <v>120</v>
      </c>
      <c r="N664">
        <v>0.5</v>
      </c>
      <c r="O664">
        <v>0.38</v>
      </c>
      <c r="P664">
        <v>3.5</v>
      </c>
      <c r="Q664">
        <v>-4.5</v>
      </c>
      <c r="R664">
        <v>3.5</v>
      </c>
      <c r="S664">
        <v>4</v>
      </c>
      <c r="T664">
        <v>0.5</v>
      </c>
      <c r="U664">
        <v>0</v>
      </c>
      <c r="V664">
        <v>0</v>
      </c>
      <c r="W664">
        <v>0</v>
      </c>
      <c r="X664">
        <v>0</v>
      </c>
      <c r="Y664">
        <v>0.5</v>
      </c>
      <c r="Z664">
        <v>0.5</v>
      </c>
      <c r="AA664">
        <v>11.5</v>
      </c>
      <c r="AB664">
        <v>10.875</v>
      </c>
      <c r="AC664">
        <v>4.9400000000000004</v>
      </c>
      <c r="AD664">
        <v>9</v>
      </c>
    </row>
    <row r="665" spans="1:34">
      <c r="A665" t="s">
        <v>827</v>
      </c>
      <c r="B665">
        <v>68.8125</v>
      </c>
      <c r="C665">
        <v>41.0625</v>
      </c>
      <c r="D665">
        <v>1</v>
      </c>
      <c r="E665">
        <v>4.3125</v>
      </c>
      <c r="F665" t="s">
        <v>21</v>
      </c>
      <c r="G665">
        <v>0</v>
      </c>
      <c r="I665">
        <v>1</v>
      </c>
      <c r="J665">
        <v>0</v>
      </c>
      <c r="N665">
        <v>0.5</v>
      </c>
      <c r="O665">
        <v>0.38</v>
      </c>
      <c r="P665">
        <v>3.5</v>
      </c>
      <c r="Q665">
        <v>3.5</v>
      </c>
      <c r="R665">
        <v>0.1875</v>
      </c>
      <c r="S665">
        <v>4</v>
      </c>
      <c r="T665">
        <v>0.5</v>
      </c>
      <c r="U665">
        <v>0</v>
      </c>
      <c r="V665">
        <v>1</v>
      </c>
      <c r="W665">
        <v>0</v>
      </c>
      <c r="X665">
        <v>0</v>
      </c>
      <c r="Y665">
        <v>0.5</v>
      </c>
      <c r="Z665">
        <v>0</v>
      </c>
    </row>
    <row r="666" spans="1:34">
      <c r="A666" t="s">
        <v>828</v>
      </c>
      <c r="B666">
        <v>84.875</v>
      </c>
      <c r="C666">
        <v>69.25</v>
      </c>
      <c r="D666">
        <v>12</v>
      </c>
      <c r="E666">
        <v>2.375</v>
      </c>
      <c r="F666" t="s">
        <v>21</v>
      </c>
      <c r="G666">
        <v>0</v>
      </c>
      <c r="I666">
        <v>1</v>
      </c>
      <c r="J666">
        <v>1</v>
      </c>
      <c r="N666">
        <v>0.5</v>
      </c>
      <c r="O666">
        <v>0.38</v>
      </c>
      <c r="P666">
        <v>3.5</v>
      </c>
      <c r="Q666">
        <v>-7.5</v>
      </c>
      <c r="R666">
        <v>2.125</v>
      </c>
      <c r="S666">
        <v>4</v>
      </c>
      <c r="T666">
        <v>0.5</v>
      </c>
      <c r="U666">
        <v>0</v>
      </c>
      <c r="V666">
        <v>0</v>
      </c>
      <c r="W666">
        <v>0</v>
      </c>
      <c r="X666">
        <v>1</v>
      </c>
      <c r="Y666">
        <v>0.5</v>
      </c>
      <c r="Z666">
        <v>0.5</v>
      </c>
    </row>
    <row r="667" spans="1:34">
      <c r="A667" t="s">
        <v>829</v>
      </c>
      <c r="B667">
        <v>42</v>
      </c>
      <c r="C667">
        <v>53</v>
      </c>
      <c r="D667">
        <v>4.5</v>
      </c>
      <c r="E667">
        <v>1</v>
      </c>
      <c r="F667" t="s">
        <v>21</v>
      </c>
      <c r="G667">
        <v>1</v>
      </c>
      <c r="H667">
        <v>0</v>
      </c>
      <c r="I667">
        <v>0</v>
      </c>
      <c r="L667" t="s">
        <v>120</v>
      </c>
      <c r="M667" t="s">
        <v>119</v>
      </c>
      <c r="N667">
        <v>0.5</v>
      </c>
      <c r="O667">
        <v>0.38</v>
      </c>
      <c r="P667">
        <v>3.5</v>
      </c>
      <c r="Q667">
        <v>0</v>
      </c>
      <c r="R667">
        <v>3.5</v>
      </c>
      <c r="S667">
        <v>4</v>
      </c>
      <c r="T667">
        <v>0.5</v>
      </c>
      <c r="U667">
        <v>0</v>
      </c>
      <c r="V667">
        <v>0</v>
      </c>
      <c r="W667">
        <v>0</v>
      </c>
      <c r="X667">
        <v>0</v>
      </c>
      <c r="Y667">
        <v>0.5</v>
      </c>
      <c r="Z667">
        <v>0.5</v>
      </c>
      <c r="AA667">
        <v>11.5</v>
      </c>
      <c r="AB667">
        <v>10.875</v>
      </c>
      <c r="AC667">
        <v>28.94</v>
      </c>
      <c r="AD667">
        <v>13.5</v>
      </c>
      <c r="AE667">
        <v>11</v>
      </c>
      <c r="AF667">
        <v>15.5</v>
      </c>
      <c r="AG667">
        <v>14.5</v>
      </c>
      <c r="AH667">
        <v>10.25</v>
      </c>
    </row>
    <row r="668" spans="1:34">
      <c r="A668" t="s">
        <v>830</v>
      </c>
      <c r="B668">
        <v>109.9375</v>
      </c>
      <c r="C668">
        <v>41.375</v>
      </c>
      <c r="D668">
        <v>4.5</v>
      </c>
      <c r="E668">
        <v>4.625</v>
      </c>
      <c r="F668" t="s">
        <v>21</v>
      </c>
      <c r="G668">
        <v>1</v>
      </c>
      <c r="H668">
        <v>0</v>
      </c>
      <c r="I668">
        <v>1</v>
      </c>
      <c r="J668">
        <v>0</v>
      </c>
      <c r="K668">
        <v>12</v>
      </c>
      <c r="L668" t="s">
        <v>120</v>
      </c>
      <c r="N668">
        <v>0.5</v>
      </c>
      <c r="O668">
        <v>0.38</v>
      </c>
      <c r="P668">
        <v>3.5</v>
      </c>
      <c r="Q668">
        <v>0</v>
      </c>
      <c r="R668">
        <v>0</v>
      </c>
      <c r="S668">
        <v>4</v>
      </c>
      <c r="T668">
        <v>0.5</v>
      </c>
      <c r="U668">
        <v>0</v>
      </c>
      <c r="V668">
        <v>0</v>
      </c>
      <c r="W668">
        <v>0</v>
      </c>
      <c r="X668">
        <v>0</v>
      </c>
      <c r="Y668">
        <v>0.5</v>
      </c>
      <c r="Z668">
        <v>0.5</v>
      </c>
      <c r="AA668">
        <v>11.5</v>
      </c>
      <c r="AB668">
        <v>10.875</v>
      </c>
      <c r="AC668">
        <v>16.940000000000001</v>
      </c>
      <c r="AD668">
        <v>13.5</v>
      </c>
    </row>
    <row r="669" spans="1:34">
      <c r="A669" t="s">
        <v>831</v>
      </c>
      <c r="B669">
        <v>95.9375</v>
      </c>
      <c r="C669">
        <v>60.3125</v>
      </c>
      <c r="D669">
        <v>9</v>
      </c>
      <c r="E669">
        <v>4.875</v>
      </c>
      <c r="F669" t="s">
        <v>21</v>
      </c>
      <c r="G669">
        <v>1</v>
      </c>
      <c r="H669">
        <v>0</v>
      </c>
      <c r="I669">
        <v>1</v>
      </c>
      <c r="J669">
        <v>0</v>
      </c>
      <c r="K669">
        <v>24</v>
      </c>
      <c r="L669" t="s">
        <v>120</v>
      </c>
      <c r="N669">
        <v>0.5</v>
      </c>
      <c r="O669">
        <v>0.38</v>
      </c>
      <c r="P669">
        <v>3.5</v>
      </c>
      <c r="Q669">
        <v>-4.5</v>
      </c>
      <c r="R669">
        <v>0</v>
      </c>
      <c r="S669">
        <v>4</v>
      </c>
      <c r="T669">
        <v>0.5</v>
      </c>
      <c r="U669">
        <v>0</v>
      </c>
      <c r="V669">
        <v>0</v>
      </c>
      <c r="W669">
        <v>0</v>
      </c>
      <c r="X669">
        <v>0</v>
      </c>
      <c r="Y669">
        <v>0.5</v>
      </c>
      <c r="Z669">
        <v>0.5</v>
      </c>
      <c r="AA669">
        <v>11.5</v>
      </c>
      <c r="AB669">
        <v>10.875</v>
      </c>
      <c r="AC669">
        <v>4.9400000000000004</v>
      </c>
      <c r="AD669">
        <v>9</v>
      </c>
    </row>
    <row r="670" spans="1:34">
      <c r="A670" t="s">
        <v>832</v>
      </c>
      <c r="B670">
        <v>42</v>
      </c>
      <c r="C670">
        <v>66.8125</v>
      </c>
      <c r="D670">
        <v>9</v>
      </c>
      <c r="E670">
        <v>8.4375</v>
      </c>
      <c r="F670" t="s">
        <v>21</v>
      </c>
      <c r="G670">
        <v>1</v>
      </c>
      <c r="H670">
        <v>0</v>
      </c>
      <c r="I670">
        <v>1</v>
      </c>
      <c r="J670">
        <v>0</v>
      </c>
      <c r="N670">
        <v>0.5</v>
      </c>
      <c r="O670">
        <v>0.38</v>
      </c>
      <c r="P670">
        <v>3.5</v>
      </c>
      <c r="Q670">
        <v>-4.5</v>
      </c>
      <c r="R670">
        <v>0</v>
      </c>
      <c r="S670">
        <v>4</v>
      </c>
      <c r="T670">
        <v>0.5</v>
      </c>
      <c r="U670">
        <v>0</v>
      </c>
      <c r="V670">
        <v>0</v>
      </c>
      <c r="W670">
        <v>0</v>
      </c>
      <c r="X670">
        <v>0</v>
      </c>
      <c r="Y670">
        <v>0.5</v>
      </c>
      <c r="Z670">
        <v>0.5</v>
      </c>
    </row>
    <row r="671" spans="1:34">
      <c r="A671" t="s">
        <v>833</v>
      </c>
      <c r="B671">
        <v>100.875</v>
      </c>
      <c r="C671">
        <v>59.3125</v>
      </c>
      <c r="D671">
        <v>1</v>
      </c>
      <c r="E671">
        <v>5.6875</v>
      </c>
      <c r="F671" t="s">
        <v>21</v>
      </c>
      <c r="G671">
        <v>1</v>
      </c>
      <c r="H671">
        <v>0</v>
      </c>
      <c r="I671">
        <v>1</v>
      </c>
      <c r="J671">
        <v>1</v>
      </c>
      <c r="N671">
        <v>0.5</v>
      </c>
      <c r="O671">
        <v>0.38</v>
      </c>
      <c r="P671">
        <v>3.5</v>
      </c>
      <c r="Q671">
        <v>3.5</v>
      </c>
      <c r="R671">
        <v>0</v>
      </c>
      <c r="S671">
        <v>4</v>
      </c>
      <c r="T671">
        <v>0.5</v>
      </c>
      <c r="U671">
        <v>1</v>
      </c>
      <c r="V671">
        <v>1</v>
      </c>
      <c r="W671">
        <v>0</v>
      </c>
      <c r="X671">
        <v>0</v>
      </c>
      <c r="Y671">
        <v>0</v>
      </c>
      <c r="Z671">
        <v>0</v>
      </c>
    </row>
    <row r="672" spans="1:34">
      <c r="A672" t="s">
        <v>834</v>
      </c>
      <c r="B672">
        <v>96</v>
      </c>
      <c r="C672">
        <v>32.75</v>
      </c>
      <c r="D672">
        <v>12</v>
      </c>
      <c r="E672">
        <v>4.1875</v>
      </c>
      <c r="F672" t="s">
        <v>21</v>
      </c>
      <c r="G672">
        <v>1</v>
      </c>
      <c r="H672">
        <v>1</v>
      </c>
      <c r="I672">
        <v>0</v>
      </c>
      <c r="N672">
        <v>0.5</v>
      </c>
      <c r="O672">
        <v>0.38</v>
      </c>
      <c r="P672">
        <v>3.5</v>
      </c>
      <c r="Q672">
        <v>-7.5</v>
      </c>
      <c r="R672">
        <v>0.3125</v>
      </c>
      <c r="S672">
        <v>4</v>
      </c>
      <c r="T672">
        <v>0.5</v>
      </c>
      <c r="U672">
        <v>0</v>
      </c>
      <c r="V672">
        <v>0</v>
      </c>
      <c r="W672">
        <v>1</v>
      </c>
      <c r="X672">
        <v>0</v>
      </c>
      <c r="Y672">
        <v>0.5</v>
      </c>
      <c r="Z672">
        <v>0.5</v>
      </c>
    </row>
    <row r="673" spans="1:30">
      <c r="A673" t="s">
        <v>835</v>
      </c>
      <c r="B673">
        <v>60.5</v>
      </c>
      <c r="C673">
        <v>57.1875</v>
      </c>
      <c r="D673">
        <v>10.875</v>
      </c>
      <c r="E673">
        <v>1.75</v>
      </c>
      <c r="F673" t="s">
        <v>21</v>
      </c>
      <c r="G673">
        <v>1</v>
      </c>
      <c r="H673">
        <v>1</v>
      </c>
      <c r="I673">
        <v>1</v>
      </c>
      <c r="J673">
        <v>0</v>
      </c>
      <c r="K673">
        <v>12</v>
      </c>
      <c r="N673">
        <v>0.5</v>
      </c>
      <c r="O673">
        <v>0.38</v>
      </c>
      <c r="P673">
        <v>3.5</v>
      </c>
      <c r="Q673">
        <v>-6.375</v>
      </c>
      <c r="R673">
        <v>2.75</v>
      </c>
      <c r="S673">
        <v>4</v>
      </c>
      <c r="T673">
        <v>0.5</v>
      </c>
      <c r="U673">
        <v>0</v>
      </c>
      <c r="V673">
        <v>0</v>
      </c>
      <c r="W673">
        <v>1</v>
      </c>
      <c r="X673">
        <v>0</v>
      </c>
      <c r="Y673">
        <v>0.5</v>
      </c>
      <c r="Z673">
        <v>0.5</v>
      </c>
    </row>
    <row r="674" spans="1:30">
      <c r="A674" t="s">
        <v>836</v>
      </c>
      <c r="B674">
        <v>106</v>
      </c>
      <c r="C674">
        <v>55.875</v>
      </c>
      <c r="D674">
        <v>3.9375</v>
      </c>
      <c r="E674">
        <v>6.5625</v>
      </c>
      <c r="F674" t="s">
        <v>21</v>
      </c>
      <c r="G674">
        <v>1</v>
      </c>
      <c r="H674">
        <v>1</v>
      </c>
      <c r="I674">
        <v>1</v>
      </c>
      <c r="J674">
        <v>0</v>
      </c>
      <c r="K674">
        <v>24</v>
      </c>
      <c r="L674" t="s">
        <v>120</v>
      </c>
      <c r="N674">
        <v>0.5</v>
      </c>
      <c r="O674">
        <v>0.38</v>
      </c>
      <c r="P674">
        <v>3.5</v>
      </c>
      <c r="Q674">
        <v>0.5625</v>
      </c>
      <c r="R674">
        <v>0</v>
      </c>
      <c r="S674">
        <v>4</v>
      </c>
      <c r="T674">
        <v>0.5</v>
      </c>
      <c r="U674">
        <v>1</v>
      </c>
      <c r="V674">
        <v>1</v>
      </c>
      <c r="W674">
        <v>0</v>
      </c>
      <c r="X674">
        <v>0</v>
      </c>
      <c r="Y674">
        <v>0</v>
      </c>
      <c r="Z674">
        <v>0</v>
      </c>
      <c r="AA674">
        <v>11.5</v>
      </c>
      <c r="AB674">
        <v>10.875</v>
      </c>
      <c r="AC674">
        <v>4.9400000000000004</v>
      </c>
      <c r="AD674">
        <v>14.0625</v>
      </c>
    </row>
    <row r="675" spans="1:30">
      <c r="A675" t="s">
        <v>837</v>
      </c>
      <c r="B675">
        <v>50.25</v>
      </c>
      <c r="C675">
        <v>35.0625</v>
      </c>
      <c r="D675">
        <v>1</v>
      </c>
      <c r="E675">
        <v>1.8125</v>
      </c>
      <c r="F675" t="s">
        <v>21</v>
      </c>
      <c r="G675">
        <v>1</v>
      </c>
      <c r="H675">
        <v>1</v>
      </c>
      <c r="I675">
        <v>1</v>
      </c>
      <c r="J675">
        <v>0</v>
      </c>
      <c r="N675">
        <v>0.5</v>
      </c>
      <c r="O675">
        <v>0.38</v>
      </c>
      <c r="P675">
        <v>3.5</v>
      </c>
      <c r="Q675">
        <v>3.5</v>
      </c>
      <c r="R675">
        <v>2.6875</v>
      </c>
      <c r="S675">
        <v>4</v>
      </c>
      <c r="T675">
        <v>0.5</v>
      </c>
      <c r="U675">
        <v>1</v>
      </c>
      <c r="V675">
        <v>1</v>
      </c>
      <c r="W675">
        <v>1</v>
      </c>
      <c r="X675">
        <v>0</v>
      </c>
      <c r="Y675">
        <v>0</v>
      </c>
      <c r="Z675">
        <v>0</v>
      </c>
    </row>
    <row r="676" spans="1:30">
      <c r="A676" t="s">
        <v>838</v>
      </c>
      <c r="B676">
        <v>51.3125</v>
      </c>
      <c r="C676">
        <v>79.5625</v>
      </c>
      <c r="D676">
        <v>12</v>
      </c>
      <c r="E676">
        <v>1</v>
      </c>
      <c r="F676" t="s">
        <v>21</v>
      </c>
      <c r="G676">
        <v>1</v>
      </c>
      <c r="H676">
        <v>1</v>
      </c>
      <c r="I676">
        <v>1</v>
      </c>
      <c r="J676">
        <v>1</v>
      </c>
      <c r="N676">
        <v>0.5</v>
      </c>
      <c r="O676">
        <v>0.38</v>
      </c>
      <c r="P676">
        <v>3.5</v>
      </c>
      <c r="Q676">
        <v>-7.5</v>
      </c>
      <c r="R676">
        <v>3.5</v>
      </c>
      <c r="S676">
        <v>4</v>
      </c>
      <c r="T676">
        <v>0.5</v>
      </c>
      <c r="U676">
        <v>0</v>
      </c>
      <c r="V676">
        <v>0</v>
      </c>
      <c r="W676">
        <v>1</v>
      </c>
      <c r="X676">
        <v>1</v>
      </c>
      <c r="Y676">
        <v>0.5</v>
      </c>
      <c r="Z676">
        <v>0.5</v>
      </c>
    </row>
    <row r="677" spans="1:30">
      <c r="A677" t="s">
        <v>839</v>
      </c>
      <c r="B677">
        <v>40.1875</v>
      </c>
      <c r="C677">
        <v>41.1875</v>
      </c>
      <c r="D677">
        <v>4.5</v>
      </c>
      <c r="E677">
        <v>1.0625</v>
      </c>
      <c r="F677" t="s">
        <v>156</v>
      </c>
      <c r="G677">
        <v>0</v>
      </c>
      <c r="I677">
        <v>0</v>
      </c>
      <c r="L677" t="s">
        <v>120</v>
      </c>
      <c r="N677">
        <v>0.5</v>
      </c>
      <c r="O677">
        <v>0.38</v>
      </c>
      <c r="P677">
        <v>3.5</v>
      </c>
      <c r="Q677">
        <v>0</v>
      </c>
      <c r="R677">
        <v>3.4375</v>
      </c>
      <c r="S677">
        <v>4</v>
      </c>
      <c r="T677">
        <v>0.5</v>
      </c>
      <c r="U677">
        <v>0</v>
      </c>
      <c r="V677">
        <v>0</v>
      </c>
      <c r="W677">
        <v>0</v>
      </c>
      <c r="X677">
        <v>0</v>
      </c>
      <c r="Y677">
        <v>0.5</v>
      </c>
      <c r="Z677">
        <v>0.5</v>
      </c>
    </row>
    <row r="678" spans="1:30">
      <c r="A678" t="s">
        <v>840</v>
      </c>
      <c r="B678">
        <v>45.0625</v>
      </c>
      <c r="C678">
        <v>79.125</v>
      </c>
      <c r="D678">
        <v>1</v>
      </c>
      <c r="E678">
        <v>4.3125</v>
      </c>
      <c r="F678" t="s">
        <v>156</v>
      </c>
      <c r="G678">
        <v>0</v>
      </c>
      <c r="I678">
        <v>1</v>
      </c>
      <c r="J678">
        <v>0</v>
      </c>
      <c r="K678">
        <v>12</v>
      </c>
      <c r="L678" t="s">
        <v>120</v>
      </c>
      <c r="N678">
        <v>0.5</v>
      </c>
      <c r="O678">
        <v>0.38</v>
      </c>
      <c r="P678">
        <v>3.5</v>
      </c>
      <c r="Q678">
        <v>3.5</v>
      </c>
      <c r="R678">
        <v>0.1875</v>
      </c>
      <c r="S678">
        <v>4</v>
      </c>
      <c r="T678">
        <v>0.5</v>
      </c>
      <c r="U678">
        <v>0</v>
      </c>
      <c r="V678">
        <v>0</v>
      </c>
      <c r="W678">
        <v>0</v>
      </c>
      <c r="X678">
        <v>0</v>
      </c>
      <c r="Y678">
        <v>0.5</v>
      </c>
      <c r="Z678">
        <v>0.5</v>
      </c>
    </row>
    <row r="679" spans="1:30">
      <c r="A679" t="s">
        <v>841</v>
      </c>
      <c r="B679">
        <v>22.375</v>
      </c>
      <c r="C679">
        <v>52</v>
      </c>
      <c r="D679">
        <v>1</v>
      </c>
      <c r="E679">
        <v>1</v>
      </c>
      <c r="F679" t="s">
        <v>156</v>
      </c>
      <c r="G679">
        <v>0</v>
      </c>
      <c r="I679">
        <v>1</v>
      </c>
      <c r="J679">
        <v>0</v>
      </c>
      <c r="K679">
        <v>24</v>
      </c>
      <c r="L679" t="s">
        <v>120</v>
      </c>
      <c r="N679">
        <v>0.5</v>
      </c>
      <c r="O679">
        <v>0.38</v>
      </c>
      <c r="P679">
        <v>3.5</v>
      </c>
      <c r="Q679">
        <v>3.5</v>
      </c>
      <c r="R679">
        <v>3.5</v>
      </c>
      <c r="S679">
        <v>4</v>
      </c>
      <c r="T679">
        <v>0.5</v>
      </c>
      <c r="U679">
        <v>0</v>
      </c>
      <c r="V679">
        <v>0</v>
      </c>
      <c r="W679">
        <v>0</v>
      </c>
      <c r="X679">
        <v>0</v>
      </c>
      <c r="Y679">
        <v>0.5</v>
      </c>
      <c r="Z679">
        <v>0.5</v>
      </c>
    </row>
    <row r="680" spans="1:30">
      <c r="A680" t="s">
        <v>842</v>
      </c>
      <c r="B680">
        <v>10.8125</v>
      </c>
      <c r="C680">
        <v>49.0625</v>
      </c>
      <c r="D680">
        <v>1.3125</v>
      </c>
      <c r="E680">
        <v>4.25</v>
      </c>
      <c r="F680" t="s">
        <v>156</v>
      </c>
      <c r="G680">
        <v>0</v>
      </c>
      <c r="I680">
        <v>1</v>
      </c>
      <c r="J680">
        <v>0</v>
      </c>
      <c r="N680">
        <v>0.5</v>
      </c>
      <c r="O680">
        <v>0.38</v>
      </c>
      <c r="P680">
        <v>3.5</v>
      </c>
      <c r="Q680">
        <v>3.1875</v>
      </c>
      <c r="R680">
        <v>0.25</v>
      </c>
      <c r="S680">
        <v>4</v>
      </c>
      <c r="T680">
        <v>0.5</v>
      </c>
      <c r="U680">
        <v>0</v>
      </c>
      <c r="V680">
        <v>0</v>
      </c>
      <c r="W680">
        <v>0</v>
      </c>
      <c r="X680">
        <v>0</v>
      </c>
      <c r="Y680">
        <v>0.5</v>
      </c>
      <c r="Z680">
        <v>0.5</v>
      </c>
    </row>
    <row r="681" spans="1:30">
      <c r="A681" t="s">
        <v>843</v>
      </c>
      <c r="B681">
        <v>38.625</v>
      </c>
      <c r="C681">
        <v>69.75</v>
      </c>
      <c r="D681">
        <v>7.9375</v>
      </c>
      <c r="E681">
        <v>2.4375</v>
      </c>
      <c r="F681" t="s">
        <v>156</v>
      </c>
      <c r="G681">
        <v>0</v>
      </c>
      <c r="I681">
        <v>1</v>
      </c>
      <c r="J681">
        <v>1</v>
      </c>
      <c r="N681">
        <v>0.5</v>
      </c>
      <c r="O681">
        <v>0.38</v>
      </c>
      <c r="P681">
        <v>3.5</v>
      </c>
      <c r="Q681">
        <v>-3.4375</v>
      </c>
      <c r="R681">
        <v>2.0625</v>
      </c>
      <c r="S681">
        <v>4</v>
      </c>
      <c r="T681">
        <v>0.5</v>
      </c>
      <c r="U681">
        <v>0</v>
      </c>
      <c r="V681">
        <v>0</v>
      </c>
      <c r="W681">
        <v>0</v>
      </c>
      <c r="X681">
        <v>1</v>
      </c>
      <c r="Y681">
        <v>0.5</v>
      </c>
      <c r="Z681">
        <v>0.5</v>
      </c>
    </row>
    <row r="682" spans="1:30">
      <c r="A682" t="s">
        <v>844</v>
      </c>
      <c r="B682">
        <v>15.875</v>
      </c>
      <c r="C682">
        <v>56.75</v>
      </c>
      <c r="D682">
        <v>12</v>
      </c>
      <c r="E682">
        <v>8.375</v>
      </c>
      <c r="F682" t="s">
        <v>156</v>
      </c>
      <c r="G682">
        <v>1</v>
      </c>
      <c r="H682">
        <v>0</v>
      </c>
      <c r="I682">
        <v>0</v>
      </c>
      <c r="L682" t="s">
        <v>150</v>
      </c>
      <c r="N682">
        <v>0.5</v>
      </c>
      <c r="O682">
        <v>0.38</v>
      </c>
      <c r="P682">
        <v>3.5</v>
      </c>
      <c r="Q682">
        <v>-7.5</v>
      </c>
      <c r="R682">
        <v>0</v>
      </c>
      <c r="S682">
        <v>4</v>
      </c>
      <c r="T682">
        <v>0.5</v>
      </c>
      <c r="U682">
        <v>0</v>
      </c>
      <c r="V682">
        <v>0</v>
      </c>
      <c r="W682">
        <v>0</v>
      </c>
      <c r="X682">
        <v>0</v>
      </c>
      <c r="Y682">
        <v>0.5</v>
      </c>
      <c r="Z682">
        <v>0.5</v>
      </c>
    </row>
    <row r="683" spans="1:30">
      <c r="A683" t="s">
        <v>845</v>
      </c>
      <c r="B683">
        <v>47.3125</v>
      </c>
      <c r="C683">
        <v>15</v>
      </c>
      <c r="D683">
        <v>4.5</v>
      </c>
      <c r="E683">
        <v>5.9375</v>
      </c>
      <c r="F683" t="s">
        <v>156</v>
      </c>
      <c r="G683">
        <v>1</v>
      </c>
      <c r="H683">
        <v>0</v>
      </c>
      <c r="I683">
        <v>1</v>
      </c>
      <c r="J683">
        <v>0</v>
      </c>
      <c r="K683">
        <v>12</v>
      </c>
      <c r="N683">
        <v>0.5</v>
      </c>
      <c r="O683">
        <v>0.38</v>
      </c>
      <c r="P683">
        <v>3.5</v>
      </c>
      <c r="Q683">
        <v>0</v>
      </c>
      <c r="R683">
        <v>0</v>
      </c>
      <c r="S683">
        <v>4</v>
      </c>
      <c r="T683">
        <v>0.5</v>
      </c>
      <c r="U683">
        <v>0</v>
      </c>
      <c r="V683">
        <v>0</v>
      </c>
      <c r="W683">
        <v>0</v>
      </c>
      <c r="X683">
        <v>0</v>
      </c>
      <c r="Y683">
        <v>0.5</v>
      </c>
      <c r="Z683">
        <v>0.5</v>
      </c>
    </row>
    <row r="684" spans="1:30">
      <c r="A684" t="s">
        <v>846</v>
      </c>
      <c r="B684">
        <v>4.375</v>
      </c>
      <c r="C684">
        <v>72.25</v>
      </c>
      <c r="D684">
        <v>4.125</v>
      </c>
      <c r="E684">
        <v>1</v>
      </c>
      <c r="F684" t="s">
        <v>156</v>
      </c>
      <c r="G684">
        <v>1</v>
      </c>
      <c r="H684">
        <v>0</v>
      </c>
      <c r="I684">
        <v>1</v>
      </c>
      <c r="J684">
        <v>0</v>
      </c>
      <c r="K684">
        <v>24</v>
      </c>
      <c r="L684" t="s">
        <v>120</v>
      </c>
      <c r="N684">
        <v>0.5</v>
      </c>
      <c r="O684">
        <v>0.38</v>
      </c>
      <c r="P684">
        <v>3.5</v>
      </c>
      <c r="Q684">
        <v>0.375</v>
      </c>
      <c r="R684">
        <v>3.5</v>
      </c>
      <c r="S684">
        <v>4</v>
      </c>
      <c r="T684">
        <v>0.5</v>
      </c>
      <c r="U684">
        <v>0</v>
      </c>
      <c r="V684">
        <v>0</v>
      </c>
      <c r="W684">
        <v>0</v>
      </c>
      <c r="X684">
        <v>0</v>
      </c>
      <c r="Y684">
        <v>0.5</v>
      </c>
      <c r="Z684">
        <v>0.5</v>
      </c>
    </row>
    <row r="685" spans="1:30">
      <c r="A685" t="s">
        <v>847</v>
      </c>
      <c r="B685">
        <v>3.5625</v>
      </c>
      <c r="C685">
        <v>62.125</v>
      </c>
      <c r="D685">
        <v>12</v>
      </c>
      <c r="E685">
        <v>1</v>
      </c>
      <c r="F685" t="s">
        <v>156</v>
      </c>
      <c r="G685">
        <v>1</v>
      </c>
      <c r="H685">
        <v>0</v>
      </c>
      <c r="I685">
        <v>1</v>
      </c>
      <c r="J685">
        <v>0</v>
      </c>
      <c r="N685">
        <v>0.5</v>
      </c>
      <c r="O685">
        <v>0.38</v>
      </c>
      <c r="P685">
        <v>3.5</v>
      </c>
      <c r="Q685">
        <v>-7.5</v>
      </c>
      <c r="R685">
        <v>3.5</v>
      </c>
      <c r="S685">
        <v>4</v>
      </c>
      <c r="T685">
        <v>0.5</v>
      </c>
      <c r="U685">
        <v>0</v>
      </c>
      <c r="V685">
        <v>0</v>
      </c>
      <c r="W685">
        <v>0</v>
      </c>
      <c r="X685">
        <v>0</v>
      </c>
      <c r="Y685">
        <v>0.5</v>
      </c>
      <c r="Z685">
        <v>0.5</v>
      </c>
    </row>
    <row r="686" spans="1:30">
      <c r="A686" t="s">
        <v>848</v>
      </c>
      <c r="B686">
        <v>14.3125</v>
      </c>
      <c r="C686">
        <v>32.75</v>
      </c>
      <c r="D686">
        <v>12</v>
      </c>
      <c r="E686">
        <v>5</v>
      </c>
      <c r="F686" t="s">
        <v>156</v>
      </c>
      <c r="G686">
        <v>1</v>
      </c>
      <c r="H686">
        <v>0</v>
      </c>
      <c r="I686">
        <v>1</v>
      </c>
      <c r="J686">
        <v>1</v>
      </c>
      <c r="N686">
        <v>0.5</v>
      </c>
      <c r="O686">
        <v>0.38</v>
      </c>
      <c r="P686">
        <v>3.5</v>
      </c>
      <c r="Q686">
        <v>-7.5</v>
      </c>
      <c r="R686">
        <v>0</v>
      </c>
      <c r="S686">
        <v>4</v>
      </c>
      <c r="T686">
        <v>0.5</v>
      </c>
      <c r="U686">
        <v>0</v>
      </c>
      <c r="V686">
        <v>0</v>
      </c>
      <c r="W686">
        <v>0</v>
      </c>
      <c r="X686">
        <v>0</v>
      </c>
      <c r="Y686">
        <v>0.5</v>
      </c>
      <c r="Z686">
        <v>0.5</v>
      </c>
    </row>
    <row r="687" spans="1:30">
      <c r="A687" t="s">
        <v>849</v>
      </c>
      <c r="B687">
        <v>38.3125</v>
      </c>
      <c r="C687">
        <v>63.0625</v>
      </c>
      <c r="D687">
        <v>4.5</v>
      </c>
      <c r="E687">
        <v>2.9375</v>
      </c>
      <c r="F687" t="s">
        <v>156</v>
      </c>
      <c r="G687">
        <v>1</v>
      </c>
      <c r="H687">
        <v>1</v>
      </c>
      <c r="I687">
        <v>0</v>
      </c>
      <c r="N687">
        <v>0.5</v>
      </c>
      <c r="O687">
        <v>0.38</v>
      </c>
      <c r="P687">
        <v>3.5</v>
      </c>
      <c r="Q687">
        <v>0</v>
      </c>
      <c r="R687">
        <v>1.5625</v>
      </c>
      <c r="S687">
        <v>4</v>
      </c>
      <c r="T687">
        <v>0.5</v>
      </c>
      <c r="U687">
        <v>0</v>
      </c>
      <c r="V687">
        <v>0</v>
      </c>
      <c r="W687">
        <v>1</v>
      </c>
      <c r="X687">
        <v>0</v>
      </c>
      <c r="Y687">
        <v>0.5</v>
      </c>
      <c r="Z687">
        <v>0.5</v>
      </c>
    </row>
    <row r="688" spans="1:30">
      <c r="A688" t="s">
        <v>850</v>
      </c>
      <c r="B688">
        <v>21.25</v>
      </c>
      <c r="C688">
        <v>67.3125</v>
      </c>
      <c r="D688">
        <v>1</v>
      </c>
      <c r="E688">
        <v>4.6875</v>
      </c>
      <c r="F688" t="s">
        <v>156</v>
      </c>
      <c r="G688">
        <v>1</v>
      </c>
      <c r="H688">
        <v>1</v>
      </c>
      <c r="I688">
        <v>1</v>
      </c>
      <c r="J688">
        <v>0</v>
      </c>
      <c r="K688">
        <v>12</v>
      </c>
      <c r="L688" t="s">
        <v>149</v>
      </c>
      <c r="N688">
        <v>0.5</v>
      </c>
      <c r="O688">
        <v>0.38</v>
      </c>
      <c r="P688">
        <v>3.5</v>
      </c>
      <c r="Q688">
        <v>3.5</v>
      </c>
      <c r="R688">
        <v>0</v>
      </c>
      <c r="S688">
        <v>4</v>
      </c>
      <c r="T688">
        <v>0.5</v>
      </c>
      <c r="U688">
        <v>0</v>
      </c>
      <c r="V688">
        <v>0</v>
      </c>
      <c r="W688">
        <v>0</v>
      </c>
      <c r="X688">
        <v>0</v>
      </c>
      <c r="Y688">
        <v>0.5</v>
      </c>
      <c r="Z688">
        <v>0.5</v>
      </c>
    </row>
    <row r="689" spans="1:30">
      <c r="A689" t="s">
        <v>851</v>
      </c>
      <c r="B689">
        <v>48.125</v>
      </c>
      <c r="C689">
        <v>41.3125</v>
      </c>
      <c r="D689">
        <v>12</v>
      </c>
      <c r="E689">
        <v>2.875</v>
      </c>
      <c r="F689" t="s">
        <v>156</v>
      </c>
      <c r="G689">
        <v>1</v>
      </c>
      <c r="H689">
        <v>1</v>
      </c>
      <c r="I689">
        <v>1</v>
      </c>
      <c r="J689">
        <v>0</v>
      </c>
      <c r="K689">
        <v>24</v>
      </c>
      <c r="L689" t="s">
        <v>120</v>
      </c>
      <c r="N689">
        <v>0.5</v>
      </c>
      <c r="O689">
        <v>0.38</v>
      </c>
      <c r="P689">
        <v>3.5</v>
      </c>
      <c r="Q689">
        <v>-7.5</v>
      </c>
      <c r="R689">
        <v>1.625</v>
      </c>
      <c r="S689">
        <v>4</v>
      </c>
      <c r="T689">
        <v>0.5</v>
      </c>
      <c r="U689">
        <v>0</v>
      </c>
      <c r="V689">
        <v>0</v>
      </c>
      <c r="W689">
        <v>1</v>
      </c>
      <c r="X689">
        <v>0</v>
      </c>
      <c r="Y689">
        <v>0.5</v>
      </c>
      <c r="Z689">
        <v>0.5</v>
      </c>
    </row>
    <row r="690" spans="1:30">
      <c r="A690" t="s">
        <v>852</v>
      </c>
      <c r="B690">
        <v>11.6875</v>
      </c>
      <c r="C690">
        <v>40.875</v>
      </c>
      <c r="D690">
        <v>4.5</v>
      </c>
      <c r="E690">
        <v>1</v>
      </c>
      <c r="F690" t="s">
        <v>156</v>
      </c>
      <c r="G690">
        <v>1</v>
      </c>
      <c r="H690">
        <v>1</v>
      </c>
      <c r="I690">
        <v>1</v>
      </c>
      <c r="J690">
        <v>0</v>
      </c>
      <c r="N690">
        <v>0.5</v>
      </c>
      <c r="O690">
        <v>0.38</v>
      </c>
      <c r="P690">
        <v>3.5</v>
      </c>
      <c r="Q690">
        <v>0</v>
      </c>
      <c r="R690">
        <v>3.5</v>
      </c>
      <c r="S690">
        <v>4</v>
      </c>
      <c r="T690">
        <v>0.5</v>
      </c>
      <c r="U690">
        <v>0</v>
      </c>
      <c r="V690">
        <v>0</v>
      </c>
      <c r="W690">
        <v>1</v>
      </c>
      <c r="X690">
        <v>0</v>
      </c>
      <c r="Y690">
        <v>0.5</v>
      </c>
      <c r="Z690">
        <v>0.5</v>
      </c>
    </row>
    <row r="691" spans="1:30">
      <c r="A691" t="s">
        <v>853</v>
      </c>
      <c r="B691">
        <v>23.5</v>
      </c>
      <c r="C691">
        <v>64.625</v>
      </c>
      <c r="D691">
        <v>4.5</v>
      </c>
      <c r="E691">
        <v>6.8125</v>
      </c>
      <c r="F691" t="s">
        <v>156</v>
      </c>
      <c r="G691">
        <v>1</v>
      </c>
      <c r="H691">
        <v>1</v>
      </c>
      <c r="I691">
        <v>1</v>
      </c>
      <c r="J691">
        <v>1</v>
      </c>
      <c r="N691">
        <v>0.5</v>
      </c>
      <c r="O691">
        <v>0.38</v>
      </c>
      <c r="P691">
        <v>3.5</v>
      </c>
      <c r="Q691">
        <v>0</v>
      </c>
      <c r="R691">
        <v>0</v>
      </c>
      <c r="S691">
        <v>4</v>
      </c>
      <c r="T691">
        <v>0.5</v>
      </c>
      <c r="U691">
        <v>0</v>
      </c>
      <c r="V691">
        <v>0</v>
      </c>
      <c r="W691">
        <v>0</v>
      </c>
      <c r="X691">
        <v>0</v>
      </c>
      <c r="Y691">
        <v>0.5</v>
      </c>
      <c r="Z691">
        <v>0.5</v>
      </c>
    </row>
    <row r="692" spans="1:30">
      <c r="A692" t="s">
        <v>854</v>
      </c>
      <c r="B692">
        <v>60</v>
      </c>
      <c r="C692">
        <v>55.75</v>
      </c>
      <c r="D692">
        <v>4.5625</v>
      </c>
      <c r="E692">
        <v>4.9375</v>
      </c>
      <c r="F692" t="s">
        <v>157</v>
      </c>
      <c r="G692">
        <v>0</v>
      </c>
      <c r="I692">
        <v>0</v>
      </c>
      <c r="L692" t="s">
        <v>120</v>
      </c>
      <c r="N692">
        <v>0.5</v>
      </c>
      <c r="O692">
        <v>0.38</v>
      </c>
      <c r="P692">
        <v>3.5</v>
      </c>
      <c r="Q692">
        <v>-6.25E-2</v>
      </c>
      <c r="R692">
        <v>0</v>
      </c>
      <c r="S692">
        <v>4</v>
      </c>
      <c r="T692">
        <v>0.5</v>
      </c>
      <c r="U692">
        <v>0</v>
      </c>
      <c r="V692">
        <v>0</v>
      </c>
      <c r="W692">
        <v>0</v>
      </c>
      <c r="X692">
        <v>0</v>
      </c>
      <c r="Y692">
        <v>0.5</v>
      </c>
      <c r="Z692">
        <v>0.5</v>
      </c>
      <c r="AA692">
        <v>11.5</v>
      </c>
      <c r="AB692">
        <v>10.875</v>
      </c>
      <c r="AC692">
        <v>28.94</v>
      </c>
      <c r="AD692">
        <v>13.4375</v>
      </c>
    </row>
    <row r="693" spans="1:30">
      <c r="A693" t="s">
        <v>855</v>
      </c>
      <c r="B693">
        <v>60</v>
      </c>
      <c r="C693">
        <v>77.1875</v>
      </c>
      <c r="D693">
        <v>9</v>
      </c>
      <c r="E693">
        <v>1</v>
      </c>
      <c r="F693" t="s">
        <v>157</v>
      </c>
      <c r="G693">
        <v>0</v>
      </c>
      <c r="I693">
        <v>1</v>
      </c>
      <c r="J693">
        <v>0</v>
      </c>
      <c r="K693">
        <v>12</v>
      </c>
      <c r="L693" t="s">
        <v>145</v>
      </c>
      <c r="N693">
        <v>0.5</v>
      </c>
      <c r="O693">
        <v>0.38</v>
      </c>
      <c r="P693">
        <v>3.5</v>
      </c>
      <c r="Q693">
        <v>-4.5</v>
      </c>
      <c r="R693">
        <v>3.5</v>
      </c>
      <c r="S693">
        <v>4</v>
      </c>
      <c r="T693">
        <v>0.5</v>
      </c>
      <c r="U693">
        <v>0</v>
      </c>
      <c r="V693">
        <v>0</v>
      </c>
      <c r="W693">
        <v>0</v>
      </c>
      <c r="X693">
        <v>0</v>
      </c>
      <c r="Y693">
        <v>0.5</v>
      </c>
      <c r="Z693">
        <v>0.5</v>
      </c>
      <c r="AA693">
        <v>15.5</v>
      </c>
      <c r="AB693">
        <v>28.875</v>
      </c>
      <c r="AC693">
        <v>14</v>
      </c>
      <c r="AD693">
        <v>21.13</v>
      </c>
    </row>
    <row r="694" spans="1:30">
      <c r="A694" t="s">
        <v>856</v>
      </c>
      <c r="B694">
        <v>60</v>
      </c>
      <c r="C694">
        <v>54.9375</v>
      </c>
      <c r="D694">
        <v>3.75</v>
      </c>
      <c r="E694">
        <v>8.1875</v>
      </c>
      <c r="F694" t="s">
        <v>157</v>
      </c>
      <c r="G694">
        <v>0</v>
      </c>
      <c r="I694">
        <v>1</v>
      </c>
      <c r="J694">
        <v>0</v>
      </c>
      <c r="K694">
        <v>24</v>
      </c>
      <c r="L694" t="s">
        <v>120</v>
      </c>
      <c r="N694">
        <v>0.5</v>
      </c>
      <c r="O694">
        <v>0.38</v>
      </c>
      <c r="P694">
        <v>3.5</v>
      </c>
      <c r="Q694">
        <v>0.75</v>
      </c>
      <c r="R694">
        <v>0</v>
      </c>
      <c r="S694">
        <v>4</v>
      </c>
      <c r="T694">
        <v>0.5</v>
      </c>
      <c r="U694">
        <v>0</v>
      </c>
      <c r="V694">
        <v>1</v>
      </c>
      <c r="W694">
        <v>0</v>
      </c>
      <c r="X694">
        <v>0</v>
      </c>
      <c r="Y694">
        <v>0.5</v>
      </c>
      <c r="Z694">
        <v>0</v>
      </c>
      <c r="AA694">
        <v>11.5</v>
      </c>
      <c r="AB694">
        <v>10.875</v>
      </c>
      <c r="AC694">
        <v>4.9400000000000004</v>
      </c>
      <c r="AD694">
        <v>14.25</v>
      </c>
    </row>
    <row r="695" spans="1:30">
      <c r="A695" t="s">
        <v>857</v>
      </c>
      <c r="B695">
        <v>60</v>
      </c>
      <c r="C695">
        <v>44.6875</v>
      </c>
      <c r="D695">
        <v>7.5</v>
      </c>
      <c r="E695">
        <v>1</v>
      </c>
      <c r="F695" t="s">
        <v>157</v>
      </c>
      <c r="G695">
        <v>0</v>
      </c>
      <c r="I695">
        <v>1</v>
      </c>
      <c r="J695">
        <v>0</v>
      </c>
      <c r="N695">
        <v>0.5</v>
      </c>
      <c r="O695">
        <v>0.38</v>
      </c>
      <c r="P695">
        <v>3.5</v>
      </c>
      <c r="Q695">
        <v>-3</v>
      </c>
      <c r="R695">
        <v>3.5</v>
      </c>
      <c r="S695">
        <v>4</v>
      </c>
      <c r="T695">
        <v>0.5</v>
      </c>
      <c r="U695">
        <v>0</v>
      </c>
      <c r="V695">
        <v>0</v>
      </c>
      <c r="W695">
        <v>0</v>
      </c>
      <c r="X695">
        <v>0</v>
      </c>
      <c r="Y695">
        <v>0.5</v>
      </c>
      <c r="Z695">
        <v>0.5</v>
      </c>
    </row>
    <row r="696" spans="1:30">
      <c r="A696" t="s">
        <v>858</v>
      </c>
      <c r="B696">
        <v>60</v>
      </c>
      <c r="C696">
        <v>20.8125</v>
      </c>
      <c r="D696">
        <v>9</v>
      </c>
      <c r="E696">
        <v>3.3125</v>
      </c>
      <c r="F696" t="s">
        <v>157</v>
      </c>
      <c r="G696">
        <v>0</v>
      </c>
      <c r="I696">
        <v>1</v>
      </c>
      <c r="J696">
        <v>1</v>
      </c>
      <c r="N696">
        <v>0.5</v>
      </c>
      <c r="O696">
        <v>0.38</v>
      </c>
      <c r="P696">
        <v>3.5</v>
      </c>
      <c r="Q696">
        <v>-4.5</v>
      </c>
      <c r="R696">
        <v>1.1875</v>
      </c>
      <c r="S696">
        <v>4</v>
      </c>
      <c r="T696">
        <v>0.5</v>
      </c>
      <c r="U696">
        <v>0</v>
      </c>
      <c r="V696">
        <v>0</v>
      </c>
      <c r="W696">
        <v>0</v>
      </c>
      <c r="X696">
        <v>0</v>
      </c>
      <c r="Y696">
        <v>0.5</v>
      </c>
      <c r="Z696">
        <v>0.5</v>
      </c>
    </row>
    <row r="697" spans="1:30">
      <c r="A697" t="s">
        <v>859</v>
      </c>
      <c r="B697">
        <v>60</v>
      </c>
      <c r="C697">
        <v>70.75</v>
      </c>
      <c r="D697">
        <v>2.875</v>
      </c>
      <c r="E697">
        <v>1.8125</v>
      </c>
      <c r="F697" t="s">
        <v>157</v>
      </c>
      <c r="G697">
        <v>1</v>
      </c>
      <c r="H697">
        <v>0</v>
      </c>
      <c r="I697">
        <v>0</v>
      </c>
      <c r="L697" t="s">
        <v>121</v>
      </c>
      <c r="N697">
        <v>0.5</v>
      </c>
      <c r="O697">
        <v>0.38</v>
      </c>
      <c r="P697">
        <v>3.5</v>
      </c>
      <c r="Q697">
        <v>1.625</v>
      </c>
      <c r="R697">
        <v>2.6875</v>
      </c>
      <c r="S697">
        <v>4</v>
      </c>
      <c r="T697">
        <v>0.5</v>
      </c>
      <c r="U697">
        <v>1</v>
      </c>
      <c r="V697">
        <v>0</v>
      </c>
      <c r="W697">
        <v>0</v>
      </c>
      <c r="X697">
        <v>0</v>
      </c>
      <c r="Y697">
        <v>0</v>
      </c>
      <c r="Z697">
        <v>0.5</v>
      </c>
      <c r="AA697">
        <v>11</v>
      </c>
      <c r="AB697">
        <v>9.375</v>
      </c>
      <c r="AC697">
        <v>14.5</v>
      </c>
      <c r="AD697">
        <v>15.875</v>
      </c>
    </row>
    <row r="698" spans="1:30">
      <c r="A698" t="s">
        <v>860</v>
      </c>
      <c r="B698">
        <v>60</v>
      </c>
      <c r="C698">
        <v>28.1875</v>
      </c>
      <c r="D698">
        <v>4.5</v>
      </c>
      <c r="E698">
        <v>6.375</v>
      </c>
      <c r="F698" t="s">
        <v>157</v>
      </c>
      <c r="G698">
        <v>1</v>
      </c>
      <c r="H698">
        <v>0</v>
      </c>
      <c r="I698">
        <v>1</v>
      </c>
      <c r="J698">
        <v>0</v>
      </c>
      <c r="K698">
        <v>12</v>
      </c>
      <c r="N698">
        <v>0.5</v>
      </c>
      <c r="O698">
        <v>0.38</v>
      </c>
      <c r="P698">
        <v>3.5</v>
      </c>
      <c r="Q698">
        <v>0</v>
      </c>
      <c r="R698">
        <v>0</v>
      </c>
      <c r="S698">
        <v>4</v>
      </c>
      <c r="T698">
        <v>0.5</v>
      </c>
      <c r="U698">
        <v>0</v>
      </c>
      <c r="V698">
        <v>0</v>
      </c>
      <c r="W698">
        <v>0</v>
      </c>
      <c r="X698">
        <v>0</v>
      </c>
      <c r="Y698">
        <v>0.5</v>
      </c>
      <c r="Z698">
        <v>0.5</v>
      </c>
    </row>
    <row r="699" spans="1:30">
      <c r="A699" t="s">
        <v>861</v>
      </c>
      <c r="B699">
        <v>60</v>
      </c>
      <c r="C699">
        <v>46.8125</v>
      </c>
      <c r="D699">
        <v>9</v>
      </c>
      <c r="E699">
        <v>1</v>
      </c>
      <c r="F699" t="s">
        <v>157</v>
      </c>
      <c r="G699">
        <v>1</v>
      </c>
      <c r="H699">
        <v>0</v>
      </c>
      <c r="I699">
        <v>1</v>
      </c>
      <c r="J699">
        <v>0</v>
      </c>
      <c r="K699">
        <v>24</v>
      </c>
      <c r="L699" t="s">
        <v>120</v>
      </c>
      <c r="N699">
        <v>0.5</v>
      </c>
      <c r="O699">
        <v>0.38</v>
      </c>
      <c r="P699">
        <v>3.5</v>
      </c>
      <c r="Q699">
        <v>-4.5</v>
      </c>
      <c r="R699">
        <v>3.5</v>
      </c>
      <c r="S699">
        <v>4</v>
      </c>
      <c r="T699">
        <v>0.5</v>
      </c>
      <c r="U699">
        <v>0</v>
      </c>
      <c r="V699">
        <v>0</v>
      </c>
      <c r="W699">
        <v>0</v>
      </c>
      <c r="X699">
        <v>0</v>
      </c>
      <c r="Y699">
        <v>0.5</v>
      </c>
      <c r="Z699">
        <v>0.5</v>
      </c>
      <c r="AA699">
        <v>11.5</v>
      </c>
      <c r="AB699">
        <v>10.875</v>
      </c>
      <c r="AC699">
        <v>4.9400000000000004</v>
      </c>
      <c r="AD699">
        <v>9</v>
      </c>
    </row>
    <row r="700" spans="1:30">
      <c r="A700" t="s">
        <v>862</v>
      </c>
      <c r="B700">
        <v>60</v>
      </c>
      <c r="C700">
        <v>48.4375</v>
      </c>
      <c r="D700">
        <v>11.3125</v>
      </c>
      <c r="E700">
        <v>2.25</v>
      </c>
      <c r="F700" t="s">
        <v>157</v>
      </c>
      <c r="G700">
        <v>1</v>
      </c>
      <c r="H700">
        <v>0</v>
      </c>
      <c r="I700">
        <v>1</v>
      </c>
      <c r="J700">
        <v>0</v>
      </c>
      <c r="N700">
        <v>0.5</v>
      </c>
      <c r="O700">
        <v>0.38</v>
      </c>
      <c r="P700">
        <v>3.5</v>
      </c>
      <c r="Q700">
        <v>-6.8125</v>
      </c>
      <c r="R700">
        <v>2.25</v>
      </c>
      <c r="S700">
        <v>4</v>
      </c>
      <c r="T700">
        <v>0.5</v>
      </c>
      <c r="U700">
        <v>0</v>
      </c>
      <c r="V700">
        <v>0</v>
      </c>
      <c r="W700">
        <v>0</v>
      </c>
      <c r="X700">
        <v>0</v>
      </c>
      <c r="Y700">
        <v>0.5</v>
      </c>
      <c r="Z700">
        <v>0.5</v>
      </c>
    </row>
    <row r="701" spans="1:30">
      <c r="A701" t="s">
        <v>863</v>
      </c>
      <c r="B701">
        <v>60</v>
      </c>
      <c r="C701">
        <v>31.25</v>
      </c>
      <c r="D701">
        <v>1.625</v>
      </c>
      <c r="E701">
        <v>2.5</v>
      </c>
      <c r="F701" t="s">
        <v>157</v>
      </c>
      <c r="G701">
        <v>1</v>
      </c>
      <c r="H701">
        <v>0</v>
      </c>
      <c r="I701">
        <v>1</v>
      </c>
      <c r="J701">
        <v>1</v>
      </c>
      <c r="N701">
        <v>0.5</v>
      </c>
      <c r="O701">
        <v>0.38</v>
      </c>
      <c r="P701">
        <v>3.5</v>
      </c>
      <c r="Q701">
        <v>2.875</v>
      </c>
      <c r="R701">
        <v>2</v>
      </c>
      <c r="S701">
        <v>4</v>
      </c>
      <c r="T701">
        <v>0.5</v>
      </c>
      <c r="U701">
        <v>1</v>
      </c>
      <c r="V701">
        <v>1</v>
      </c>
      <c r="W701">
        <v>0</v>
      </c>
      <c r="X701">
        <v>0</v>
      </c>
      <c r="Y701">
        <v>0</v>
      </c>
      <c r="Z701">
        <v>0</v>
      </c>
    </row>
    <row r="702" spans="1:30">
      <c r="A702" t="s">
        <v>864</v>
      </c>
      <c r="B702">
        <v>60</v>
      </c>
      <c r="C702">
        <v>51.5</v>
      </c>
      <c r="D702">
        <v>4.5</v>
      </c>
      <c r="E702">
        <v>8.375</v>
      </c>
      <c r="F702" t="s">
        <v>157</v>
      </c>
      <c r="G702">
        <v>1</v>
      </c>
      <c r="H702">
        <v>1</v>
      </c>
      <c r="I702">
        <v>0</v>
      </c>
      <c r="L702" t="s">
        <v>145</v>
      </c>
      <c r="N702">
        <v>0.5</v>
      </c>
      <c r="O702">
        <v>0.38</v>
      </c>
      <c r="P702">
        <v>3.5</v>
      </c>
      <c r="Q702">
        <v>0</v>
      </c>
      <c r="R702">
        <v>0</v>
      </c>
      <c r="S702">
        <v>4</v>
      </c>
      <c r="T702">
        <v>0.5</v>
      </c>
      <c r="U702">
        <v>0</v>
      </c>
      <c r="V702">
        <v>0</v>
      </c>
      <c r="W702">
        <v>0</v>
      </c>
      <c r="X702">
        <v>0</v>
      </c>
      <c r="Y702">
        <v>0.5</v>
      </c>
      <c r="Z702">
        <v>0.5</v>
      </c>
      <c r="AA702">
        <v>15.5</v>
      </c>
      <c r="AB702">
        <v>28.875</v>
      </c>
      <c r="AC702">
        <v>26</v>
      </c>
      <c r="AD702">
        <v>25.63</v>
      </c>
    </row>
    <row r="703" spans="1:30">
      <c r="A703" t="s">
        <v>865</v>
      </c>
      <c r="B703">
        <v>60</v>
      </c>
      <c r="C703">
        <v>59</v>
      </c>
      <c r="D703">
        <v>11.625</v>
      </c>
      <c r="E703">
        <v>6.5625</v>
      </c>
      <c r="F703" t="s">
        <v>157</v>
      </c>
      <c r="G703">
        <v>1</v>
      </c>
      <c r="H703">
        <v>1</v>
      </c>
      <c r="I703">
        <v>1</v>
      </c>
      <c r="J703">
        <v>0</v>
      </c>
      <c r="K703">
        <v>12</v>
      </c>
      <c r="L703" t="s">
        <v>150</v>
      </c>
      <c r="N703">
        <v>0.5</v>
      </c>
      <c r="O703">
        <v>0.38</v>
      </c>
      <c r="P703">
        <v>3.5</v>
      </c>
      <c r="Q703">
        <v>-7.125</v>
      </c>
      <c r="R703">
        <v>0</v>
      </c>
      <c r="S703">
        <v>4</v>
      </c>
      <c r="T703">
        <v>0.5</v>
      </c>
      <c r="U703">
        <v>0</v>
      </c>
      <c r="V703">
        <v>0</v>
      </c>
      <c r="W703">
        <v>0</v>
      </c>
      <c r="X703">
        <v>0</v>
      </c>
      <c r="Y703">
        <v>0.5</v>
      </c>
      <c r="Z703">
        <v>0.5</v>
      </c>
      <c r="AA703">
        <v>15.5</v>
      </c>
      <c r="AB703">
        <v>28.875</v>
      </c>
      <c r="AC703">
        <v>9</v>
      </c>
      <c r="AD703">
        <v>6.375</v>
      </c>
    </row>
    <row r="704" spans="1:30">
      <c r="A704" t="s">
        <v>866</v>
      </c>
      <c r="B704">
        <v>60</v>
      </c>
      <c r="C704">
        <v>75.9375</v>
      </c>
      <c r="D704">
        <v>9</v>
      </c>
      <c r="E704">
        <v>1</v>
      </c>
      <c r="F704" t="s">
        <v>157</v>
      </c>
      <c r="G704">
        <v>1</v>
      </c>
      <c r="H704">
        <v>1</v>
      </c>
      <c r="I704">
        <v>1</v>
      </c>
      <c r="J704">
        <v>0</v>
      </c>
      <c r="K704">
        <v>24</v>
      </c>
      <c r="L704" t="s">
        <v>120</v>
      </c>
      <c r="N704">
        <v>0.5</v>
      </c>
      <c r="O704">
        <v>0.38</v>
      </c>
      <c r="P704">
        <v>3.5</v>
      </c>
      <c r="Q704">
        <v>-4.5</v>
      </c>
      <c r="R704">
        <v>3.5</v>
      </c>
      <c r="S704">
        <v>4</v>
      </c>
      <c r="T704">
        <v>0.5</v>
      </c>
      <c r="U704">
        <v>0</v>
      </c>
      <c r="V704">
        <v>0</v>
      </c>
      <c r="W704">
        <v>0</v>
      </c>
      <c r="X704">
        <v>0</v>
      </c>
      <c r="Y704">
        <v>0.5</v>
      </c>
      <c r="Z704">
        <v>0.5</v>
      </c>
      <c r="AA704">
        <v>11.5</v>
      </c>
      <c r="AB704">
        <v>10.875</v>
      </c>
      <c r="AC704">
        <v>4.9400000000000004</v>
      </c>
      <c r="AD704">
        <v>9</v>
      </c>
    </row>
    <row r="705" spans="1:30">
      <c r="A705" t="s">
        <v>867</v>
      </c>
      <c r="B705">
        <v>60</v>
      </c>
      <c r="C705">
        <v>66.5625</v>
      </c>
      <c r="D705">
        <v>5.125</v>
      </c>
      <c r="E705">
        <v>2.8125</v>
      </c>
      <c r="F705" t="s">
        <v>157</v>
      </c>
      <c r="G705">
        <v>1</v>
      </c>
      <c r="H705">
        <v>1</v>
      </c>
      <c r="I705">
        <v>1</v>
      </c>
      <c r="J705">
        <v>0</v>
      </c>
      <c r="N705">
        <v>0.5</v>
      </c>
      <c r="O705">
        <v>0.38</v>
      </c>
      <c r="P705">
        <v>3.5</v>
      </c>
      <c r="Q705">
        <v>-0.625</v>
      </c>
      <c r="R705">
        <v>1.6875</v>
      </c>
      <c r="S705">
        <v>4</v>
      </c>
      <c r="T705">
        <v>0.5</v>
      </c>
      <c r="U705">
        <v>0</v>
      </c>
      <c r="V705">
        <v>0</v>
      </c>
      <c r="W705">
        <v>0</v>
      </c>
      <c r="X705">
        <v>0</v>
      </c>
      <c r="Y705">
        <v>0.5</v>
      </c>
      <c r="Z705">
        <v>0.5</v>
      </c>
    </row>
    <row r="706" spans="1:30">
      <c r="A706" t="s">
        <v>868</v>
      </c>
      <c r="B706">
        <v>60</v>
      </c>
      <c r="C706">
        <v>35.125</v>
      </c>
      <c r="D706">
        <v>1</v>
      </c>
      <c r="E706">
        <v>6.375</v>
      </c>
      <c r="F706" t="s">
        <v>157</v>
      </c>
      <c r="G706">
        <v>1</v>
      </c>
      <c r="H706">
        <v>1</v>
      </c>
      <c r="I706">
        <v>1</v>
      </c>
      <c r="J706">
        <v>1</v>
      </c>
      <c r="N706">
        <v>0.5</v>
      </c>
      <c r="O706">
        <v>0.38</v>
      </c>
      <c r="P706">
        <v>3.5</v>
      </c>
      <c r="Q706">
        <v>3.5</v>
      </c>
      <c r="R706">
        <v>0</v>
      </c>
      <c r="S706">
        <v>4</v>
      </c>
      <c r="T706">
        <v>0.5</v>
      </c>
      <c r="U706">
        <v>1</v>
      </c>
      <c r="V706">
        <v>1</v>
      </c>
      <c r="W706">
        <v>0</v>
      </c>
      <c r="X706">
        <v>0</v>
      </c>
      <c r="Y706">
        <v>0</v>
      </c>
      <c r="Z706">
        <v>0</v>
      </c>
    </row>
    <row r="707" spans="1:30">
      <c r="A707" t="s">
        <v>869</v>
      </c>
      <c r="B707">
        <v>79.0625</v>
      </c>
      <c r="C707">
        <v>72.625</v>
      </c>
      <c r="D707">
        <v>4.5</v>
      </c>
      <c r="E707">
        <v>1</v>
      </c>
      <c r="F707" t="s">
        <v>21</v>
      </c>
      <c r="G707">
        <v>0</v>
      </c>
      <c r="I707">
        <v>0</v>
      </c>
      <c r="N707">
        <v>0.5</v>
      </c>
      <c r="O707">
        <v>0.38</v>
      </c>
      <c r="P707">
        <v>3.5</v>
      </c>
      <c r="Q707">
        <v>0</v>
      </c>
      <c r="R707">
        <v>3.5</v>
      </c>
      <c r="S707">
        <v>4</v>
      </c>
      <c r="T707">
        <v>0.5</v>
      </c>
      <c r="U707">
        <v>0</v>
      </c>
      <c r="V707">
        <v>0</v>
      </c>
      <c r="W707">
        <v>0</v>
      </c>
      <c r="X707">
        <v>0</v>
      </c>
      <c r="Y707">
        <v>0.5</v>
      </c>
      <c r="Z707">
        <v>0.5</v>
      </c>
    </row>
    <row r="708" spans="1:30">
      <c r="A708" t="s">
        <v>870</v>
      </c>
      <c r="B708">
        <v>89.9375</v>
      </c>
      <c r="C708">
        <v>66.3125</v>
      </c>
      <c r="D708">
        <v>12</v>
      </c>
      <c r="E708">
        <v>4.25</v>
      </c>
      <c r="F708" t="s">
        <v>21</v>
      </c>
      <c r="G708">
        <v>0</v>
      </c>
      <c r="I708">
        <v>1</v>
      </c>
      <c r="J708">
        <v>0</v>
      </c>
      <c r="K708">
        <v>12</v>
      </c>
      <c r="L708" t="s">
        <v>120</v>
      </c>
      <c r="N708">
        <v>0.5</v>
      </c>
      <c r="O708">
        <v>0.38</v>
      </c>
      <c r="P708">
        <v>3.5</v>
      </c>
      <c r="Q708">
        <v>-7.5</v>
      </c>
      <c r="R708">
        <v>0.25</v>
      </c>
      <c r="S708">
        <v>4</v>
      </c>
      <c r="T708">
        <v>0.5</v>
      </c>
      <c r="U708">
        <v>0</v>
      </c>
      <c r="V708">
        <v>0</v>
      </c>
      <c r="W708">
        <v>0</v>
      </c>
      <c r="X708">
        <v>0</v>
      </c>
      <c r="Y708">
        <v>0.5</v>
      </c>
      <c r="Z708">
        <v>0.5</v>
      </c>
      <c r="AA708">
        <v>11.5</v>
      </c>
      <c r="AB708">
        <v>10.875</v>
      </c>
      <c r="AC708">
        <v>16.940000000000001</v>
      </c>
      <c r="AD708">
        <v>6</v>
      </c>
    </row>
    <row r="709" spans="1:30">
      <c r="A709" t="s">
        <v>871</v>
      </c>
      <c r="B709">
        <v>55.0625</v>
      </c>
      <c r="C709">
        <v>42.625</v>
      </c>
      <c r="D709">
        <v>12</v>
      </c>
      <c r="E709">
        <v>4.8125</v>
      </c>
      <c r="F709" t="s">
        <v>21</v>
      </c>
      <c r="G709">
        <v>0</v>
      </c>
      <c r="I709">
        <v>1</v>
      </c>
      <c r="J709">
        <v>0</v>
      </c>
      <c r="K709">
        <v>24</v>
      </c>
      <c r="L709" t="s">
        <v>120</v>
      </c>
      <c r="N709">
        <v>0.5</v>
      </c>
      <c r="O709">
        <v>0.38</v>
      </c>
      <c r="P709">
        <v>3.5</v>
      </c>
      <c r="Q709">
        <v>-7.5</v>
      </c>
      <c r="R709">
        <v>0</v>
      </c>
      <c r="S709">
        <v>4</v>
      </c>
      <c r="T709">
        <v>0.5</v>
      </c>
      <c r="U709">
        <v>0</v>
      </c>
      <c r="V709">
        <v>0</v>
      </c>
      <c r="W709">
        <v>0</v>
      </c>
      <c r="X709">
        <v>0</v>
      </c>
      <c r="Y709">
        <v>0.5</v>
      </c>
      <c r="Z709">
        <v>0.5</v>
      </c>
      <c r="AA709">
        <v>11.5</v>
      </c>
      <c r="AB709">
        <v>10.875</v>
      </c>
      <c r="AC709">
        <v>4.9400000000000004</v>
      </c>
      <c r="AD709">
        <v>6</v>
      </c>
    </row>
    <row r="710" spans="1:30">
      <c r="A710" t="s">
        <v>872</v>
      </c>
      <c r="B710">
        <v>96</v>
      </c>
      <c r="C710">
        <v>44.9375</v>
      </c>
      <c r="D710">
        <v>5.1875</v>
      </c>
      <c r="E710">
        <v>1</v>
      </c>
      <c r="F710" t="s">
        <v>21</v>
      </c>
      <c r="G710">
        <v>0</v>
      </c>
      <c r="I710">
        <v>1</v>
      </c>
      <c r="J710">
        <v>0</v>
      </c>
      <c r="N710">
        <v>0.5</v>
      </c>
      <c r="O710">
        <v>0.38</v>
      </c>
      <c r="P710">
        <v>3.5</v>
      </c>
      <c r="Q710">
        <v>-0.6875</v>
      </c>
      <c r="R710">
        <v>3.5</v>
      </c>
      <c r="S710">
        <v>4</v>
      </c>
      <c r="T710">
        <v>0.5</v>
      </c>
      <c r="U710">
        <v>0</v>
      </c>
      <c r="V710">
        <v>0</v>
      </c>
      <c r="W710">
        <v>0</v>
      </c>
      <c r="X710">
        <v>0</v>
      </c>
      <c r="Y710">
        <v>0.5</v>
      </c>
      <c r="Z710">
        <v>0.5</v>
      </c>
    </row>
    <row r="711" spans="1:30">
      <c r="A711" t="s">
        <v>873</v>
      </c>
      <c r="B711">
        <v>68.1875</v>
      </c>
      <c r="C711">
        <v>52.375</v>
      </c>
      <c r="D711">
        <v>4.5</v>
      </c>
      <c r="E711">
        <v>6</v>
      </c>
      <c r="F711" t="s">
        <v>21</v>
      </c>
      <c r="G711">
        <v>0</v>
      </c>
      <c r="I711">
        <v>1</v>
      </c>
      <c r="J711">
        <v>1</v>
      </c>
      <c r="N711">
        <v>0.5</v>
      </c>
      <c r="O711">
        <v>0.38</v>
      </c>
      <c r="P711">
        <v>3.5</v>
      </c>
      <c r="Q711">
        <v>0</v>
      </c>
      <c r="R711">
        <v>0</v>
      </c>
      <c r="S711">
        <v>4</v>
      </c>
      <c r="T711">
        <v>0.5</v>
      </c>
      <c r="U711">
        <v>0</v>
      </c>
      <c r="V711">
        <v>0</v>
      </c>
      <c r="W711">
        <v>0</v>
      </c>
      <c r="X711">
        <v>0</v>
      </c>
      <c r="Y711">
        <v>0.5</v>
      </c>
      <c r="Z711">
        <v>0.5</v>
      </c>
    </row>
    <row r="712" spans="1:30">
      <c r="A712" t="s">
        <v>874</v>
      </c>
      <c r="B712">
        <v>100.875</v>
      </c>
      <c r="C712">
        <v>79.75</v>
      </c>
      <c r="D712">
        <v>9</v>
      </c>
      <c r="E712">
        <v>6.1875</v>
      </c>
      <c r="F712" t="s">
        <v>21</v>
      </c>
      <c r="G712">
        <v>1</v>
      </c>
      <c r="H712">
        <v>0</v>
      </c>
      <c r="I712">
        <v>0</v>
      </c>
      <c r="N712">
        <v>0.5</v>
      </c>
      <c r="O712">
        <v>0.38</v>
      </c>
      <c r="P712">
        <v>3.5</v>
      </c>
      <c r="Q712">
        <v>-4.5</v>
      </c>
      <c r="R712">
        <v>0</v>
      </c>
      <c r="S712">
        <v>4</v>
      </c>
      <c r="T712">
        <v>0.5</v>
      </c>
      <c r="U712">
        <v>0</v>
      </c>
      <c r="V712">
        <v>0</v>
      </c>
      <c r="W712">
        <v>0</v>
      </c>
      <c r="X712">
        <v>0</v>
      </c>
      <c r="Y712">
        <v>0.5</v>
      </c>
      <c r="Z712">
        <v>0.5</v>
      </c>
    </row>
    <row r="713" spans="1:30">
      <c r="A713" t="s">
        <v>875</v>
      </c>
      <c r="B713">
        <v>67.9375</v>
      </c>
      <c r="C713">
        <v>48.0625</v>
      </c>
      <c r="D713">
        <v>6.625</v>
      </c>
      <c r="E713">
        <v>4.8125</v>
      </c>
      <c r="F713" t="s">
        <v>21</v>
      </c>
      <c r="G713">
        <v>1</v>
      </c>
      <c r="H713">
        <v>0</v>
      </c>
      <c r="I713">
        <v>1</v>
      </c>
      <c r="J713">
        <v>0</v>
      </c>
      <c r="K713">
        <v>12</v>
      </c>
      <c r="L713" t="s">
        <v>120</v>
      </c>
      <c r="N713">
        <v>0.5</v>
      </c>
      <c r="O713">
        <v>0.38</v>
      </c>
      <c r="P713">
        <v>3.5</v>
      </c>
      <c r="Q713">
        <v>-2.125</v>
      </c>
      <c r="R713">
        <v>0</v>
      </c>
      <c r="S713">
        <v>4</v>
      </c>
      <c r="T713">
        <v>0.5</v>
      </c>
      <c r="U713">
        <v>0</v>
      </c>
      <c r="V713">
        <v>0</v>
      </c>
      <c r="W713">
        <v>0</v>
      </c>
      <c r="X713">
        <v>0</v>
      </c>
      <c r="Y713">
        <v>0.5</v>
      </c>
      <c r="Z713">
        <v>0.5</v>
      </c>
      <c r="AA713">
        <v>11.5</v>
      </c>
      <c r="AB713">
        <v>10.875</v>
      </c>
      <c r="AC713">
        <v>16.940000000000001</v>
      </c>
      <c r="AD713">
        <v>11.375</v>
      </c>
    </row>
    <row r="714" spans="1:30">
      <c r="A714" t="s">
        <v>876</v>
      </c>
      <c r="B714">
        <v>64.0625</v>
      </c>
      <c r="C714">
        <v>78.625</v>
      </c>
      <c r="D714">
        <v>10.625</v>
      </c>
      <c r="E714">
        <v>2.4375</v>
      </c>
      <c r="F714" t="s">
        <v>21</v>
      </c>
      <c r="G714">
        <v>1</v>
      </c>
      <c r="H714">
        <v>0</v>
      </c>
      <c r="I714">
        <v>1</v>
      </c>
      <c r="J714">
        <v>0</v>
      </c>
      <c r="K714">
        <v>24</v>
      </c>
      <c r="L714" t="s">
        <v>120</v>
      </c>
      <c r="N714">
        <v>0.5</v>
      </c>
      <c r="O714">
        <v>0.38</v>
      </c>
      <c r="P714">
        <v>3.5</v>
      </c>
      <c r="Q714">
        <v>-6.125</v>
      </c>
      <c r="R714">
        <v>2.0625</v>
      </c>
      <c r="S714">
        <v>4</v>
      </c>
      <c r="T714">
        <v>0.5</v>
      </c>
      <c r="U714">
        <v>0</v>
      </c>
      <c r="V714">
        <v>0</v>
      </c>
      <c r="W714">
        <v>0</v>
      </c>
      <c r="X714">
        <v>0</v>
      </c>
      <c r="Y714">
        <v>0.5</v>
      </c>
      <c r="Z714">
        <v>0.5</v>
      </c>
      <c r="AA714">
        <v>11.5</v>
      </c>
      <c r="AB714">
        <v>10.875</v>
      </c>
      <c r="AC714">
        <v>4.9400000000000004</v>
      </c>
      <c r="AD714">
        <v>7.375</v>
      </c>
    </row>
    <row r="715" spans="1:30">
      <c r="A715" t="s">
        <v>877</v>
      </c>
      <c r="B715">
        <v>96</v>
      </c>
      <c r="C715">
        <v>58.1875</v>
      </c>
      <c r="D715">
        <v>4.25</v>
      </c>
      <c r="E715">
        <v>6.5625</v>
      </c>
      <c r="F715" t="s">
        <v>21</v>
      </c>
      <c r="G715">
        <v>1</v>
      </c>
      <c r="H715">
        <v>0</v>
      </c>
      <c r="I715">
        <v>1</v>
      </c>
      <c r="J715">
        <v>0</v>
      </c>
      <c r="N715">
        <v>0.5</v>
      </c>
      <c r="O715">
        <v>0.38</v>
      </c>
      <c r="P715">
        <v>3.5</v>
      </c>
      <c r="Q715">
        <v>0.25</v>
      </c>
      <c r="R715">
        <v>0</v>
      </c>
      <c r="S715">
        <v>4</v>
      </c>
      <c r="T715">
        <v>0.5</v>
      </c>
      <c r="U715">
        <v>1</v>
      </c>
      <c r="V715">
        <v>1</v>
      </c>
      <c r="W715">
        <v>0</v>
      </c>
      <c r="X715">
        <v>0</v>
      </c>
      <c r="Y715">
        <v>0</v>
      </c>
      <c r="Z715">
        <v>0</v>
      </c>
    </row>
    <row r="716" spans="1:30">
      <c r="A716" t="s">
        <v>878</v>
      </c>
      <c r="B716">
        <v>57.5</v>
      </c>
      <c r="C716">
        <v>78.875</v>
      </c>
      <c r="D716">
        <v>4.5</v>
      </c>
      <c r="E716">
        <v>1</v>
      </c>
      <c r="F716" t="s">
        <v>21</v>
      </c>
      <c r="G716">
        <v>1</v>
      </c>
      <c r="H716">
        <v>0</v>
      </c>
      <c r="I716">
        <v>1</v>
      </c>
      <c r="J716">
        <v>1</v>
      </c>
      <c r="N716">
        <v>0.5</v>
      </c>
      <c r="O716">
        <v>0.38</v>
      </c>
      <c r="P716">
        <v>3.5</v>
      </c>
      <c r="Q716">
        <v>0</v>
      </c>
      <c r="R716">
        <v>3.5</v>
      </c>
      <c r="S716">
        <v>4</v>
      </c>
      <c r="T716">
        <v>0.5</v>
      </c>
      <c r="U716">
        <v>0</v>
      </c>
      <c r="V716">
        <v>0</v>
      </c>
      <c r="W716">
        <v>0</v>
      </c>
      <c r="X716">
        <v>1</v>
      </c>
      <c r="Y716">
        <v>0.5</v>
      </c>
      <c r="Z716">
        <v>0.5</v>
      </c>
    </row>
    <row r="717" spans="1:30">
      <c r="A717" t="s">
        <v>879</v>
      </c>
      <c r="B717">
        <v>105.875</v>
      </c>
      <c r="C717">
        <v>60.125</v>
      </c>
      <c r="D717">
        <v>9</v>
      </c>
      <c r="E717">
        <v>3.375</v>
      </c>
      <c r="F717" t="s">
        <v>21</v>
      </c>
      <c r="G717">
        <v>1</v>
      </c>
      <c r="H717">
        <v>1</v>
      </c>
      <c r="I717">
        <v>0</v>
      </c>
      <c r="L717" t="s">
        <v>120</v>
      </c>
      <c r="N717">
        <v>0.5</v>
      </c>
      <c r="O717">
        <v>0.38</v>
      </c>
      <c r="P717">
        <v>3.5</v>
      </c>
      <c r="Q717">
        <v>-4.5</v>
      </c>
      <c r="R717">
        <v>1.125</v>
      </c>
      <c r="S717">
        <v>4</v>
      </c>
      <c r="T717">
        <v>0.5</v>
      </c>
      <c r="U717">
        <v>0</v>
      </c>
      <c r="V717">
        <v>0</v>
      </c>
      <c r="W717">
        <v>1</v>
      </c>
      <c r="X717">
        <v>0</v>
      </c>
      <c r="Y717">
        <v>0.5</v>
      </c>
      <c r="Z717">
        <v>0.5</v>
      </c>
      <c r="AA717">
        <v>11.5</v>
      </c>
      <c r="AB717">
        <v>10.875</v>
      </c>
      <c r="AC717">
        <v>28.94</v>
      </c>
      <c r="AD717">
        <v>9</v>
      </c>
    </row>
    <row r="718" spans="1:30">
      <c r="A718" t="s">
        <v>880</v>
      </c>
      <c r="B718">
        <v>96</v>
      </c>
      <c r="C718">
        <v>63.5625</v>
      </c>
      <c r="D718">
        <v>1</v>
      </c>
      <c r="E718">
        <v>4.8125</v>
      </c>
      <c r="F718" t="s">
        <v>21</v>
      </c>
      <c r="G718">
        <v>1</v>
      </c>
      <c r="H718">
        <v>1</v>
      </c>
      <c r="I718">
        <v>1</v>
      </c>
      <c r="J718">
        <v>0</v>
      </c>
      <c r="K718">
        <v>12</v>
      </c>
      <c r="N718">
        <v>0.5</v>
      </c>
      <c r="O718">
        <v>0.38</v>
      </c>
      <c r="P718">
        <v>3.5</v>
      </c>
      <c r="Q718">
        <v>3.5</v>
      </c>
      <c r="R718">
        <v>0</v>
      </c>
      <c r="S718">
        <v>4</v>
      </c>
      <c r="T718">
        <v>0.5</v>
      </c>
      <c r="U718">
        <v>1</v>
      </c>
      <c r="V718">
        <v>1</v>
      </c>
      <c r="W718">
        <v>0</v>
      </c>
      <c r="X718">
        <v>0</v>
      </c>
      <c r="Y718">
        <v>0</v>
      </c>
      <c r="Z718">
        <v>0</v>
      </c>
    </row>
    <row r="719" spans="1:30">
      <c r="A719" t="s">
        <v>881</v>
      </c>
      <c r="B719">
        <v>38.625</v>
      </c>
      <c r="C719">
        <v>47.875</v>
      </c>
      <c r="D719">
        <v>5.5</v>
      </c>
      <c r="E719">
        <v>1</v>
      </c>
      <c r="F719" t="s">
        <v>21</v>
      </c>
      <c r="G719">
        <v>1</v>
      </c>
      <c r="H719">
        <v>1</v>
      </c>
      <c r="I719">
        <v>1</v>
      </c>
      <c r="J719">
        <v>0</v>
      </c>
      <c r="K719">
        <v>24</v>
      </c>
      <c r="L719" t="s">
        <v>120</v>
      </c>
      <c r="N719">
        <v>0.5</v>
      </c>
      <c r="O719">
        <v>0.38</v>
      </c>
      <c r="P719">
        <v>3.5</v>
      </c>
      <c r="Q719">
        <v>-1</v>
      </c>
      <c r="R719">
        <v>3.5</v>
      </c>
      <c r="S719">
        <v>4</v>
      </c>
      <c r="T719">
        <v>0.5</v>
      </c>
      <c r="U719">
        <v>0</v>
      </c>
      <c r="V719">
        <v>0</v>
      </c>
      <c r="W719">
        <v>1</v>
      </c>
      <c r="X719">
        <v>0</v>
      </c>
      <c r="Y719">
        <v>0.5</v>
      </c>
      <c r="Z719">
        <v>0.5</v>
      </c>
      <c r="AA719">
        <v>11.5</v>
      </c>
      <c r="AB719">
        <v>10.875</v>
      </c>
      <c r="AC719">
        <v>4.9400000000000004</v>
      </c>
      <c r="AD719">
        <v>12.5</v>
      </c>
    </row>
    <row r="720" spans="1:30">
      <c r="A720" t="s">
        <v>882</v>
      </c>
      <c r="B720">
        <v>62</v>
      </c>
      <c r="C720">
        <v>79.25</v>
      </c>
      <c r="D720">
        <v>9</v>
      </c>
      <c r="E720">
        <v>5.1875</v>
      </c>
      <c r="F720" t="s">
        <v>21</v>
      </c>
      <c r="G720">
        <v>1</v>
      </c>
      <c r="H720">
        <v>1</v>
      </c>
      <c r="I720">
        <v>1</v>
      </c>
      <c r="J720">
        <v>0</v>
      </c>
      <c r="N720">
        <v>0.5</v>
      </c>
      <c r="O720">
        <v>0.38</v>
      </c>
      <c r="P720">
        <v>3.5</v>
      </c>
      <c r="Q720">
        <v>-4.5</v>
      </c>
      <c r="R720">
        <v>0</v>
      </c>
      <c r="S720">
        <v>4</v>
      </c>
      <c r="T720">
        <v>0.5</v>
      </c>
      <c r="U720">
        <v>0</v>
      </c>
      <c r="V720">
        <v>0</v>
      </c>
      <c r="W720">
        <v>0</v>
      </c>
      <c r="X720">
        <v>0</v>
      </c>
      <c r="Y720">
        <v>0.5</v>
      </c>
      <c r="Z720">
        <v>0.5</v>
      </c>
    </row>
    <row r="721" spans="1:26">
      <c r="A721" t="s">
        <v>883</v>
      </c>
      <c r="B721">
        <v>36.125</v>
      </c>
      <c r="C721">
        <v>68.0625</v>
      </c>
      <c r="D721">
        <v>9</v>
      </c>
      <c r="E721">
        <v>2.25</v>
      </c>
      <c r="F721" t="s">
        <v>21</v>
      </c>
      <c r="G721">
        <v>1</v>
      </c>
      <c r="H721">
        <v>1</v>
      </c>
      <c r="I721">
        <v>1</v>
      </c>
      <c r="J721">
        <v>1</v>
      </c>
      <c r="N721">
        <v>0.5</v>
      </c>
      <c r="O721">
        <v>0.38</v>
      </c>
      <c r="P721">
        <v>3.5</v>
      </c>
      <c r="Q721">
        <v>-4.5</v>
      </c>
      <c r="R721">
        <v>2.25</v>
      </c>
      <c r="S721">
        <v>4</v>
      </c>
      <c r="T721">
        <v>0.5</v>
      </c>
      <c r="U721">
        <v>0</v>
      </c>
      <c r="V721">
        <v>0</v>
      </c>
      <c r="W721">
        <v>1</v>
      </c>
      <c r="X721">
        <v>1</v>
      </c>
      <c r="Y721">
        <v>0.5</v>
      </c>
      <c r="Z721">
        <v>0.5</v>
      </c>
    </row>
    <row r="722" spans="1:26">
      <c r="A722" t="s">
        <v>884</v>
      </c>
      <c r="B722">
        <v>31</v>
      </c>
      <c r="C722">
        <v>44.5</v>
      </c>
      <c r="D722">
        <v>1.5</v>
      </c>
      <c r="E722">
        <v>1</v>
      </c>
      <c r="F722" t="s">
        <v>156</v>
      </c>
      <c r="G722">
        <v>0</v>
      </c>
      <c r="I722">
        <v>0</v>
      </c>
      <c r="N722">
        <v>0.5</v>
      </c>
      <c r="O722">
        <v>0.38</v>
      </c>
      <c r="P722">
        <v>3.5</v>
      </c>
      <c r="Q722">
        <v>3</v>
      </c>
      <c r="R722">
        <v>3.5</v>
      </c>
      <c r="S722">
        <v>4</v>
      </c>
      <c r="T722">
        <v>0.5</v>
      </c>
      <c r="U722">
        <v>0</v>
      </c>
      <c r="V722">
        <v>0</v>
      </c>
      <c r="W722">
        <v>0</v>
      </c>
      <c r="X722">
        <v>0</v>
      </c>
      <c r="Y722">
        <v>0.5</v>
      </c>
      <c r="Z722">
        <v>0.5</v>
      </c>
    </row>
    <row r="723" spans="1:26">
      <c r="A723" t="s">
        <v>885</v>
      </c>
      <c r="B723">
        <v>23.9375</v>
      </c>
      <c r="C723">
        <v>48.75</v>
      </c>
      <c r="D723">
        <v>3.5</v>
      </c>
      <c r="E723">
        <v>7.0625</v>
      </c>
      <c r="F723" t="s">
        <v>156</v>
      </c>
      <c r="G723">
        <v>0</v>
      </c>
      <c r="I723">
        <v>1</v>
      </c>
      <c r="J723">
        <v>0</v>
      </c>
      <c r="K723">
        <v>12</v>
      </c>
      <c r="L723" t="s">
        <v>120</v>
      </c>
      <c r="N723">
        <v>0.5</v>
      </c>
      <c r="O723">
        <v>0.38</v>
      </c>
      <c r="P723">
        <v>3.5</v>
      </c>
      <c r="Q723">
        <v>1</v>
      </c>
      <c r="R723">
        <v>0</v>
      </c>
      <c r="S723">
        <v>4</v>
      </c>
      <c r="T723">
        <v>0.5</v>
      </c>
      <c r="U723">
        <v>0</v>
      </c>
      <c r="V723">
        <v>0</v>
      </c>
      <c r="W723">
        <v>0</v>
      </c>
      <c r="X723">
        <v>0</v>
      </c>
      <c r="Y723">
        <v>0.5</v>
      </c>
      <c r="Z723">
        <v>0.5</v>
      </c>
    </row>
    <row r="724" spans="1:26">
      <c r="A724" t="s">
        <v>886</v>
      </c>
      <c r="B724">
        <v>8.5625</v>
      </c>
      <c r="C724">
        <v>64.625</v>
      </c>
      <c r="D724">
        <v>3</v>
      </c>
      <c r="E724">
        <v>1</v>
      </c>
      <c r="F724" t="s">
        <v>156</v>
      </c>
      <c r="G724">
        <v>0</v>
      </c>
      <c r="I724">
        <v>1</v>
      </c>
      <c r="J724">
        <v>0</v>
      </c>
      <c r="K724">
        <v>24</v>
      </c>
      <c r="L724" t="s">
        <v>120</v>
      </c>
      <c r="N724">
        <v>0.5</v>
      </c>
      <c r="O724">
        <v>0.38</v>
      </c>
      <c r="P724">
        <v>3.5</v>
      </c>
      <c r="Q724">
        <v>1.5</v>
      </c>
      <c r="R724">
        <v>3.5</v>
      </c>
      <c r="S724">
        <v>4</v>
      </c>
      <c r="T724">
        <v>0.5</v>
      </c>
      <c r="U724">
        <v>0</v>
      </c>
      <c r="V724">
        <v>0</v>
      </c>
      <c r="W724">
        <v>0</v>
      </c>
      <c r="X724">
        <v>0</v>
      </c>
      <c r="Y724">
        <v>0.5</v>
      </c>
      <c r="Z724">
        <v>0.5</v>
      </c>
    </row>
    <row r="725" spans="1:26">
      <c r="A725" t="s">
        <v>887</v>
      </c>
      <c r="B725">
        <v>20.0625</v>
      </c>
      <c r="C725">
        <v>71.75</v>
      </c>
      <c r="D725">
        <v>9</v>
      </c>
      <c r="E725">
        <v>2.4375</v>
      </c>
      <c r="F725" t="s">
        <v>156</v>
      </c>
      <c r="G725">
        <v>0</v>
      </c>
      <c r="I725">
        <v>1</v>
      </c>
      <c r="J725">
        <v>0</v>
      </c>
      <c r="N725">
        <v>0.5</v>
      </c>
      <c r="O725">
        <v>0.38</v>
      </c>
      <c r="P725">
        <v>3.5</v>
      </c>
      <c r="Q725">
        <v>-4.5</v>
      </c>
      <c r="R725">
        <v>2.0625</v>
      </c>
      <c r="S725">
        <v>4</v>
      </c>
      <c r="T725">
        <v>0.5</v>
      </c>
      <c r="U725">
        <v>0</v>
      </c>
      <c r="V725">
        <v>0</v>
      </c>
      <c r="W725">
        <v>0</v>
      </c>
      <c r="X725">
        <v>0</v>
      </c>
      <c r="Y725">
        <v>0.5</v>
      </c>
      <c r="Z725">
        <v>0.5</v>
      </c>
    </row>
    <row r="726" spans="1:26">
      <c r="A726" t="s">
        <v>888</v>
      </c>
      <c r="B726">
        <v>25</v>
      </c>
      <c r="C726">
        <v>48.0625</v>
      </c>
      <c r="D726">
        <v>1.1875</v>
      </c>
      <c r="E726">
        <v>4.6875</v>
      </c>
      <c r="F726" t="s">
        <v>156</v>
      </c>
      <c r="G726">
        <v>0</v>
      </c>
      <c r="I726">
        <v>1</v>
      </c>
      <c r="J726">
        <v>1</v>
      </c>
      <c r="N726">
        <v>0.5</v>
      </c>
      <c r="O726">
        <v>0.38</v>
      </c>
      <c r="P726">
        <v>3.5</v>
      </c>
      <c r="Q726">
        <v>3.3125</v>
      </c>
      <c r="R726">
        <v>0</v>
      </c>
      <c r="S726">
        <v>4</v>
      </c>
      <c r="T726">
        <v>0.5</v>
      </c>
      <c r="U726">
        <v>0</v>
      </c>
      <c r="V726">
        <v>0</v>
      </c>
      <c r="W726">
        <v>0</v>
      </c>
      <c r="X726">
        <v>0</v>
      </c>
      <c r="Y726">
        <v>0.5</v>
      </c>
      <c r="Z726">
        <v>0.5</v>
      </c>
    </row>
    <row r="727" spans="1:26">
      <c r="A727" t="s">
        <v>889</v>
      </c>
      <c r="B727">
        <v>11.4375</v>
      </c>
      <c r="C727">
        <v>60.375</v>
      </c>
      <c r="D727">
        <v>1</v>
      </c>
      <c r="E727">
        <v>1</v>
      </c>
      <c r="F727" t="s">
        <v>156</v>
      </c>
      <c r="G727">
        <v>1</v>
      </c>
      <c r="H727">
        <v>0</v>
      </c>
      <c r="I727">
        <v>0</v>
      </c>
      <c r="L727" t="s">
        <v>119</v>
      </c>
      <c r="M727" t="s">
        <v>120</v>
      </c>
      <c r="N727">
        <v>0.5</v>
      </c>
      <c r="O727">
        <v>0.38</v>
      </c>
      <c r="P727">
        <v>3.5</v>
      </c>
      <c r="Q727">
        <v>3.5</v>
      </c>
      <c r="R727">
        <v>3.5</v>
      </c>
      <c r="S727">
        <v>4</v>
      </c>
      <c r="T727">
        <v>0.5</v>
      </c>
      <c r="U727">
        <v>0</v>
      </c>
      <c r="V727">
        <v>0</v>
      </c>
      <c r="W727">
        <v>0</v>
      </c>
      <c r="X727">
        <v>0</v>
      </c>
      <c r="Y727">
        <v>0.5</v>
      </c>
      <c r="Z727">
        <v>0.5</v>
      </c>
    </row>
    <row r="728" spans="1:26">
      <c r="A728" t="s">
        <v>890</v>
      </c>
      <c r="B728">
        <v>11.25</v>
      </c>
      <c r="C728">
        <v>57.8125</v>
      </c>
      <c r="D728">
        <v>4.3125</v>
      </c>
      <c r="E728">
        <v>1</v>
      </c>
      <c r="F728" t="s">
        <v>156</v>
      </c>
      <c r="G728">
        <v>1</v>
      </c>
      <c r="H728">
        <v>0</v>
      </c>
      <c r="I728">
        <v>1</v>
      </c>
      <c r="J728">
        <v>0</v>
      </c>
      <c r="K728">
        <v>12</v>
      </c>
      <c r="L728" t="s">
        <v>120</v>
      </c>
      <c r="N728">
        <v>0.5</v>
      </c>
      <c r="O728">
        <v>0.38</v>
      </c>
      <c r="P728">
        <v>3.5</v>
      </c>
      <c r="Q728">
        <v>0.1875</v>
      </c>
      <c r="R728">
        <v>3.5</v>
      </c>
      <c r="S728">
        <v>4</v>
      </c>
      <c r="T728">
        <v>0.5</v>
      </c>
      <c r="U728">
        <v>0</v>
      </c>
      <c r="V728">
        <v>0</v>
      </c>
      <c r="W728">
        <v>0</v>
      </c>
      <c r="X728">
        <v>0</v>
      </c>
      <c r="Y728">
        <v>0.5</v>
      </c>
      <c r="Z728">
        <v>0.5</v>
      </c>
    </row>
    <row r="729" spans="1:26">
      <c r="A729" t="s">
        <v>891</v>
      </c>
      <c r="B729">
        <v>48.9375</v>
      </c>
      <c r="C729">
        <v>78.625</v>
      </c>
      <c r="D729">
        <v>1.3125</v>
      </c>
      <c r="E729">
        <v>4.6875</v>
      </c>
      <c r="F729" t="s">
        <v>156</v>
      </c>
      <c r="G729">
        <v>1</v>
      </c>
      <c r="H729">
        <v>0</v>
      </c>
      <c r="I729">
        <v>1</v>
      </c>
      <c r="J729">
        <v>0</v>
      </c>
      <c r="K729">
        <v>24</v>
      </c>
      <c r="L729" t="s">
        <v>120</v>
      </c>
      <c r="N729">
        <v>0.5</v>
      </c>
      <c r="O729">
        <v>0.38</v>
      </c>
      <c r="P729">
        <v>3.5</v>
      </c>
      <c r="Q729">
        <v>3.1875</v>
      </c>
      <c r="R729">
        <v>0</v>
      </c>
      <c r="S729">
        <v>4</v>
      </c>
      <c r="T729">
        <v>0.5</v>
      </c>
      <c r="U729">
        <v>0</v>
      </c>
      <c r="V729">
        <v>0</v>
      </c>
      <c r="W729">
        <v>0</v>
      </c>
      <c r="X729">
        <v>0</v>
      </c>
      <c r="Y729">
        <v>0.5</v>
      </c>
      <c r="Z729">
        <v>0.5</v>
      </c>
    </row>
    <row r="730" spans="1:26">
      <c r="A730" t="s">
        <v>892</v>
      </c>
      <c r="B730">
        <v>46.125</v>
      </c>
      <c r="C730">
        <v>40.625</v>
      </c>
      <c r="D730">
        <v>4.5</v>
      </c>
      <c r="E730">
        <v>1</v>
      </c>
      <c r="F730" t="s">
        <v>156</v>
      </c>
      <c r="G730">
        <v>1</v>
      </c>
      <c r="H730">
        <v>0</v>
      </c>
      <c r="I730">
        <v>1</v>
      </c>
      <c r="J730">
        <v>0</v>
      </c>
      <c r="N730">
        <v>0.5</v>
      </c>
      <c r="O730">
        <v>0.38</v>
      </c>
      <c r="P730">
        <v>3.5</v>
      </c>
      <c r="Q730">
        <v>0</v>
      </c>
      <c r="R730">
        <v>3.5</v>
      </c>
      <c r="S730">
        <v>4</v>
      </c>
      <c r="T730">
        <v>0.5</v>
      </c>
      <c r="U730">
        <v>0</v>
      </c>
      <c r="V730">
        <v>0</v>
      </c>
      <c r="W730">
        <v>0</v>
      </c>
      <c r="X730">
        <v>0</v>
      </c>
      <c r="Y730">
        <v>0.5</v>
      </c>
      <c r="Z730">
        <v>0.5</v>
      </c>
    </row>
    <row r="731" spans="1:26">
      <c r="A731" t="s">
        <v>893</v>
      </c>
      <c r="B731">
        <v>34</v>
      </c>
      <c r="C731">
        <v>48.3125</v>
      </c>
      <c r="D731">
        <v>4.5</v>
      </c>
      <c r="E731">
        <v>7.9375</v>
      </c>
      <c r="F731" t="s">
        <v>156</v>
      </c>
      <c r="G731">
        <v>1</v>
      </c>
      <c r="H731">
        <v>0</v>
      </c>
      <c r="I731">
        <v>1</v>
      </c>
      <c r="J731">
        <v>1</v>
      </c>
      <c r="N731">
        <v>0.5</v>
      </c>
      <c r="O731">
        <v>0.38</v>
      </c>
      <c r="P731">
        <v>3.5</v>
      </c>
      <c r="Q731">
        <v>0</v>
      </c>
      <c r="R731">
        <v>0</v>
      </c>
      <c r="S731">
        <v>4</v>
      </c>
      <c r="T731">
        <v>0.5</v>
      </c>
      <c r="U731">
        <v>0</v>
      </c>
      <c r="V731">
        <v>0</v>
      </c>
      <c r="W731">
        <v>0</v>
      </c>
      <c r="X731">
        <v>0</v>
      </c>
      <c r="Y731">
        <v>0.5</v>
      </c>
      <c r="Z731">
        <v>0.5</v>
      </c>
    </row>
    <row r="732" spans="1:26">
      <c r="A732" t="s">
        <v>894</v>
      </c>
      <c r="B732">
        <v>12.125</v>
      </c>
      <c r="C732">
        <v>75.75</v>
      </c>
      <c r="D732">
        <v>6.25</v>
      </c>
      <c r="E732">
        <v>4.5625</v>
      </c>
      <c r="F732" t="s">
        <v>156</v>
      </c>
      <c r="G732">
        <v>1</v>
      </c>
      <c r="H732">
        <v>1</v>
      </c>
      <c r="I732">
        <v>0</v>
      </c>
      <c r="L732" t="s">
        <v>121</v>
      </c>
      <c r="N732">
        <v>0.5</v>
      </c>
      <c r="O732">
        <v>0.38</v>
      </c>
      <c r="P732">
        <v>3.5</v>
      </c>
      <c r="Q732">
        <v>-1.75</v>
      </c>
      <c r="R732">
        <v>0</v>
      </c>
      <c r="S732">
        <v>4</v>
      </c>
      <c r="T732">
        <v>0.5</v>
      </c>
      <c r="U732">
        <v>0</v>
      </c>
      <c r="V732">
        <v>0</v>
      </c>
      <c r="W732">
        <v>0</v>
      </c>
      <c r="X732">
        <v>0</v>
      </c>
      <c r="Y732">
        <v>0.5</v>
      </c>
      <c r="Z732">
        <v>0.5</v>
      </c>
    </row>
    <row r="733" spans="1:26">
      <c r="A733" t="s">
        <v>895</v>
      </c>
      <c r="B733">
        <v>46.9375</v>
      </c>
      <c r="C733">
        <v>79.1875</v>
      </c>
      <c r="D733">
        <v>12</v>
      </c>
      <c r="E733">
        <v>3.4375</v>
      </c>
      <c r="F733" t="s">
        <v>156</v>
      </c>
      <c r="G733">
        <v>1</v>
      </c>
      <c r="H733">
        <v>1</v>
      </c>
      <c r="I733">
        <v>1</v>
      </c>
      <c r="J733">
        <v>0</v>
      </c>
      <c r="K733">
        <v>12</v>
      </c>
      <c r="L733" t="s">
        <v>149</v>
      </c>
      <c r="N733">
        <v>0.5</v>
      </c>
      <c r="O733">
        <v>0.38</v>
      </c>
      <c r="P733">
        <v>3.5</v>
      </c>
      <c r="Q733">
        <v>-7.5</v>
      </c>
      <c r="R733">
        <v>1.0625</v>
      </c>
      <c r="S733">
        <v>4</v>
      </c>
      <c r="T733">
        <v>0.5</v>
      </c>
      <c r="U733">
        <v>0</v>
      </c>
      <c r="V733">
        <v>0</v>
      </c>
      <c r="W733">
        <v>1</v>
      </c>
      <c r="X733">
        <v>0</v>
      </c>
      <c r="Y733">
        <v>0.5</v>
      </c>
      <c r="Z733">
        <v>0.5</v>
      </c>
    </row>
    <row r="734" spans="1:26">
      <c r="A734" t="s">
        <v>896</v>
      </c>
      <c r="B734">
        <v>43</v>
      </c>
      <c r="C734">
        <v>20.5625</v>
      </c>
      <c r="D734">
        <v>12</v>
      </c>
      <c r="E734">
        <v>2.75</v>
      </c>
      <c r="F734" t="s">
        <v>156</v>
      </c>
      <c r="G734">
        <v>1</v>
      </c>
      <c r="H734">
        <v>1</v>
      </c>
      <c r="I734">
        <v>1</v>
      </c>
      <c r="J734">
        <v>0</v>
      </c>
      <c r="K734">
        <v>24</v>
      </c>
      <c r="N734">
        <v>0.5</v>
      </c>
      <c r="O734">
        <v>0.38</v>
      </c>
      <c r="P734">
        <v>3.5</v>
      </c>
      <c r="Q734">
        <v>-7.5</v>
      </c>
      <c r="R734">
        <v>1.75</v>
      </c>
      <c r="S734">
        <v>4</v>
      </c>
      <c r="T734">
        <v>0.5</v>
      </c>
      <c r="U734">
        <v>0</v>
      </c>
      <c r="V734">
        <v>0</v>
      </c>
      <c r="W734">
        <v>1</v>
      </c>
      <c r="X734">
        <v>0</v>
      </c>
      <c r="Y734">
        <v>0.5</v>
      </c>
      <c r="Z734">
        <v>0.5</v>
      </c>
    </row>
    <row r="735" spans="1:26">
      <c r="A735" t="s">
        <v>897</v>
      </c>
      <c r="B735">
        <v>49.625</v>
      </c>
      <c r="C735">
        <v>71.625</v>
      </c>
      <c r="D735">
        <v>1.1875</v>
      </c>
      <c r="E735">
        <v>1.6875</v>
      </c>
      <c r="F735" t="s">
        <v>156</v>
      </c>
      <c r="G735">
        <v>1</v>
      </c>
      <c r="H735">
        <v>1</v>
      </c>
      <c r="I735">
        <v>1</v>
      </c>
      <c r="J735">
        <v>0</v>
      </c>
      <c r="N735">
        <v>0.5</v>
      </c>
      <c r="O735">
        <v>0.38</v>
      </c>
      <c r="P735">
        <v>3.5</v>
      </c>
      <c r="Q735">
        <v>3.3125</v>
      </c>
      <c r="R735">
        <v>2.8125</v>
      </c>
      <c r="S735">
        <v>4</v>
      </c>
      <c r="T735">
        <v>0.5</v>
      </c>
      <c r="U735">
        <v>0</v>
      </c>
      <c r="V735">
        <v>0</v>
      </c>
      <c r="W735">
        <v>1</v>
      </c>
      <c r="X735">
        <v>0</v>
      </c>
      <c r="Y735">
        <v>0.5</v>
      </c>
      <c r="Z735">
        <v>0.5</v>
      </c>
    </row>
    <row r="736" spans="1:26">
      <c r="A736" t="s">
        <v>898</v>
      </c>
      <c r="B736">
        <v>7.625</v>
      </c>
      <c r="C736">
        <v>64.5</v>
      </c>
      <c r="D736">
        <v>12</v>
      </c>
      <c r="E736">
        <v>4.5</v>
      </c>
      <c r="F736" t="s">
        <v>156</v>
      </c>
      <c r="G736">
        <v>1</v>
      </c>
      <c r="H736">
        <v>1</v>
      </c>
      <c r="I736">
        <v>1</v>
      </c>
      <c r="J736">
        <v>1</v>
      </c>
      <c r="N736">
        <v>0.5</v>
      </c>
      <c r="O736">
        <v>0.38</v>
      </c>
      <c r="P736">
        <v>3.5</v>
      </c>
      <c r="Q736">
        <v>-7.5</v>
      </c>
      <c r="R736">
        <v>0</v>
      </c>
      <c r="S736">
        <v>4</v>
      </c>
      <c r="T736">
        <v>0.5</v>
      </c>
      <c r="U736">
        <v>0</v>
      </c>
      <c r="V736">
        <v>0</v>
      </c>
      <c r="W736">
        <v>0</v>
      </c>
      <c r="X736">
        <v>0</v>
      </c>
      <c r="Y736">
        <v>0.5</v>
      </c>
      <c r="Z736">
        <v>0.5</v>
      </c>
    </row>
    <row r="737" spans="1:34">
      <c r="A737" t="s">
        <v>899</v>
      </c>
      <c r="B737">
        <v>60</v>
      </c>
      <c r="C737">
        <v>75.8125</v>
      </c>
      <c r="D737">
        <v>12</v>
      </c>
      <c r="E737">
        <v>6.4375</v>
      </c>
      <c r="F737" t="s">
        <v>157</v>
      </c>
      <c r="G737">
        <v>0</v>
      </c>
      <c r="I737">
        <v>0</v>
      </c>
      <c r="N737">
        <v>0.5</v>
      </c>
      <c r="O737">
        <v>0.38</v>
      </c>
      <c r="P737">
        <v>3.5</v>
      </c>
      <c r="Q737">
        <v>-7.5</v>
      </c>
      <c r="R737">
        <v>0</v>
      </c>
      <c r="S737">
        <v>4</v>
      </c>
      <c r="T737">
        <v>0.5</v>
      </c>
      <c r="U737">
        <v>0</v>
      </c>
      <c r="V737">
        <v>0</v>
      </c>
      <c r="W737">
        <v>0</v>
      </c>
      <c r="X737">
        <v>0</v>
      </c>
      <c r="Y737">
        <v>0.5</v>
      </c>
      <c r="Z737">
        <v>0.5</v>
      </c>
    </row>
    <row r="738" spans="1:34">
      <c r="A738" t="s">
        <v>900</v>
      </c>
      <c r="B738">
        <v>60</v>
      </c>
      <c r="C738">
        <v>50.75</v>
      </c>
      <c r="D738">
        <v>9</v>
      </c>
      <c r="E738">
        <v>5.3125</v>
      </c>
      <c r="F738" t="s">
        <v>157</v>
      </c>
      <c r="G738">
        <v>0</v>
      </c>
      <c r="I738">
        <v>1</v>
      </c>
      <c r="J738">
        <v>0</v>
      </c>
      <c r="K738">
        <v>12</v>
      </c>
      <c r="L738" t="s">
        <v>120</v>
      </c>
      <c r="N738">
        <v>0.5</v>
      </c>
      <c r="O738">
        <v>0.38</v>
      </c>
      <c r="P738">
        <v>3.5</v>
      </c>
      <c r="Q738">
        <v>-4.5</v>
      </c>
      <c r="R738">
        <v>0</v>
      </c>
      <c r="S738">
        <v>4</v>
      </c>
      <c r="T738">
        <v>0.5</v>
      </c>
      <c r="U738">
        <v>0</v>
      </c>
      <c r="V738">
        <v>0</v>
      </c>
      <c r="W738">
        <v>0</v>
      </c>
      <c r="X738">
        <v>0</v>
      </c>
      <c r="Y738">
        <v>0.5</v>
      </c>
      <c r="Z738">
        <v>0.5</v>
      </c>
      <c r="AA738">
        <v>11.5</v>
      </c>
      <c r="AB738">
        <v>10.875</v>
      </c>
      <c r="AC738">
        <v>16.940000000000001</v>
      </c>
      <c r="AD738">
        <v>9</v>
      </c>
    </row>
    <row r="739" spans="1:34">
      <c r="A739" t="s">
        <v>901</v>
      </c>
      <c r="B739">
        <v>60</v>
      </c>
      <c r="C739">
        <v>51.875</v>
      </c>
      <c r="D739">
        <v>1</v>
      </c>
      <c r="E739">
        <v>6.75</v>
      </c>
      <c r="F739" t="s">
        <v>157</v>
      </c>
      <c r="G739">
        <v>0</v>
      </c>
      <c r="I739">
        <v>1</v>
      </c>
      <c r="J739">
        <v>0</v>
      </c>
      <c r="K739">
        <v>24</v>
      </c>
      <c r="L739" t="s">
        <v>120</v>
      </c>
      <c r="N739">
        <v>0.5</v>
      </c>
      <c r="O739">
        <v>0.38</v>
      </c>
      <c r="P739">
        <v>3.5</v>
      </c>
      <c r="Q739">
        <v>3.5</v>
      </c>
      <c r="R739">
        <v>0</v>
      </c>
      <c r="S739">
        <v>4</v>
      </c>
      <c r="T739">
        <v>0.5</v>
      </c>
      <c r="U739">
        <v>0</v>
      </c>
      <c r="V739">
        <v>1</v>
      </c>
      <c r="W739">
        <v>0</v>
      </c>
      <c r="X739">
        <v>0</v>
      </c>
      <c r="Y739">
        <v>0.5</v>
      </c>
      <c r="Z739">
        <v>0</v>
      </c>
      <c r="AA739">
        <v>11.5</v>
      </c>
      <c r="AB739">
        <v>10.875</v>
      </c>
      <c r="AC739">
        <v>4.9400000000000004</v>
      </c>
      <c r="AD739">
        <v>17</v>
      </c>
    </row>
    <row r="740" spans="1:34">
      <c r="A740" t="s">
        <v>902</v>
      </c>
      <c r="B740">
        <v>60</v>
      </c>
      <c r="C740">
        <v>60.1875</v>
      </c>
      <c r="D740">
        <v>9</v>
      </c>
      <c r="E740">
        <v>7.375</v>
      </c>
      <c r="F740" t="s">
        <v>157</v>
      </c>
      <c r="G740">
        <v>0</v>
      </c>
      <c r="I740">
        <v>1</v>
      </c>
      <c r="J740">
        <v>0</v>
      </c>
      <c r="N740">
        <v>0.5</v>
      </c>
      <c r="O740">
        <v>0.38</v>
      </c>
      <c r="P740">
        <v>3.5</v>
      </c>
      <c r="Q740">
        <v>-4.5</v>
      </c>
      <c r="R740">
        <v>0</v>
      </c>
      <c r="S740">
        <v>4</v>
      </c>
      <c r="T740">
        <v>0.5</v>
      </c>
      <c r="U740">
        <v>0</v>
      </c>
      <c r="V740">
        <v>0</v>
      </c>
      <c r="W740">
        <v>0</v>
      </c>
      <c r="X740">
        <v>0</v>
      </c>
      <c r="Y740">
        <v>0.5</v>
      </c>
      <c r="Z740">
        <v>0.5</v>
      </c>
    </row>
    <row r="741" spans="1:34">
      <c r="A741" t="s">
        <v>903</v>
      </c>
      <c r="B741">
        <v>60</v>
      </c>
      <c r="C741">
        <v>70.0625</v>
      </c>
      <c r="D741">
        <v>4.5</v>
      </c>
      <c r="E741">
        <v>1</v>
      </c>
      <c r="F741" t="s">
        <v>157</v>
      </c>
      <c r="G741">
        <v>0</v>
      </c>
      <c r="I741">
        <v>1</v>
      </c>
      <c r="J741">
        <v>1</v>
      </c>
      <c r="N741">
        <v>0.5</v>
      </c>
      <c r="O741">
        <v>0.38</v>
      </c>
      <c r="P741">
        <v>3.5</v>
      </c>
      <c r="Q741">
        <v>0</v>
      </c>
      <c r="R741">
        <v>3.5</v>
      </c>
      <c r="S741">
        <v>4</v>
      </c>
      <c r="T741">
        <v>0.5</v>
      </c>
      <c r="U741">
        <v>0</v>
      </c>
      <c r="V741">
        <v>0</v>
      </c>
      <c r="W741">
        <v>0</v>
      </c>
      <c r="X741">
        <v>0</v>
      </c>
      <c r="Y741">
        <v>0.5</v>
      </c>
      <c r="Z741">
        <v>0.5</v>
      </c>
    </row>
    <row r="742" spans="1:34">
      <c r="A742" t="s">
        <v>904</v>
      </c>
      <c r="B742">
        <v>60</v>
      </c>
      <c r="C742">
        <v>56.6875</v>
      </c>
      <c r="D742">
        <v>4.0625</v>
      </c>
      <c r="E742">
        <v>6.5625</v>
      </c>
      <c r="F742" t="s">
        <v>157</v>
      </c>
      <c r="G742">
        <v>1</v>
      </c>
      <c r="H742">
        <v>0</v>
      </c>
      <c r="I742">
        <v>0</v>
      </c>
      <c r="L742" t="s">
        <v>120</v>
      </c>
      <c r="M742" t="s">
        <v>119</v>
      </c>
      <c r="N742">
        <v>0.5</v>
      </c>
      <c r="O742">
        <v>0.38</v>
      </c>
      <c r="P742">
        <v>3.5</v>
      </c>
      <c r="Q742">
        <v>0.4375</v>
      </c>
      <c r="R742">
        <v>0</v>
      </c>
      <c r="S742">
        <v>4</v>
      </c>
      <c r="T742">
        <v>0.5</v>
      </c>
      <c r="U742">
        <v>1</v>
      </c>
      <c r="V742">
        <v>0</v>
      </c>
      <c r="W742">
        <v>0</v>
      </c>
      <c r="X742">
        <v>0</v>
      </c>
      <c r="Y742">
        <v>0</v>
      </c>
      <c r="Z742">
        <v>0.5</v>
      </c>
      <c r="AA742">
        <v>11.5</v>
      </c>
      <c r="AB742">
        <v>10.875</v>
      </c>
      <c r="AC742">
        <v>28.94</v>
      </c>
      <c r="AD742">
        <v>13.9375</v>
      </c>
      <c r="AE742">
        <v>11</v>
      </c>
      <c r="AF742">
        <v>15.5</v>
      </c>
      <c r="AG742">
        <v>14.5</v>
      </c>
      <c r="AH742">
        <v>10.6875</v>
      </c>
    </row>
    <row r="743" spans="1:34">
      <c r="A743" t="s">
        <v>905</v>
      </c>
      <c r="B743">
        <v>60</v>
      </c>
      <c r="C743">
        <v>70.3125</v>
      </c>
      <c r="D743">
        <v>4.5</v>
      </c>
      <c r="E743">
        <v>2.8125</v>
      </c>
      <c r="F743" t="s">
        <v>157</v>
      </c>
      <c r="G743">
        <v>1</v>
      </c>
      <c r="H743">
        <v>0</v>
      </c>
      <c r="I743">
        <v>1</v>
      </c>
      <c r="J743">
        <v>0</v>
      </c>
      <c r="K743">
        <v>12</v>
      </c>
      <c r="L743" t="s">
        <v>150</v>
      </c>
      <c r="N743">
        <v>0.5</v>
      </c>
      <c r="O743">
        <v>0.38</v>
      </c>
      <c r="P743">
        <v>3.5</v>
      </c>
      <c r="Q743">
        <v>0</v>
      </c>
      <c r="R743">
        <v>1.6875</v>
      </c>
      <c r="S743">
        <v>4</v>
      </c>
      <c r="T743">
        <v>0.5</v>
      </c>
      <c r="U743">
        <v>0</v>
      </c>
      <c r="V743">
        <v>0</v>
      </c>
      <c r="W743">
        <v>0</v>
      </c>
      <c r="X743">
        <v>0</v>
      </c>
      <c r="Y743">
        <v>0.5</v>
      </c>
      <c r="Z743">
        <v>0.5</v>
      </c>
      <c r="AA743">
        <v>15.5</v>
      </c>
      <c r="AB743">
        <v>28.875</v>
      </c>
      <c r="AC743">
        <v>9</v>
      </c>
      <c r="AD743">
        <v>13.5</v>
      </c>
    </row>
    <row r="744" spans="1:34">
      <c r="A744" t="s">
        <v>906</v>
      </c>
      <c r="B744">
        <v>60</v>
      </c>
      <c r="C744">
        <v>75.5625</v>
      </c>
      <c r="D744">
        <v>9</v>
      </c>
      <c r="E744">
        <v>1</v>
      </c>
      <c r="F744" t="s">
        <v>157</v>
      </c>
      <c r="G744">
        <v>1</v>
      </c>
      <c r="H744">
        <v>0</v>
      </c>
      <c r="I744">
        <v>1</v>
      </c>
      <c r="J744">
        <v>0</v>
      </c>
      <c r="K744">
        <v>24</v>
      </c>
      <c r="L744" t="s">
        <v>120</v>
      </c>
      <c r="N744">
        <v>0.5</v>
      </c>
      <c r="O744">
        <v>0.38</v>
      </c>
      <c r="P744">
        <v>3.5</v>
      </c>
      <c r="Q744">
        <v>-4.5</v>
      </c>
      <c r="R744">
        <v>3.5</v>
      </c>
      <c r="S744">
        <v>4</v>
      </c>
      <c r="T744">
        <v>0.5</v>
      </c>
      <c r="U744">
        <v>0</v>
      </c>
      <c r="V744">
        <v>0</v>
      </c>
      <c r="W744">
        <v>0</v>
      </c>
      <c r="X744">
        <v>0</v>
      </c>
      <c r="Y744">
        <v>0.5</v>
      </c>
      <c r="Z744">
        <v>0.5</v>
      </c>
      <c r="AA744">
        <v>11.5</v>
      </c>
      <c r="AB744">
        <v>10.875</v>
      </c>
      <c r="AC744">
        <v>4.9400000000000004</v>
      </c>
      <c r="AD744">
        <v>9</v>
      </c>
    </row>
    <row r="745" spans="1:34">
      <c r="A745" t="s">
        <v>907</v>
      </c>
      <c r="B745">
        <v>60</v>
      </c>
      <c r="C745">
        <v>42.5</v>
      </c>
      <c r="D745">
        <v>9</v>
      </c>
      <c r="E745">
        <v>1.5</v>
      </c>
      <c r="F745" t="s">
        <v>157</v>
      </c>
      <c r="G745">
        <v>1</v>
      </c>
      <c r="H745">
        <v>0</v>
      </c>
      <c r="I745">
        <v>1</v>
      </c>
      <c r="J745">
        <v>0</v>
      </c>
      <c r="N745">
        <v>0.5</v>
      </c>
      <c r="O745">
        <v>0.38</v>
      </c>
      <c r="P745">
        <v>3.5</v>
      </c>
      <c r="Q745">
        <v>-4.5</v>
      </c>
      <c r="R745">
        <v>3</v>
      </c>
      <c r="S745">
        <v>4</v>
      </c>
      <c r="T745">
        <v>0.5</v>
      </c>
      <c r="U745">
        <v>0</v>
      </c>
      <c r="V745">
        <v>0</v>
      </c>
      <c r="W745">
        <v>0</v>
      </c>
      <c r="X745">
        <v>0</v>
      </c>
      <c r="Y745">
        <v>0.5</v>
      </c>
      <c r="Z745">
        <v>0.5</v>
      </c>
    </row>
    <row r="746" spans="1:34">
      <c r="A746" t="s">
        <v>908</v>
      </c>
      <c r="B746">
        <v>60</v>
      </c>
      <c r="C746">
        <v>5.6875</v>
      </c>
      <c r="D746">
        <v>4.5</v>
      </c>
      <c r="E746">
        <v>1</v>
      </c>
      <c r="F746" t="s">
        <v>157</v>
      </c>
      <c r="G746">
        <v>1</v>
      </c>
      <c r="H746">
        <v>0</v>
      </c>
      <c r="I746">
        <v>1</v>
      </c>
      <c r="J746">
        <v>1</v>
      </c>
      <c r="N746">
        <v>0.5</v>
      </c>
      <c r="O746">
        <v>0.38</v>
      </c>
      <c r="P746">
        <v>3.5</v>
      </c>
      <c r="Q746">
        <v>0</v>
      </c>
      <c r="R746">
        <v>3.5</v>
      </c>
      <c r="S746">
        <v>4</v>
      </c>
      <c r="T746">
        <v>0.5</v>
      </c>
      <c r="U746">
        <v>0</v>
      </c>
      <c r="V746">
        <v>0</v>
      </c>
      <c r="W746">
        <v>0</v>
      </c>
      <c r="X746">
        <v>0</v>
      </c>
      <c r="Y746">
        <v>0.5</v>
      </c>
      <c r="Z746">
        <v>0.5</v>
      </c>
    </row>
    <row r="747" spans="1:34">
      <c r="A747" t="s">
        <v>909</v>
      </c>
      <c r="B747">
        <v>60</v>
      </c>
      <c r="C747">
        <v>16</v>
      </c>
      <c r="D747">
        <v>3</v>
      </c>
      <c r="E747">
        <v>6.9375</v>
      </c>
      <c r="F747" t="s">
        <v>157</v>
      </c>
      <c r="G747">
        <v>1</v>
      </c>
      <c r="H747">
        <v>1</v>
      </c>
      <c r="I747">
        <v>0</v>
      </c>
      <c r="N747">
        <v>0.5</v>
      </c>
      <c r="O747">
        <v>0.38</v>
      </c>
      <c r="P747">
        <v>3.5</v>
      </c>
      <c r="Q747">
        <v>1.5</v>
      </c>
      <c r="R747">
        <v>0</v>
      </c>
      <c r="S747">
        <v>4</v>
      </c>
      <c r="T747">
        <v>0.5</v>
      </c>
      <c r="U747">
        <v>1</v>
      </c>
      <c r="V747">
        <v>0</v>
      </c>
      <c r="W747">
        <v>0</v>
      </c>
      <c r="X747">
        <v>0</v>
      </c>
      <c r="Y747">
        <v>0</v>
      </c>
      <c r="Z747">
        <v>0.5</v>
      </c>
    </row>
    <row r="748" spans="1:34">
      <c r="A748" t="s">
        <v>910</v>
      </c>
      <c r="B748">
        <v>60</v>
      </c>
      <c r="C748">
        <v>54.25</v>
      </c>
      <c r="D748">
        <v>4.5</v>
      </c>
      <c r="E748">
        <v>1</v>
      </c>
      <c r="F748" t="s">
        <v>157</v>
      </c>
      <c r="G748">
        <v>1</v>
      </c>
      <c r="H748">
        <v>1</v>
      </c>
      <c r="I748">
        <v>1</v>
      </c>
      <c r="J748">
        <v>0</v>
      </c>
      <c r="K748">
        <v>12</v>
      </c>
      <c r="L748" t="s">
        <v>145</v>
      </c>
      <c r="N748">
        <v>0.5</v>
      </c>
      <c r="O748">
        <v>0.38</v>
      </c>
      <c r="P748">
        <v>3.5</v>
      </c>
      <c r="Q748">
        <v>0</v>
      </c>
      <c r="R748">
        <v>3.5</v>
      </c>
      <c r="S748">
        <v>4</v>
      </c>
      <c r="T748">
        <v>0.5</v>
      </c>
      <c r="U748">
        <v>0</v>
      </c>
      <c r="V748">
        <v>0</v>
      </c>
      <c r="W748">
        <v>0</v>
      </c>
      <c r="X748">
        <v>0</v>
      </c>
      <c r="Y748">
        <v>0.5</v>
      </c>
      <c r="Z748">
        <v>0.5</v>
      </c>
      <c r="AA748">
        <v>15.5</v>
      </c>
      <c r="AB748">
        <v>28.875</v>
      </c>
      <c r="AC748">
        <v>14</v>
      </c>
      <c r="AD748">
        <v>25.63</v>
      </c>
    </row>
    <row r="749" spans="1:34">
      <c r="A749" t="s">
        <v>911</v>
      </c>
      <c r="B749">
        <v>60</v>
      </c>
      <c r="C749">
        <v>53.9375</v>
      </c>
      <c r="D749">
        <v>9</v>
      </c>
      <c r="E749">
        <v>1</v>
      </c>
      <c r="F749" t="s">
        <v>157</v>
      </c>
      <c r="G749">
        <v>1</v>
      </c>
      <c r="H749">
        <v>1</v>
      </c>
      <c r="I749">
        <v>1</v>
      </c>
      <c r="J749">
        <v>0</v>
      </c>
      <c r="K749">
        <v>24</v>
      </c>
      <c r="L749" t="s">
        <v>120</v>
      </c>
      <c r="N749">
        <v>0.5</v>
      </c>
      <c r="O749">
        <v>0.38</v>
      </c>
      <c r="P749">
        <v>3.5</v>
      </c>
      <c r="Q749">
        <v>-4.5</v>
      </c>
      <c r="R749">
        <v>3.5</v>
      </c>
      <c r="S749">
        <v>4</v>
      </c>
      <c r="T749">
        <v>0.5</v>
      </c>
      <c r="U749">
        <v>0</v>
      </c>
      <c r="V749">
        <v>0</v>
      </c>
      <c r="W749">
        <v>0</v>
      </c>
      <c r="X749">
        <v>0</v>
      </c>
      <c r="Y749">
        <v>0.5</v>
      </c>
      <c r="Z749">
        <v>0.5</v>
      </c>
      <c r="AA749">
        <v>11.5</v>
      </c>
      <c r="AB749">
        <v>10.875</v>
      </c>
      <c r="AC749">
        <v>4.9400000000000004</v>
      </c>
      <c r="AD749">
        <v>9</v>
      </c>
    </row>
    <row r="750" spans="1:34">
      <c r="A750" t="s">
        <v>912</v>
      </c>
      <c r="B750">
        <v>60</v>
      </c>
      <c r="C750">
        <v>53.125</v>
      </c>
      <c r="D750">
        <v>1.8125</v>
      </c>
      <c r="E750">
        <v>1</v>
      </c>
      <c r="F750" t="s">
        <v>157</v>
      </c>
      <c r="G750">
        <v>1</v>
      </c>
      <c r="H750">
        <v>1</v>
      </c>
      <c r="I750">
        <v>1</v>
      </c>
      <c r="J750">
        <v>0</v>
      </c>
      <c r="N750">
        <v>0.5</v>
      </c>
      <c r="O750">
        <v>0.38</v>
      </c>
      <c r="P750">
        <v>3.5</v>
      </c>
      <c r="Q750">
        <v>2.6875</v>
      </c>
      <c r="R750">
        <v>3.5</v>
      </c>
      <c r="S750">
        <v>4</v>
      </c>
      <c r="T750">
        <v>0.5</v>
      </c>
      <c r="U750">
        <v>1</v>
      </c>
      <c r="V750">
        <v>1</v>
      </c>
      <c r="W750">
        <v>0</v>
      </c>
      <c r="X750">
        <v>0</v>
      </c>
      <c r="Y750">
        <v>0</v>
      </c>
      <c r="Z750">
        <v>0</v>
      </c>
    </row>
    <row r="751" spans="1:34">
      <c r="A751" t="s">
        <v>913</v>
      </c>
      <c r="B751">
        <v>60</v>
      </c>
      <c r="C751">
        <v>42.3125</v>
      </c>
      <c r="D751">
        <v>1.5625</v>
      </c>
      <c r="E751">
        <v>4.9375</v>
      </c>
      <c r="F751" t="s">
        <v>157</v>
      </c>
      <c r="G751">
        <v>1</v>
      </c>
      <c r="H751">
        <v>1</v>
      </c>
      <c r="I751">
        <v>1</v>
      </c>
      <c r="J751">
        <v>1</v>
      </c>
      <c r="N751">
        <v>0.5</v>
      </c>
      <c r="O751">
        <v>0.38</v>
      </c>
      <c r="P751">
        <v>3.5</v>
      </c>
      <c r="Q751">
        <v>2.9375</v>
      </c>
      <c r="R751">
        <v>0</v>
      </c>
      <c r="S751">
        <v>4</v>
      </c>
      <c r="T751">
        <v>0.5</v>
      </c>
      <c r="U751">
        <v>1</v>
      </c>
      <c r="V751">
        <v>1</v>
      </c>
      <c r="W751">
        <v>0</v>
      </c>
      <c r="X751">
        <v>0</v>
      </c>
      <c r="Y751">
        <v>0</v>
      </c>
      <c r="Z751">
        <v>0</v>
      </c>
    </row>
    <row r="752" spans="1:34">
      <c r="A752" t="s">
        <v>914</v>
      </c>
      <c r="B752">
        <v>96</v>
      </c>
      <c r="C752">
        <v>77.1875</v>
      </c>
      <c r="D752">
        <v>12</v>
      </c>
      <c r="E752">
        <v>1.5</v>
      </c>
      <c r="F752" t="s">
        <v>21</v>
      </c>
      <c r="G752">
        <v>0</v>
      </c>
      <c r="I752">
        <v>0</v>
      </c>
      <c r="L752" t="s">
        <v>148</v>
      </c>
      <c r="N752">
        <v>0.5</v>
      </c>
      <c r="O752">
        <v>0.38</v>
      </c>
      <c r="P752">
        <v>3.5</v>
      </c>
      <c r="Q752">
        <v>-7.5</v>
      </c>
      <c r="R752">
        <v>3</v>
      </c>
      <c r="S752">
        <v>4</v>
      </c>
      <c r="T752">
        <v>0.5</v>
      </c>
      <c r="U752">
        <v>0</v>
      </c>
      <c r="V752">
        <v>0</v>
      </c>
      <c r="W752">
        <v>0</v>
      </c>
      <c r="X752">
        <v>0</v>
      </c>
      <c r="Y752">
        <v>0.5</v>
      </c>
      <c r="Z752">
        <v>0.5</v>
      </c>
      <c r="AA752">
        <v>15.5</v>
      </c>
      <c r="AB752">
        <v>28.875</v>
      </c>
      <c r="AC752">
        <v>21</v>
      </c>
      <c r="AD752">
        <v>6</v>
      </c>
    </row>
    <row r="753" spans="1:30">
      <c r="A753" t="s">
        <v>915</v>
      </c>
      <c r="B753">
        <v>47.625</v>
      </c>
      <c r="C753">
        <v>78.625</v>
      </c>
      <c r="D753">
        <v>5.875</v>
      </c>
      <c r="E753">
        <v>1</v>
      </c>
      <c r="F753" t="s">
        <v>21</v>
      </c>
      <c r="G753">
        <v>0</v>
      </c>
      <c r="I753">
        <v>1</v>
      </c>
      <c r="J753">
        <v>0</v>
      </c>
      <c r="K753">
        <v>12</v>
      </c>
      <c r="L753" t="s">
        <v>145</v>
      </c>
      <c r="N753">
        <v>0.5</v>
      </c>
      <c r="O753">
        <v>0.38</v>
      </c>
      <c r="P753">
        <v>3.5</v>
      </c>
      <c r="Q753">
        <v>-1.375</v>
      </c>
      <c r="R753">
        <v>3.5</v>
      </c>
      <c r="S753">
        <v>4</v>
      </c>
      <c r="T753">
        <v>0.5</v>
      </c>
      <c r="U753">
        <v>0</v>
      </c>
      <c r="V753">
        <v>0</v>
      </c>
      <c r="W753">
        <v>0</v>
      </c>
      <c r="X753">
        <v>0</v>
      </c>
      <c r="Y753">
        <v>0.5</v>
      </c>
      <c r="Z753">
        <v>0.5</v>
      </c>
      <c r="AA753">
        <v>15.5</v>
      </c>
      <c r="AB753">
        <v>28.875</v>
      </c>
      <c r="AC753">
        <v>14</v>
      </c>
      <c r="AD753">
        <v>24.254999999999999</v>
      </c>
    </row>
    <row r="754" spans="1:30">
      <c r="A754" t="s">
        <v>916</v>
      </c>
      <c r="B754">
        <v>96</v>
      </c>
      <c r="C754">
        <v>71.625</v>
      </c>
      <c r="D754">
        <v>9</v>
      </c>
      <c r="E754">
        <v>2.8125</v>
      </c>
      <c r="F754" t="s">
        <v>21</v>
      </c>
      <c r="G754">
        <v>0</v>
      </c>
      <c r="I754">
        <v>1</v>
      </c>
      <c r="J754">
        <v>0</v>
      </c>
      <c r="K754">
        <v>24</v>
      </c>
      <c r="L754" t="s">
        <v>120</v>
      </c>
      <c r="N754">
        <v>0.5</v>
      </c>
      <c r="O754">
        <v>0.38</v>
      </c>
      <c r="P754">
        <v>3.5</v>
      </c>
      <c r="Q754">
        <v>-4.5</v>
      </c>
      <c r="R754">
        <v>1.6875</v>
      </c>
      <c r="S754">
        <v>4</v>
      </c>
      <c r="T754">
        <v>0.5</v>
      </c>
      <c r="U754">
        <v>0</v>
      </c>
      <c r="V754">
        <v>0</v>
      </c>
      <c r="W754">
        <v>0</v>
      </c>
      <c r="X754">
        <v>0</v>
      </c>
      <c r="Y754">
        <v>0.5</v>
      </c>
      <c r="Z754">
        <v>0.5</v>
      </c>
      <c r="AA754">
        <v>11.5</v>
      </c>
      <c r="AB754">
        <v>10.875</v>
      </c>
      <c r="AC754">
        <v>4.9400000000000004</v>
      </c>
      <c r="AD754">
        <v>9</v>
      </c>
    </row>
    <row r="755" spans="1:30">
      <c r="A755" t="s">
        <v>917</v>
      </c>
      <c r="B755">
        <v>47.75</v>
      </c>
      <c r="C755">
        <v>79.4375</v>
      </c>
      <c r="D755">
        <v>12</v>
      </c>
      <c r="E755">
        <v>1</v>
      </c>
      <c r="F755" t="s">
        <v>21</v>
      </c>
      <c r="G755">
        <v>0</v>
      </c>
      <c r="I755">
        <v>1</v>
      </c>
      <c r="J755">
        <v>0</v>
      </c>
      <c r="N755">
        <v>0.5</v>
      </c>
      <c r="O755">
        <v>0.38</v>
      </c>
      <c r="P755">
        <v>3.5</v>
      </c>
      <c r="Q755">
        <v>-7.5</v>
      </c>
      <c r="R755">
        <v>3.5</v>
      </c>
      <c r="S755">
        <v>4</v>
      </c>
      <c r="T755">
        <v>0.5</v>
      </c>
      <c r="U755">
        <v>0</v>
      </c>
      <c r="V755">
        <v>0</v>
      </c>
      <c r="W755">
        <v>0</v>
      </c>
      <c r="X755">
        <v>0</v>
      </c>
      <c r="Y755">
        <v>0.5</v>
      </c>
      <c r="Z755">
        <v>0.5</v>
      </c>
    </row>
    <row r="756" spans="1:30">
      <c r="A756" t="s">
        <v>918</v>
      </c>
      <c r="B756">
        <v>96</v>
      </c>
      <c r="C756">
        <v>43.5625</v>
      </c>
      <c r="D756">
        <v>12</v>
      </c>
      <c r="E756">
        <v>1.4375</v>
      </c>
      <c r="F756" t="s">
        <v>21</v>
      </c>
      <c r="G756">
        <v>0</v>
      </c>
      <c r="I756">
        <v>1</v>
      </c>
      <c r="J756">
        <v>1</v>
      </c>
      <c r="N756">
        <v>0.5</v>
      </c>
      <c r="O756">
        <v>0.38</v>
      </c>
      <c r="P756">
        <v>3.5</v>
      </c>
      <c r="Q756">
        <v>-7.5</v>
      </c>
      <c r="R756">
        <v>3.0625</v>
      </c>
      <c r="S756">
        <v>4</v>
      </c>
      <c r="T756">
        <v>0.5</v>
      </c>
      <c r="U756">
        <v>0</v>
      </c>
      <c r="V756">
        <v>0</v>
      </c>
      <c r="W756">
        <v>0</v>
      </c>
      <c r="X756">
        <v>1</v>
      </c>
      <c r="Y756">
        <v>0.5</v>
      </c>
      <c r="Z756">
        <v>0.5</v>
      </c>
    </row>
    <row r="757" spans="1:30">
      <c r="A757" t="s">
        <v>919</v>
      </c>
      <c r="B757">
        <v>49.6875</v>
      </c>
      <c r="C757">
        <v>70.875</v>
      </c>
      <c r="D757">
        <v>9</v>
      </c>
      <c r="E757">
        <v>1</v>
      </c>
      <c r="F757" t="s">
        <v>21</v>
      </c>
      <c r="G757">
        <v>1</v>
      </c>
      <c r="H757">
        <v>0</v>
      </c>
      <c r="I757">
        <v>0</v>
      </c>
      <c r="L757" t="s">
        <v>145</v>
      </c>
      <c r="N757">
        <v>0.5</v>
      </c>
      <c r="O757">
        <v>0.38</v>
      </c>
      <c r="P757">
        <v>3.5</v>
      </c>
      <c r="Q757">
        <v>-4.5</v>
      </c>
      <c r="R757">
        <v>3.5</v>
      </c>
      <c r="S757">
        <v>4</v>
      </c>
      <c r="T757">
        <v>0.5</v>
      </c>
      <c r="U757">
        <v>0</v>
      </c>
      <c r="V757">
        <v>0</v>
      </c>
      <c r="W757">
        <v>0</v>
      </c>
      <c r="X757">
        <v>0</v>
      </c>
      <c r="Y757">
        <v>0.5</v>
      </c>
      <c r="Z757">
        <v>0.5</v>
      </c>
      <c r="AA757">
        <v>15.5</v>
      </c>
      <c r="AB757">
        <v>28.875</v>
      </c>
      <c r="AC757">
        <v>26</v>
      </c>
      <c r="AD757">
        <v>21.13</v>
      </c>
    </row>
    <row r="758" spans="1:30">
      <c r="A758" t="s">
        <v>920</v>
      </c>
      <c r="B758">
        <v>96</v>
      </c>
      <c r="C758">
        <v>49.25</v>
      </c>
      <c r="D758">
        <v>12</v>
      </c>
      <c r="E758">
        <v>4.125</v>
      </c>
      <c r="F758" t="s">
        <v>21</v>
      </c>
      <c r="G758">
        <v>1</v>
      </c>
      <c r="H758">
        <v>0</v>
      </c>
      <c r="I758">
        <v>1</v>
      </c>
      <c r="J758">
        <v>0</v>
      </c>
      <c r="K758">
        <v>12</v>
      </c>
      <c r="L758" t="s">
        <v>151</v>
      </c>
      <c r="N758">
        <v>0.5</v>
      </c>
      <c r="O758">
        <v>0.38</v>
      </c>
      <c r="P758">
        <v>3.5</v>
      </c>
      <c r="Q758">
        <v>-7.5</v>
      </c>
      <c r="R758">
        <v>0.375</v>
      </c>
      <c r="S758">
        <v>4</v>
      </c>
      <c r="T758">
        <v>0.5</v>
      </c>
      <c r="U758">
        <v>0</v>
      </c>
      <c r="V758">
        <v>0</v>
      </c>
      <c r="W758">
        <v>0</v>
      </c>
      <c r="X758">
        <v>0</v>
      </c>
      <c r="Y758">
        <v>0.5</v>
      </c>
      <c r="Z758">
        <v>0.5</v>
      </c>
      <c r="AA758">
        <v>15.5</v>
      </c>
      <c r="AB758">
        <v>28.875</v>
      </c>
      <c r="AC758">
        <v>9</v>
      </c>
      <c r="AD758">
        <v>6</v>
      </c>
    </row>
    <row r="759" spans="1:30">
      <c r="A759" t="s">
        <v>921</v>
      </c>
      <c r="B759">
        <v>68.0625</v>
      </c>
      <c r="C759">
        <v>72.1875</v>
      </c>
      <c r="D759">
        <v>1.9375</v>
      </c>
      <c r="E759">
        <v>1.875</v>
      </c>
      <c r="F759" t="s">
        <v>21</v>
      </c>
      <c r="G759">
        <v>1</v>
      </c>
      <c r="H759">
        <v>0</v>
      </c>
      <c r="I759">
        <v>1</v>
      </c>
      <c r="J759">
        <v>0</v>
      </c>
      <c r="K759">
        <v>24</v>
      </c>
      <c r="L759" t="s">
        <v>120</v>
      </c>
      <c r="N759">
        <v>0.5</v>
      </c>
      <c r="O759">
        <v>0.38</v>
      </c>
      <c r="P759">
        <v>3.5</v>
      </c>
      <c r="Q759">
        <v>2.5625</v>
      </c>
      <c r="R759">
        <v>2.625</v>
      </c>
      <c r="S759">
        <v>4</v>
      </c>
      <c r="T759">
        <v>0.5</v>
      </c>
      <c r="U759">
        <v>1</v>
      </c>
      <c r="V759">
        <v>1</v>
      </c>
      <c r="W759">
        <v>0</v>
      </c>
      <c r="X759">
        <v>0</v>
      </c>
      <c r="Y759">
        <v>0</v>
      </c>
      <c r="Z759">
        <v>0</v>
      </c>
      <c r="AA759">
        <v>11.5</v>
      </c>
      <c r="AB759">
        <v>10.875</v>
      </c>
      <c r="AC759">
        <v>4.9400000000000004</v>
      </c>
      <c r="AD759">
        <v>16.0625</v>
      </c>
    </row>
    <row r="760" spans="1:30">
      <c r="A760" t="s">
        <v>922</v>
      </c>
      <c r="B760">
        <v>96</v>
      </c>
      <c r="C760">
        <v>51</v>
      </c>
      <c r="D760">
        <v>9</v>
      </c>
      <c r="E760">
        <v>5.0625</v>
      </c>
      <c r="F760" t="s">
        <v>21</v>
      </c>
      <c r="G760">
        <v>1</v>
      </c>
      <c r="H760">
        <v>0</v>
      </c>
      <c r="I760">
        <v>1</v>
      </c>
      <c r="J760">
        <v>0</v>
      </c>
      <c r="N760">
        <v>0.5</v>
      </c>
      <c r="O760">
        <v>0.38</v>
      </c>
      <c r="P760">
        <v>3.5</v>
      </c>
      <c r="Q760">
        <v>-4.5</v>
      </c>
      <c r="R760">
        <v>0</v>
      </c>
      <c r="S760">
        <v>4</v>
      </c>
      <c r="T760">
        <v>0.5</v>
      </c>
      <c r="U760">
        <v>0</v>
      </c>
      <c r="V760">
        <v>0</v>
      </c>
      <c r="W760">
        <v>0</v>
      </c>
      <c r="X760">
        <v>0</v>
      </c>
      <c r="Y760">
        <v>0.5</v>
      </c>
      <c r="Z760">
        <v>0.5</v>
      </c>
    </row>
    <row r="761" spans="1:30">
      <c r="A761" t="s">
        <v>923</v>
      </c>
      <c r="B761">
        <v>96</v>
      </c>
      <c r="C761">
        <v>61.625</v>
      </c>
      <c r="D761">
        <v>9</v>
      </c>
      <c r="E761">
        <v>1</v>
      </c>
      <c r="F761" t="s">
        <v>21</v>
      </c>
      <c r="G761">
        <v>1</v>
      </c>
      <c r="H761">
        <v>0</v>
      </c>
      <c r="I761">
        <v>1</v>
      </c>
      <c r="J761">
        <v>1</v>
      </c>
      <c r="N761">
        <v>0.5</v>
      </c>
      <c r="O761">
        <v>0.38</v>
      </c>
      <c r="P761">
        <v>3.5</v>
      </c>
      <c r="Q761">
        <v>-4.5</v>
      </c>
      <c r="R761">
        <v>3.5</v>
      </c>
      <c r="S761">
        <v>4</v>
      </c>
      <c r="T761">
        <v>0.5</v>
      </c>
      <c r="U761">
        <v>0</v>
      </c>
      <c r="V761">
        <v>0</v>
      </c>
      <c r="W761">
        <v>0</v>
      </c>
      <c r="X761">
        <v>1</v>
      </c>
      <c r="Y761">
        <v>0.5</v>
      </c>
      <c r="Z761">
        <v>0.5</v>
      </c>
    </row>
    <row r="762" spans="1:30">
      <c r="A762" t="s">
        <v>924</v>
      </c>
      <c r="B762">
        <v>96</v>
      </c>
      <c r="C762">
        <v>57.1875</v>
      </c>
      <c r="D762">
        <v>12</v>
      </c>
      <c r="E762">
        <v>1.6875</v>
      </c>
      <c r="F762" t="s">
        <v>21</v>
      </c>
      <c r="G762">
        <v>1</v>
      </c>
      <c r="H762">
        <v>1</v>
      </c>
      <c r="I762">
        <v>0</v>
      </c>
      <c r="L762" t="s">
        <v>121</v>
      </c>
      <c r="N762">
        <v>0.5</v>
      </c>
      <c r="O762">
        <v>0.38</v>
      </c>
      <c r="P762">
        <v>3.5</v>
      </c>
      <c r="Q762">
        <v>-7.5</v>
      </c>
      <c r="R762">
        <v>2.8125</v>
      </c>
      <c r="S762">
        <v>4</v>
      </c>
      <c r="T762">
        <v>0.5</v>
      </c>
      <c r="U762">
        <v>0</v>
      </c>
      <c r="V762">
        <v>0</v>
      </c>
      <c r="W762">
        <v>1</v>
      </c>
      <c r="X762">
        <v>0</v>
      </c>
      <c r="Y762">
        <v>0.5</v>
      </c>
      <c r="Z762">
        <v>0.5</v>
      </c>
      <c r="AA762">
        <v>11</v>
      </c>
      <c r="AB762">
        <v>9.375</v>
      </c>
      <c r="AC762">
        <v>14.5</v>
      </c>
      <c r="AD762">
        <v>6.75</v>
      </c>
    </row>
    <row r="763" spans="1:30">
      <c r="A763" t="s">
        <v>925</v>
      </c>
      <c r="B763">
        <v>104.6875</v>
      </c>
      <c r="C763">
        <v>58.25</v>
      </c>
      <c r="D763">
        <v>12</v>
      </c>
      <c r="E763">
        <v>2.4375</v>
      </c>
      <c r="F763" t="s">
        <v>21</v>
      </c>
      <c r="G763">
        <v>1</v>
      </c>
      <c r="H763">
        <v>1</v>
      </c>
      <c r="I763">
        <v>1</v>
      </c>
      <c r="J763">
        <v>0</v>
      </c>
      <c r="K763">
        <v>12</v>
      </c>
      <c r="L763" t="s">
        <v>145</v>
      </c>
      <c r="N763">
        <v>0.5</v>
      </c>
      <c r="O763">
        <v>0.38</v>
      </c>
      <c r="P763">
        <v>3.5</v>
      </c>
      <c r="Q763">
        <v>-7.5</v>
      </c>
      <c r="R763">
        <v>2.0625</v>
      </c>
      <c r="S763">
        <v>4</v>
      </c>
      <c r="T763">
        <v>0.5</v>
      </c>
      <c r="U763">
        <v>0</v>
      </c>
      <c r="V763">
        <v>0</v>
      </c>
      <c r="W763">
        <v>1</v>
      </c>
      <c r="X763">
        <v>0</v>
      </c>
      <c r="Y763">
        <v>0.5</v>
      </c>
      <c r="Z763">
        <v>0.5</v>
      </c>
      <c r="AA763">
        <v>15.5</v>
      </c>
      <c r="AB763">
        <v>28.875</v>
      </c>
      <c r="AC763">
        <v>14</v>
      </c>
      <c r="AD763">
        <v>18.13</v>
      </c>
    </row>
    <row r="764" spans="1:30">
      <c r="A764" t="s">
        <v>926</v>
      </c>
      <c r="B764">
        <v>88.5625</v>
      </c>
      <c r="C764">
        <v>69</v>
      </c>
      <c r="D764">
        <v>4.5</v>
      </c>
      <c r="E764">
        <v>5.875</v>
      </c>
      <c r="F764" t="s">
        <v>21</v>
      </c>
      <c r="G764">
        <v>1</v>
      </c>
      <c r="H764">
        <v>1</v>
      </c>
      <c r="I764">
        <v>1</v>
      </c>
      <c r="J764">
        <v>0</v>
      </c>
      <c r="K764">
        <v>24</v>
      </c>
      <c r="L764" t="s">
        <v>120</v>
      </c>
      <c r="N764">
        <v>0.5</v>
      </c>
      <c r="O764">
        <v>0.38</v>
      </c>
      <c r="P764">
        <v>3.5</v>
      </c>
      <c r="Q764">
        <v>0</v>
      </c>
      <c r="R764">
        <v>0</v>
      </c>
      <c r="S764">
        <v>4</v>
      </c>
      <c r="T764">
        <v>0.5</v>
      </c>
      <c r="U764">
        <v>0</v>
      </c>
      <c r="V764">
        <v>0</v>
      </c>
      <c r="W764">
        <v>0</v>
      </c>
      <c r="X764">
        <v>0</v>
      </c>
      <c r="Y764">
        <v>0.5</v>
      </c>
      <c r="Z764">
        <v>0.5</v>
      </c>
      <c r="AA764">
        <v>11.5</v>
      </c>
      <c r="AB764">
        <v>10.875</v>
      </c>
      <c r="AC764">
        <v>4.9400000000000004</v>
      </c>
      <c r="AD764">
        <v>13.5</v>
      </c>
    </row>
    <row r="765" spans="1:30">
      <c r="A765" t="s">
        <v>927</v>
      </c>
      <c r="B765">
        <v>96</v>
      </c>
      <c r="C765">
        <v>69.4375</v>
      </c>
      <c r="D765">
        <v>9</v>
      </c>
      <c r="E765">
        <v>4.6875</v>
      </c>
      <c r="F765" t="s">
        <v>21</v>
      </c>
      <c r="G765">
        <v>1</v>
      </c>
      <c r="H765">
        <v>1</v>
      </c>
      <c r="I765">
        <v>1</v>
      </c>
      <c r="J765">
        <v>0</v>
      </c>
      <c r="N765">
        <v>0.5</v>
      </c>
      <c r="O765">
        <v>0.38</v>
      </c>
      <c r="P765">
        <v>3.5</v>
      </c>
      <c r="Q765">
        <v>-4.5</v>
      </c>
      <c r="R765">
        <v>0</v>
      </c>
      <c r="S765">
        <v>4</v>
      </c>
      <c r="T765">
        <v>0.5</v>
      </c>
      <c r="U765">
        <v>0</v>
      </c>
      <c r="V765">
        <v>0</v>
      </c>
      <c r="W765">
        <v>0</v>
      </c>
      <c r="X765">
        <v>0</v>
      </c>
      <c r="Y765">
        <v>0.5</v>
      </c>
      <c r="Z765">
        <v>0.5</v>
      </c>
    </row>
    <row r="766" spans="1:30">
      <c r="A766" t="s">
        <v>928</v>
      </c>
      <c r="B766">
        <v>96</v>
      </c>
      <c r="C766">
        <v>44.875</v>
      </c>
      <c r="D766">
        <v>9.125</v>
      </c>
      <c r="E766">
        <v>1</v>
      </c>
      <c r="F766" t="s">
        <v>21</v>
      </c>
      <c r="G766">
        <v>1</v>
      </c>
      <c r="H766">
        <v>1</v>
      </c>
      <c r="I766">
        <v>1</v>
      </c>
      <c r="J766">
        <v>1</v>
      </c>
      <c r="N766">
        <v>0.5</v>
      </c>
      <c r="O766">
        <v>0.38</v>
      </c>
      <c r="P766">
        <v>3.5</v>
      </c>
      <c r="Q766">
        <v>-4.625</v>
      </c>
      <c r="R766">
        <v>3.5</v>
      </c>
      <c r="S766">
        <v>4</v>
      </c>
      <c r="T766">
        <v>0.5</v>
      </c>
      <c r="U766">
        <v>0</v>
      </c>
      <c r="V766">
        <v>0</v>
      </c>
      <c r="W766">
        <v>1</v>
      </c>
      <c r="X766">
        <v>1</v>
      </c>
      <c r="Y766">
        <v>0.5</v>
      </c>
      <c r="Z766">
        <v>0.5</v>
      </c>
    </row>
    <row r="767" spans="1:30">
      <c r="A767" t="s">
        <v>929</v>
      </c>
      <c r="B767">
        <v>6.25</v>
      </c>
      <c r="C767">
        <v>50.25</v>
      </c>
      <c r="D767">
        <v>3.1875</v>
      </c>
      <c r="E767">
        <v>1</v>
      </c>
      <c r="F767" t="s">
        <v>156</v>
      </c>
      <c r="G767">
        <v>0</v>
      </c>
      <c r="I767">
        <v>0</v>
      </c>
      <c r="L767" t="s">
        <v>120</v>
      </c>
      <c r="N767">
        <v>0.5</v>
      </c>
      <c r="O767">
        <v>0.38</v>
      </c>
      <c r="P767">
        <v>3.5</v>
      </c>
      <c r="Q767">
        <v>1.3125</v>
      </c>
      <c r="R767">
        <v>3.5</v>
      </c>
      <c r="S767">
        <v>4</v>
      </c>
      <c r="T767">
        <v>0.5</v>
      </c>
      <c r="U767">
        <v>0</v>
      </c>
      <c r="V767">
        <v>0</v>
      </c>
      <c r="W767">
        <v>0</v>
      </c>
      <c r="X767">
        <v>0</v>
      </c>
      <c r="Y767">
        <v>0.5</v>
      </c>
      <c r="Z767">
        <v>0.5</v>
      </c>
    </row>
    <row r="768" spans="1:30">
      <c r="A768" t="s">
        <v>930</v>
      </c>
      <c r="B768">
        <v>27.625</v>
      </c>
      <c r="C768">
        <v>65.125</v>
      </c>
      <c r="D768">
        <v>1</v>
      </c>
      <c r="E768">
        <v>1.75</v>
      </c>
      <c r="F768" t="s">
        <v>156</v>
      </c>
      <c r="G768">
        <v>0</v>
      </c>
      <c r="I768">
        <v>1</v>
      </c>
      <c r="J768">
        <v>0</v>
      </c>
      <c r="K768">
        <v>12</v>
      </c>
      <c r="L768" t="s">
        <v>151</v>
      </c>
      <c r="N768">
        <v>0.5</v>
      </c>
      <c r="O768">
        <v>0.38</v>
      </c>
      <c r="P768">
        <v>3.5</v>
      </c>
      <c r="Q768">
        <v>3.5</v>
      </c>
      <c r="R768">
        <v>2.75</v>
      </c>
      <c r="S768">
        <v>4</v>
      </c>
      <c r="T768">
        <v>0.5</v>
      </c>
      <c r="U768">
        <v>0</v>
      </c>
      <c r="V768">
        <v>0</v>
      </c>
      <c r="W768">
        <v>0</v>
      </c>
      <c r="X768">
        <v>0</v>
      </c>
      <c r="Y768">
        <v>0.5</v>
      </c>
      <c r="Z768">
        <v>0.5</v>
      </c>
    </row>
    <row r="769" spans="1:30">
      <c r="A769" t="s">
        <v>931</v>
      </c>
      <c r="B769">
        <v>37.125</v>
      </c>
      <c r="C769">
        <v>39.75</v>
      </c>
      <c r="D769">
        <v>1</v>
      </c>
      <c r="E769">
        <v>6.6875</v>
      </c>
      <c r="F769" t="s">
        <v>156</v>
      </c>
      <c r="G769">
        <v>0</v>
      </c>
      <c r="I769">
        <v>1</v>
      </c>
      <c r="J769">
        <v>0</v>
      </c>
      <c r="K769">
        <v>24</v>
      </c>
      <c r="N769">
        <v>0.5</v>
      </c>
      <c r="O769">
        <v>0.38</v>
      </c>
      <c r="P769">
        <v>3.5</v>
      </c>
      <c r="Q769">
        <v>3.5</v>
      </c>
      <c r="R769">
        <v>0</v>
      </c>
      <c r="S769">
        <v>4</v>
      </c>
      <c r="T769">
        <v>0.5</v>
      </c>
      <c r="U769">
        <v>0</v>
      </c>
      <c r="V769">
        <v>0</v>
      </c>
      <c r="W769">
        <v>0</v>
      </c>
      <c r="X769">
        <v>0</v>
      </c>
      <c r="Y769">
        <v>0.5</v>
      </c>
      <c r="Z769">
        <v>0.5</v>
      </c>
    </row>
    <row r="770" spans="1:30">
      <c r="A770" t="s">
        <v>932</v>
      </c>
      <c r="B770">
        <v>22.3125</v>
      </c>
      <c r="C770">
        <v>65.5</v>
      </c>
      <c r="D770">
        <v>11.875</v>
      </c>
      <c r="E770">
        <v>4.625</v>
      </c>
      <c r="F770" t="s">
        <v>156</v>
      </c>
      <c r="G770">
        <v>0</v>
      </c>
      <c r="I770">
        <v>1</v>
      </c>
      <c r="J770">
        <v>0</v>
      </c>
      <c r="N770">
        <v>0.5</v>
      </c>
      <c r="O770">
        <v>0.38</v>
      </c>
      <c r="P770">
        <v>3.5</v>
      </c>
      <c r="Q770">
        <v>-7.375</v>
      </c>
      <c r="R770">
        <v>0</v>
      </c>
      <c r="S770">
        <v>4</v>
      </c>
      <c r="T770">
        <v>0.5</v>
      </c>
      <c r="U770">
        <v>0</v>
      </c>
      <c r="V770">
        <v>0</v>
      </c>
      <c r="W770">
        <v>0</v>
      </c>
      <c r="X770">
        <v>0</v>
      </c>
      <c r="Y770">
        <v>0.5</v>
      </c>
      <c r="Z770">
        <v>0.5</v>
      </c>
    </row>
    <row r="771" spans="1:30">
      <c r="A771" t="s">
        <v>933</v>
      </c>
      <c r="B771">
        <v>25.375</v>
      </c>
      <c r="C771">
        <v>52.3125</v>
      </c>
      <c r="D771">
        <v>12</v>
      </c>
      <c r="F771" t="s">
        <v>156</v>
      </c>
      <c r="G771">
        <v>0</v>
      </c>
      <c r="I771">
        <v>1</v>
      </c>
      <c r="J771">
        <v>1</v>
      </c>
      <c r="N771">
        <v>0.5</v>
      </c>
      <c r="O771">
        <v>0.38</v>
      </c>
      <c r="P771">
        <v>3.5</v>
      </c>
      <c r="Q771">
        <v>-7.5</v>
      </c>
      <c r="R771">
        <v>4.5</v>
      </c>
      <c r="S771">
        <v>4</v>
      </c>
      <c r="T771">
        <v>0.5</v>
      </c>
      <c r="U771">
        <v>0</v>
      </c>
      <c r="V771">
        <v>0</v>
      </c>
      <c r="W771">
        <v>0</v>
      </c>
      <c r="X771">
        <v>0</v>
      </c>
      <c r="Y771">
        <v>0.5</v>
      </c>
      <c r="Z771">
        <v>0.5</v>
      </c>
    </row>
    <row r="772" spans="1:30">
      <c r="A772" t="s">
        <v>934</v>
      </c>
      <c r="B772">
        <v>6.9375</v>
      </c>
      <c r="C772">
        <v>61.625</v>
      </c>
      <c r="D772">
        <v>9</v>
      </c>
      <c r="E772">
        <v>3.0625</v>
      </c>
      <c r="F772" t="s">
        <v>156</v>
      </c>
      <c r="G772">
        <v>1</v>
      </c>
      <c r="H772">
        <v>0</v>
      </c>
      <c r="I772">
        <v>0</v>
      </c>
      <c r="L772" t="s">
        <v>120</v>
      </c>
      <c r="N772">
        <v>0.5</v>
      </c>
      <c r="O772">
        <v>0.38</v>
      </c>
      <c r="P772">
        <v>3.5</v>
      </c>
      <c r="Q772">
        <v>-4.5</v>
      </c>
      <c r="R772">
        <v>1.4375</v>
      </c>
      <c r="S772">
        <v>4</v>
      </c>
      <c r="T772">
        <v>0.5</v>
      </c>
      <c r="U772">
        <v>0</v>
      </c>
      <c r="V772">
        <v>0</v>
      </c>
      <c r="W772">
        <v>0</v>
      </c>
      <c r="X772">
        <v>0</v>
      </c>
      <c r="Y772">
        <v>0.5</v>
      </c>
      <c r="Z772">
        <v>0.5</v>
      </c>
    </row>
    <row r="773" spans="1:30">
      <c r="A773" t="s">
        <v>935</v>
      </c>
      <c r="B773">
        <v>3.5625</v>
      </c>
      <c r="C773">
        <v>45.9375</v>
      </c>
      <c r="D773">
        <v>9</v>
      </c>
      <c r="E773">
        <v>6</v>
      </c>
      <c r="F773" t="s">
        <v>156</v>
      </c>
      <c r="G773">
        <v>1</v>
      </c>
      <c r="H773">
        <v>0</v>
      </c>
      <c r="I773">
        <v>1</v>
      </c>
      <c r="J773">
        <v>0</v>
      </c>
      <c r="K773">
        <v>12</v>
      </c>
      <c r="L773" t="s">
        <v>120</v>
      </c>
      <c r="N773">
        <v>0.5</v>
      </c>
      <c r="O773">
        <v>0.38</v>
      </c>
      <c r="P773">
        <v>3.5</v>
      </c>
      <c r="Q773">
        <v>-4.5</v>
      </c>
      <c r="R773">
        <v>0</v>
      </c>
      <c r="S773">
        <v>4</v>
      </c>
      <c r="T773">
        <v>0.5</v>
      </c>
      <c r="U773">
        <v>0</v>
      </c>
      <c r="V773">
        <v>0</v>
      </c>
      <c r="W773">
        <v>0</v>
      </c>
      <c r="X773">
        <v>0</v>
      </c>
      <c r="Y773">
        <v>0.5</v>
      </c>
      <c r="Z773">
        <v>0.5</v>
      </c>
    </row>
    <row r="774" spans="1:30">
      <c r="A774" t="s">
        <v>936</v>
      </c>
      <c r="B774">
        <v>6.75</v>
      </c>
      <c r="C774">
        <v>75</v>
      </c>
      <c r="D774">
        <v>4.5</v>
      </c>
      <c r="E774">
        <v>1</v>
      </c>
      <c r="F774" t="s">
        <v>156</v>
      </c>
      <c r="G774">
        <v>1</v>
      </c>
      <c r="H774">
        <v>0</v>
      </c>
      <c r="I774">
        <v>1</v>
      </c>
      <c r="J774">
        <v>0</v>
      </c>
      <c r="K774">
        <v>24</v>
      </c>
      <c r="L774" t="s">
        <v>149</v>
      </c>
      <c r="N774">
        <v>0.5</v>
      </c>
      <c r="O774">
        <v>0.38</v>
      </c>
      <c r="P774">
        <v>3.5</v>
      </c>
      <c r="Q774">
        <v>0</v>
      </c>
      <c r="R774">
        <v>3.5</v>
      </c>
      <c r="S774">
        <v>4</v>
      </c>
      <c r="T774">
        <v>0.5</v>
      </c>
      <c r="U774">
        <v>0</v>
      </c>
      <c r="V774">
        <v>0</v>
      </c>
      <c r="W774">
        <v>0</v>
      </c>
      <c r="X774">
        <v>0</v>
      </c>
      <c r="Y774">
        <v>0.5</v>
      </c>
      <c r="Z774">
        <v>0.5</v>
      </c>
    </row>
    <row r="775" spans="1:30">
      <c r="A775" t="s">
        <v>937</v>
      </c>
      <c r="B775">
        <v>28.6875</v>
      </c>
      <c r="C775">
        <v>61</v>
      </c>
      <c r="D775">
        <v>12</v>
      </c>
      <c r="E775">
        <v>1</v>
      </c>
      <c r="F775" t="s">
        <v>156</v>
      </c>
      <c r="G775">
        <v>1</v>
      </c>
      <c r="H775">
        <v>0</v>
      </c>
      <c r="I775">
        <v>1</v>
      </c>
      <c r="J775">
        <v>0</v>
      </c>
      <c r="N775">
        <v>0.5</v>
      </c>
      <c r="O775">
        <v>0.38</v>
      </c>
      <c r="P775">
        <v>3.5</v>
      </c>
      <c r="Q775">
        <v>-7.5</v>
      </c>
      <c r="R775">
        <v>3.5</v>
      </c>
      <c r="S775">
        <v>4</v>
      </c>
      <c r="T775">
        <v>0.5</v>
      </c>
      <c r="U775">
        <v>0</v>
      </c>
      <c r="V775">
        <v>0</v>
      </c>
      <c r="W775">
        <v>0</v>
      </c>
      <c r="X775">
        <v>0</v>
      </c>
      <c r="Y775">
        <v>0.5</v>
      </c>
      <c r="Z775">
        <v>0.5</v>
      </c>
    </row>
    <row r="776" spans="1:30">
      <c r="A776" t="s">
        <v>938</v>
      </c>
      <c r="B776">
        <v>12.75</v>
      </c>
      <c r="C776">
        <v>68.1875</v>
      </c>
      <c r="D776">
        <v>4.5</v>
      </c>
      <c r="E776">
        <v>8</v>
      </c>
      <c r="F776" t="s">
        <v>156</v>
      </c>
      <c r="G776">
        <v>1</v>
      </c>
      <c r="H776">
        <v>0</v>
      </c>
      <c r="I776">
        <v>1</v>
      </c>
      <c r="J776">
        <v>1</v>
      </c>
      <c r="N776">
        <v>0.5</v>
      </c>
      <c r="O776">
        <v>0.38</v>
      </c>
      <c r="P776">
        <v>3.5</v>
      </c>
      <c r="Q776">
        <v>0</v>
      </c>
      <c r="R776">
        <v>0</v>
      </c>
      <c r="S776">
        <v>4</v>
      </c>
      <c r="T776">
        <v>0.5</v>
      </c>
      <c r="U776">
        <v>0</v>
      </c>
      <c r="V776">
        <v>0</v>
      </c>
      <c r="W776">
        <v>0</v>
      </c>
      <c r="X776">
        <v>0</v>
      </c>
      <c r="Y776">
        <v>0.5</v>
      </c>
      <c r="Z776">
        <v>0.5</v>
      </c>
    </row>
    <row r="777" spans="1:30">
      <c r="A777" t="s">
        <v>939</v>
      </c>
      <c r="B777">
        <v>20.5625</v>
      </c>
      <c r="C777">
        <v>50.9375</v>
      </c>
      <c r="D777">
        <v>3.1875</v>
      </c>
      <c r="E777">
        <v>3</v>
      </c>
      <c r="F777" t="s">
        <v>156</v>
      </c>
      <c r="G777">
        <v>1</v>
      </c>
      <c r="H777">
        <v>1</v>
      </c>
      <c r="I777">
        <v>0</v>
      </c>
      <c r="L777" t="s">
        <v>145</v>
      </c>
      <c r="N777">
        <v>0.5</v>
      </c>
      <c r="O777">
        <v>0.38</v>
      </c>
      <c r="P777">
        <v>3.5</v>
      </c>
      <c r="Q777">
        <v>1.3125</v>
      </c>
      <c r="R777">
        <v>1.5</v>
      </c>
      <c r="S777">
        <v>4</v>
      </c>
      <c r="T777">
        <v>0.5</v>
      </c>
      <c r="U777">
        <v>0</v>
      </c>
      <c r="V777">
        <v>0</v>
      </c>
      <c r="W777">
        <v>1</v>
      </c>
      <c r="X777">
        <v>0</v>
      </c>
      <c r="Y777">
        <v>0.5</v>
      </c>
      <c r="Z777">
        <v>0.5</v>
      </c>
    </row>
    <row r="778" spans="1:30">
      <c r="A778" t="s">
        <v>940</v>
      </c>
      <c r="B778">
        <v>46.5</v>
      </c>
      <c r="C778">
        <v>78.625</v>
      </c>
      <c r="D778">
        <v>12</v>
      </c>
      <c r="E778">
        <v>1</v>
      </c>
      <c r="F778" t="s">
        <v>156</v>
      </c>
      <c r="G778">
        <v>1</v>
      </c>
      <c r="H778">
        <v>1</v>
      </c>
      <c r="I778">
        <v>1</v>
      </c>
      <c r="J778">
        <v>0</v>
      </c>
      <c r="K778">
        <v>12</v>
      </c>
      <c r="L778" t="s">
        <v>35</v>
      </c>
      <c r="N778">
        <v>0.5</v>
      </c>
      <c r="O778">
        <v>0.38</v>
      </c>
      <c r="P778">
        <v>3.5</v>
      </c>
      <c r="Q778">
        <v>-7.5</v>
      </c>
      <c r="R778">
        <v>3.5</v>
      </c>
      <c r="S778">
        <v>4</v>
      </c>
      <c r="T778">
        <v>0.5</v>
      </c>
      <c r="U778">
        <v>0</v>
      </c>
      <c r="V778">
        <v>0</v>
      </c>
      <c r="W778">
        <v>1</v>
      </c>
      <c r="X778">
        <v>0</v>
      </c>
      <c r="Y778">
        <v>0.5</v>
      </c>
      <c r="Z778">
        <v>0.5</v>
      </c>
    </row>
    <row r="779" spans="1:30">
      <c r="A779" t="s">
        <v>941</v>
      </c>
      <c r="B779">
        <v>29.875</v>
      </c>
      <c r="C779">
        <v>77.6875</v>
      </c>
      <c r="D779">
        <v>12</v>
      </c>
      <c r="E779">
        <v>1</v>
      </c>
      <c r="F779" t="s">
        <v>156</v>
      </c>
      <c r="G779">
        <v>1</v>
      </c>
      <c r="H779">
        <v>1</v>
      </c>
      <c r="I779">
        <v>1</v>
      </c>
      <c r="J779">
        <v>0</v>
      </c>
      <c r="K779">
        <v>24</v>
      </c>
      <c r="L779" t="s">
        <v>151</v>
      </c>
      <c r="N779">
        <v>0.5</v>
      </c>
      <c r="O779">
        <v>0.38</v>
      </c>
      <c r="P779">
        <v>3.5</v>
      </c>
      <c r="Q779">
        <v>-7.5</v>
      </c>
      <c r="R779">
        <v>3.5</v>
      </c>
      <c r="S779">
        <v>4</v>
      </c>
      <c r="T779">
        <v>0.5</v>
      </c>
      <c r="U779">
        <v>0</v>
      </c>
      <c r="V779">
        <v>0</v>
      </c>
      <c r="W779">
        <v>1</v>
      </c>
      <c r="X779">
        <v>0</v>
      </c>
      <c r="Y779">
        <v>0.5</v>
      </c>
      <c r="Z779">
        <v>0.5</v>
      </c>
    </row>
    <row r="780" spans="1:30">
      <c r="A780" t="s">
        <v>942</v>
      </c>
      <c r="B780">
        <v>15.875</v>
      </c>
      <c r="C780">
        <v>69.9375</v>
      </c>
      <c r="D780">
        <v>1.875</v>
      </c>
      <c r="E780">
        <v>5.5</v>
      </c>
      <c r="F780" t="s">
        <v>156</v>
      </c>
      <c r="G780">
        <v>1</v>
      </c>
      <c r="H780">
        <v>1</v>
      </c>
      <c r="I780">
        <v>1</v>
      </c>
      <c r="J780">
        <v>0</v>
      </c>
      <c r="N780">
        <v>0.5</v>
      </c>
      <c r="O780">
        <v>0.38</v>
      </c>
      <c r="P780">
        <v>3.5</v>
      </c>
      <c r="Q780">
        <v>2.625</v>
      </c>
      <c r="R780">
        <v>0</v>
      </c>
      <c r="S780">
        <v>4</v>
      </c>
      <c r="T780">
        <v>0.5</v>
      </c>
      <c r="U780">
        <v>0</v>
      </c>
      <c r="V780">
        <v>0</v>
      </c>
      <c r="W780">
        <v>0</v>
      </c>
      <c r="X780">
        <v>0</v>
      </c>
      <c r="Y780">
        <v>0.5</v>
      </c>
      <c r="Z780">
        <v>0.5</v>
      </c>
    </row>
    <row r="781" spans="1:30">
      <c r="A781" t="s">
        <v>943</v>
      </c>
      <c r="B781">
        <v>11.6875</v>
      </c>
      <c r="C781">
        <v>52.3125</v>
      </c>
      <c r="D781">
        <v>4.5</v>
      </c>
      <c r="F781" t="s">
        <v>156</v>
      </c>
      <c r="G781">
        <v>1</v>
      </c>
      <c r="H781">
        <v>1</v>
      </c>
      <c r="I781">
        <v>1</v>
      </c>
      <c r="J781">
        <v>1</v>
      </c>
      <c r="N781">
        <v>0.5</v>
      </c>
      <c r="O781">
        <v>0.38</v>
      </c>
      <c r="P781">
        <v>3.5</v>
      </c>
      <c r="Q781">
        <v>0</v>
      </c>
      <c r="R781">
        <v>4.5</v>
      </c>
      <c r="S781">
        <v>4</v>
      </c>
      <c r="T781">
        <v>0.5</v>
      </c>
      <c r="U781">
        <v>0</v>
      </c>
      <c r="V781">
        <v>0</v>
      </c>
      <c r="W781">
        <v>0</v>
      </c>
      <c r="X781">
        <v>0</v>
      </c>
      <c r="Y781">
        <v>0.5</v>
      </c>
      <c r="Z781">
        <v>0.5</v>
      </c>
    </row>
    <row r="782" spans="1:30">
      <c r="A782" t="s">
        <v>944</v>
      </c>
      <c r="B782">
        <v>60</v>
      </c>
      <c r="C782">
        <v>63.4375</v>
      </c>
      <c r="D782">
        <v>9.25</v>
      </c>
      <c r="F782" t="s">
        <v>157</v>
      </c>
      <c r="G782">
        <v>0</v>
      </c>
      <c r="I782">
        <v>0</v>
      </c>
      <c r="L782" t="s">
        <v>121</v>
      </c>
      <c r="N782">
        <v>0.5</v>
      </c>
      <c r="O782">
        <v>0.38</v>
      </c>
      <c r="P782">
        <v>3.5</v>
      </c>
      <c r="Q782">
        <v>-4.75</v>
      </c>
      <c r="R782">
        <v>4.5</v>
      </c>
      <c r="S782">
        <v>4</v>
      </c>
      <c r="T782">
        <v>0.5</v>
      </c>
      <c r="U782">
        <v>0</v>
      </c>
      <c r="V782">
        <v>0</v>
      </c>
      <c r="W782">
        <v>0</v>
      </c>
      <c r="X782">
        <v>0</v>
      </c>
      <c r="Y782">
        <v>0.5</v>
      </c>
      <c r="Z782">
        <v>0.5</v>
      </c>
      <c r="AA782">
        <v>11</v>
      </c>
      <c r="AB782">
        <v>9.375</v>
      </c>
      <c r="AC782">
        <v>14.5</v>
      </c>
      <c r="AD782">
        <v>9.5</v>
      </c>
    </row>
    <row r="783" spans="1:30">
      <c r="A783" t="s">
        <v>945</v>
      </c>
      <c r="B783">
        <v>60</v>
      </c>
      <c r="C783">
        <v>78.25</v>
      </c>
      <c r="D783">
        <v>1</v>
      </c>
      <c r="E783">
        <v>6.0625</v>
      </c>
      <c r="F783" t="s">
        <v>157</v>
      </c>
      <c r="G783">
        <v>0</v>
      </c>
      <c r="I783">
        <v>1</v>
      </c>
      <c r="J783">
        <v>0</v>
      </c>
      <c r="K783">
        <v>12</v>
      </c>
      <c r="L783" t="s">
        <v>121</v>
      </c>
      <c r="N783">
        <v>0.5</v>
      </c>
      <c r="O783">
        <v>0.38</v>
      </c>
      <c r="P783">
        <v>3.5</v>
      </c>
      <c r="Q783">
        <v>3.5</v>
      </c>
      <c r="R783">
        <v>0</v>
      </c>
      <c r="S783">
        <v>4</v>
      </c>
      <c r="T783">
        <v>0.5</v>
      </c>
      <c r="U783">
        <v>0</v>
      </c>
      <c r="V783">
        <v>1</v>
      </c>
      <c r="W783">
        <v>0</v>
      </c>
      <c r="X783">
        <v>0</v>
      </c>
      <c r="Y783">
        <v>0.5</v>
      </c>
      <c r="Z783">
        <v>0</v>
      </c>
      <c r="AA783">
        <v>11</v>
      </c>
      <c r="AB783">
        <v>9.375</v>
      </c>
    </row>
    <row r="784" spans="1:30">
      <c r="A784" t="s">
        <v>946</v>
      </c>
      <c r="B784">
        <v>60</v>
      </c>
      <c r="C784">
        <v>66.3125</v>
      </c>
      <c r="D784">
        <v>12</v>
      </c>
      <c r="E784">
        <v>6.625</v>
      </c>
      <c r="F784" t="s">
        <v>157</v>
      </c>
      <c r="G784">
        <v>0</v>
      </c>
      <c r="I784">
        <v>1</v>
      </c>
      <c r="J784">
        <v>0</v>
      </c>
      <c r="K784">
        <v>24</v>
      </c>
      <c r="L784" t="s">
        <v>119</v>
      </c>
      <c r="N784">
        <v>0.5</v>
      </c>
      <c r="O784">
        <v>0.38</v>
      </c>
      <c r="P784">
        <v>3.5</v>
      </c>
      <c r="Q784">
        <v>-7.5</v>
      </c>
      <c r="R784">
        <v>0</v>
      </c>
      <c r="S784">
        <v>4</v>
      </c>
      <c r="T784">
        <v>0.5</v>
      </c>
      <c r="U784">
        <v>0</v>
      </c>
      <c r="V784">
        <v>0</v>
      </c>
      <c r="W784">
        <v>0</v>
      </c>
      <c r="X784">
        <v>0</v>
      </c>
      <c r="Y784">
        <v>0.5</v>
      </c>
      <c r="Z784">
        <v>0.5</v>
      </c>
      <c r="AA784">
        <v>11</v>
      </c>
      <c r="AB784">
        <v>15.5</v>
      </c>
    </row>
    <row r="785" spans="1:30">
      <c r="A785" t="s">
        <v>947</v>
      </c>
      <c r="B785">
        <v>60</v>
      </c>
      <c r="C785">
        <v>75.25</v>
      </c>
      <c r="D785">
        <v>12</v>
      </c>
      <c r="E785">
        <v>7.125</v>
      </c>
      <c r="F785" t="s">
        <v>157</v>
      </c>
      <c r="G785">
        <v>0</v>
      </c>
      <c r="I785">
        <v>1</v>
      </c>
      <c r="J785">
        <v>0</v>
      </c>
      <c r="N785">
        <v>0.5</v>
      </c>
      <c r="O785">
        <v>0.38</v>
      </c>
      <c r="P785">
        <v>3.5</v>
      </c>
      <c r="Q785">
        <v>-7.5</v>
      </c>
      <c r="R785">
        <v>0</v>
      </c>
      <c r="S785">
        <v>4</v>
      </c>
      <c r="T785">
        <v>0.5</v>
      </c>
      <c r="U785">
        <v>0</v>
      </c>
      <c r="V785">
        <v>0</v>
      </c>
      <c r="W785">
        <v>0</v>
      </c>
      <c r="X785">
        <v>0</v>
      </c>
      <c r="Y785">
        <v>0.5</v>
      </c>
      <c r="Z785">
        <v>0.5</v>
      </c>
    </row>
    <row r="786" spans="1:30">
      <c r="A786" t="s">
        <v>948</v>
      </c>
      <c r="B786">
        <v>60</v>
      </c>
      <c r="C786">
        <v>42.375</v>
      </c>
      <c r="D786">
        <v>1</v>
      </c>
      <c r="E786">
        <v>1</v>
      </c>
      <c r="F786" t="s">
        <v>157</v>
      </c>
      <c r="G786">
        <v>0</v>
      </c>
      <c r="I786">
        <v>1</v>
      </c>
      <c r="J786">
        <v>1</v>
      </c>
      <c r="N786">
        <v>0.5</v>
      </c>
      <c r="O786">
        <v>0.38</v>
      </c>
      <c r="P786">
        <v>3.5</v>
      </c>
      <c r="Q786">
        <v>3.5</v>
      </c>
      <c r="R786">
        <v>3.5</v>
      </c>
      <c r="S786">
        <v>4</v>
      </c>
      <c r="T786">
        <v>0.5</v>
      </c>
      <c r="U786">
        <v>0</v>
      </c>
      <c r="V786">
        <v>1</v>
      </c>
      <c r="W786">
        <v>0</v>
      </c>
      <c r="X786">
        <v>0</v>
      </c>
      <c r="Y786">
        <v>0.5</v>
      </c>
      <c r="Z786">
        <v>0</v>
      </c>
    </row>
    <row r="787" spans="1:30">
      <c r="A787" t="s">
        <v>949</v>
      </c>
      <c r="B787">
        <v>60</v>
      </c>
      <c r="C787">
        <v>69.875</v>
      </c>
      <c r="D787">
        <v>12</v>
      </c>
      <c r="F787" t="s">
        <v>157</v>
      </c>
      <c r="G787">
        <v>1</v>
      </c>
      <c r="H787">
        <v>0</v>
      </c>
      <c r="I787">
        <v>0</v>
      </c>
      <c r="L787" t="s">
        <v>150</v>
      </c>
      <c r="N787">
        <v>0.5</v>
      </c>
      <c r="O787">
        <v>0.38</v>
      </c>
      <c r="P787">
        <v>3.5</v>
      </c>
      <c r="Q787">
        <v>-7.5</v>
      </c>
      <c r="R787">
        <v>4.5</v>
      </c>
      <c r="S787">
        <v>4</v>
      </c>
      <c r="T787">
        <v>0.5</v>
      </c>
      <c r="U787">
        <v>0</v>
      </c>
      <c r="V787">
        <v>0</v>
      </c>
      <c r="W787">
        <v>0</v>
      </c>
      <c r="X787">
        <v>0</v>
      </c>
      <c r="Y787">
        <v>0.5</v>
      </c>
      <c r="Z787">
        <v>0.5</v>
      </c>
      <c r="AA787">
        <v>15.5</v>
      </c>
      <c r="AB787">
        <v>28.875</v>
      </c>
      <c r="AC787">
        <v>21</v>
      </c>
      <c r="AD787">
        <v>6</v>
      </c>
    </row>
    <row r="788" spans="1:30">
      <c r="A788" t="s">
        <v>950</v>
      </c>
      <c r="B788">
        <v>60</v>
      </c>
      <c r="C788">
        <v>39.25</v>
      </c>
      <c r="D788">
        <v>1</v>
      </c>
      <c r="E788">
        <v>6</v>
      </c>
      <c r="F788" t="s">
        <v>157</v>
      </c>
      <c r="G788">
        <v>1</v>
      </c>
      <c r="H788">
        <v>0</v>
      </c>
      <c r="I788">
        <v>1</v>
      </c>
      <c r="J788">
        <v>0</v>
      </c>
      <c r="K788">
        <v>12</v>
      </c>
      <c r="N788">
        <v>0.5</v>
      </c>
      <c r="O788">
        <v>0.38</v>
      </c>
      <c r="P788">
        <v>3.5</v>
      </c>
      <c r="Q788">
        <v>3.5</v>
      </c>
      <c r="R788">
        <v>0</v>
      </c>
      <c r="S788">
        <v>4</v>
      </c>
      <c r="T788">
        <v>0.5</v>
      </c>
      <c r="U788">
        <v>1</v>
      </c>
      <c r="V788">
        <v>1</v>
      </c>
      <c r="W788">
        <v>0</v>
      </c>
      <c r="X788">
        <v>0</v>
      </c>
      <c r="Y788">
        <v>0</v>
      </c>
      <c r="Z788">
        <v>0</v>
      </c>
    </row>
    <row r="789" spans="1:30">
      <c r="A789" t="s">
        <v>951</v>
      </c>
      <c r="B789">
        <v>60</v>
      </c>
      <c r="C789">
        <v>58.375</v>
      </c>
      <c r="D789">
        <v>9</v>
      </c>
      <c r="F789" t="s">
        <v>157</v>
      </c>
      <c r="G789">
        <v>1</v>
      </c>
      <c r="H789">
        <v>0</v>
      </c>
      <c r="I789">
        <v>1</v>
      </c>
      <c r="J789">
        <v>0</v>
      </c>
      <c r="K789">
        <v>24</v>
      </c>
      <c r="L789" t="s">
        <v>119</v>
      </c>
      <c r="N789">
        <v>0.5</v>
      </c>
      <c r="O789">
        <v>0.38</v>
      </c>
      <c r="P789">
        <v>3.5</v>
      </c>
      <c r="Q789">
        <v>-4.5</v>
      </c>
      <c r="R789">
        <v>4.5</v>
      </c>
      <c r="S789">
        <v>4</v>
      </c>
      <c r="T789">
        <v>0.5</v>
      </c>
      <c r="U789">
        <v>0</v>
      </c>
      <c r="V789">
        <v>0</v>
      </c>
      <c r="W789">
        <v>0</v>
      </c>
      <c r="X789">
        <v>0</v>
      </c>
      <c r="Y789">
        <v>0.5</v>
      </c>
      <c r="Z789">
        <v>0.5</v>
      </c>
      <c r="AA789">
        <v>11</v>
      </c>
      <c r="AB789">
        <v>15.5</v>
      </c>
    </row>
    <row r="790" spans="1:30">
      <c r="A790" t="s">
        <v>952</v>
      </c>
      <c r="B790">
        <v>60</v>
      </c>
      <c r="C790">
        <v>76.625</v>
      </c>
      <c r="D790">
        <v>4.5</v>
      </c>
      <c r="F790" t="s">
        <v>157</v>
      </c>
      <c r="G790">
        <v>1</v>
      </c>
      <c r="H790">
        <v>0</v>
      </c>
      <c r="I790">
        <v>1</v>
      </c>
      <c r="J790">
        <v>0</v>
      </c>
      <c r="N790">
        <v>0.5</v>
      </c>
      <c r="O790">
        <v>0.38</v>
      </c>
      <c r="P790">
        <v>3.5</v>
      </c>
      <c r="Q790">
        <v>0</v>
      </c>
      <c r="R790">
        <v>4.5</v>
      </c>
      <c r="S790">
        <v>4</v>
      </c>
      <c r="T790">
        <v>0.5</v>
      </c>
      <c r="U790">
        <v>0</v>
      </c>
      <c r="V790">
        <v>0</v>
      </c>
      <c r="W790">
        <v>0</v>
      </c>
      <c r="X790">
        <v>0</v>
      </c>
      <c r="Y790">
        <v>0.5</v>
      </c>
      <c r="Z790">
        <v>0.5</v>
      </c>
    </row>
    <row r="791" spans="1:30">
      <c r="A791" t="s">
        <v>953</v>
      </c>
      <c r="B791">
        <v>60</v>
      </c>
      <c r="C791">
        <v>56.9375</v>
      </c>
      <c r="D791">
        <v>12</v>
      </c>
      <c r="E791">
        <v>4.125</v>
      </c>
      <c r="F791" t="s">
        <v>157</v>
      </c>
      <c r="G791">
        <v>1</v>
      </c>
      <c r="H791">
        <v>0</v>
      </c>
      <c r="I791">
        <v>1</v>
      </c>
      <c r="J791">
        <v>1</v>
      </c>
      <c r="N791">
        <v>0.5</v>
      </c>
      <c r="O791">
        <v>0.38</v>
      </c>
      <c r="P791">
        <v>3.5</v>
      </c>
      <c r="Q791">
        <v>-7.5</v>
      </c>
      <c r="R791">
        <v>0.375</v>
      </c>
      <c r="S791">
        <v>4</v>
      </c>
      <c r="T791">
        <v>0.5</v>
      </c>
      <c r="U791">
        <v>0</v>
      </c>
      <c r="V791">
        <v>0</v>
      </c>
      <c r="W791">
        <v>0</v>
      </c>
      <c r="X791">
        <v>0</v>
      </c>
      <c r="Y791">
        <v>0.5</v>
      </c>
      <c r="Z791">
        <v>0.5</v>
      </c>
    </row>
    <row r="792" spans="1:30">
      <c r="A792" t="s">
        <v>954</v>
      </c>
      <c r="B792">
        <v>60</v>
      </c>
      <c r="C792">
        <v>68.9375</v>
      </c>
      <c r="D792">
        <v>12</v>
      </c>
      <c r="E792">
        <v>1.8125</v>
      </c>
      <c r="F792" t="s">
        <v>157</v>
      </c>
      <c r="G792">
        <v>1</v>
      </c>
      <c r="H792">
        <v>1</v>
      </c>
      <c r="I792">
        <v>0</v>
      </c>
      <c r="L792" t="s">
        <v>120</v>
      </c>
      <c r="N792">
        <v>0.5</v>
      </c>
      <c r="O792">
        <v>0.38</v>
      </c>
      <c r="P792">
        <v>3.5</v>
      </c>
      <c r="Q792">
        <v>-7.5</v>
      </c>
      <c r="R792">
        <v>2.6875</v>
      </c>
      <c r="S792">
        <v>4</v>
      </c>
      <c r="T792">
        <v>0.5</v>
      </c>
      <c r="U792">
        <v>0</v>
      </c>
      <c r="V792">
        <v>0</v>
      </c>
      <c r="W792">
        <v>0</v>
      </c>
      <c r="X792">
        <v>0</v>
      </c>
      <c r="Y792">
        <v>0.5</v>
      </c>
      <c r="Z792">
        <v>0.5</v>
      </c>
      <c r="AA792">
        <v>11.5</v>
      </c>
      <c r="AB792">
        <v>10.875</v>
      </c>
      <c r="AC792">
        <v>28.94</v>
      </c>
      <c r="AD792">
        <v>6</v>
      </c>
    </row>
    <row r="793" spans="1:30">
      <c r="A793" t="s">
        <v>955</v>
      </c>
      <c r="B793">
        <v>60</v>
      </c>
      <c r="C793">
        <v>54.125</v>
      </c>
      <c r="D793">
        <v>1.5</v>
      </c>
      <c r="E793">
        <v>1</v>
      </c>
      <c r="F793" t="s">
        <v>157</v>
      </c>
      <c r="G793">
        <v>1</v>
      </c>
      <c r="H793">
        <v>1</v>
      </c>
      <c r="I793">
        <v>1</v>
      </c>
      <c r="J793">
        <v>0</v>
      </c>
      <c r="K793">
        <v>12</v>
      </c>
      <c r="L793" t="s">
        <v>120</v>
      </c>
      <c r="N793">
        <v>0.5</v>
      </c>
      <c r="O793">
        <v>0.38</v>
      </c>
      <c r="P793">
        <v>3.5</v>
      </c>
      <c r="Q793">
        <v>3</v>
      </c>
      <c r="R793">
        <v>3.5</v>
      </c>
      <c r="S793">
        <v>4</v>
      </c>
      <c r="T793">
        <v>0.5</v>
      </c>
      <c r="U793">
        <v>1</v>
      </c>
      <c r="V793">
        <v>1</v>
      </c>
      <c r="W793">
        <v>0</v>
      </c>
      <c r="X793">
        <v>0</v>
      </c>
      <c r="Y793">
        <v>0</v>
      </c>
      <c r="Z793">
        <v>0</v>
      </c>
      <c r="AA793">
        <v>11.5</v>
      </c>
      <c r="AB793">
        <v>10.875</v>
      </c>
      <c r="AC793">
        <v>16.940000000000001</v>
      </c>
      <c r="AD793">
        <v>16.5</v>
      </c>
    </row>
    <row r="794" spans="1:30">
      <c r="A794" t="s">
        <v>956</v>
      </c>
      <c r="B794">
        <v>60</v>
      </c>
      <c r="C794">
        <v>72.0625</v>
      </c>
      <c r="D794">
        <v>2.875</v>
      </c>
      <c r="E794">
        <v>4.3125</v>
      </c>
      <c r="F794" t="s">
        <v>157</v>
      </c>
      <c r="G794">
        <v>1</v>
      </c>
      <c r="H794">
        <v>1</v>
      </c>
      <c r="I794">
        <v>1</v>
      </c>
      <c r="J794">
        <v>0</v>
      </c>
      <c r="K794">
        <v>24</v>
      </c>
      <c r="L794" t="s">
        <v>120</v>
      </c>
      <c r="N794">
        <v>0.5</v>
      </c>
      <c r="O794">
        <v>0.38</v>
      </c>
      <c r="P794">
        <v>3.5</v>
      </c>
      <c r="Q794">
        <v>1.625</v>
      </c>
      <c r="R794">
        <v>0.1875</v>
      </c>
      <c r="S794">
        <v>4</v>
      </c>
      <c r="T794">
        <v>0.5</v>
      </c>
      <c r="U794">
        <v>1</v>
      </c>
      <c r="V794">
        <v>1</v>
      </c>
      <c r="W794">
        <v>0</v>
      </c>
      <c r="X794">
        <v>0</v>
      </c>
      <c r="Y794">
        <v>0</v>
      </c>
      <c r="Z794">
        <v>0</v>
      </c>
      <c r="AA794">
        <v>11.5</v>
      </c>
      <c r="AB794">
        <v>10.875</v>
      </c>
      <c r="AC794">
        <v>4.9400000000000004</v>
      </c>
      <c r="AD794">
        <v>15.125</v>
      </c>
    </row>
    <row r="795" spans="1:30">
      <c r="A795" t="s">
        <v>957</v>
      </c>
      <c r="B795">
        <v>60</v>
      </c>
      <c r="C795">
        <v>50.3125</v>
      </c>
      <c r="D795">
        <v>9</v>
      </c>
      <c r="E795">
        <v>1</v>
      </c>
      <c r="F795" t="s">
        <v>157</v>
      </c>
      <c r="G795">
        <v>1</v>
      </c>
      <c r="H795">
        <v>1</v>
      </c>
      <c r="I795">
        <v>1</v>
      </c>
      <c r="J795">
        <v>0</v>
      </c>
      <c r="N795">
        <v>0.5</v>
      </c>
      <c r="O795">
        <v>0.38</v>
      </c>
      <c r="P795">
        <v>3.5</v>
      </c>
      <c r="Q795">
        <v>-4.5</v>
      </c>
      <c r="R795">
        <v>3.5</v>
      </c>
      <c r="S795">
        <v>4</v>
      </c>
      <c r="T795">
        <v>0.5</v>
      </c>
      <c r="U795">
        <v>0</v>
      </c>
      <c r="V795">
        <v>0</v>
      </c>
      <c r="W795">
        <v>0</v>
      </c>
      <c r="X795">
        <v>0</v>
      </c>
      <c r="Y795">
        <v>0.5</v>
      </c>
      <c r="Z795">
        <v>0.5</v>
      </c>
    </row>
    <row r="796" spans="1:30">
      <c r="A796" t="s">
        <v>958</v>
      </c>
      <c r="B796">
        <v>60</v>
      </c>
      <c r="C796">
        <v>51.125</v>
      </c>
      <c r="D796">
        <v>1</v>
      </c>
      <c r="E796">
        <v>7.125</v>
      </c>
      <c r="F796" t="s">
        <v>157</v>
      </c>
      <c r="G796">
        <v>1</v>
      </c>
      <c r="H796">
        <v>1</v>
      </c>
      <c r="I796">
        <v>1</v>
      </c>
      <c r="J796">
        <v>1</v>
      </c>
      <c r="N796">
        <v>0.5</v>
      </c>
      <c r="O796">
        <v>0.38</v>
      </c>
      <c r="P796">
        <v>3.5</v>
      </c>
      <c r="Q796">
        <v>3.5</v>
      </c>
      <c r="R796">
        <v>0</v>
      </c>
      <c r="S796">
        <v>4</v>
      </c>
      <c r="T796">
        <v>0.5</v>
      </c>
      <c r="U796">
        <v>1</v>
      </c>
      <c r="V796">
        <v>1</v>
      </c>
      <c r="W796">
        <v>0</v>
      </c>
      <c r="X796">
        <v>0</v>
      </c>
      <c r="Y796">
        <v>0</v>
      </c>
      <c r="Z796">
        <v>0</v>
      </c>
    </row>
    <row r="797" spans="1:30">
      <c r="A797" t="s">
        <v>959</v>
      </c>
      <c r="B797">
        <v>47.5625</v>
      </c>
      <c r="C797">
        <v>51.6875</v>
      </c>
      <c r="D797">
        <v>4.5</v>
      </c>
      <c r="F797" t="s">
        <v>21</v>
      </c>
      <c r="G797">
        <v>0</v>
      </c>
      <c r="I797">
        <v>0</v>
      </c>
      <c r="L797" t="s">
        <v>120</v>
      </c>
      <c r="N797">
        <v>0.5</v>
      </c>
      <c r="O797">
        <v>0.38</v>
      </c>
      <c r="P797">
        <v>3.5</v>
      </c>
      <c r="Q797">
        <v>0</v>
      </c>
      <c r="R797">
        <v>4.5</v>
      </c>
      <c r="S797">
        <v>4</v>
      </c>
      <c r="T797">
        <v>0.5</v>
      </c>
      <c r="U797">
        <v>0</v>
      </c>
      <c r="V797">
        <v>0</v>
      </c>
      <c r="W797">
        <v>0</v>
      </c>
      <c r="X797">
        <v>0</v>
      </c>
      <c r="Y797">
        <v>0.5</v>
      </c>
      <c r="Z797">
        <v>0.5</v>
      </c>
      <c r="AA797">
        <v>11.5</v>
      </c>
      <c r="AB797">
        <v>10.875</v>
      </c>
      <c r="AC797">
        <v>28.94</v>
      </c>
      <c r="AD797">
        <v>13.5</v>
      </c>
    </row>
    <row r="798" spans="1:30">
      <c r="A798" t="s">
        <v>960</v>
      </c>
      <c r="B798">
        <v>37</v>
      </c>
      <c r="C798">
        <v>70.6875</v>
      </c>
      <c r="D798">
        <v>2.8125</v>
      </c>
      <c r="E798">
        <v>1.1875</v>
      </c>
      <c r="F798" t="s">
        <v>21</v>
      </c>
      <c r="G798">
        <v>0</v>
      </c>
      <c r="I798">
        <v>1</v>
      </c>
      <c r="J798">
        <v>0</v>
      </c>
      <c r="K798">
        <v>12</v>
      </c>
      <c r="N798">
        <v>0.5</v>
      </c>
      <c r="O798">
        <v>0.38</v>
      </c>
      <c r="P798">
        <v>3.5</v>
      </c>
      <c r="Q798">
        <v>1.6875</v>
      </c>
      <c r="R798">
        <v>3.3125</v>
      </c>
      <c r="S798">
        <v>4</v>
      </c>
      <c r="T798">
        <v>0.5</v>
      </c>
      <c r="U798">
        <v>0</v>
      </c>
      <c r="V798">
        <v>1</v>
      </c>
      <c r="W798">
        <v>0</v>
      </c>
      <c r="X798">
        <v>0</v>
      </c>
      <c r="Y798">
        <v>0.5</v>
      </c>
      <c r="Z798">
        <v>0</v>
      </c>
    </row>
    <row r="799" spans="1:30">
      <c r="A799" t="s">
        <v>961</v>
      </c>
      <c r="B799">
        <v>96</v>
      </c>
      <c r="C799">
        <v>64.1875</v>
      </c>
      <c r="D799">
        <v>12</v>
      </c>
      <c r="F799" t="s">
        <v>21</v>
      </c>
      <c r="G799">
        <v>0</v>
      </c>
      <c r="I799">
        <v>1</v>
      </c>
      <c r="J799">
        <v>0</v>
      </c>
      <c r="K799">
        <v>24</v>
      </c>
      <c r="L799" t="s">
        <v>149</v>
      </c>
      <c r="N799">
        <v>0.5</v>
      </c>
      <c r="O799">
        <v>0.38</v>
      </c>
      <c r="P799">
        <v>3.5</v>
      </c>
      <c r="Q799">
        <v>-7.5</v>
      </c>
      <c r="R799">
        <v>4.5</v>
      </c>
      <c r="S799">
        <v>4</v>
      </c>
      <c r="T799">
        <v>0.5</v>
      </c>
      <c r="U799">
        <v>0</v>
      </c>
      <c r="V799">
        <v>0</v>
      </c>
      <c r="W799">
        <v>0</v>
      </c>
      <c r="X799">
        <v>0</v>
      </c>
      <c r="Y799">
        <v>0.5</v>
      </c>
      <c r="Z799">
        <v>0.5</v>
      </c>
      <c r="AA799">
        <v>15.5</v>
      </c>
      <c r="AB799">
        <v>28.875</v>
      </c>
    </row>
    <row r="800" spans="1:30">
      <c r="A800" t="s">
        <v>962</v>
      </c>
      <c r="B800">
        <v>96</v>
      </c>
      <c r="C800">
        <v>72.8125</v>
      </c>
      <c r="D800">
        <v>4.5</v>
      </c>
      <c r="E800">
        <v>3.875</v>
      </c>
      <c r="F800" t="s">
        <v>21</v>
      </c>
      <c r="G800">
        <v>0</v>
      </c>
      <c r="I800">
        <v>1</v>
      </c>
      <c r="J800">
        <v>0</v>
      </c>
      <c r="N800">
        <v>0.5</v>
      </c>
      <c r="O800">
        <v>0.38</v>
      </c>
      <c r="P800">
        <v>3.5</v>
      </c>
      <c r="Q800">
        <v>0</v>
      </c>
      <c r="R800">
        <v>0.625</v>
      </c>
      <c r="S800">
        <v>4</v>
      </c>
      <c r="T800">
        <v>0.5</v>
      </c>
      <c r="U800">
        <v>0</v>
      </c>
      <c r="V800">
        <v>0</v>
      </c>
      <c r="W800">
        <v>0</v>
      </c>
      <c r="X800">
        <v>0</v>
      </c>
      <c r="Y800">
        <v>0.5</v>
      </c>
      <c r="Z800">
        <v>0.5</v>
      </c>
    </row>
    <row r="801" spans="1:30">
      <c r="A801" t="s">
        <v>963</v>
      </c>
      <c r="B801">
        <v>96</v>
      </c>
      <c r="C801">
        <v>56.625</v>
      </c>
      <c r="D801">
        <v>1</v>
      </c>
      <c r="E801">
        <v>1.8125</v>
      </c>
      <c r="F801" t="s">
        <v>21</v>
      </c>
      <c r="G801">
        <v>0</v>
      </c>
      <c r="I801">
        <v>1</v>
      </c>
      <c r="J801">
        <v>1</v>
      </c>
      <c r="N801">
        <v>0.5</v>
      </c>
      <c r="O801">
        <v>0.38</v>
      </c>
      <c r="P801">
        <v>3.5</v>
      </c>
      <c r="Q801">
        <v>3.5</v>
      </c>
      <c r="R801">
        <v>2.6875</v>
      </c>
      <c r="S801">
        <v>4</v>
      </c>
      <c r="T801">
        <v>0.5</v>
      </c>
      <c r="U801">
        <v>0</v>
      </c>
      <c r="V801">
        <v>1</v>
      </c>
      <c r="W801">
        <v>0</v>
      </c>
      <c r="X801">
        <v>1</v>
      </c>
      <c r="Y801">
        <v>0.5</v>
      </c>
      <c r="Z801">
        <v>0</v>
      </c>
    </row>
    <row r="802" spans="1:30">
      <c r="A802" t="s">
        <v>964</v>
      </c>
      <c r="B802">
        <v>96</v>
      </c>
      <c r="C802">
        <v>78</v>
      </c>
      <c r="D802">
        <v>9</v>
      </c>
      <c r="E802">
        <v>5.75</v>
      </c>
      <c r="F802" t="s">
        <v>21</v>
      </c>
      <c r="G802">
        <v>1</v>
      </c>
      <c r="H802">
        <v>0</v>
      </c>
      <c r="I802">
        <v>0</v>
      </c>
      <c r="N802">
        <v>0.5</v>
      </c>
      <c r="O802">
        <v>0.38</v>
      </c>
      <c r="P802">
        <v>3.5</v>
      </c>
      <c r="Q802">
        <v>-4.5</v>
      </c>
      <c r="R802">
        <v>0</v>
      </c>
      <c r="S802">
        <v>4</v>
      </c>
      <c r="T802">
        <v>0.5</v>
      </c>
      <c r="U802">
        <v>0</v>
      </c>
      <c r="V802">
        <v>0</v>
      </c>
      <c r="W802">
        <v>0</v>
      </c>
      <c r="X802">
        <v>0</v>
      </c>
      <c r="Y802">
        <v>0.5</v>
      </c>
      <c r="Z802">
        <v>0.5</v>
      </c>
    </row>
    <row r="803" spans="1:30">
      <c r="A803" t="s">
        <v>965</v>
      </c>
      <c r="B803">
        <v>110</v>
      </c>
      <c r="C803">
        <v>54.625</v>
      </c>
      <c r="D803">
        <v>7.3125</v>
      </c>
      <c r="E803">
        <v>4.4375</v>
      </c>
      <c r="F803" t="s">
        <v>21</v>
      </c>
      <c r="G803">
        <v>1</v>
      </c>
      <c r="H803">
        <v>0</v>
      </c>
      <c r="I803">
        <v>1</v>
      </c>
      <c r="J803">
        <v>0</v>
      </c>
      <c r="K803">
        <v>12</v>
      </c>
      <c r="L803" t="s">
        <v>149</v>
      </c>
      <c r="N803">
        <v>0.5</v>
      </c>
      <c r="O803">
        <v>0.38</v>
      </c>
      <c r="P803">
        <v>3.5</v>
      </c>
      <c r="Q803">
        <v>-2.8125</v>
      </c>
      <c r="R803">
        <v>6.25E-2</v>
      </c>
      <c r="S803">
        <v>4</v>
      </c>
      <c r="T803">
        <v>0.5</v>
      </c>
      <c r="U803">
        <v>0</v>
      </c>
      <c r="V803">
        <v>0</v>
      </c>
      <c r="W803">
        <v>0</v>
      </c>
      <c r="X803">
        <v>0</v>
      </c>
      <c r="Y803">
        <v>0.5</v>
      </c>
      <c r="Z803">
        <v>0.5</v>
      </c>
      <c r="AA803">
        <v>15.5</v>
      </c>
      <c r="AB803">
        <v>28.875</v>
      </c>
      <c r="AC803">
        <v>9</v>
      </c>
      <c r="AD803">
        <v>10.6875</v>
      </c>
    </row>
    <row r="804" spans="1:30">
      <c r="A804" t="s">
        <v>966</v>
      </c>
      <c r="B804">
        <v>87.6875</v>
      </c>
      <c r="C804">
        <v>21.25</v>
      </c>
      <c r="D804">
        <v>10.625</v>
      </c>
      <c r="F804" t="s">
        <v>21</v>
      </c>
      <c r="G804">
        <v>1</v>
      </c>
      <c r="H804">
        <v>0</v>
      </c>
      <c r="I804">
        <v>1</v>
      </c>
      <c r="J804">
        <v>0</v>
      </c>
      <c r="K804">
        <v>24</v>
      </c>
      <c r="N804">
        <v>0.5</v>
      </c>
      <c r="O804">
        <v>0.38</v>
      </c>
      <c r="P804">
        <v>3.5</v>
      </c>
      <c r="Q804">
        <v>-6.125</v>
      </c>
      <c r="R804">
        <v>4.5</v>
      </c>
      <c r="S804">
        <v>4</v>
      </c>
      <c r="T804">
        <v>0.5</v>
      </c>
      <c r="U804">
        <v>0</v>
      </c>
      <c r="V804">
        <v>0</v>
      </c>
      <c r="W804">
        <v>0</v>
      </c>
      <c r="X804">
        <v>0</v>
      </c>
      <c r="Y804">
        <v>0.5</v>
      </c>
      <c r="Z804">
        <v>0.5</v>
      </c>
    </row>
    <row r="805" spans="1:30">
      <c r="A805" t="s">
        <v>967</v>
      </c>
      <c r="B805">
        <v>92.8125</v>
      </c>
      <c r="C805">
        <v>43.4375</v>
      </c>
      <c r="D805">
        <v>1</v>
      </c>
      <c r="E805">
        <v>2.75</v>
      </c>
      <c r="F805" t="s">
        <v>21</v>
      </c>
      <c r="G805">
        <v>1</v>
      </c>
      <c r="H805">
        <v>0</v>
      </c>
      <c r="I805">
        <v>1</v>
      </c>
      <c r="J805">
        <v>0</v>
      </c>
      <c r="N805">
        <v>0.5</v>
      </c>
      <c r="O805">
        <v>0.38</v>
      </c>
      <c r="P805">
        <v>3.5</v>
      </c>
      <c r="Q805">
        <v>3.5</v>
      </c>
      <c r="R805">
        <v>1.75</v>
      </c>
      <c r="S805">
        <v>4</v>
      </c>
      <c r="T805">
        <v>0.5</v>
      </c>
      <c r="U805">
        <v>1</v>
      </c>
      <c r="V805">
        <v>1</v>
      </c>
      <c r="W805">
        <v>0</v>
      </c>
      <c r="X805">
        <v>0</v>
      </c>
      <c r="Y805">
        <v>0</v>
      </c>
      <c r="Z805">
        <v>0</v>
      </c>
    </row>
    <row r="806" spans="1:30">
      <c r="A806" t="s">
        <v>968</v>
      </c>
      <c r="B806">
        <v>96</v>
      </c>
      <c r="C806">
        <v>56.375</v>
      </c>
      <c r="D806">
        <v>1</v>
      </c>
      <c r="E806">
        <v>1</v>
      </c>
      <c r="F806" t="s">
        <v>21</v>
      </c>
      <c r="G806">
        <v>1</v>
      </c>
      <c r="H806">
        <v>0</v>
      </c>
      <c r="I806">
        <v>1</v>
      </c>
      <c r="J806">
        <v>1</v>
      </c>
      <c r="N806">
        <v>0.5</v>
      </c>
      <c r="O806">
        <v>0.38</v>
      </c>
      <c r="P806">
        <v>3.5</v>
      </c>
      <c r="Q806">
        <v>3.5</v>
      </c>
      <c r="R806">
        <v>3.5</v>
      </c>
      <c r="S806">
        <v>4</v>
      </c>
      <c r="T806">
        <v>0.5</v>
      </c>
      <c r="U806">
        <v>1</v>
      </c>
      <c r="V806">
        <v>1</v>
      </c>
      <c r="W806">
        <v>0</v>
      </c>
      <c r="X806">
        <v>1</v>
      </c>
      <c r="Y806">
        <v>0</v>
      </c>
      <c r="Z806">
        <v>0</v>
      </c>
    </row>
    <row r="807" spans="1:30">
      <c r="A807" t="s">
        <v>969</v>
      </c>
      <c r="B807">
        <v>85.625</v>
      </c>
      <c r="C807">
        <v>37.25</v>
      </c>
      <c r="D807">
        <v>11.4375</v>
      </c>
      <c r="F807" t="s">
        <v>21</v>
      </c>
      <c r="G807">
        <v>1</v>
      </c>
      <c r="H807">
        <v>1</v>
      </c>
      <c r="I807">
        <v>0</v>
      </c>
      <c r="N807">
        <v>0.5</v>
      </c>
      <c r="O807">
        <v>0.38</v>
      </c>
      <c r="P807">
        <v>3.5</v>
      </c>
      <c r="Q807">
        <v>-6.9375</v>
      </c>
      <c r="R807">
        <v>4.5</v>
      </c>
      <c r="S807">
        <v>4</v>
      </c>
      <c r="T807">
        <v>0.5</v>
      </c>
      <c r="U807">
        <v>0</v>
      </c>
      <c r="V807">
        <v>0</v>
      </c>
      <c r="W807">
        <v>0</v>
      </c>
      <c r="X807">
        <v>0</v>
      </c>
      <c r="Y807">
        <v>0.5</v>
      </c>
      <c r="Z807">
        <v>0.5</v>
      </c>
    </row>
    <row r="808" spans="1:30">
      <c r="A808" t="s">
        <v>970</v>
      </c>
      <c r="B808">
        <v>96</v>
      </c>
      <c r="C808">
        <v>45.125</v>
      </c>
      <c r="D808">
        <v>1.3125</v>
      </c>
      <c r="E808">
        <v>1</v>
      </c>
      <c r="F808" t="s">
        <v>21</v>
      </c>
      <c r="G808">
        <v>1</v>
      </c>
      <c r="H808">
        <v>1</v>
      </c>
      <c r="I808">
        <v>1</v>
      </c>
      <c r="J808">
        <v>0</v>
      </c>
      <c r="K808">
        <v>12</v>
      </c>
      <c r="L808" t="s">
        <v>150</v>
      </c>
      <c r="N808">
        <v>0.5</v>
      </c>
      <c r="O808">
        <v>0.38</v>
      </c>
      <c r="P808">
        <v>3.5</v>
      </c>
      <c r="Q808">
        <v>3.1875</v>
      </c>
      <c r="R808">
        <v>3.5</v>
      </c>
      <c r="S808">
        <v>4</v>
      </c>
      <c r="T808">
        <v>0.5</v>
      </c>
      <c r="U808">
        <v>1</v>
      </c>
      <c r="V808">
        <v>1</v>
      </c>
      <c r="W808">
        <v>1</v>
      </c>
      <c r="X808">
        <v>0</v>
      </c>
      <c r="Y808">
        <v>0</v>
      </c>
      <c r="Z808">
        <v>0</v>
      </c>
      <c r="AA808">
        <v>15.5</v>
      </c>
      <c r="AB808">
        <v>28.875</v>
      </c>
      <c r="AC808">
        <v>9</v>
      </c>
      <c r="AD808">
        <v>16.6875</v>
      </c>
    </row>
    <row r="809" spans="1:30">
      <c r="A809" t="s">
        <v>971</v>
      </c>
      <c r="B809">
        <v>59.3125</v>
      </c>
      <c r="C809">
        <v>78.875</v>
      </c>
      <c r="D809">
        <v>9</v>
      </c>
      <c r="E809">
        <v>1</v>
      </c>
      <c r="F809" t="s">
        <v>21</v>
      </c>
      <c r="G809">
        <v>1</v>
      </c>
      <c r="H809">
        <v>1</v>
      </c>
      <c r="I809">
        <v>1</v>
      </c>
      <c r="J809">
        <v>0</v>
      </c>
      <c r="K809">
        <v>24</v>
      </c>
      <c r="N809">
        <v>0.5</v>
      </c>
      <c r="O809">
        <v>0.38</v>
      </c>
      <c r="P809">
        <v>3.5</v>
      </c>
      <c r="Q809">
        <v>-4.5</v>
      </c>
      <c r="R809">
        <v>3.5</v>
      </c>
      <c r="S809">
        <v>4</v>
      </c>
      <c r="T809">
        <v>0.5</v>
      </c>
      <c r="U809">
        <v>0</v>
      </c>
      <c r="V809">
        <v>0</v>
      </c>
      <c r="W809">
        <v>1</v>
      </c>
      <c r="X809">
        <v>0</v>
      </c>
      <c r="Y809">
        <v>0.5</v>
      </c>
      <c r="Z809">
        <v>0.5</v>
      </c>
    </row>
    <row r="810" spans="1:30">
      <c r="A810" t="s">
        <v>972</v>
      </c>
      <c r="B810">
        <v>61.5</v>
      </c>
      <c r="C810">
        <v>66.125</v>
      </c>
      <c r="D810">
        <v>1</v>
      </c>
      <c r="F810" t="s">
        <v>21</v>
      </c>
      <c r="G810">
        <v>1</v>
      </c>
      <c r="H810">
        <v>1</v>
      </c>
      <c r="I810">
        <v>1</v>
      </c>
      <c r="J810">
        <v>0</v>
      </c>
      <c r="N810">
        <v>0.5</v>
      </c>
      <c r="O810">
        <v>0.38</v>
      </c>
      <c r="P810">
        <v>3.5</v>
      </c>
      <c r="Q810">
        <v>3.5</v>
      </c>
      <c r="R810">
        <v>4.5</v>
      </c>
      <c r="S810">
        <v>4</v>
      </c>
      <c r="T810">
        <v>0.5</v>
      </c>
      <c r="U810">
        <v>1</v>
      </c>
      <c r="V810">
        <v>1</v>
      </c>
      <c r="W810">
        <v>0</v>
      </c>
      <c r="X810">
        <v>0</v>
      </c>
      <c r="Y810">
        <v>0</v>
      </c>
      <c r="Z810">
        <v>0</v>
      </c>
    </row>
    <row r="811" spans="1:30">
      <c r="A811" t="s">
        <v>973</v>
      </c>
      <c r="B811">
        <v>59.1875</v>
      </c>
      <c r="C811">
        <v>74.5625</v>
      </c>
      <c r="D811">
        <v>1</v>
      </c>
      <c r="E811">
        <v>7.3125</v>
      </c>
      <c r="F811" t="s">
        <v>21</v>
      </c>
      <c r="G811">
        <v>1</v>
      </c>
      <c r="H811">
        <v>1</v>
      </c>
      <c r="I811">
        <v>1</v>
      </c>
      <c r="J811">
        <v>1</v>
      </c>
      <c r="N811">
        <v>0.5</v>
      </c>
      <c r="O811">
        <v>0.38</v>
      </c>
      <c r="P811">
        <v>3.5</v>
      </c>
      <c r="Q811">
        <v>3.5</v>
      </c>
      <c r="R811">
        <v>0</v>
      </c>
      <c r="S811">
        <v>4</v>
      </c>
      <c r="T811">
        <v>0.5</v>
      </c>
      <c r="U811">
        <v>1</v>
      </c>
      <c r="V811">
        <v>1</v>
      </c>
      <c r="W811">
        <v>0</v>
      </c>
      <c r="X811">
        <v>0</v>
      </c>
      <c r="Y811">
        <v>0</v>
      </c>
      <c r="Z811">
        <v>0</v>
      </c>
    </row>
    <row r="812" spans="1:30">
      <c r="A812" t="s">
        <v>974</v>
      </c>
      <c r="B812">
        <v>15.9375</v>
      </c>
      <c r="C812">
        <v>36.75</v>
      </c>
      <c r="D812">
        <v>9</v>
      </c>
      <c r="E812">
        <v>6.25</v>
      </c>
      <c r="F812" t="s">
        <v>156</v>
      </c>
      <c r="G812">
        <v>0</v>
      </c>
      <c r="I812">
        <v>0</v>
      </c>
      <c r="N812">
        <v>0.5</v>
      </c>
      <c r="O812">
        <v>0.38</v>
      </c>
      <c r="P812">
        <v>3.5</v>
      </c>
      <c r="Q812">
        <v>-4.5</v>
      </c>
      <c r="R812">
        <v>0</v>
      </c>
      <c r="S812">
        <v>4</v>
      </c>
      <c r="T812">
        <v>0.5</v>
      </c>
      <c r="U812">
        <v>0</v>
      </c>
      <c r="V812">
        <v>0</v>
      </c>
      <c r="W812">
        <v>0</v>
      </c>
      <c r="X812">
        <v>0</v>
      </c>
      <c r="Y812">
        <v>0.5</v>
      </c>
      <c r="Z812">
        <v>0.5</v>
      </c>
    </row>
    <row r="813" spans="1:30">
      <c r="A813" t="s">
        <v>975</v>
      </c>
      <c r="B813">
        <v>27</v>
      </c>
      <c r="C813">
        <v>78.625</v>
      </c>
      <c r="D813">
        <v>4.5</v>
      </c>
      <c r="F813" t="s">
        <v>156</v>
      </c>
      <c r="G813">
        <v>0</v>
      </c>
      <c r="I813">
        <v>1</v>
      </c>
      <c r="J813">
        <v>0</v>
      </c>
      <c r="K813">
        <v>12</v>
      </c>
      <c r="L813" t="s">
        <v>120</v>
      </c>
      <c r="N813">
        <v>0.5</v>
      </c>
      <c r="O813">
        <v>0.38</v>
      </c>
      <c r="P813">
        <v>3.5</v>
      </c>
      <c r="Q813">
        <v>0</v>
      </c>
      <c r="R813">
        <v>4.5</v>
      </c>
      <c r="S813">
        <v>4</v>
      </c>
      <c r="T813">
        <v>0.5</v>
      </c>
      <c r="U813">
        <v>0</v>
      </c>
      <c r="V813">
        <v>0</v>
      </c>
      <c r="W813">
        <v>0</v>
      </c>
      <c r="X813">
        <v>0</v>
      </c>
      <c r="Y813">
        <v>0.5</v>
      </c>
      <c r="Z813">
        <v>0.5</v>
      </c>
    </row>
    <row r="814" spans="1:30">
      <c r="A814" t="s">
        <v>976</v>
      </c>
      <c r="B814">
        <v>48.3125</v>
      </c>
      <c r="C814">
        <v>72.5625</v>
      </c>
      <c r="D814">
        <v>9.6875</v>
      </c>
      <c r="F814" t="s">
        <v>156</v>
      </c>
      <c r="G814">
        <v>0</v>
      </c>
      <c r="I814">
        <v>1</v>
      </c>
      <c r="J814">
        <v>0</v>
      </c>
      <c r="K814">
        <v>24</v>
      </c>
      <c r="L814" t="s">
        <v>120</v>
      </c>
      <c r="N814">
        <v>0.5</v>
      </c>
      <c r="O814">
        <v>0.38</v>
      </c>
      <c r="P814">
        <v>3.5</v>
      </c>
      <c r="Q814">
        <v>-5.1875</v>
      </c>
      <c r="R814">
        <v>4.5</v>
      </c>
      <c r="S814">
        <v>4</v>
      </c>
      <c r="T814">
        <v>0.5</v>
      </c>
      <c r="U814">
        <v>0</v>
      </c>
      <c r="V814">
        <v>0</v>
      </c>
      <c r="W814">
        <v>0</v>
      </c>
      <c r="X814">
        <v>0</v>
      </c>
      <c r="Y814">
        <v>0.5</v>
      </c>
      <c r="Z814">
        <v>0.5</v>
      </c>
    </row>
    <row r="815" spans="1:30">
      <c r="A815" t="s">
        <v>977</v>
      </c>
      <c r="B815">
        <v>11.25</v>
      </c>
      <c r="C815">
        <v>53.0625</v>
      </c>
      <c r="D815">
        <v>9</v>
      </c>
      <c r="E815">
        <v>3.5</v>
      </c>
      <c r="F815" t="s">
        <v>156</v>
      </c>
      <c r="G815">
        <v>0</v>
      </c>
      <c r="I815">
        <v>1</v>
      </c>
      <c r="J815">
        <v>0</v>
      </c>
      <c r="N815">
        <v>0.5</v>
      </c>
      <c r="O815">
        <v>0.38</v>
      </c>
      <c r="P815">
        <v>3.5</v>
      </c>
      <c r="Q815">
        <v>-4.5</v>
      </c>
      <c r="R815">
        <v>1</v>
      </c>
      <c r="S815">
        <v>4</v>
      </c>
      <c r="T815">
        <v>0.5</v>
      </c>
      <c r="U815">
        <v>0</v>
      </c>
      <c r="V815">
        <v>0</v>
      </c>
      <c r="W815">
        <v>0</v>
      </c>
      <c r="X815">
        <v>0</v>
      </c>
      <c r="Y815">
        <v>0.5</v>
      </c>
      <c r="Z815">
        <v>0.5</v>
      </c>
    </row>
    <row r="816" spans="1:30">
      <c r="A816" t="s">
        <v>978</v>
      </c>
      <c r="B816">
        <v>45</v>
      </c>
      <c r="C816">
        <v>45.4375</v>
      </c>
      <c r="D816">
        <v>12</v>
      </c>
      <c r="E816">
        <v>4.8125</v>
      </c>
      <c r="F816" t="s">
        <v>156</v>
      </c>
      <c r="G816">
        <v>0</v>
      </c>
      <c r="I816">
        <v>1</v>
      </c>
      <c r="J816">
        <v>1</v>
      </c>
      <c r="N816">
        <v>0.5</v>
      </c>
      <c r="O816">
        <v>0.38</v>
      </c>
      <c r="P816">
        <v>3.5</v>
      </c>
      <c r="Q816">
        <v>-7.5</v>
      </c>
      <c r="R816">
        <v>0</v>
      </c>
      <c r="S816">
        <v>4</v>
      </c>
      <c r="T816">
        <v>0.5</v>
      </c>
      <c r="U816">
        <v>0</v>
      </c>
      <c r="V816">
        <v>0</v>
      </c>
      <c r="W816">
        <v>0</v>
      </c>
      <c r="X816">
        <v>0</v>
      </c>
      <c r="Y816">
        <v>0.5</v>
      </c>
      <c r="Z816">
        <v>0.5</v>
      </c>
    </row>
    <row r="817" spans="1:30">
      <c r="A817" t="s">
        <v>979</v>
      </c>
      <c r="B817">
        <v>31.9375</v>
      </c>
      <c r="C817">
        <v>41.6875</v>
      </c>
      <c r="D817">
        <v>1</v>
      </c>
      <c r="E817">
        <v>6.5</v>
      </c>
      <c r="F817" t="s">
        <v>156</v>
      </c>
      <c r="G817">
        <v>1</v>
      </c>
      <c r="H817">
        <v>0</v>
      </c>
      <c r="I817">
        <v>0</v>
      </c>
      <c r="L817" t="s">
        <v>121</v>
      </c>
      <c r="N817">
        <v>0.5</v>
      </c>
      <c r="O817">
        <v>0.38</v>
      </c>
      <c r="P817">
        <v>3.5</v>
      </c>
      <c r="Q817">
        <v>3.5</v>
      </c>
      <c r="R817">
        <v>0</v>
      </c>
      <c r="S817">
        <v>4</v>
      </c>
      <c r="T817">
        <v>0.5</v>
      </c>
      <c r="U817">
        <v>0</v>
      </c>
      <c r="V817">
        <v>0</v>
      </c>
      <c r="W817">
        <v>0</v>
      </c>
      <c r="X817">
        <v>0</v>
      </c>
      <c r="Y817">
        <v>0.5</v>
      </c>
      <c r="Z817">
        <v>0.5</v>
      </c>
    </row>
    <row r="818" spans="1:30">
      <c r="A818" t="s">
        <v>980</v>
      </c>
      <c r="B818">
        <v>28.75</v>
      </c>
      <c r="C818">
        <v>74.6875</v>
      </c>
      <c r="D818">
        <v>4.5</v>
      </c>
      <c r="E818">
        <v>6.8125</v>
      </c>
      <c r="F818" t="s">
        <v>156</v>
      </c>
      <c r="G818">
        <v>1</v>
      </c>
      <c r="H818">
        <v>0</v>
      </c>
      <c r="I818">
        <v>1</v>
      </c>
      <c r="J818">
        <v>0</v>
      </c>
      <c r="K818">
        <v>12</v>
      </c>
      <c r="N818">
        <v>0.5</v>
      </c>
      <c r="O818">
        <v>0.38</v>
      </c>
      <c r="P818">
        <v>3.5</v>
      </c>
      <c r="Q818">
        <v>0</v>
      </c>
      <c r="R818">
        <v>0</v>
      </c>
      <c r="S818">
        <v>4</v>
      </c>
      <c r="T818">
        <v>0.5</v>
      </c>
      <c r="U818">
        <v>0</v>
      </c>
      <c r="V818">
        <v>0</v>
      </c>
      <c r="W818">
        <v>0</v>
      </c>
      <c r="X818">
        <v>0</v>
      </c>
      <c r="Y818">
        <v>0.5</v>
      </c>
      <c r="Z818">
        <v>0.5</v>
      </c>
    </row>
    <row r="819" spans="1:30">
      <c r="A819" t="s">
        <v>981</v>
      </c>
      <c r="B819">
        <v>46.6875</v>
      </c>
      <c r="C819">
        <v>64.8125</v>
      </c>
      <c r="D819">
        <v>5.4375</v>
      </c>
      <c r="E819">
        <v>1</v>
      </c>
      <c r="F819" t="s">
        <v>156</v>
      </c>
      <c r="G819">
        <v>1</v>
      </c>
      <c r="H819">
        <v>0</v>
      </c>
      <c r="I819">
        <v>1</v>
      </c>
      <c r="J819">
        <v>0</v>
      </c>
      <c r="K819">
        <v>24</v>
      </c>
      <c r="N819">
        <v>0.5</v>
      </c>
      <c r="O819">
        <v>0.38</v>
      </c>
      <c r="P819">
        <v>3.5</v>
      </c>
      <c r="Q819">
        <v>-0.9375</v>
      </c>
      <c r="R819">
        <v>3.5</v>
      </c>
      <c r="S819">
        <v>4</v>
      </c>
      <c r="T819">
        <v>0.5</v>
      </c>
      <c r="U819">
        <v>0</v>
      </c>
      <c r="V819">
        <v>0</v>
      </c>
      <c r="W819">
        <v>0</v>
      </c>
      <c r="X819">
        <v>0</v>
      </c>
      <c r="Y819">
        <v>0.5</v>
      </c>
      <c r="Z819">
        <v>0.5</v>
      </c>
    </row>
    <row r="820" spans="1:30">
      <c r="A820" t="s">
        <v>982</v>
      </c>
      <c r="B820">
        <v>29.125</v>
      </c>
      <c r="C820">
        <v>47.75</v>
      </c>
      <c r="D820">
        <v>1</v>
      </c>
      <c r="F820" t="s">
        <v>156</v>
      </c>
      <c r="G820">
        <v>1</v>
      </c>
      <c r="H820">
        <v>0</v>
      </c>
      <c r="I820">
        <v>1</v>
      </c>
      <c r="J820">
        <v>0</v>
      </c>
      <c r="N820">
        <v>0.5</v>
      </c>
      <c r="O820">
        <v>0.38</v>
      </c>
      <c r="P820">
        <v>3.5</v>
      </c>
      <c r="Q820">
        <v>3.5</v>
      </c>
      <c r="R820">
        <v>4.5</v>
      </c>
      <c r="S820">
        <v>4</v>
      </c>
      <c r="T820">
        <v>0.5</v>
      </c>
      <c r="U820">
        <v>0</v>
      </c>
      <c r="V820">
        <v>0</v>
      </c>
      <c r="W820">
        <v>0</v>
      </c>
      <c r="X820">
        <v>0</v>
      </c>
      <c r="Y820">
        <v>0.5</v>
      </c>
      <c r="Z820">
        <v>0.5</v>
      </c>
    </row>
    <row r="821" spans="1:30">
      <c r="A821" t="s">
        <v>983</v>
      </c>
      <c r="B821">
        <v>38.5</v>
      </c>
      <c r="C821">
        <v>74.625</v>
      </c>
      <c r="D821">
        <v>4.5</v>
      </c>
      <c r="E821">
        <v>1</v>
      </c>
      <c r="F821" t="s">
        <v>156</v>
      </c>
      <c r="G821">
        <v>1</v>
      </c>
      <c r="H821">
        <v>0</v>
      </c>
      <c r="I821">
        <v>1</v>
      </c>
      <c r="J821">
        <v>1</v>
      </c>
      <c r="N821">
        <v>0.5</v>
      </c>
      <c r="O821">
        <v>0.38</v>
      </c>
      <c r="P821">
        <v>3.5</v>
      </c>
      <c r="Q821">
        <v>0</v>
      </c>
      <c r="R821">
        <v>3.5</v>
      </c>
      <c r="S821">
        <v>4</v>
      </c>
      <c r="T821">
        <v>0.5</v>
      </c>
      <c r="U821">
        <v>0</v>
      </c>
      <c r="V821">
        <v>0</v>
      </c>
      <c r="W821">
        <v>0</v>
      </c>
      <c r="X821">
        <v>1</v>
      </c>
      <c r="Y821">
        <v>0.5</v>
      </c>
      <c r="Z821">
        <v>0.5</v>
      </c>
    </row>
    <row r="822" spans="1:30">
      <c r="A822" t="s">
        <v>984</v>
      </c>
      <c r="B822">
        <v>13.9375</v>
      </c>
      <c r="C822">
        <v>61.0625</v>
      </c>
      <c r="D822">
        <v>12</v>
      </c>
      <c r="F822" t="s">
        <v>156</v>
      </c>
      <c r="G822">
        <v>1</v>
      </c>
      <c r="H822">
        <v>1</v>
      </c>
      <c r="I822">
        <v>0</v>
      </c>
      <c r="L822" t="s">
        <v>148</v>
      </c>
      <c r="N822">
        <v>0.5</v>
      </c>
      <c r="O822">
        <v>0.38</v>
      </c>
      <c r="P822">
        <v>3.5</v>
      </c>
      <c r="Q822">
        <v>-7.5</v>
      </c>
      <c r="R822">
        <v>4.5</v>
      </c>
      <c r="S822">
        <v>4</v>
      </c>
      <c r="T822">
        <v>0.5</v>
      </c>
      <c r="U822">
        <v>0</v>
      </c>
      <c r="V822">
        <v>0</v>
      </c>
      <c r="W822">
        <v>0</v>
      </c>
      <c r="X822">
        <v>0</v>
      </c>
      <c r="Y822">
        <v>0.5</v>
      </c>
      <c r="Z822">
        <v>0.5</v>
      </c>
    </row>
    <row r="823" spans="1:30">
      <c r="A823" t="s">
        <v>985</v>
      </c>
      <c r="B823">
        <v>18.1875</v>
      </c>
      <c r="C823">
        <v>50.6875</v>
      </c>
      <c r="D823">
        <v>1</v>
      </c>
      <c r="E823">
        <v>4.9375</v>
      </c>
      <c r="F823" t="s">
        <v>156</v>
      </c>
      <c r="G823">
        <v>1</v>
      </c>
      <c r="H823">
        <v>1</v>
      </c>
      <c r="I823">
        <v>1</v>
      </c>
      <c r="J823">
        <v>0</v>
      </c>
      <c r="K823">
        <v>12</v>
      </c>
      <c r="L823" t="s">
        <v>120</v>
      </c>
      <c r="N823">
        <v>0.5</v>
      </c>
      <c r="O823">
        <v>0.38</v>
      </c>
      <c r="P823">
        <v>3.5</v>
      </c>
      <c r="Q823">
        <v>3.5</v>
      </c>
      <c r="R823">
        <v>0</v>
      </c>
      <c r="S823">
        <v>4</v>
      </c>
      <c r="T823">
        <v>0.5</v>
      </c>
      <c r="U823">
        <v>0</v>
      </c>
      <c r="V823">
        <v>0</v>
      </c>
      <c r="W823">
        <v>0</v>
      </c>
      <c r="X823">
        <v>0</v>
      </c>
      <c r="Y823">
        <v>0.5</v>
      </c>
      <c r="Z823">
        <v>0.5</v>
      </c>
    </row>
    <row r="824" spans="1:30">
      <c r="A824" t="s">
        <v>986</v>
      </c>
      <c r="B824">
        <v>25.5</v>
      </c>
      <c r="C824">
        <v>55.625</v>
      </c>
      <c r="D824">
        <v>9</v>
      </c>
      <c r="E824">
        <v>8.5</v>
      </c>
      <c r="F824" t="s">
        <v>156</v>
      </c>
      <c r="G824">
        <v>1</v>
      </c>
      <c r="H824">
        <v>1</v>
      </c>
      <c r="I824">
        <v>1</v>
      </c>
      <c r="J824">
        <v>0</v>
      </c>
      <c r="K824">
        <v>24</v>
      </c>
      <c r="L824" t="s">
        <v>120</v>
      </c>
      <c r="N824">
        <v>0.5</v>
      </c>
      <c r="O824">
        <v>0.38</v>
      </c>
      <c r="P824">
        <v>3.5</v>
      </c>
      <c r="Q824">
        <v>-4.5</v>
      </c>
      <c r="R824">
        <v>0</v>
      </c>
      <c r="S824">
        <v>4</v>
      </c>
      <c r="T824">
        <v>0.5</v>
      </c>
      <c r="U824">
        <v>0</v>
      </c>
      <c r="V824">
        <v>0</v>
      </c>
      <c r="W824">
        <v>0</v>
      </c>
      <c r="X824">
        <v>0</v>
      </c>
      <c r="Y824">
        <v>0.5</v>
      </c>
      <c r="Z824">
        <v>0.5</v>
      </c>
    </row>
    <row r="825" spans="1:30">
      <c r="A825" t="s">
        <v>987</v>
      </c>
      <c r="B825">
        <v>32.125</v>
      </c>
      <c r="C825">
        <v>65.9375</v>
      </c>
      <c r="D825">
        <v>12</v>
      </c>
      <c r="F825" t="s">
        <v>156</v>
      </c>
      <c r="G825">
        <v>1</v>
      </c>
      <c r="H825">
        <v>1</v>
      </c>
      <c r="I825">
        <v>1</v>
      </c>
      <c r="J825">
        <v>0</v>
      </c>
      <c r="N825">
        <v>0.5</v>
      </c>
      <c r="O825">
        <v>0.38</v>
      </c>
      <c r="P825">
        <v>3.5</v>
      </c>
      <c r="Q825">
        <v>-7.5</v>
      </c>
      <c r="R825">
        <v>4.5</v>
      </c>
      <c r="S825">
        <v>4</v>
      </c>
      <c r="T825">
        <v>0.5</v>
      </c>
      <c r="U825">
        <v>0</v>
      </c>
      <c r="V825">
        <v>0</v>
      </c>
      <c r="W825">
        <v>0</v>
      </c>
      <c r="X825">
        <v>0</v>
      </c>
      <c r="Y825">
        <v>0.5</v>
      </c>
      <c r="Z825">
        <v>0.5</v>
      </c>
    </row>
    <row r="826" spans="1:30">
      <c r="A826" t="s">
        <v>988</v>
      </c>
      <c r="B826">
        <v>6.8125</v>
      </c>
      <c r="C826">
        <v>49.375</v>
      </c>
      <c r="D826">
        <v>4.5</v>
      </c>
      <c r="F826" t="s">
        <v>156</v>
      </c>
      <c r="G826">
        <v>1</v>
      </c>
      <c r="H826">
        <v>1</v>
      </c>
      <c r="I826">
        <v>1</v>
      </c>
      <c r="J826">
        <v>1</v>
      </c>
      <c r="N826">
        <v>0.5</v>
      </c>
      <c r="O826">
        <v>0.38</v>
      </c>
      <c r="P826">
        <v>3.5</v>
      </c>
      <c r="Q826">
        <v>0</v>
      </c>
      <c r="R826">
        <v>4.5</v>
      </c>
      <c r="S826">
        <v>4</v>
      </c>
      <c r="T826">
        <v>0.5</v>
      </c>
      <c r="U826">
        <v>0</v>
      </c>
      <c r="V826">
        <v>0</v>
      </c>
      <c r="W826">
        <v>0</v>
      </c>
      <c r="X826">
        <v>0</v>
      </c>
      <c r="Y826">
        <v>0.5</v>
      </c>
      <c r="Z826">
        <v>0.5</v>
      </c>
    </row>
    <row r="827" spans="1:30">
      <c r="A827" t="s">
        <v>989</v>
      </c>
      <c r="B827">
        <v>60</v>
      </c>
      <c r="C827">
        <v>64.0625</v>
      </c>
      <c r="D827">
        <v>3.3125</v>
      </c>
      <c r="E827">
        <v>6.75</v>
      </c>
      <c r="F827" t="s">
        <v>157</v>
      </c>
      <c r="G827">
        <v>0</v>
      </c>
      <c r="I827">
        <v>0</v>
      </c>
      <c r="L827" t="s">
        <v>148</v>
      </c>
      <c r="N827">
        <v>0.5</v>
      </c>
      <c r="O827">
        <v>0.38</v>
      </c>
      <c r="P827">
        <v>3.5</v>
      </c>
      <c r="Q827">
        <v>1.1875</v>
      </c>
      <c r="R827">
        <v>0</v>
      </c>
      <c r="S827">
        <v>4</v>
      </c>
      <c r="T827">
        <v>0.5</v>
      </c>
      <c r="U827">
        <v>0</v>
      </c>
      <c r="V827">
        <v>0</v>
      </c>
      <c r="W827">
        <v>0</v>
      </c>
      <c r="X827">
        <v>0</v>
      </c>
      <c r="Y827">
        <v>0.5</v>
      </c>
      <c r="Z827">
        <v>0.5</v>
      </c>
      <c r="AA827">
        <v>15.5</v>
      </c>
      <c r="AB827">
        <v>28.875</v>
      </c>
      <c r="AC827">
        <v>21</v>
      </c>
      <c r="AD827">
        <v>14.6875</v>
      </c>
    </row>
    <row r="828" spans="1:30">
      <c r="A828" t="s">
        <v>990</v>
      </c>
      <c r="B828">
        <v>60</v>
      </c>
      <c r="C828">
        <v>67</v>
      </c>
      <c r="D828">
        <v>4.5</v>
      </c>
      <c r="E828">
        <v>7.625</v>
      </c>
      <c r="F828" t="s">
        <v>157</v>
      </c>
      <c r="G828">
        <v>0</v>
      </c>
      <c r="I828">
        <v>1</v>
      </c>
      <c r="J828">
        <v>0</v>
      </c>
      <c r="K828">
        <v>12</v>
      </c>
      <c r="L828" t="s">
        <v>120</v>
      </c>
      <c r="N828">
        <v>0.5</v>
      </c>
      <c r="O828">
        <v>0.38</v>
      </c>
      <c r="P828">
        <v>3.5</v>
      </c>
      <c r="Q828">
        <v>0</v>
      </c>
      <c r="R828">
        <v>0</v>
      </c>
      <c r="S828">
        <v>4</v>
      </c>
      <c r="T828">
        <v>0.5</v>
      </c>
      <c r="U828">
        <v>0</v>
      </c>
      <c r="V828">
        <v>0</v>
      </c>
      <c r="W828">
        <v>0</v>
      </c>
      <c r="X828">
        <v>0</v>
      </c>
      <c r="Y828">
        <v>0.5</v>
      </c>
      <c r="Z828">
        <v>0.5</v>
      </c>
      <c r="AA828">
        <v>11.5</v>
      </c>
      <c r="AB828">
        <v>10.875</v>
      </c>
      <c r="AC828">
        <v>16.940000000000001</v>
      </c>
      <c r="AD828">
        <v>13.5</v>
      </c>
    </row>
    <row r="829" spans="1:30">
      <c r="A829" t="s">
        <v>991</v>
      </c>
      <c r="B829">
        <v>60</v>
      </c>
      <c r="C829">
        <v>21.6875</v>
      </c>
      <c r="D829">
        <v>9.5625</v>
      </c>
      <c r="F829" t="s">
        <v>157</v>
      </c>
      <c r="G829">
        <v>0</v>
      </c>
      <c r="I829">
        <v>1</v>
      </c>
      <c r="J829">
        <v>0</v>
      </c>
      <c r="K829">
        <v>24</v>
      </c>
      <c r="N829">
        <v>0.5</v>
      </c>
      <c r="O829">
        <v>0.38</v>
      </c>
      <c r="P829">
        <v>3.5</v>
      </c>
      <c r="Q829">
        <v>-5.0625</v>
      </c>
      <c r="R829">
        <v>4.5</v>
      </c>
      <c r="S829">
        <v>4</v>
      </c>
      <c r="T829">
        <v>0.5</v>
      </c>
      <c r="U829">
        <v>0</v>
      </c>
      <c r="V829">
        <v>0</v>
      </c>
      <c r="W829">
        <v>0</v>
      </c>
      <c r="X829">
        <v>0</v>
      </c>
      <c r="Y829">
        <v>0.5</v>
      </c>
      <c r="Z829">
        <v>0.5</v>
      </c>
    </row>
    <row r="830" spans="1:30">
      <c r="A830" t="s">
        <v>992</v>
      </c>
      <c r="B830">
        <v>60</v>
      </c>
      <c r="C830">
        <v>78.625</v>
      </c>
      <c r="D830">
        <v>1</v>
      </c>
      <c r="E830">
        <v>7.625</v>
      </c>
      <c r="F830" t="s">
        <v>157</v>
      </c>
      <c r="G830">
        <v>0</v>
      </c>
      <c r="I830">
        <v>1</v>
      </c>
      <c r="J830">
        <v>0</v>
      </c>
      <c r="N830">
        <v>0.5</v>
      </c>
      <c r="O830">
        <v>0.38</v>
      </c>
      <c r="P830">
        <v>3.5</v>
      </c>
      <c r="Q830">
        <v>3.5</v>
      </c>
      <c r="R830">
        <v>0</v>
      </c>
      <c r="S830">
        <v>4</v>
      </c>
      <c r="T830">
        <v>0.5</v>
      </c>
      <c r="U830">
        <v>0</v>
      </c>
      <c r="V830">
        <v>1</v>
      </c>
      <c r="W830">
        <v>0</v>
      </c>
      <c r="X830">
        <v>0</v>
      </c>
      <c r="Y830">
        <v>0.5</v>
      </c>
      <c r="Z830">
        <v>0</v>
      </c>
    </row>
    <row r="831" spans="1:30">
      <c r="A831" t="s">
        <v>993</v>
      </c>
      <c r="B831">
        <v>60</v>
      </c>
      <c r="C831">
        <v>46.5</v>
      </c>
      <c r="D831">
        <v>9</v>
      </c>
      <c r="E831">
        <v>6.25</v>
      </c>
      <c r="F831" t="s">
        <v>157</v>
      </c>
      <c r="G831">
        <v>0</v>
      </c>
      <c r="I831">
        <v>1</v>
      </c>
      <c r="J831">
        <v>1</v>
      </c>
      <c r="N831">
        <v>0.5</v>
      </c>
      <c r="O831">
        <v>0.38</v>
      </c>
      <c r="P831">
        <v>3.5</v>
      </c>
      <c r="Q831">
        <v>-4.5</v>
      </c>
      <c r="R831">
        <v>0</v>
      </c>
      <c r="S831">
        <v>4</v>
      </c>
      <c r="T831">
        <v>0.5</v>
      </c>
      <c r="U831">
        <v>0</v>
      </c>
      <c r="V831">
        <v>0</v>
      </c>
      <c r="W831">
        <v>0</v>
      </c>
      <c r="X831">
        <v>0</v>
      </c>
      <c r="Y831">
        <v>0.5</v>
      </c>
      <c r="Z831">
        <v>0.5</v>
      </c>
    </row>
    <row r="832" spans="1:30">
      <c r="A832" t="s">
        <v>994</v>
      </c>
      <c r="B832">
        <v>60</v>
      </c>
      <c r="C832">
        <v>38.625</v>
      </c>
      <c r="D832">
        <v>12</v>
      </c>
      <c r="E832">
        <v>4.8125</v>
      </c>
      <c r="F832" t="s">
        <v>157</v>
      </c>
      <c r="G832">
        <v>1</v>
      </c>
      <c r="H832">
        <v>0</v>
      </c>
      <c r="I832">
        <v>0</v>
      </c>
      <c r="N832">
        <v>0.5</v>
      </c>
      <c r="O832">
        <v>0.38</v>
      </c>
      <c r="P832">
        <v>3.5</v>
      </c>
      <c r="Q832">
        <v>-7.5</v>
      </c>
      <c r="R832">
        <v>0</v>
      </c>
      <c r="S832">
        <v>4</v>
      </c>
      <c r="T832">
        <v>0.5</v>
      </c>
      <c r="U832">
        <v>0</v>
      </c>
      <c r="V832">
        <v>0</v>
      </c>
      <c r="W832">
        <v>0</v>
      </c>
      <c r="X832">
        <v>0</v>
      </c>
      <c r="Y832">
        <v>0.5</v>
      </c>
      <c r="Z832">
        <v>0.5</v>
      </c>
    </row>
    <row r="833" spans="1:30">
      <c r="A833" t="s">
        <v>995</v>
      </c>
      <c r="B833">
        <v>60</v>
      </c>
      <c r="C833">
        <v>72.3125</v>
      </c>
      <c r="D833">
        <v>4.5</v>
      </c>
      <c r="E833">
        <v>3.5625</v>
      </c>
      <c r="F833" t="s">
        <v>157</v>
      </c>
      <c r="G833">
        <v>1</v>
      </c>
      <c r="H833">
        <v>0</v>
      </c>
      <c r="I833">
        <v>1</v>
      </c>
      <c r="J833">
        <v>0</v>
      </c>
      <c r="K833">
        <v>12</v>
      </c>
      <c r="N833">
        <v>0.5</v>
      </c>
      <c r="O833">
        <v>0.38</v>
      </c>
      <c r="P833">
        <v>3.5</v>
      </c>
      <c r="Q833">
        <v>0</v>
      </c>
      <c r="R833">
        <v>0.9375</v>
      </c>
      <c r="S833">
        <v>4</v>
      </c>
      <c r="T833">
        <v>0.5</v>
      </c>
      <c r="U833">
        <v>0</v>
      </c>
      <c r="V833">
        <v>0</v>
      </c>
      <c r="W833">
        <v>0</v>
      </c>
      <c r="X833">
        <v>0</v>
      </c>
      <c r="Y833">
        <v>0.5</v>
      </c>
      <c r="Z833">
        <v>0.5</v>
      </c>
    </row>
    <row r="834" spans="1:30">
      <c r="A834" t="s">
        <v>996</v>
      </c>
      <c r="B834">
        <v>60</v>
      </c>
      <c r="C834">
        <v>40.4375</v>
      </c>
      <c r="D834">
        <v>9</v>
      </c>
      <c r="E834">
        <v>6.9375</v>
      </c>
      <c r="F834" t="s">
        <v>157</v>
      </c>
      <c r="G834">
        <v>1</v>
      </c>
      <c r="H834">
        <v>0</v>
      </c>
      <c r="I834">
        <v>1</v>
      </c>
      <c r="J834">
        <v>0</v>
      </c>
      <c r="K834">
        <v>24</v>
      </c>
      <c r="L834" t="s">
        <v>120</v>
      </c>
      <c r="N834">
        <v>0.5</v>
      </c>
      <c r="O834">
        <v>0.38</v>
      </c>
      <c r="P834">
        <v>3.5</v>
      </c>
      <c r="Q834">
        <v>-4.5</v>
      </c>
      <c r="R834">
        <v>0</v>
      </c>
      <c r="S834">
        <v>4</v>
      </c>
      <c r="T834">
        <v>0.5</v>
      </c>
      <c r="U834">
        <v>0</v>
      </c>
      <c r="V834">
        <v>0</v>
      </c>
      <c r="W834">
        <v>0</v>
      </c>
      <c r="X834">
        <v>0</v>
      </c>
      <c r="Y834">
        <v>0.5</v>
      </c>
      <c r="Z834">
        <v>0.5</v>
      </c>
      <c r="AA834">
        <v>11.5</v>
      </c>
      <c r="AB834">
        <v>10.875</v>
      </c>
      <c r="AC834">
        <v>4.9400000000000004</v>
      </c>
      <c r="AD834">
        <v>9</v>
      </c>
    </row>
    <row r="835" spans="1:30">
      <c r="A835" t="s">
        <v>997</v>
      </c>
      <c r="B835">
        <v>60</v>
      </c>
      <c r="C835">
        <v>68.875</v>
      </c>
      <c r="D835">
        <v>9</v>
      </c>
      <c r="F835" t="s">
        <v>157</v>
      </c>
      <c r="G835">
        <v>1</v>
      </c>
      <c r="H835">
        <v>0</v>
      </c>
      <c r="I835">
        <v>1</v>
      </c>
      <c r="J835">
        <v>0</v>
      </c>
      <c r="N835">
        <v>0.5</v>
      </c>
      <c r="O835">
        <v>0.38</v>
      </c>
      <c r="P835">
        <v>3.5</v>
      </c>
      <c r="Q835">
        <v>-4.5</v>
      </c>
      <c r="R835">
        <v>4.5</v>
      </c>
      <c r="S835">
        <v>4</v>
      </c>
      <c r="T835">
        <v>0.5</v>
      </c>
      <c r="U835">
        <v>0</v>
      </c>
      <c r="V835">
        <v>0</v>
      </c>
      <c r="W835">
        <v>0</v>
      </c>
      <c r="X835">
        <v>0</v>
      </c>
      <c r="Y835">
        <v>0.5</v>
      </c>
      <c r="Z835">
        <v>0.5</v>
      </c>
    </row>
    <row r="836" spans="1:30">
      <c r="A836" t="s">
        <v>998</v>
      </c>
      <c r="B836">
        <v>60</v>
      </c>
      <c r="C836">
        <v>60.625</v>
      </c>
      <c r="D836">
        <v>4.5</v>
      </c>
      <c r="E836">
        <v>1</v>
      </c>
      <c r="F836" t="s">
        <v>157</v>
      </c>
      <c r="G836">
        <v>1</v>
      </c>
      <c r="H836">
        <v>0</v>
      </c>
      <c r="I836">
        <v>1</v>
      </c>
      <c r="J836">
        <v>1</v>
      </c>
      <c r="N836">
        <v>0.5</v>
      </c>
      <c r="O836">
        <v>0.38</v>
      </c>
      <c r="P836">
        <v>3.5</v>
      </c>
      <c r="Q836">
        <v>0</v>
      </c>
      <c r="R836">
        <v>3.5</v>
      </c>
      <c r="S836">
        <v>4</v>
      </c>
      <c r="T836">
        <v>0.5</v>
      </c>
      <c r="U836">
        <v>0</v>
      </c>
      <c r="V836">
        <v>0</v>
      </c>
      <c r="W836">
        <v>0</v>
      </c>
      <c r="X836">
        <v>0</v>
      </c>
      <c r="Y836">
        <v>0.5</v>
      </c>
      <c r="Z836">
        <v>0.5</v>
      </c>
    </row>
    <row r="837" spans="1:30">
      <c r="A837" t="s">
        <v>999</v>
      </c>
      <c r="B837">
        <v>60</v>
      </c>
      <c r="C837">
        <v>78.75</v>
      </c>
      <c r="D837">
        <v>1</v>
      </c>
      <c r="E837">
        <v>6.125</v>
      </c>
      <c r="F837" t="s">
        <v>157</v>
      </c>
      <c r="G837">
        <v>1</v>
      </c>
      <c r="H837">
        <v>1</v>
      </c>
      <c r="I837">
        <v>0</v>
      </c>
      <c r="N837">
        <v>0.5</v>
      </c>
      <c r="O837">
        <v>0.38</v>
      </c>
      <c r="P837">
        <v>3.5</v>
      </c>
      <c r="Q837">
        <v>3.5</v>
      </c>
      <c r="R837">
        <v>0</v>
      </c>
      <c r="S837">
        <v>4</v>
      </c>
      <c r="T837">
        <v>0.5</v>
      </c>
      <c r="U837">
        <v>1</v>
      </c>
      <c r="V837">
        <v>0</v>
      </c>
      <c r="W837">
        <v>0</v>
      </c>
      <c r="X837">
        <v>0</v>
      </c>
      <c r="Y837">
        <v>0</v>
      </c>
      <c r="Z837">
        <v>0.5</v>
      </c>
    </row>
    <row r="838" spans="1:30">
      <c r="A838" t="s">
        <v>1000</v>
      </c>
      <c r="B838">
        <v>60</v>
      </c>
      <c r="C838">
        <v>74.8125</v>
      </c>
      <c r="D838">
        <v>12</v>
      </c>
      <c r="E838">
        <v>1</v>
      </c>
      <c r="F838" t="s">
        <v>157</v>
      </c>
      <c r="G838">
        <v>1</v>
      </c>
      <c r="H838">
        <v>1</v>
      </c>
      <c r="I838">
        <v>1</v>
      </c>
      <c r="J838">
        <v>0</v>
      </c>
      <c r="K838">
        <v>12</v>
      </c>
      <c r="L838" t="s">
        <v>149</v>
      </c>
      <c r="N838">
        <v>0.5</v>
      </c>
      <c r="O838">
        <v>0.38</v>
      </c>
      <c r="P838">
        <v>3.5</v>
      </c>
      <c r="Q838">
        <v>-7.5</v>
      </c>
      <c r="R838">
        <v>3.5</v>
      </c>
      <c r="S838">
        <v>4</v>
      </c>
      <c r="T838">
        <v>0.5</v>
      </c>
      <c r="U838">
        <v>0</v>
      </c>
      <c r="V838">
        <v>0</v>
      </c>
      <c r="W838">
        <v>0</v>
      </c>
      <c r="X838">
        <v>0</v>
      </c>
      <c r="Y838">
        <v>0.5</v>
      </c>
      <c r="Z838">
        <v>0.5</v>
      </c>
      <c r="AA838">
        <v>15.5</v>
      </c>
      <c r="AB838">
        <v>28.875</v>
      </c>
      <c r="AC838">
        <v>9</v>
      </c>
      <c r="AD838">
        <v>6</v>
      </c>
    </row>
    <row r="839" spans="1:30">
      <c r="A839" t="s">
        <v>1001</v>
      </c>
      <c r="B839">
        <v>60</v>
      </c>
      <c r="C839">
        <v>64.875</v>
      </c>
      <c r="D839">
        <v>8.875</v>
      </c>
      <c r="E839">
        <v>4.5</v>
      </c>
      <c r="F839" t="s">
        <v>157</v>
      </c>
      <c r="G839">
        <v>1</v>
      </c>
      <c r="H839">
        <v>1</v>
      </c>
      <c r="I839">
        <v>1</v>
      </c>
      <c r="J839">
        <v>0</v>
      </c>
      <c r="K839">
        <v>24</v>
      </c>
      <c r="L839" t="s">
        <v>149</v>
      </c>
      <c r="N839">
        <v>0.5</v>
      </c>
      <c r="O839">
        <v>0.38</v>
      </c>
      <c r="P839">
        <v>3.5</v>
      </c>
      <c r="Q839">
        <v>-4.375</v>
      </c>
      <c r="R839">
        <v>0</v>
      </c>
      <c r="S839">
        <v>4</v>
      </c>
      <c r="T839">
        <v>0.5</v>
      </c>
      <c r="U839">
        <v>0</v>
      </c>
      <c r="V839">
        <v>0</v>
      </c>
      <c r="W839">
        <v>0</v>
      </c>
      <c r="X839">
        <v>0</v>
      </c>
      <c r="Y839">
        <v>0.5</v>
      </c>
      <c r="Z839">
        <v>0.5</v>
      </c>
      <c r="AA839">
        <v>15.5</v>
      </c>
      <c r="AB839">
        <v>28.875</v>
      </c>
    </row>
    <row r="840" spans="1:30">
      <c r="A840" t="s">
        <v>1002</v>
      </c>
      <c r="B840">
        <v>60</v>
      </c>
      <c r="C840">
        <v>48.9375</v>
      </c>
      <c r="D840">
        <v>2.9375</v>
      </c>
      <c r="F840" t="s">
        <v>157</v>
      </c>
      <c r="G840">
        <v>1</v>
      </c>
      <c r="H840">
        <v>1</v>
      </c>
      <c r="I840">
        <v>1</v>
      </c>
      <c r="J840">
        <v>0</v>
      </c>
      <c r="N840">
        <v>0.5</v>
      </c>
      <c r="O840">
        <v>0.38</v>
      </c>
      <c r="P840">
        <v>3.5</v>
      </c>
      <c r="Q840">
        <v>1.5625</v>
      </c>
      <c r="R840">
        <v>4.5</v>
      </c>
      <c r="S840">
        <v>4</v>
      </c>
      <c r="T840">
        <v>0.5</v>
      </c>
      <c r="U840">
        <v>1</v>
      </c>
      <c r="V840">
        <v>1</v>
      </c>
      <c r="W840">
        <v>0</v>
      </c>
      <c r="X840">
        <v>0</v>
      </c>
      <c r="Y840">
        <v>0</v>
      </c>
      <c r="Z840">
        <v>0</v>
      </c>
    </row>
    <row r="841" spans="1:30">
      <c r="A841" t="s">
        <v>1003</v>
      </c>
      <c r="B841">
        <v>60</v>
      </c>
      <c r="C841">
        <v>18.3125</v>
      </c>
      <c r="D841">
        <v>9</v>
      </c>
      <c r="F841" t="s">
        <v>157</v>
      </c>
      <c r="G841">
        <v>1</v>
      </c>
      <c r="H841">
        <v>1</v>
      </c>
      <c r="I841">
        <v>1</v>
      </c>
      <c r="J841">
        <v>1</v>
      </c>
      <c r="N841">
        <v>0.5</v>
      </c>
      <c r="O841">
        <v>0.38</v>
      </c>
      <c r="P841">
        <v>3.5</v>
      </c>
      <c r="Q841">
        <v>-4.5</v>
      </c>
      <c r="R841">
        <v>4.5</v>
      </c>
      <c r="S841">
        <v>4</v>
      </c>
      <c r="T841">
        <v>0.5</v>
      </c>
      <c r="U841">
        <v>0</v>
      </c>
      <c r="V841">
        <v>0</v>
      </c>
      <c r="W841">
        <v>0</v>
      </c>
      <c r="X841">
        <v>0</v>
      </c>
      <c r="Y841">
        <v>0.5</v>
      </c>
      <c r="Z841">
        <v>0.5</v>
      </c>
    </row>
    <row r="842" spans="1:30">
      <c r="A842" t="s">
        <v>1004</v>
      </c>
      <c r="B842">
        <v>96</v>
      </c>
      <c r="C842">
        <v>73.25</v>
      </c>
      <c r="D842">
        <v>9</v>
      </c>
      <c r="E842">
        <v>6.3125</v>
      </c>
      <c r="F842" t="s">
        <v>21</v>
      </c>
      <c r="G842">
        <v>0</v>
      </c>
      <c r="I842">
        <v>0</v>
      </c>
      <c r="L842" t="s">
        <v>151</v>
      </c>
      <c r="N842">
        <v>0.5</v>
      </c>
      <c r="O842">
        <v>0.38</v>
      </c>
      <c r="P842">
        <v>3.5</v>
      </c>
      <c r="Q842">
        <v>-4.5</v>
      </c>
      <c r="R842">
        <v>0</v>
      </c>
      <c r="S842">
        <v>4</v>
      </c>
      <c r="T842">
        <v>0.5</v>
      </c>
      <c r="U842">
        <v>0</v>
      </c>
      <c r="V842">
        <v>0</v>
      </c>
      <c r="W842">
        <v>0</v>
      </c>
      <c r="X842">
        <v>0</v>
      </c>
      <c r="Y842">
        <v>0.5</v>
      </c>
      <c r="Z842">
        <v>0.5</v>
      </c>
      <c r="AA842">
        <v>15.5</v>
      </c>
      <c r="AB842">
        <v>28.875</v>
      </c>
      <c r="AC842">
        <v>21</v>
      </c>
      <c r="AD842">
        <v>9</v>
      </c>
    </row>
    <row r="843" spans="1:30">
      <c r="A843" t="s">
        <v>1005</v>
      </c>
      <c r="B843">
        <v>68.5</v>
      </c>
      <c r="C843">
        <v>50.4375</v>
      </c>
      <c r="D843">
        <v>1</v>
      </c>
      <c r="E843">
        <v>4.6875</v>
      </c>
      <c r="F843" t="s">
        <v>21</v>
      </c>
      <c r="G843">
        <v>0</v>
      </c>
      <c r="I843">
        <v>1</v>
      </c>
      <c r="J843">
        <v>0</v>
      </c>
      <c r="K843">
        <v>12</v>
      </c>
      <c r="L843" t="s">
        <v>121</v>
      </c>
      <c r="N843">
        <v>0.5</v>
      </c>
      <c r="O843">
        <v>0.38</v>
      </c>
      <c r="P843">
        <v>3.5</v>
      </c>
      <c r="Q843">
        <v>3.5</v>
      </c>
      <c r="R843">
        <v>0</v>
      </c>
      <c r="S843">
        <v>4</v>
      </c>
      <c r="T843">
        <v>0.5</v>
      </c>
      <c r="U843">
        <v>0</v>
      </c>
      <c r="V843">
        <v>1</v>
      </c>
      <c r="W843">
        <v>0</v>
      </c>
      <c r="X843">
        <v>0</v>
      </c>
      <c r="Y843">
        <v>0.5</v>
      </c>
      <c r="Z843">
        <v>0</v>
      </c>
      <c r="AA843">
        <v>11</v>
      </c>
      <c r="AB843">
        <v>9.375</v>
      </c>
    </row>
    <row r="844" spans="1:30">
      <c r="A844" t="s">
        <v>1006</v>
      </c>
      <c r="B844">
        <v>56.875</v>
      </c>
      <c r="C844">
        <v>33.25</v>
      </c>
      <c r="D844">
        <v>12</v>
      </c>
      <c r="F844" t="s">
        <v>21</v>
      </c>
      <c r="G844">
        <v>0</v>
      </c>
      <c r="I844">
        <v>1</v>
      </c>
      <c r="J844">
        <v>0</v>
      </c>
      <c r="K844">
        <v>24</v>
      </c>
      <c r="N844">
        <v>0.5</v>
      </c>
      <c r="O844">
        <v>0.38</v>
      </c>
      <c r="P844">
        <v>3.5</v>
      </c>
      <c r="Q844">
        <v>-7.5</v>
      </c>
      <c r="R844">
        <v>4.5</v>
      </c>
      <c r="S844">
        <v>4</v>
      </c>
      <c r="T844">
        <v>0.5</v>
      </c>
      <c r="U844">
        <v>0</v>
      </c>
      <c r="V844">
        <v>0</v>
      </c>
      <c r="W844">
        <v>0</v>
      </c>
      <c r="X844">
        <v>0</v>
      </c>
      <c r="Y844">
        <v>0.5</v>
      </c>
      <c r="Z844">
        <v>0.5</v>
      </c>
    </row>
    <row r="845" spans="1:30">
      <c r="A845" t="s">
        <v>1007</v>
      </c>
      <c r="B845">
        <v>96</v>
      </c>
      <c r="C845">
        <v>26</v>
      </c>
      <c r="D845">
        <v>1</v>
      </c>
      <c r="F845" t="s">
        <v>21</v>
      </c>
      <c r="G845">
        <v>0</v>
      </c>
      <c r="I845">
        <v>1</v>
      </c>
      <c r="J845">
        <v>0</v>
      </c>
      <c r="N845">
        <v>0.5</v>
      </c>
      <c r="O845">
        <v>0.38</v>
      </c>
      <c r="P845">
        <v>3.5</v>
      </c>
      <c r="Q845">
        <v>3.5</v>
      </c>
      <c r="R845">
        <v>4.5</v>
      </c>
      <c r="S845">
        <v>4</v>
      </c>
      <c r="T845">
        <v>0.5</v>
      </c>
      <c r="U845">
        <v>0</v>
      </c>
      <c r="V845">
        <v>1</v>
      </c>
      <c r="W845">
        <v>0</v>
      </c>
      <c r="X845">
        <v>0</v>
      </c>
      <c r="Y845">
        <v>0.5</v>
      </c>
      <c r="Z845">
        <v>0</v>
      </c>
    </row>
    <row r="846" spans="1:30">
      <c r="A846" t="s">
        <v>1008</v>
      </c>
      <c r="B846">
        <v>64.3125</v>
      </c>
      <c r="C846">
        <v>60.5625</v>
      </c>
      <c r="D846">
        <v>9</v>
      </c>
      <c r="F846" t="s">
        <v>21</v>
      </c>
      <c r="G846">
        <v>0</v>
      </c>
      <c r="I846">
        <v>1</v>
      </c>
      <c r="J846">
        <v>1</v>
      </c>
      <c r="N846">
        <v>0.5</v>
      </c>
      <c r="O846">
        <v>0.38</v>
      </c>
      <c r="P846">
        <v>3.5</v>
      </c>
      <c r="Q846">
        <v>-4.5</v>
      </c>
      <c r="R846">
        <v>4.5</v>
      </c>
      <c r="S846">
        <v>4</v>
      </c>
      <c r="T846">
        <v>0.5</v>
      </c>
      <c r="U846">
        <v>0</v>
      </c>
      <c r="V846">
        <v>0</v>
      </c>
      <c r="W846">
        <v>0</v>
      </c>
      <c r="X846">
        <v>0</v>
      </c>
      <c r="Y846">
        <v>0.5</v>
      </c>
      <c r="Z846">
        <v>0.5</v>
      </c>
    </row>
    <row r="847" spans="1:30">
      <c r="A847" t="s">
        <v>1009</v>
      </c>
      <c r="B847">
        <v>77.0625</v>
      </c>
      <c r="C847">
        <v>40</v>
      </c>
      <c r="D847">
        <v>1</v>
      </c>
      <c r="E847">
        <v>4.8125</v>
      </c>
      <c r="F847" t="s">
        <v>21</v>
      </c>
      <c r="G847">
        <v>1</v>
      </c>
      <c r="H847">
        <v>0</v>
      </c>
      <c r="I847">
        <v>0</v>
      </c>
      <c r="L847" t="s">
        <v>149</v>
      </c>
      <c r="N847">
        <v>0.5</v>
      </c>
      <c r="O847">
        <v>0.38</v>
      </c>
      <c r="P847">
        <v>3.5</v>
      </c>
      <c r="Q847">
        <v>3.5</v>
      </c>
      <c r="R847">
        <v>0</v>
      </c>
      <c r="S847">
        <v>4</v>
      </c>
      <c r="T847">
        <v>0.5</v>
      </c>
      <c r="U847">
        <v>1</v>
      </c>
      <c r="V847">
        <v>0</v>
      </c>
      <c r="W847">
        <v>0</v>
      </c>
      <c r="X847">
        <v>0</v>
      </c>
      <c r="Y847">
        <v>0</v>
      </c>
      <c r="Z847">
        <v>0.5</v>
      </c>
      <c r="AA847">
        <v>15.5</v>
      </c>
      <c r="AB847">
        <v>28.875</v>
      </c>
      <c r="AC847">
        <v>21</v>
      </c>
      <c r="AD847">
        <v>17</v>
      </c>
    </row>
    <row r="848" spans="1:30">
      <c r="A848" t="s">
        <v>1010</v>
      </c>
      <c r="B848">
        <v>98.375</v>
      </c>
      <c r="C848">
        <v>71.4375</v>
      </c>
      <c r="D848">
        <v>9</v>
      </c>
      <c r="E848">
        <v>1</v>
      </c>
      <c r="F848" t="s">
        <v>21</v>
      </c>
      <c r="G848">
        <v>1</v>
      </c>
      <c r="H848">
        <v>0</v>
      </c>
      <c r="I848">
        <v>1</v>
      </c>
      <c r="J848">
        <v>0</v>
      </c>
      <c r="K848">
        <v>12</v>
      </c>
      <c r="L848" t="s">
        <v>150</v>
      </c>
      <c r="N848">
        <v>0.5</v>
      </c>
      <c r="O848">
        <v>0.38</v>
      </c>
      <c r="P848">
        <v>3.5</v>
      </c>
      <c r="Q848">
        <v>-4.5</v>
      </c>
      <c r="R848">
        <v>3.5</v>
      </c>
      <c r="S848">
        <v>4</v>
      </c>
      <c r="T848">
        <v>0.5</v>
      </c>
      <c r="U848">
        <v>0</v>
      </c>
      <c r="V848">
        <v>0</v>
      </c>
      <c r="W848">
        <v>0</v>
      </c>
      <c r="X848">
        <v>0</v>
      </c>
      <c r="Y848">
        <v>0.5</v>
      </c>
      <c r="Z848">
        <v>0.5</v>
      </c>
      <c r="AA848">
        <v>15.5</v>
      </c>
      <c r="AB848">
        <v>28.875</v>
      </c>
      <c r="AC848">
        <v>9</v>
      </c>
      <c r="AD848">
        <v>9</v>
      </c>
    </row>
    <row r="849" spans="1:30">
      <c r="A849" t="s">
        <v>1011</v>
      </c>
      <c r="B849">
        <v>85.1875</v>
      </c>
      <c r="C849">
        <v>43.4375</v>
      </c>
      <c r="D849">
        <v>12</v>
      </c>
      <c r="E849">
        <v>1</v>
      </c>
      <c r="F849" t="s">
        <v>21</v>
      </c>
      <c r="G849">
        <v>1</v>
      </c>
      <c r="H849">
        <v>0</v>
      </c>
      <c r="I849">
        <v>1</v>
      </c>
      <c r="J849">
        <v>0</v>
      </c>
      <c r="K849">
        <v>24</v>
      </c>
      <c r="L849" t="s">
        <v>145</v>
      </c>
      <c r="N849">
        <v>0.5</v>
      </c>
      <c r="O849">
        <v>0.38</v>
      </c>
      <c r="P849">
        <v>3.5</v>
      </c>
      <c r="Q849">
        <v>-7.5</v>
      </c>
      <c r="R849">
        <v>3.5</v>
      </c>
      <c r="S849">
        <v>4</v>
      </c>
      <c r="T849">
        <v>0.5</v>
      </c>
      <c r="U849">
        <v>0</v>
      </c>
      <c r="V849">
        <v>0</v>
      </c>
      <c r="W849">
        <v>0</v>
      </c>
      <c r="X849">
        <v>0</v>
      </c>
      <c r="Y849">
        <v>0.5</v>
      </c>
      <c r="Z849">
        <v>0.5</v>
      </c>
      <c r="AA849">
        <v>15.5</v>
      </c>
      <c r="AB849">
        <v>28.875</v>
      </c>
    </row>
    <row r="850" spans="1:30">
      <c r="A850" t="s">
        <v>1012</v>
      </c>
      <c r="B850">
        <v>97.875</v>
      </c>
      <c r="C850">
        <v>22.25</v>
      </c>
      <c r="D850">
        <v>1</v>
      </c>
      <c r="E850">
        <v>5.875</v>
      </c>
      <c r="F850" t="s">
        <v>21</v>
      </c>
      <c r="G850">
        <v>1</v>
      </c>
      <c r="H850">
        <v>0</v>
      </c>
      <c r="I850">
        <v>1</v>
      </c>
      <c r="J850">
        <v>0</v>
      </c>
      <c r="N850">
        <v>0.5</v>
      </c>
      <c r="O850">
        <v>0.38</v>
      </c>
      <c r="P850">
        <v>3.5</v>
      </c>
      <c r="Q850">
        <v>3.5</v>
      </c>
      <c r="R850">
        <v>0</v>
      </c>
      <c r="S850">
        <v>4</v>
      </c>
      <c r="T850">
        <v>0.5</v>
      </c>
      <c r="U850">
        <v>1</v>
      </c>
      <c r="V850">
        <v>1</v>
      </c>
      <c r="W850">
        <v>0</v>
      </c>
      <c r="X850">
        <v>0</v>
      </c>
      <c r="Y850">
        <v>0</v>
      </c>
      <c r="Z850">
        <v>0</v>
      </c>
    </row>
    <row r="851" spans="1:30">
      <c r="A851" t="s">
        <v>1013</v>
      </c>
      <c r="B851">
        <v>72.9375</v>
      </c>
      <c r="C851">
        <v>58.125</v>
      </c>
      <c r="D851">
        <v>12</v>
      </c>
      <c r="E851">
        <v>7.375</v>
      </c>
      <c r="F851" t="s">
        <v>21</v>
      </c>
      <c r="G851">
        <v>1</v>
      </c>
      <c r="H851">
        <v>0</v>
      </c>
      <c r="I851">
        <v>1</v>
      </c>
      <c r="J851">
        <v>1</v>
      </c>
      <c r="N851">
        <v>0.5</v>
      </c>
      <c r="O851">
        <v>0.38</v>
      </c>
      <c r="P851">
        <v>3.5</v>
      </c>
      <c r="Q851">
        <v>-7.5</v>
      </c>
      <c r="R851">
        <v>0</v>
      </c>
      <c r="S851">
        <v>4</v>
      </c>
      <c r="T851">
        <v>0.5</v>
      </c>
      <c r="U851">
        <v>0</v>
      </c>
      <c r="V851">
        <v>0</v>
      </c>
      <c r="W851">
        <v>0</v>
      </c>
      <c r="X851">
        <v>0</v>
      </c>
      <c r="Y851">
        <v>0.5</v>
      </c>
      <c r="Z851">
        <v>0.5</v>
      </c>
    </row>
    <row r="852" spans="1:30">
      <c r="A852" t="s">
        <v>1014</v>
      </c>
      <c r="B852">
        <v>108.5625</v>
      </c>
      <c r="C852">
        <v>62.375</v>
      </c>
      <c r="D852">
        <v>1</v>
      </c>
      <c r="E852">
        <v>1.0625</v>
      </c>
      <c r="F852" t="s">
        <v>21</v>
      </c>
      <c r="G852">
        <v>1</v>
      </c>
      <c r="H852">
        <v>1</v>
      </c>
      <c r="I852">
        <v>0</v>
      </c>
      <c r="L852" t="s">
        <v>120</v>
      </c>
      <c r="N852">
        <v>0.5</v>
      </c>
      <c r="O852">
        <v>0.38</v>
      </c>
      <c r="P852">
        <v>3.5</v>
      </c>
      <c r="Q852">
        <v>3.5</v>
      </c>
      <c r="R852">
        <v>3.4375</v>
      </c>
      <c r="S852">
        <v>4</v>
      </c>
      <c r="T852">
        <v>0.5</v>
      </c>
      <c r="U852">
        <v>1</v>
      </c>
      <c r="V852">
        <v>0</v>
      </c>
      <c r="W852">
        <v>1</v>
      </c>
      <c r="X852">
        <v>0</v>
      </c>
      <c r="Y852">
        <v>0</v>
      </c>
      <c r="Z852">
        <v>0.5</v>
      </c>
      <c r="AA852">
        <v>11.5</v>
      </c>
      <c r="AB852">
        <v>10.875</v>
      </c>
      <c r="AC852">
        <v>28.94</v>
      </c>
      <c r="AD852">
        <v>17</v>
      </c>
    </row>
    <row r="853" spans="1:30">
      <c r="A853" t="s">
        <v>1015</v>
      </c>
      <c r="B853">
        <v>78.25</v>
      </c>
      <c r="C853">
        <v>62.3125</v>
      </c>
      <c r="D853">
        <v>3.375</v>
      </c>
      <c r="E853">
        <v>5.1875</v>
      </c>
      <c r="F853" t="s">
        <v>21</v>
      </c>
      <c r="G853">
        <v>1</v>
      </c>
      <c r="H853">
        <v>1</v>
      </c>
      <c r="I853">
        <v>1</v>
      </c>
      <c r="J853">
        <v>0</v>
      </c>
      <c r="K853">
        <v>12</v>
      </c>
      <c r="L853" t="s">
        <v>148</v>
      </c>
      <c r="N853">
        <v>0.5</v>
      </c>
      <c r="O853">
        <v>0.38</v>
      </c>
      <c r="P853">
        <v>3.5</v>
      </c>
      <c r="Q853">
        <v>1.125</v>
      </c>
      <c r="R853">
        <v>0</v>
      </c>
      <c r="S853">
        <v>4</v>
      </c>
      <c r="T853">
        <v>0.5</v>
      </c>
      <c r="U853">
        <v>1</v>
      </c>
      <c r="V853">
        <v>1</v>
      </c>
      <c r="W853">
        <v>0</v>
      </c>
      <c r="X853">
        <v>0</v>
      </c>
      <c r="Y853">
        <v>0</v>
      </c>
      <c r="Z853">
        <v>0</v>
      </c>
      <c r="AA853">
        <v>15.5</v>
      </c>
      <c r="AB853">
        <v>28.875</v>
      </c>
      <c r="AC853">
        <v>9</v>
      </c>
      <c r="AD853">
        <v>14.625</v>
      </c>
    </row>
    <row r="854" spans="1:30">
      <c r="A854" t="s">
        <v>1016</v>
      </c>
      <c r="B854">
        <v>47.0625</v>
      </c>
      <c r="C854">
        <v>64.6875</v>
      </c>
      <c r="D854">
        <v>3.5</v>
      </c>
      <c r="E854">
        <v>5.8125</v>
      </c>
      <c r="F854" t="s">
        <v>21</v>
      </c>
      <c r="G854">
        <v>1</v>
      </c>
      <c r="H854">
        <v>1</v>
      </c>
      <c r="I854">
        <v>1</v>
      </c>
      <c r="J854">
        <v>0</v>
      </c>
      <c r="K854">
        <v>24</v>
      </c>
      <c r="L854" t="s">
        <v>149</v>
      </c>
      <c r="N854">
        <v>0.5</v>
      </c>
      <c r="O854">
        <v>0.38</v>
      </c>
      <c r="P854">
        <v>3.5</v>
      </c>
      <c r="Q854">
        <v>1</v>
      </c>
      <c r="R854">
        <v>0</v>
      </c>
      <c r="S854">
        <v>4</v>
      </c>
      <c r="T854">
        <v>0.5</v>
      </c>
      <c r="U854">
        <v>1</v>
      </c>
      <c r="V854">
        <v>1</v>
      </c>
      <c r="W854">
        <v>0</v>
      </c>
      <c r="X854">
        <v>0</v>
      </c>
      <c r="Y854">
        <v>0</v>
      </c>
      <c r="Z854">
        <v>0</v>
      </c>
      <c r="AA854">
        <v>15.5</v>
      </c>
      <c r="AB854">
        <v>28.875</v>
      </c>
    </row>
    <row r="855" spans="1:30">
      <c r="A855" t="s">
        <v>1017</v>
      </c>
      <c r="B855">
        <v>95.75</v>
      </c>
      <c r="C855">
        <v>40</v>
      </c>
      <c r="D855">
        <v>9</v>
      </c>
      <c r="F855" t="s">
        <v>21</v>
      </c>
      <c r="G855">
        <v>1</v>
      </c>
      <c r="H855">
        <v>1</v>
      </c>
      <c r="I855">
        <v>1</v>
      </c>
      <c r="J855">
        <v>0</v>
      </c>
      <c r="N855">
        <v>0.5</v>
      </c>
      <c r="O855">
        <v>0.38</v>
      </c>
      <c r="P855">
        <v>3.5</v>
      </c>
      <c r="Q855">
        <v>-4.5</v>
      </c>
      <c r="R855">
        <v>4.5</v>
      </c>
      <c r="S855">
        <v>4</v>
      </c>
      <c r="T855">
        <v>0.5</v>
      </c>
      <c r="U855">
        <v>0</v>
      </c>
      <c r="V855">
        <v>0</v>
      </c>
      <c r="W855">
        <v>0</v>
      </c>
      <c r="X855">
        <v>0</v>
      </c>
      <c r="Y855">
        <v>0.5</v>
      </c>
      <c r="Z855">
        <v>0.5</v>
      </c>
    </row>
    <row r="856" spans="1:30">
      <c r="A856" t="s">
        <v>1018</v>
      </c>
      <c r="B856">
        <v>51.375</v>
      </c>
      <c r="C856">
        <v>78.125</v>
      </c>
      <c r="D856">
        <v>4.5</v>
      </c>
      <c r="E856">
        <v>6.0625</v>
      </c>
      <c r="F856" t="s">
        <v>21</v>
      </c>
      <c r="G856">
        <v>1</v>
      </c>
      <c r="H856">
        <v>1</v>
      </c>
      <c r="I856">
        <v>1</v>
      </c>
      <c r="J856">
        <v>1</v>
      </c>
      <c r="N856">
        <v>0.5</v>
      </c>
      <c r="O856">
        <v>0.38</v>
      </c>
      <c r="P856">
        <v>3.5</v>
      </c>
      <c r="Q856">
        <v>0</v>
      </c>
      <c r="R856">
        <v>0</v>
      </c>
      <c r="S856">
        <v>4</v>
      </c>
      <c r="T856">
        <v>0.5</v>
      </c>
      <c r="U856">
        <v>0</v>
      </c>
      <c r="V856">
        <v>0</v>
      </c>
      <c r="W856">
        <v>0</v>
      </c>
      <c r="X856">
        <v>0</v>
      </c>
      <c r="Y856">
        <v>0.5</v>
      </c>
      <c r="Z856">
        <v>0.5</v>
      </c>
    </row>
    <row r="857" spans="1:30">
      <c r="A857" t="s">
        <v>1019</v>
      </c>
      <c r="B857">
        <v>7.25</v>
      </c>
      <c r="C857">
        <v>53.25</v>
      </c>
      <c r="D857">
        <v>4.5</v>
      </c>
      <c r="E857">
        <v>4.75</v>
      </c>
      <c r="F857" t="s">
        <v>156</v>
      </c>
      <c r="G857">
        <v>0</v>
      </c>
      <c r="I857">
        <v>0</v>
      </c>
      <c r="L857" t="s">
        <v>145</v>
      </c>
      <c r="N857">
        <v>0.5</v>
      </c>
      <c r="O857">
        <v>0.38</v>
      </c>
      <c r="P857">
        <v>3.5</v>
      </c>
      <c r="Q857">
        <v>0</v>
      </c>
      <c r="R857">
        <v>0</v>
      </c>
      <c r="S857">
        <v>4</v>
      </c>
      <c r="T857">
        <v>0.5</v>
      </c>
      <c r="U857">
        <v>0</v>
      </c>
      <c r="V857">
        <v>0</v>
      </c>
      <c r="W857">
        <v>0</v>
      </c>
      <c r="X857">
        <v>0</v>
      </c>
      <c r="Y857">
        <v>0.5</v>
      </c>
      <c r="Z857">
        <v>0.5</v>
      </c>
    </row>
    <row r="858" spans="1:30">
      <c r="A858" t="s">
        <v>1020</v>
      </c>
      <c r="B858">
        <v>30.625</v>
      </c>
      <c r="C858">
        <v>42.875</v>
      </c>
      <c r="D858">
        <v>9</v>
      </c>
      <c r="E858">
        <v>1</v>
      </c>
      <c r="F858" t="s">
        <v>156</v>
      </c>
      <c r="G858">
        <v>0</v>
      </c>
      <c r="I858">
        <v>1</v>
      </c>
      <c r="J858">
        <v>0</v>
      </c>
      <c r="K858">
        <v>12</v>
      </c>
      <c r="L858" t="s">
        <v>151</v>
      </c>
      <c r="N858">
        <v>0.5</v>
      </c>
      <c r="O858">
        <v>0.38</v>
      </c>
      <c r="P858">
        <v>3.5</v>
      </c>
      <c r="Q858">
        <v>-4.5</v>
      </c>
      <c r="R858">
        <v>3.5</v>
      </c>
      <c r="S858">
        <v>4</v>
      </c>
      <c r="T858">
        <v>0.5</v>
      </c>
      <c r="U858">
        <v>0</v>
      </c>
      <c r="V858">
        <v>0</v>
      </c>
      <c r="W858">
        <v>0</v>
      </c>
      <c r="X858">
        <v>0</v>
      </c>
      <c r="Y858">
        <v>0.5</v>
      </c>
      <c r="Z858">
        <v>0.5</v>
      </c>
    </row>
    <row r="859" spans="1:30">
      <c r="A859" t="s">
        <v>1021</v>
      </c>
      <c r="B859">
        <v>46.8125</v>
      </c>
      <c r="C859">
        <v>60.5625</v>
      </c>
      <c r="D859">
        <v>7.9375</v>
      </c>
      <c r="E859">
        <v>7.75</v>
      </c>
      <c r="F859" t="s">
        <v>156</v>
      </c>
      <c r="G859">
        <v>0</v>
      </c>
      <c r="I859">
        <v>1</v>
      </c>
      <c r="J859">
        <v>0</v>
      </c>
      <c r="K859">
        <v>24</v>
      </c>
      <c r="L859" t="s">
        <v>150</v>
      </c>
      <c r="N859">
        <v>0.5</v>
      </c>
      <c r="O859">
        <v>0.38</v>
      </c>
      <c r="P859">
        <v>3.5</v>
      </c>
      <c r="Q859">
        <v>-3.4375</v>
      </c>
      <c r="R859">
        <v>0</v>
      </c>
      <c r="S859">
        <v>4</v>
      </c>
      <c r="T859">
        <v>0.5</v>
      </c>
      <c r="U859">
        <v>0</v>
      </c>
      <c r="V859">
        <v>0</v>
      </c>
      <c r="W859">
        <v>0</v>
      </c>
      <c r="X859">
        <v>0</v>
      </c>
      <c r="Y859">
        <v>0.5</v>
      </c>
      <c r="Z859">
        <v>0.5</v>
      </c>
    </row>
    <row r="860" spans="1:30">
      <c r="A860" t="s">
        <v>1022</v>
      </c>
      <c r="B860">
        <v>40.9375</v>
      </c>
      <c r="C860">
        <v>71</v>
      </c>
      <c r="D860">
        <v>4.5</v>
      </c>
      <c r="E860">
        <v>6.0625</v>
      </c>
      <c r="F860" t="s">
        <v>156</v>
      </c>
      <c r="G860">
        <v>0</v>
      </c>
      <c r="I860">
        <v>1</v>
      </c>
      <c r="J860">
        <v>0</v>
      </c>
      <c r="N860">
        <v>0.5</v>
      </c>
      <c r="O860">
        <v>0.38</v>
      </c>
      <c r="P860">
        <v>3.5</v>
      </c>
      <c r="Q860">
        <v>0</v>
      </c>
      <c r="R860">
        <v>0</v>
      </c>
      <c r="S860">
        <v>4</v>
      </c>
      <c r="T860">
        <v>0.5</v>
      </c>
      <c r="U860">
        <v>0</v>
      </c>
      <c r="V860">
        <v>0</v>
      </c>
      <c r="W860">
        <v>0</v>
      </c>
      <c r="X860">
        <v>0</v>
      </c>
      <c r="Y860">
        <v>0.5</v>
      </c>
      <c r="Z860">
        <v>0.5</v>
      </c>
    </row>
    <row r="861" spans="1:30">
      <c r="A861" t="s">
        <v>1023</v>
      </c>
      <c r="B861">
        <v>41.25</v>
      </c>
      <c r="C861">
        <v>21.875</v>
      </c>
      <c r="D861">
        <v>11.6875</v>
      </c>
      <c r="E861">
        <v>6.375</v>
      </c>
      <c r="F861" t="s">
        <v>156</v>
      </c>
      <c r="G861">
        <v>0</v>
      </c>
      <c r="I861">
        <v>1</v>
      </c>
      <c r="J861">
        <v>1</v>
      </c>
      <c r="N861">
        <v>0.5</v>
      </c>
      <c r="O861">
        <v>0.38</v>
      </c>
      <c r="P861">
        <v>3.5</v>
      </c>
      <c r="Q861">
        <v>-7.1875</v>
      </c>
      <c r="R861">
        <v>0</v>
      </c>
      <c r="S861">
        <v>4</v>
      </c>
      <c r="T861">
        <v>0.5</v>
      </c>
      <c r="U861">
        <v>0</v>
      </c>
      <c r="V861">
        <v>0</v>
      </c>
      <c r="W861">
        <v>0</v>
      </c>
      <c r="X861">
        <v>0</v>
      </c>
      <c r="Y861">
        <v>0.5</v>
      </c>
      <c r="Z861">
        <v>0.5</v>
      </c>
    </row>
    <row r="862" spans="1:30">
      <c r="A862" t="s">
        <v>1024</v>
      </c>
      <c r="B862">
        <v>37.5</v>
      </c>
      <c r="C862">
        <v>30.375</v>
      </c>
      <c r="D862">
        <v>12</v>
      </c>
      <c r="E862">
        <v>1</v>
      </c>
      <c r="F862" t="s">
        <v>156</v>
      </c>
      <c r="G862">
        <v>1</v>
      </c>
      <c r="H862">
        <v>0</v>
      </c>
      <c r="I862">
        <v>0</v>
      </c>
      <c r="N862">
        <v>0.5</v>
      </c>
      <c r="O862">
        <v>0.38</v>
      </c>
      <c r="P862">
        <v>3.5</v>
      </c>
      <c r="Q862">
        <v>-7.5</v>
      </c>
      <c r="R862">
        <v>3.5</v>
      </c>
      <c r="S862">
        <v>4</v>
      </c>
      <c r="T862">
        <v>0.5</v>
      </c>
      <c r="U862">
        <v>0</v>
      </c>
      <c r="V862">
        <v>0</v>
      </c>
      <c r="W862">
        <v>0</v>
      </c>
      <c r="X862">
        <v>0</v>
      </c>
      <c r="Y862">
        <v>0.5</v>
      </c>
      <c r="Z862">
        <v>0.5</v>
      </c>
    </row>
    <row r="863" spans="1:30">
      <c r="A863" t="s">
        <v>1025</v>
      </c>
      <c r="B863">
        <v>17</v>
      </c>
      <c r="C863">
        <v>71.0625</v>
      </c>
      <c r="D863">
        <v>12</v>
      </c>
      <c r="E863">
        <v>6.8125</v>
      </c>
      <c r="F863" t="s">
        <v>156</v>
      </c>
      <c r="G863">
        <v>1</v>
      </c>
      <c r="H863">
        <v>0</v>
      </c>
      <c r="I863">
        <v>1</v>
      </c>
      <c r="J863">
        <v>0</v>
      </c>
      <c r="K863">
        <v>12</v>
      </c>
      <c r="L863" t="s">
        <v>35</v>
      </c>
      <c r="N863">
        <v>0.5</v>
      </c>
      <c r="O863">
        <v>0.38</v>
      </c>
      <c r="P863">
        <v>3.5</v>
      </c>
      <c r="Q863">
        <v>-7.5</v>
      </c>
      <c r="R863">
        <v>0</v>
      </c>
      <c r="S863">
        <v>4</v>
      </c>
      <c r="T863">
        <v>0.5</v>
      </c>
      <c r="U863">
        <v>0</v>
      </c>
      <c r="V863">
        <v>0</v>
      </c>
      <c r="W863">
        <v>0</v>
      </c>
      <c r="X863">
        <v>0</v>
      </c>
      <c r="Y863">
        <v>0.5</v>
      </c>
      <c r="Z863">
        <v>0.5</v>
      </c>
    </row>
    <row r="864" spans="1:30">
      <c r="A864" t="s">
        <v>1026</v>
      </c>
      <c r="B864">
        <v>9.9375</v>
      </c>
      <c r="C864">
        <v>59.3125</v>
      </c>
      <c r="D864">
        <v>1</v>
      </c>
      <c r="E864">
        <v>3.5625</v>
      </c>
      <c r="F864" t="s">
        <v>156</v>
      </c>
      <c r="G864">
        <v>1</v>
      </c>
      <c r="H864">
        <v>0</v>
      </c>
      <c r="I864">
        <v>1</v>
      </c>
      <c r="J864">
        <v>0</v>
      </c>
      <c r="K864">
        <v>24</v>
      </c>
      <c r="L864" t="s">
        <v>120</v>
      </c>
      <c r="N864">
        <v>0.5</v>
      </c>
      <c r="O864">
        <v>0.38</v>
      </c>
      <c r="P864">
        <v>3.5</v>
      </c>
      <c r="Q864">
        <v>3.5</v>
      </c>
      <c r="R864">
        <v>0.9375</v>
      </c>
      <c r="S864">
        <v>4</v>
      </c>
      <c r="T864">
        <v>0.5</v>
      </c>
      <c r="U864">
        <v>0</v>
      </c>
      <c r="V864">
        <v>0</v>
      </c>
      <c r="W864">
        <v>0</v>
      </c>
      <c r="X864">
        <v>0</v>
      </c>
      <c r="Y864">
        <v>0.5</v>
      </c>
      <c r="Z864">
        <v>0.5</v>
      </c>
    </row>
    <row r="865" spans="1:30">
      <c r="A865" t="s">
        <v>1027</v>
      </c>
      <c r="B865">
        <v>24.0625</v>
      </c>
      <c r="C865">
        <v>73.5625</v>
      </c>
      <c r="D865">
        <v>9</v>
      </c>
      <c r="E865">
        <v>1.1875</v>
      </c>
      <c r="F865" t="s">
        <v>156</v>
      </c>
      <c r="G865">
        <v>1</v>
      </c>
      <c r="H865">
        <v>0</v>
      </c>
      <c r="I865">
        <v>1</v>
      </c>
      <c r="J865">
        <v>0</v>
      </c>
      <c r="N865">
        <v>0.5</v>
      </c>
      <c r="O865">
        <v>0.38</v>
      </c>
      <c r="P865">
        <v>3.5</v>
      </c>
      <c r="Q865">
        <v>-4.5</v>
      </c>
      <c r="R865">
        <v>3.3125</v>
      </c>
      <c r="S865">
        <v>4</v>
      </c>
      <c r="T865">
        <v>0.5</v>
      </c>
      <c r="U865">
        <v>0</v>
      </c>
      <c r="V865">
        <v>0</v>
      </c>
      <c r="W865">
        <v>0</v>
      </c>
      <c r="X865">
        <v>0</v>
      </c>
      <c r="Y865">
        <v>0.5</v>
      </c>
      <c r="Z865">
        <v>0.5</v>
      </c>
    </row>
    <row r="866" spans="1:30">
      <c r="A866" t="s">
        <v>1028</v>
      </c>
      <c r="B866">
        <v>45.625</v>
      </c>
      <c r="C866">
        <v>47.125</v>
      </c>
      <c r="D866">
        <v>1</v>
      </c>
      <c r="F866" t="s">
        <v>156</v>
      </c>
      <c r="G866">
        <v>1</v>
      </c>
      <c r="H866">
        <v>0</v>
      </c>
      <c r="I866">
        <v>1</v>
      </c>
      <c r="J866">
        <v>1</v>
      </c>
      <c r="N866">
        <v>0.5</v>
      </c>
      <c r="O866">
        <v>0.38</v>
      </c>
      <c r="P866">
        <v>3.5</v>
      </c>
      <c r="Q866">
        <v>3.5</v>
      </c>
      <c r="R866">
        <v>4.5</v>
      </c>
      <c r="S866">
        <v>4</v>
      </c>
      <c r="T866">
        <v>0.5</v>
      </c>
      <c r="U866">
        <v>0</v>
      </c>
      <c r="V866">
        <v>0</v>
      </c>
      <c r="W866">
        <v>0</v>
      </c>
      <c r="X866">
        <v>0</v>
      </c>
      <c r="Y866">
        <v>0.5</v>
      </c>
      <c r="Z866">
        <v>0.5</v>
      </c>
    </row>
    <row r="867" spans="1:30">
      <c r="A867" t="s">
        <v>1029</v>
      </c>
      <c r="B867">
        <v>20.1875</v>
      </c>
      <c r="C867">
        <v>40.1875</v>
      </c>
      <c r="D867">
        <v>4.5</v>
      </c>
      <c r="E867">
        <v>1</v>
      </c>
      <c r="F867" t="s">
        <v>156</v>
      </c>
      <c r="G867">
        <v>1</v>
      </c>
      <c r="H867">
        <v>1</v>
      </c>
      <c r="I867">
        <v>0</v>
      </c>
      <c r="L867" t="s">
        <v>148</v>
      </c>
      <c r="N867">
        <v>0.5</v>
      </c>
      <c r="O867">
        <v>0.38</v>
      </c>
      <c r="P867">
        <v>3.5</v>
      </c>
      <c r="Q867">
        <v>0</v>
      </c>
      <c r="R867">
        <v>3.5</v>
      </c>
      <c r="S867">
        <v>4</v>
      </c>
      <c r="T867">
        <v>0.5</v>
      </c>
      <c r="U867">
        <v>0</v>
      </c>
      <c r="V867">
        <v>0</v>
      </c>
      <c r="W867">
        <v>1</v>
      </c>
      <c r="X867">
        <v>0</v>
      </c>
      <c r="Y867">
        <v>0.5</v>
      </c>
      <c r="Z867">
        <v>0.5</v>
      </c>
    </row>
    <row r="868" spans="1:30">
      <c r="A868" t="s">
        <v>1030</v>
      </c>
      <c r="B868">
        <v>35.125</v>
      </c>
      <c r="C868">
        <v>73.6875</v>
      </c>
      <c r="D868">
        <v>12</v>
      </c>
      <c r="E868">
        <v>1</v>
      </c>
      <c r="F868" t="s">
        <v>156</v>
      </c>
      <c r="G868">
        <v>1</v>
      </c>
      <c r="H868">
        <v>1</v>
      </c>
      <c r="I868">
        <v>1</v>
      </c>
      <c r="J868">
        <v>0</v>
      </c>
      <c r="K868">
        <v>12</v>
      </c>
      <c r="N868">
        <v>0.5</v>
      </c>
      <c r="O868">
        <v>0.38</v>
      </c>
      <c r="P868">
        <v>3.5</v>
      </c>
      <c r="Q868">
        <v>-7.5</v>
      </c>
      <c r="R868">
        <v>3.5</v>
      </c>
      <c r="S868">
        <v>4</v>
      </c>
      <c r="T868">
        <v>0.5</v>
      </c>
      <c r="U868">
        <v>0</v>
      </c>
      <c r="V868">
        <v>0</v>
      </c>
      <c r="W868">
        <v>1</v>
      </c>
      <c r="X868">
        <v>0</v>
      </c>
      <c r="Y868">
        <v>0.5</v>
      </c>
      <c r="Z868">
        <v>0.5</v>
      </c>
    </row>
    <row r="869" spans="1:30">
      <c r="A869" t="s">
        <v>1031</v>
      </c>
      <c r="B869">
        <v>26.75</v>
      </c>
      <c r="C869">
        <v>68.625</v>
      </c>
      <c r="D869">
        <v>1.875</v>
      </c>
      <c r="E869">
        <v>4.6875</v>
      </c>
      <c r="F869" t="s">
        <v>156</v>
      </c>
      <c r="G869">
        <v>1</v>
      </c>
      <c r="H869">
        <v>1</v>
      </c>
      <c r="I869">
        <v>1</v>
      </c>
      <c r="J869">
        <v>0</v>
      </c>
      <c r="K869">
        <v>24</v>
      </c>
      <c r="L869" t="s">
        <v>151</v>
      </c>
      <c r="N869">
        <v>0.5</v>
      </c>
      <c r="O869">
        <v>0.38</v>
      </c>
      <c r="P869">
        <v>3.5</v>
      </c>
      <c r="Q869">
        <v>2.625</v>
      </c>
      <c r="R869">
        <v>0</v>
      </c>
      <c r="S869">
        <v>4</v>
      </c>
      <c r="T869">
        <v>0.5</v>
      </c>
      <c r="U869">
        <v>0</v>
      </c>
      <c r="V869">
        <v>0</v>
      </c>
      <c r="W869">
        <v>0</v>
      </c>
      <c r="X869">
        <v>0</v>
      </c>
      <c r="Y869">
        <v>0.5</v>
      </c>
      <c r="Z869">
        <v>0.5</v>
      </c>
    </row>
    <row r="870" spans="1:30">
      <c r="A870" t="s">
        <v>1032</v>
      </c>
      <c r="B870">
        <v>25.9375</v>
      </c>
      <c r="C870">
        <v>70.625</v>
      </c>
      <c r="D870">
        <v>4.5</v>
      </c>
      <c r="F870" t="s">
        <v>156</v>
      </c>
      <c r="G870">
        <v>1</v>
      </c>
      <c r="H870">
        <v>1</v>
      </c>
      <c r="I870">
        <v>1</v>
      </c>
      <c r="J870">
        <v>0</v>
      </c>
      <c r="N870">
        <v>0.5</v>
      </c>
      <c r="O870">
        <v>0.38</v>
      </c>
      <c r="P870">
        <v>3.5</v>
      </c>
      <c r="Q870">
        <v>0</v>
      </c>
      <c r="R870">
        <v>4.5</v>
      </c>
      <c r="S870">
        <v>4</v>
      </c>
      <c r="T870">
        <v>0.5</v>
      </c>
      <c r="U870">
        <v>0</v>
      </c>
      <c r="V870">
        <v>0</v>
      </c>
      <c r="W870">
        <v>0</v>
      </c>
      <c r="X870">
        <v>0</v>
      </c>
      <c r="Y870">
        <v>0.5</v>
      </c>
      <c r="Z870">
        <v>0.5</v>
      </c>
    </row>
    <row r="871" spans="1:30">
      <c r="A871" t="s">
        <v>1033</v>
      </c>
      <c r="B871">
        <v>18.25</v>
      </c>
      <c r="C871">
        <v>42.9375</v>
      </c>
      <c r="D871">
        <v>1.1875</v>
      </c>
      <c r="F871" t="s">
        <v>156</v>
      </c>
      <c r="G871">
        <v>1</v>
      </c>
      <c r="H871">
        <v>1</v>
      </c>
      <c r="I871">
        <v>1</v>
      </c>
      <c r="J871">
        <v>1</v>
      </c>
      <c r="N871">
        <v>0.5</v>
      </c>
      <c r="O871">
        <v>0.38</v>
      </c>
      <c r="P871">
        <v>3.5</v>
      </c>
      <c r="Q871">
        <v>3.3125</v>
      </c>
      <c r="R871">
        <v>4.5</v>
      </c>
      <c r="S871">
        <v>4</v>
      </c>
      <c r="T871">
        <v>0.5</v>
      </c>
      <c r="U871">
        <v>0</v>
      </c>
      <c r="V871">
        <v>0</v>
      </c>
      <c r="W871">
        <v>0</v>
      </c>
      <c r="X871">
        <v>0</v>
      </c>
      <c r="Y871">
        <v>0.5</v>
      </c>
      <c r="Z871">
        <v>0.5</v>
      </c>
    </row>
    <row r="872" spans="1:30">
      <c r="A872" t="s">
        <v>1034</v>
      </c>
      <c r="B872">
        <v>60</v>
      </c>
      <c r="C872">
        <v>65</v>
      </c>
      <c r="D872">
        <v>12</v>
      </c>
      <c r="E872">
        <v>1.3125</v>
      </c>
      <c r="F872" t="s">
        <v>157</v>
      </c>
      <c r="G872">
        <v>0</v>
      </c>
      <c r="I872">
        <v>0</v>
      </c>
      <c r="L872" t="s">
        <v>119</v>
      </c>
      <c r="N872">
        <v>0.5</v>
      </c>
      <c r="O872">
        <v>0.38</v>
      </c>
      <c r="P872">
        <v>3.5</v>
      </c>
      <c r="Q872">
        <v>-7.5</v>
      </c>
      <c r="R872">
        <v>3.1875</v>
      </c>
      <c r="S872">
        <v>4</v>
      </c>
      <c r="T872">
        <v>0.5</v>
      </c>
      <c r="U872">
        <v>0</v>
      </c>
      <c r="V872">
        <v>0</v>
      </c>
      <c r="W872">
        <v>0</v>
      </c>
      <c r="X872">
        <v>0</v>
      </c>
      <c r="Y872">
        <v>0.5</v>
      </c>
      <c r="Z872">
        <v>0.5</v>
      </c>
      <c r="AA872">
        <v>11</v>
      </c>
      <c r="AB872">
        <v>15.5</v>
      </c>
      <c r="AC872">
        <v>14.5</v>
      </c>
      <c r="AD872">
        <v>2.75</v>
      </c>
    </row>
    <row r="873" spans="1:30">
      <c r="A873" t="s">
        <v>1035</v>
      </c>
      <c r="B873">
        <v>60</v>
      </c>
      <c r="C873">
        <v>46.5</v>
      </c>
      <c r="D873">
        <v>1</v>
      </c>
      <c r="E873">
        <v>4.125</v>
      </c>
      <c r="F873" t="s">
        <v>157</v>
      </c>
      <c r="G873">
        <v>0</v>
      </c>
      <c r="I873">
        <v>1</v>
      </c>
      <c r="J873">
        <v>0</v>
      </c>
      <c r="K873">
        <v>12</v>
      </c>
      <c r="L873" t="s">
        <v>121</v>
      </c>
      <c r="N873">
        <v>0.5</v>
      </c>
      <c r="O873">
        <v>0.38</v>
      </c>
      <c r="P873">
        <v>3.5</v>
      </c>
      <c r="Q873">
        <v>3.5</v>
      </c>
      <c r="R873">
        <v>0.375</v>
      </c>
      <c r="S873">
        <v>4</v>
      </c>
      <c r="T873">
        <v>0.5</v>
      </c>
      <c r="U873">
        <v>0</v>
      </c>
      <c r="V873">
        <v>1</v>
      </c>
      <c r="W873">
        <v>0</v>
      </c>
      <c r="X873">
        <v>0</v>
      </c>
      <c r="Y873">
        <v>0.5</v>
      </c>
      <c r="Z873">
        <v>0</v>
      </c>
      <c r="AA873">
        <v>11</v>
      </c>
      <c r="AB873">
        <v>9.375</v>
      </c>
    </row>
    <row r="874" spans="1:30">
      <c r="A874" t="s">
        <v>1036</v>
      </c>
      <c r="B874">
        <v>60</v>
      </c>
      <c r="C874">
        <v>77.625</v>
      </c>
      <c r="D874">
        <v>4.625</v>
      </c>
      <c r="E874">
        <v>1</v>
      </c>
      <c r="F874" t="s">
        <v>157</v>
      </c>
      <c r="G874">
        <v>0</v>
      </c>
      <c r="I874">
        <v>1</v>
      </c>
      <c r="J874">
        <v>0</v>
      </c>
      <c r="K874">
        <v>24</v>
      </c>
      <c r="L874" t="s">
        <v>148</v>
      </c>
      <c r="N874">
        <v>0.5</v>
      </c>
      <c r="O874">
        <v>0.38</v>
      </c>
      <c r="P874">
        <v>3.5</v>
      </c>
      <c r="Q874">
        <v>-0.125</v>
      </c>
      <c r="R874">
        <v>3.5</v>
      </c>
      <c r="S874">
        <v>4</v>
      </c>
      <c r="T874">
        <v>0.5</v>
      </c>
      <c r="U874">
        <v>0</v>
      </c>
      <c r="V874">
        <v>0</v>
      </c>
      <c r="W874">
        <v>0</v>
      </c>
      <c r="X874">
        <v>0</v>
      </c>
      <c r="Y874">
        <v>0.5</v>
      </c>
      <c r="Z874">
        <v>0.5</v>
      </c>
      <c r="AA874">
        <v>15.5</v>
      </c>
      <c r="AB874">
        <v>28.875</v>
      </c>
    </row>
    <row r="875" spans="1:30">
      <c r="A875" t="s">
        <v>1037</v>
      </c>
      <c r="B875">
        <v>60</v>
      </c>
      <c r="C875">
        <v>44.6875</v>
      </c>
      <c r="D875">
        <v>5.8125</v>
      </c>
      <c r="E875">
        <v>1</v>
      </c>
      <c r="F875" t="s">
        <v>157</v>
      </c>
      <c r="G875">
        <v>0</v>
      </c>
      <c r="I875">
        <v>1</v>
      </c>
      <c r="J875">
        <v>0</v>
      </c>
      <c r="N875">
        <v>0.5</v>
      </c>
      <c r="O875">
        <v>0.38</v>
      </c>
      <c r="P875">
        <v>3.5</v>
      </c>
      <c r="Q875">
        <v>-1.3125</v>
      </c>
      <c r="R875">
        <v>3.5</v>
      </c>
      <c r="S875">
        <v>4</v>
      </c>
      <c r="T875">
        <v>0.5</v>
      </c>
      <c r="U875">
        <v>0</v>
      </c>
      <c r="V875">
        <v>0</v>
      </c>
      <c r="W875">
        <v>0</v>
      </c>
      <c r="X875">
        <v>0</v>
      </c>
      <c r="Y875">
        <v>0.5</v>
      </c>
      <c r="Z875">
        <v>0.5</v>
      </c>
    </row>
    <row r="876" spans="1:30">
      <c r="A876" t="s">
        <v>1038</v>
      </c>
      <c r="B876">
        <v>60</v>
      </c>
      <c r="C876">
        <v>46.0625</v>
      </c>
      <c r="D876">
        <v>1</v>
      </c>
      <c r="E876">
        <v>1</v>
      </c>
      <c r="F876" t="s">
        <v>157</v>
      </c>
      <c r="G876">
        <v>0</v>
      </c>
      <c r="I876">
        <v>1</v>
      </c>
      <c r="J876">
        <v>1</v>
      </c>
      <c r="N876">
        <v>0.5</v>
      </c>
      <c r="O876">
        <v>0.38</v>
      </c>
      <c r="P876">
        <v>3.5</v>
      </c>
      <c r="Q876">
        <v>3.5</v>
      </c>
      <c r="R876">
        <v>3.5</v>
      </c>
      <c r="S876">
        <v>4</v>
      </c>
      <c r="T876">
        <v>0.5</v>
      </c>
      <c r="U876">
        <v>0</v>
      </c>
      <c r="V876">
        <v>1</v>
      </c>
      <c r="W876">
        <v>0</v>
      </c>
      <c r="X876">
        <v>0</v>
      </c>
      <c r="Y876">
        <v>0.5</v>
      </c>
      <c r="Z876">
        <v>0</v>
      </c>
    </row>
    <row r="877" spans="1:30">
      <c r="A877" t="s">
        <v>1039</v>
      </c>
      <c r="B877">
        <v>60</v>
      </c>
      <c r="C877">
        <v>72.375</v>
      </c>
      <c r="D877">
        <v>1</v>
      </c>
      <c r="E877">
        <v>1</v>
      </c>
      <c r="F877" t="s">
        <v>157</v>
      </c>
      <c r="G877">
        <v>1</v>
      </c>
      <c r="H877">
        <v>0</v>
      </c>
      <c r="I877">
        <v>0</v>
      </c>
      <c r="L877" t="s">
        <v>121</v>
      </c>
      <c r="N877">
        <v>0.5</v>
      </c>
      <c r="O877">
        <v>0.38</v>
      </c>
      <c r="P877">
        <v>3.5</v>
      </c>
      <c r="Q877">
        <v>3.5</v>
      </c>
      <c r="R877">
        <v>3.5</v>
      </c>
      <c r="S877">
        <v>4</v>
      </c>
      <c r="T877">
        <v>0.5</v>
      </c>
      <c r="U877">
        <v>1</v>
      </c>
      <c r="V877">
        <v>0</v>
      </c>
      <c r="W877">
        <v>0</v>
      </c>
      <c r="X877">
        <v>0</v>
      </c>
      <c r="Y877">
        <v>0</v>
      </c>
      <c r="Z877">
        <v>0.5</v>
      </c>
      <c r="AA877">
        <v>11</v>
      </c>
      <c r="AB877">
        <v>9.375</v>
      </c>
      <c r="AC877">
        <v>14.5</v>
      </c>
      <c r="AD877">
        <v>17.75</v>
      </c>
    </row>
    <row r="878" spans="1:30">
      <c r="A878" t="s">
        <v>1040</v>
      </c>
      <c r="B878">
        <v>60</v>
      </c>
      <c r="C878">
        <v>63.5625</v>
      </c>
      <c r="D878">
        <v>1</v>
      </c>
      <c r="E878">
        <v>2.625</v>
      </c>
      <c r="F878" t="s">
        <v>157</v>
      </c>
      <c r="G878">
        <v>1</v>
      </c>
      <c r="H878">
        <v>0</v>
      </c>
      <c r="I878">
        <v>1</v>
      </c>
      <c r="J878">
        <v>0</v>
      </c>
      <c r="K878">
        <v>12</v>
      </c>
      <c r="N878">
        <v>0.5</v>
      </c>
      <c r="O878">
        <v>0.38</v>
      </c>
      <c r="P878">
        <v>3.5</v>
      </c>
      <c r="Q878">
        <v>3.5</v>
      </c>
      <c r="R878">
        <v>1.875</v>
      </c>
      <c r="S878">
        <v>4</v>
      </c>
      <c r="T878">
        <v>0.5</v>
      </c>
      <c r="U878">
        <v>1</v>
      </c>
      <c r="V878">
        <v>1</v>
      </c>
      <c r="W878">
        <v>0</v>
      </c>
      <c r="X878">
        <v>0</v>
      </c>
      <c r="Y878">
        <v>0</v>
      </c>
      <c r="Z878">
        <v>0</v>
      </c>
    </row>
    <row r="879" spans="1:30">
      <c r="A879" t="s">
        <v>1041</v>
      </c>
      <c r="B879">
        <v>60</v>
      </c>
      <c r="C879">
        <v>55.3125</v>
      </c>
      <c r="D879">
        <v>9</v>
      </c>
      <c r="E879">
        <v>1</v>
      </c>
      <c r="F879" t="s">
        <v>157</v>
      </c>
      <c r="G879">
        <v>1</v>
      </c>
      <c r="H879">
        <v>0</v>
      </c>
      <c r="I879">
        <v>1</v>
      </c>
      <c r="J879">
        <v>0</v>
      </c>
      <c r="K879">
        <v>24</v>
      </c>
      <c r="L879" t="s">
        <v>120</v>
      </c>
      <c r="N879">
        <v>0.5</v>
      </c>
      <c r="O879">
        <v>0.38</v>
      </c>
      <c r="P879">
        <v>3.5</v>
      </c>
      <c r="Q879">
        <v>-4.5</v>
      </c>
      <c r="R879">
        <v>3.5</v>
      </c>
      <c r="S879">
        <v>4</v>
      </c>
      <c r="T879">
        <v>0.5</v>
      </c>
      <c r="U879">
        <v>0</v>
      </c>
      <c r="V879">
        <v>0</v>
      </c>
      <c r="W879">
        <v>0</v>
      </c>
      <c r="X879">
        <v>0</v>
      </c>
      <c r="Y879">
        <v>0.5</v>
      </c>
      <c r="Z879">
        <v>0.5</v>
      </c>
      <c r="AA879">
        <v>11.5</v>
      </c>
      <c r="AB879">
        <v>10.875</v>
      </c>
      <c r="AC879">
        <v>4.9400000000000004</v>
      </c>
      <c r="AD879">
        <v>9</v>
      </c>
    </row>
    <row r="880" spans="1:30">
      <c r="A880" t="s">
        <v>1042</v>
      </c>
      <c r="B880">
        <v>60</v>
      </c>
      <c r="C880">
        <v>39.5</v>
      </c>
      <c r="D880">
        <v>9</v>
      </c>
      <c r="E880">
        <v>4.6875</v>
      </c>
      <c r="F880" t="s">
        <v>157</v>
      </c>
      <c r="G880">
        <v>1</v>
      </c>
      <c r="H880">
        <v>0</v>
      </c>
      <c r="I880">
        <v>1</v>
      </c>
      <c r="J880">
        <v>0</v>
      </c>
      <c r="N880">
        <v>0.5</v>
      </c>
      <c r="O880">
        <v>0.38</v>
      </c>
      <c r="P880">
        <v>3.5</v>
      </c>
      <c r="Q880">
        <v>-4.5</v>
      </c>
      <c r="R880">
        <v>0</v>
      </c>
      <c r="S880">
        <v>4</v>
      </c>
      <c r="T880">
        <v>0.5</v>
      </c>
      <c r="U880">
        <v>0</v>
      </c>
      <c r="V880">
        <v>0</v>
      </c>
      <c r="W880">
        <v>0</v>
      </c>
      <c r="X880">
        <v>0</v>
      </c>
      <c r="Y880">
        <v>0.5</v>
      </c>
      <c r="Z880">
        <v>0.5</v>
      </c>
    </row>
    <row r="881" spans="1:30">
      <c r="A881" t="s">
        <v>1043</v>
      </c>
      <c r="B881">
        <v>60</v>
      </c>
      <c r="C881">
        <v>50</v>
      </c>
      <c r="D881">
        <v>9</v>
      </c>
      <c r="E881">
        <v>7.875</v>
      </c>
      <c r="F881" t="s">
        <v>157</v>
      </c>
      <c r="G881">
        <v>1</v>
      </c>
      <c r="H881">
        <v>0</v>
      </c>
      <c r="I881">
        <v>1</v>
      </c>
      <c r="J881">
        <v>1</v>
      </c>
      <c r="N881">
        <v>0.5</v>
      </c>
      <c r="O881">
        <v>0.38</v>
      </c>
      <c r="P881">
        <v>3.5</v>
      </c>
      <c r="Q881">
        <v>-4.5</v>
      </c>
      <c r="R881">
        <v>0</v>
      </c>
      <c r="S881">
        <v>4</v>
      </c>
      <c r="T881">
        <v>0.5</v>
      </c>
      <c r="U881">
        <v>0</v>
      </c>
      <c r="V881">
        <v>0</v>
      </c>
      <c r="W881">
        <v>0</v>
      </c>
      <c r="X881">
        <v>0</v>
      </c>
      <c r="Y881">
        <v>0.5</v>
      </c>
      <c r="Z881">
        <v>0.5</v>
      </c>
    </row>
    <row r="882" spans="1:30">
      <c r="A882" t="s">
        <v>1044</v>
      </c>
      <c r="B882">
        <v>60</v>
      </c>
      <c r="C882">
        <v>59.375</v>
      </c>
      <c r="D882">
        <v>4.5</v>
      </c>
      <c r="F882" t="s">
        <v>157</v>
      </c>
      <c r="G882">
        <v>1</v>
      </c>
      <c r="H882">
        <v>1</v>
      </c>
      <c r="I882">
        <v>0</v>
      </c>
      <c r="L882" t="s">
        <v>148</v>
      </c>
      <c r="N882">
        <v>0.5</v>
      </c>
      <c r="O882">
        <v>0.38</v>
      </c>
      <c r="P882">
        <v>3.5</v>
      </c>
      <c r="Q882">
        <v>0</v>
      </c>
      <c r="R882">
        <v>4.5</v>
      </c>
      <c r="S882">
        <v>4</v>
      </c>
      <c r="T882">
        <v>0.5</v>
      </c>
      <c r="U882">
        <v>0</v>
      </c>
      <c r="V882">
        <v>0</v>
      </c>
      <c r="W882">
        <v>0</v>
      </c>
      <c r="X882">
        <v>0</v>
      </c>
      <c r="Y882">
        <v>0.5</v>
      </c>
      <c r="Z882">
        <v>0.5</v>
      </c>
      <c r="AA882">
        <v>15.5</v>
      </c>
      <c r="AB882">
        <v>28.875</v>
      </c>
      <c r="AC882">
        <v>21</v>
      </c>
      <c r="AD882">
        <v>13.5</v>
      </c>
    </row>
    <row r="883" spans="1:30">
      <c r="A883" t="s">
        <v>1045</v>
      </c>
      <c r="B883">
        <v>60</v>
      </c>
      <c r="C883">
        <v>41.125</v>
      </c>
      <c r="D883">
        <v>4.5</v>
      </c>
      <c r="E883">
        <v>8.25</v>
      </c>
      <c r="F883" t="s">
        <v>157</v>
      </c>
      <c r="G883">
        <v>1</v>
      </c>
      <c r="H883">
        <v>1</v>
      </c>
      <c r="I883">
        <v>1</v>
      </c>
      <c r="J883">
        <v>0</v>
      </c>
      <c r="K883">
        <v>12</v>
      </c>
      <c r="L883" t="s">
        <v>120</v>
      </c>
      <c r="N883">
        <v>0.5</v>
      </c>
      <c r="O883">
        <v>0.38</v>
      </c>
      <c r="P883">
        <v>3.5</v>
      </c>
      <c r="Q883">
        <v>0</v>
      </c>
      <c r="R883">
        <v>0</v>
      </c>
      <c r="S883">
        <v>4</v>
      </c>
      <c r="T883">
        <v>0.5</v>
      </c>
      <c r="U883">
        <v>0</v>
      </c>
      <c r="V883">
        <v>0</v>
      </c>
      <c r="W883">
        <v>0</v>
      </c>
      <c r="X883">
        <v>0</v>
      </c>
      <c r="Y883">
        <v>0.5</v>
      </c>
      <c r="Z883">
        <v>0.5</v>
      </c>
      <c r="AA883">
        <v>11.5</v>
      </c>
      <c r="AB883">
        <v>10.875</v>
      </c>
      <c r="AC883">
        <v>16.940000000000001</v>
      </c>
      <c r="AD883">
        <v>13.5</v>
      </c>
    </row>
    <row r="884" spans="1:30">
      <c r="A884" t="s">
        <v>1046</v>
      </c>
      <c r="B884">
        <v>60</v>
      </c>
      <c r="C884">
        <v>76.875</v>
      </c>
      <c r="D884">
        <v>2.5</v>
      </c>
      <c r="E884">
        <v>1.5625</v>
      </c>
      <c r="F884" t="s">
        <v>157</v>
      </c>
      <c r="G884">
        <v>1</v>
      </c>
      <c r="H884">
        <v>1</v>
      </c>
      <c r="I884">
        <v>1</v>
      </c>
      <c r="J884">
        <v>0</v>
      </c>
      <c r="K884">
        <v>24</v>
      </c>
      <c r="L884" t="s">
        <v>145</v>
      </c>
      <c r="N884">
        <v>0.5</v>
      </c>
      <c r="O884">
        <v>0.38</v>
      </c>
      <c r="P884">
        <v>3.5</v>
      </c>
      <c r="Q884">
        <v>2</v>
      </c>
      <c r="R884">
        <v>2.9375</v>
      </c>
      <c r="S884">
        <v>4</v>
      </c>
      <c r="T884">
        <v>0.5</v>
      </c>
      <c r="U884">
        <v>1</v>
      </c>
      <c r="V884">
        <v>1</v>
      </c>
      <c r="W884">
        <v>0</v>
      </c>
      <c r="X884">
        <v>0</v>
      </c>
      <c r="Y884">
        <v>0</v>
      </c>
      <c r="Z884">
        <v>0</v>
      </c>
      <c r="AA884">
        <v>15.5</v>
      </c>
      <c r="AB884">
        <v>28.875</v>
      </c>
    </row>
    <row r="885" spans="1:30">
      <c r="A885" t="s">
        <v>1047</v>
      </c>
      <c r="B885">
        <v>60</v>
      </c>
      <c r="C885">
        <v>73.25</v>
      </c>
      <c r="D885">
        <v>4.5</v>
      </c>
      <c r="E885">
        <v>1</v>
      </c>
      <c r="F885" t="s">
        <v>157</v>
      </c>
      <c r="G885">
        <v>1</v>
      </c>
      <c r="H885">
        <v>1</v>
      </c>
      <c r="I885">
        <v>1</v>
      </c>
      <c r="J885">
        <v>0</v>
      </c>
      <c r="N885">
        <v>0.5</v>
      </c>
      <c r="O885">
        <v>0.38</v>
      </c>
      <c r="P885">
        <v>3.5</v>
      </c>
      <c r="Q885">
        <v>0</v>
      </c>
      <c r="R885">
        <v>3.5</v>
      </c>
      <c r="S885">
        <v>4</v>
      </c>
      <c r="T885">
        <v>0.5</v>
      </c>
      <c r="U885">
        <v>0</v>
      </c>
      <c r="V885">
        <v>0</v>
      </c>
      <c r="W885">
        <v>0</v>
      </c>
      <c r="X885">
        <v>0</v>
      </c>
      <c r="Y885">
        <v>0.5</v>
      </c>
      <c r="Z885">
        <v>0.5</v>
      </c>
    </row>
    <row r="886" spans="1:30">
      <c r="A886" t="s">
        <v>1048</v>
      </c>
      <c r="B886">
        <v>60</v>
      </c>
      <c r="C886">
        <v>78.6875</v>
      </c>
      <c r="D886">
        <v>4.9375</v>
      </c>
      <c r="E886">
        <v>1</v>
      </c>
      <c r="F886" t="s">
        <v>157</v>
      </c>
      <c r="G886">
        <v>1</v>
      </c>
      <c r="H886">
        <v>1</v>
      </c>
      <c r="I886">
        <v>1</v>
      </c>
      <c r="J886">
        <v>1</v>
      </c>
      <c r="N886">
        <v>0.5</v>
      </c>
      <c r="O886">
        <v>0.38</v>
      </c>
      <c r="P886">
        <v>3.5</v>
      </c>
      <c r="Q886">
        <v>-0.4375</v>
      </c>
      <c r="R886">
        <v>3.5</v>
      </c>
      <c r="S886">
        <v>4</v>
      </c>
      <c r="T886">
        <v>0.5</v>
      </c>
      <c r="U886">
        <v>0</v>
      </c>
      <c r="V886">
        <v>0</v>
      </c>
      <c r="W886">
        <v>0</v>
      </c>
      <c r="X886">
        <v>0</v>
      </c>
      <c r="Y886">
        <v>0.5</v>
      </c>
      <c r="Z886">
        <v>0.5</v>
      </c>
    </row>
    <row r="887" spans="1:30">
      <c r="A887" t="s">
        <v>1049</v>
      </c>
      <c r="B887">
        <v>76.25</v>
      </c>
      <c r="C887">
        <v>25.1875</v>
      </c>
      <c r="D887">
        <v>1</v>
      </c>
      <c r="E887">
        <v>3.5</v>
      </c>
      <c r="F887" t="s">
        <v>21</v>
      </c>
      <c r="G887">
        <v>0</v>
      </c>
      <c r="I887">
        <v>0</v>
      </c>
      <c r="N887">
        <v>0.5</v>
      </c>
      <c r="O887">
        <v>0.38</v>
      </c>
      <c r="P887">
        <v>3.5</v>
      </c>
      <c r="Q887">
        <v>3.5</v>
      </c>
      <c r="R887">
        <v>1</v>
      </c>
      <c r="S887">
        <v>4</v>
      </c>
      <c r="T887">
        <v>0.5</v>
      </c>
      <c r="U887">
        <v>0</v>
      </c>
      <c r="V887">
        <v>0</v>
      </c>
      <c r="W887">
        <v>0</v>
      </c>
      <c r="X887">
        <v>0</v>
      </c>
      <c r="Y887">
        <v>0.5</v>
      </c>
      <c r="Z887">
        <v>0.5</v>
      </c>
    </row>
    <row r="888" spans="1:30">
      <c r="A888" t="s">
        <v>1050</v>
      </c>
      <c r="B888">
        <v>43.25</v>
      </c>
      <c r="C888">
        <v>63.8125</v>
      </c>
      <c r="D888">
        <v>4.1875</v>
      </c>
      <c r="E888">
        <v>6.75</v>
      </c>
      <c r="F888" t="s">
        <v>21</v>
      </c>
      <c r="G888">
        <v>0</v>
      </c>
      <c r="I888">
        <v>1</v>
      </c>
      <c r="J888">
        <v>0</v>
      </c>
      <c r="K888">
        <v>12</v>
      </c>
      <c r="L888" t="s">
        <v>121</v>
      </c>
      <c r="N888">
        <v>0.5</v>
      </c>
      <c r="O888">
        <v>0.38</v>
      </c>
      <c r="P888">
        <v>3.5</v>
      </c>
      <c r="Q888">
        <v>0.3125</v>
      </c>
      <c r="R888">
        <v>0</v>
      </c>
      <c r="S888">
        <v>4</v>
      </c>
      <c r="T888">
        <v>0.5</v>
      </c>
      <c r="U888">
        <v>0</v>
      </c>
      <c r="V888">
        <v>1</v>
      </c>
      <c r="W888">
        <v>0</v>
      </c>
      <c r="X888">
        <v>0</v>
      </c>
      <c r="Y888">
        <v>0.5</v>
      </c>
      <c r="Z888">
        <v>0</v>
      </c>
      <c r="AA888">
        <v>11</v>
      </c>
      <c r="AB888">
        <v>9.375</v>
      </c>
    </row>
    <row r="889" spans="1:30">
      <c r="A889" t="s">
        <v>1051</v>
      </c>
      <c r="B889">
        <v>73.9375</v>
      </c>
      <c r="C889">
        <v>73.8125</v>
      </c>
      <c r="D889">
        <v>12</v>
      </c>
      <c r="F889" t="s">
        <v>21</v>
      </c>
      <c r="G889">
        <v>0</v>
      </c>
      <c r="I889">
        <v>1</v>
      </c>
      <c r="J889">
        <v>0</v>
      </c>
      <c r="K889">
        <v>24</v>
      </c>
      <c r="N889">
        <v>0.5</v>
      </c>
      <c r="O889">
        <v>0.38</v>
      </c>
      <c r="P889">
        <v>3.5</v>
      </c>
      <c r="Q889">
        <v>-7.5</v>
      </c>
      <c r="R889">
        <v>4.5</v>
      </c>
      <c r="S889">
        <v>4</v>
      </c>
      <c r="T889">
        <v>0.5</v>
      </c>
      <c r="U889">
        <v>0</v>
      </c>
      <c r="V889">
        <v>0</v>
      </c>
      <c r="W889">
        <v>0</v>
      </c>
      <c r="X889">
        <v>0</v>
      </c>
      <c r="Y889">
        <v>0.5</v>
      </c>
      <c r="Z889">
        <v>0.5</v>
      </c>
    </row>
    <row r="890" spans="1:30">
      <c r="A890" t="s">
        <v>1052</v>
      </c>
      <c r="B890">
        <v>101.75</v>
      </c>
      <c r="C890">
        <v>54.9375</v>
      </c>
      <c r="D890">
        <v>9</v>
      </c>
      <c r="E890">
        <v>7.875</v>
      </c>
      <c r="F890" t="s">
        <v>21</v>
      </c>
      <c r="G890">
        <v>0</v>
      </c>
      <c r="I890">
        <v>1</v>
      </c>
      <c r="J890">
        <v>0</v>
      </c>
      <c r="N890">
        <v>0.5</v>
      </c>
      <c r="O890">
        <v>0.38</v>
      </c>
      <c r="P890">
        <v>3.5</v>
      </c>
      <c r="Q890">
        <v>-4.5</v>
      </c>
      <c r="R890">
        <v>0</v>
      </c>
      <c r="S890">
        <v>4</v>
      </c>
      <c r="T890">
        <v>0.5</v>
      </c>
      <c r="U890">
        <v>0</v>
      </c>
      <c r="V890">
        <v>0</v>
      </c>
      <c r="W890">
        <v>0</v>
      </c>
      <c r="X890">
        <v>0</v>
      </c>
      <c r="Y890">
        <v>0.5</v>
      </c>
      <c r="Z890">
        <v>0.5</v>
      </c>
    </row>
    <row r="891" spans="1:30">
      <c r="A891" t="s">
        <v>1053</v>
      </c>
      <c r="B891">
        <v>109.5</v>
      </c>
      <c r="C891">
        <v>62.8125</v>
      </c>
      <c r="D891">
        <v>1.1875</v>
      </c>
      <c r="E891">
        <v>1</v>
      </c>
      <c r="F891" t="s">
        <v>21</v>
      </c>
      <c r="G891">
        <v>0</v>
      </c>
      <c r="I891">
        <v>1</v>
      </c>
      <c r="J891">
        <v>1</v>
      </c>
      <c r="N891">
        <v>0.5</v>
      </c>
      <c r="O891">
        <v>0.38</v>
      </c>
      <c r="P891">
        <v>3.5</v>
      </c>
      <c r="Q891">
        <v>3.3125</v>
      </c>
      <c r="R891">
        <v>3.5</v>
      </c>
      <c r="S891">
        <v>4</v>
      </c>
      <c r="T891">
        <v>0.5</v>
      </c>
      <c r="U891">
        <v>0</v>
      </c>
      <c r="V891">
        <v>1</v>
      </c>
      <c r="W891">
        <v>0</v>
      </c>
      <c r="X891">
        <v>1</v>
      </c>
      <c r="Y891">
        <v>0.5</v>
      </c>
      <c r="Z891">
        <v>0</v>
      </c>
    </row>
    <row r="892" spans="1:30">
      <c r="A892" t="s">
        <v>1054</v>
      </c>
      <c r="B892">
        <v>96</v>
      </c>
      <c r="C892">
        <v>79.6875</v>
      </c>
      <c r="D892">
        <v>12</v>
      </c>
      <c r="E892">
        <v>1</v>
      </c>
      <c r="F892" t="s">
        <v>21</v>
      </c>
      <c r="G892">
        <v>1</v>
      </c>
      <c r="H892">
        <v>0</v>
      </c>
      <c r="I892">
        <v>0</v>
      </c>
      <c r="L892" t="s">
        <v>150</v>
      </c>
      <c r="N892">
        <v>0.5</v>
      </c>
      <c r="O892">
        <v>0.38</v>
      </c>
      <c r="P892">
        <v>3.5</v>
      </c>
      <c r="Q892">
        <v>-7.5</v>
      </c>
      <c r="R892">
        <v>3.5</v>
      </c>
      <c r="S892">
        <v>4</v>
      </c>
      <c r="T892">
        <v>0.5</v>
      </c>
      <c r="U892">
        <v>0</v>
      </c>
      <c r="V892">
        <v>0</v>
      </c>
      <c r="W892">
        <v>0</v>
      </c>
      <c r="X892">
        <v>0</v>
      </c>
      <c r="Y892">
        <v>0.5</v>
      </c>
      <c r="Z892">
        <v>0.5</v>
      </c>
      <c r="AA892">
        <v>15.5</v>
      </c>
      <c r="AB892">
        <v>28.875</v>
      </c>
      <c r="AC892">
        <v>21</v>
      </c>
      <c r="AD892">
        <v>6</v>
      </c>
    </row>
    <row r="893" spans="1:30">
      <c r="A893" t="s">
        <v>1055</v>
      </c>
      <c r="B893">
        <v>67.5</v>
      </c>
      <c r="C893">
        <v>79</v>
      </c>
      <c r="D893">
        <v>8.4375</v>
      </c>
      <c r="E893">
        <v>4.5625</v>
      </c>
      <c r="F893" t="s">
        <v>21</v>
      </c>
      <c r="G893">
        <v>1</v>
      </c>
      <c r="H893">
        <v>0</v>
      </c>
      <c r="I893">
        <v>1</v>
      </c>
      <c r="J893">
        <v>0</v>
      </c>
      <c r="K893">
        <v>12</v>
      </c>
      <c r="L893" t="s">
        <v>119</v>
      </c>
      <c r="N893">
        <v>0.5</v>
      </c>
      <c r="O893">
        <v>0.38</v>
      </c>
      <c r="P893">
        <v>3.5</v>
      </c>
      <c r="Q893">
        <v>-3.9375</v>
      </c>
      <c r="R893">
        <v>0</v>
      </c>
      <c r="S893">
        <v>4</v>
      </c>
      <c r="T893">
        <v>0.5</v>
      </c>
      <c r="U893">
        <v>0</v>
      </c>
      <c r="V893">
        <v>0</v>
      </c>
      <c r="W893">
        <v>0</v>
      </c>
      <c r="X893">
        <v>0</v>
      </c>
      <c r="Y893">
        <v>0.5</v>
      </c>
      <c r="Z893">
        <v>0.5</v>
      </c>
      <c r="AA893">
        <v>11</v>
      </c>
      <c r="AB893">
        <v>15.5</v>
      </c>
    </row>
    <row r="894" spans="1:30">
      <c r="A894" t="s">
        <v>1056</v>
      </c>
      <c r="B894">
        <v>96</v>
      </c>
      <c r="C894">
        <v>40.75</v>
      </c>
      <c r="D894">
        <v>1</v>
      </c>
      <c r="E894">
        <v>1</v>
      </c>
      <c r="F894" t="s">
        <v>21</v>
      </c>
      <c r="G894">
        <v>1</v>
      </c>
      <c r="H894">
        <v>0</v>
      </c>
      <c r="I894">
        <v>1</v>
      </c>
      <c r="J894">
        <v>0</v>
      </c>
      <c r="K894">
        <v>24</v>
      </c>
      <c r="L894" t="s">
        <v>149</v>
      </c>
      <c r="N894">
        <v>0.5</v>
      </c>
      <c r="O894">
        <v>0.38</v>
      </c>
      <c r="P894">
        <v>3.5</v>
      </c>
      <c r="Q894">
        <v>3.5</v>
      </c>
      <c r="R894">
        <v>3.5</v>
      </c>
      <c r="S894">
        <v>4</v>
      </c>
      <c r="T894">
        <v>0.5</v>
      </c>
      <c r="U894">
        <v>1</v>
      </c>
      <c r="V894">
        <v>1</v>
      </c>
      <c r="W894">
        <v>0</v>
      </c>
      <c r="X894">
        <v>0</v>
      </c>
      <c r="Y894">
        <v>0</v>
      </c>
      <c r="Z894">
        <v>0</v>
      </c>
      <c r="AA894">
        <v>15.5</v>
      </c>
      <c r="AB894">
        <v>28.875</v>
      </c>
    </row>
    <row r="895" spans="1:30">
      <c r="A895" t="s">
        <v>1057</v>
      </c>
      <c r="B895">
        <v>96.6875</v>
      </c>
      <c r="C895">
        <v>76.625</v>
      </c>
      <c r="D895">
        <v>1</v>
      </c>
      <c r="E895">
        <v>5.4375</v>
      </c>
      <c r="F895" t="s">
        <v>21</v>
      </c>
      <c r="G895">
        <v>1</v>
      </c>
      <c r="H895">
        <v>0</v>
      </c>
      <c r="I895">
        <v>1</v>
      </c>
      <c r="J895">
        <v>0</v>
      </c>
      <c r="N895">
        <v>0.5</v>
      </c>
      <c r="O895">
        <v>0.38</v>
      </c>
      <c r="P895">
        <v>3.5</v>
      </c>
      <c r="Q895">
        <v>3.5</v>
      </c>
      <c r="R895">
        <v>0</v>
      </c>
      <c r="S895">
        <v>4</v>
      </c>
      <c r="T895">
        <v>0.5</v>
      </c>
      <c r="U895">
        <v>1</v>
      </c>
      <c r="V895">
        <v>1</v>
      </c>
      <c r="W895">
        <v>0</v>
      </c>
      <c r="X895">
        <v>0</v>
      </c>
      <c r="Y895">
        <v>0</v>
      </c>
      <c r="Z895">
        <v>0</v>
      </c>
    </row>
    <row r="896" spans="1:30">
      <c r="A896" t="s">
        <v>1058</v>
      </c>
      <c r="B896">
        <v>96</v>
      </c>
      <c r="C896">
        <v>41.1875</v>
      </c>
      <c r="D896">
        <v>3.375</v>
      </c>
      <c r="F896" t="s">
        <v>21</v>
      </c>
      <c r="G896">
        <v>1</v>
      </c>
      <c r="H896">
        <v>0</v>
      </c>
      <c r="I896">
        <v>1</v>
      </c>
      <c r="J896">
        <v>1</v>
      </c>
      <c r="N896">
        <v>0.5</v>
      </c>
      <c r="O896">
        <v>0.38</v>
      </c>
      <c r="P896">
        <v>3.5</v>
      </c>
      <c r="Q896">
        <v>1.125</v>
      </c>
      <c r="R896">
        <v>4.5</v>
      </c>
      <c r="S896">
        <v>4</v>
      </c>
      <c r="T896">
        <v>0.5</v>
      </c>
      <c r="U896">
        <v>1</v>
      </c>
      <c r="V896">
        <v>1</v>
      </c>
      <c r="W896">
        <v>0</v>
      </c>
      <c r="X896">
        <v>0</v>
      </c>
      <c r="Y896">
        <v>0</v>
      </c>
      <c r="Z896">
        <v>0</v>
      </c>
    </row>
    <row r="897" spans="1:30">
      <c r="A897" t="s">
        <v>1059</v>
      </c>
      <c r="B897">
        <v>82.8125</v>
      </c>
      <c r="C897">
        <v>71.6875</v>
      </c>
      <c r="D897">
        <v>4.5</v>
      </c>
      <c r="E897">
        <v>6.125</v>
      </c>
      <c r="F897" t="s">
        <v>21</v>
      </c>
      <c r="G897">
        <v>1</v>
      </c>
      <c r="H897">
        <v>1</v>
      </c>
      <c r="I897">
        <v>0</v>
      </c>
      <c r="N897">
        <v>0.5</v>
      </c>
      <c r="O897">
        <v>0.38</v>
      </c>
      <c r="P897">
        <v>3.5</v>
      </c>
      <c r="Q897">
        <v>0</v>
      </c>
      <c r="R897">
        <v>0</v>
      </c>
      <c r="S897">
        <v>4</v>
      </c>
      <c r="T897">
        <v>0.5</v>
      </c>
      <c r="U897">
        <v>0</v>
      </c>
      <c r="V897">
        <v>0</v>
      </c>
      <c r="W897">
        <v>0</v>
      </c>
      <c r="X897">
        <v>0</v>
      </c>
      <c r="Y897">
        <v>0.5</v>
      </c>
      <c r="Z897">
        <v>0.5</v>
      </c>
    </row>
    <row r="898" spans="1:30">
      <c r="A898" t="s">
        <v>1060</v>
      </c>
      <c r="B898">
        <v>96</v>
      </c>
      <c r="C898">
        <v>53.3125</v>
      </c>
      <c r="D898">
        <v>4.5</v>
      </c>
      <c r="E898">
        <v>5.25</v>
      </c>
      <c r="F898" t="s">
        <v>21</v>
      </c>
      <c r="G898">
        <v>1</v>
      </c>
      <c r="H898">
        <v>1</v>
      </c>
      <c r="I898">
        <v>1</v>
      </c>
      <c r="J898">
        <v>0</v>
      </c>
      <c r="K898">
        <v>12</v>
      </c>
      <c r="L898" t="s">
        <v>145</v>
      </c>
      <c r="N898">
        <v>0.5</v>
      </c>
      <c r="O898">
        <v>0.38</v>
      </c>
      <c r="P898">
        <v>3.5</v>
      </c>
      <c r="Q898">
        <v>0</v>
      </c>
      <c r="R898">
        <v>0</v>
      </c>
      <c r="S898">
        <v>4</v>
      </c>
      <c r="T898">
        <v>0.5</v>
      </c>
      <c r="U898">
        <v>0</v>
      </c>
      <c r="V898">
        <v>0</v>
      </c>
      <c r="W898">
        <v>0</v>
      </c>
      <c r="X898">
        <v>0</v>
      </c>
      <c r="Y898">
        <v>0.5</v>
      </c>
      <c r="Z898">
        <v>0.5</v>
      </c>
      <c r="AA898">
        <v>15.5</v>
      </c>
      <c r="AB898">
        <v>28.875</v>
      </c>
      <c r="AC898">
        <v>14</v>
      </c>
      <c r="AD898">
        <v>25.63</v>
      </c>
    </row>
    <row r="899" spans="1:30">
      <c r="A899" t="s">
        <v>1061</v>
      </c>
      <c r="B899">
        <v>60</v>
      </c>
      <c r="C899">
        <v>56.3125</v>
      </c>
      <c r="D899">
        <v>2.3125</v>
      </c>
      <c r="E899">
        <v>1</v>
      </c>
      <c r="F899" t="s">
        <v>21</v>
      </c>
      <c r="G899">
        <v>1</v>
      </c>
      <c r="H899">
        <v>1</v>
      </c>
      <c r="I899">
        <v>1</v>
      </c>
      <c r="J899">
        <v>0</v>
      </c>
      <c r="K899">
        <v>24</v>
      </c>
      <c r="L899" t="s">
        <v>120</v>
      </c>
      <c r="N899">
        <v>0.5</v>
      </c>
      <c r="O899">
        <v>0.38</v>
      </c>
      <c r="P899">
        <v>3.5</v>
      </c>
      <c r="Q899">
        <v>2.1875</v>
      </c>
      <c r="R899">
        <v>3.5</v>
      </c>
      <c r="S899">
        <v>4</v>
      </c>
      <c r="T899">
        <v>0.5</v>
      </c>
      <c r="U899">
        <v>1</v>
      </c>
      <c r="V899">
        <v>1</v>
      </c>
      <c r="W899">
        <v>1</v>
      </c>
      <c r="X899">
        <v>0</v>
      </c>
      <c r="Y899">
        <v>0</v>
      </c>
      <c r="Z899">
        <v>0</v>
      </c>
      <c r="AA899">
        <v>11.5</v>
      </c>
      <c r="AB899">
        <v>10.875</v>
      </c>
      <c r="AC899">
        <v>4.9400000000000004</v>
      </c>
      <c r="AD899">
        <v>15.6875</v>
      </c>
    </row>
    <row r="900" spans="1:30">
      <c r="A900" t="s">
        <v>1062</v>
      </c>
      <c r="B900">
        <v>97.375</v>
      </c>
      <c r="C900">
        <v>71.875</v>
      </c>
      <c r="D900">
        <v>7.25</v>
      </c>
      <c r="E900">
        <v>7.875</v>
      </c>
      <c r="F900" t="s">
        <v>21</v>
      </c>
      <c r="G900">
        <v>1</v>
      </c>
      <c r="H900">
        <v>1</v>
      </c>
      <c r="I900">
        <v>1</v>
      </c>
      <c r="J900">
        <v>0</v>
      </c>
      <c r="N900">
        <v>0.5</v>
      </c>
      <c r="O900">
        <v>0.38</v>
      </c>
      <c r="P900">
        <v>3.5</v>
      </c>
      <c r="Q900">
        <v>-2.75</v>
      </c>
      <c r="R900">
        <v>0</v>
      </c>
      <c r="S900">
        <v>4</v>
      </c>
      <c r="T900">
        <v>0.5</v>
      </c>
      <c r="U900">
        <v>0</v>
      </c>
      <c r="V900">
        <v>0</v>
      </c>
      <c r="W900">
        <v>0</v>
      </c>
      <c r="X900">
        <v>0</v>
      </c>
      <c r="Y900">
        <v>0.5</v>
      </c>
      <c r="Z900">
        <v>0.5</v>
      </c>
    </row>
    <row r="901" spans="1:30">
      <c r="A901" t="s">
        <v>1063</v>
      </c>
      <c r="B901">
        <v>96</v>
      </c>
      <c r="C901">
        <v>65.5</v>
      </c>
      <c r="D901">
        <v>12</v>
      </c>
      <c r="F901" t="s">
        <v>21</v>
      </c>
      <c r="G901">
        <v>1</v>
      </c>
      <c r="H901">
        <v>1</v>
      </c>
      <c r="I901">
        <v>1</v>
      </c>
      <c r="J901">
        <v>1</v>
      </c>
      <c r="N901">
        <v>0.5</v>
      </c>
      <c r="O901">
        <v>0.38</v>
      </c>
      <c r="P901">
        <v>3.5</v>
      </c>
      <c r="Q901">
        <v>-7.5</v>
      </c>
      <c r="R901">
        <v>4.5</v>
      </c>
      <c r="S901">
        <v>4</v>
      </c>
      <c r="T901">
        <v>0.5</v>
      </c>
      <c r="U901">
        <v>0</v>
      </c>
      <c r="V901">
        <v>0</v>
      </c>
      <c r="W901">
        <v>0</v>
      </c>
      <c r="X901">
        <v>0</v>
      </c>
      <c r="Y901">
        <v>0.5</v>
      </c>
      <c r="Z901">
        <v>0.5</v>
      </c>
    </row>
    <row r="902" spans="1:30">
      <c r="A902" t="s">
        <v>1064</v>
      </c>
      <c r="B902">
        <v>41.4375</v>
      </c>
      <c r="C902">
        <v>10.8125</v>
      </c>
      <c r="D902">
        <v>9</v>
      </c>
      <c r="E902">
        <v>1</v>
      </c>
      <c r="F902" t="s">
        <v>156</v>
      </c>
      <c r="G902">
        <v>0</v>
      </c>
      <c r="I902">
        <v>0</v>
      </c>
      <c r="N902">
        <v>0.5</v>
      </c>
      <c r="O902">
        <v>0.38</v>
      </c>
      <c r="P902">
        <v>3.5</v>
      </c>
      <c r="Q902">
        <v>-4.5</v>
      </c>
      <c r="R902">
        <v>3.5</v>
      </c>
      <c r="S902">
        <v>4</v>
      </c>
      <c r="T902">
        <v>0.5</v>
      </c>
      <c r="U902">
        <v>0</v>
      </c>
      <c r="V902">
        <v>0</v>
      </c>
      <c r="W902">
        <v>0</v>
      </c>
      <c r="X902">
        <v>0</v>
      </c>
      <c r="Y902">
        <v>0.5</v>
      </c>
      <c r="Z902">
        <v>0.5</v>
      </c>
    </row>
    <row r="903" spans="1:30">
      <c r="A903" t="s">
        <v>1065</v>
      </c>
      <c r="B903">
        <v>34.6875</v>
      </c>
      <c r="C903">
        <v>70.5</v>
      </c>
      <c r="D903">
        <v>2.875</v>
      </c>
      <c r="E903">
        <v>2.125</v>
      </c>
      <c r="F903" t="s">
        <v>156</v>
      </c>
      <c r="G903">
        <v>0</v>
      </c>
      <c r="I903">
        <v>1</v>
      </c>
      <c r="J903">
        <v>0</v>
      </c>
      <c r="K903">
        <v>12</v>
      </c>
      <c r="L903" t="s">
        <v>121</v>
      </c>
      <c r="N903">
        <v>0.5</v>
      </c>
      <c r="O903">
        <v>0.38</v>
      </c>
      <c r="P903">
        <v>3.5</v>
      </c>
      <c r="Q903">
        <v>1.625</v>
      </c>
      <c r="R903">
        <v>2.375</v>
      </c>
      <c r="S903">
        <v>4</v>
      </c>
      <c r="T903">
        <v>0.5</v>
      </c>
      <c r="U903">
        <v>0</v>
      </c>
      <c r="V903">
        <v>0</v>
      </c>
      <c r="W903">
        <v>0</v>
      </c>
      <c r="X903">
        <v>0</v>
      </c>
      <c r="Y903">
        <v>0.5</v>
      </c>
      <c r="Z903">
        <v>0.5</v>
      </c>
    </row>
    <row r="904" spans="1:30">
      <c r="A904" t="s">
        <v>1066</v>
      </c>
      <c r="B904">
        <v>42.6875</v>
      </c>
      <c r="C904">
        <v>62.125</v>
      </c>
      <c r="D904">
        <v>9</v>
      </c>
      <c r="E904">
        <v>8.3125</v>
      </c>
      <c r="F904" t="s">
        <v>156</v>
      </c>
      <c r="G904">
        <v>0</v>
      </c>
      <c r="I904">
        <v>1</v>
      </c>
      <c r="J904">
        <v>0</v>
      </c>
      <c r="K904">
        <v>24</v>
      </c>
      <c r="L904" t="s">
        <v>145</v>
      </c>
      <c r="N904">
        <v>0.5</v>
      </c>
      <c r="O904">
        <v>0.38</v>
      </c>
      <c r="P904">
        <v>3.5</v>
      </c>
      <c r="Q904">
        <v>-4.5</v>
      </c>
      <c r="R904">
        <v>0</v>
      </c>
      <c r="S904">
        <v>4</v>
      </c>
      <c r="T904">
        <v>0.5</v>
      </c>
      <c r="U904">
        <v>0</v>
      </c>
      <c r="V904">
        <v>0</v>
      </c>
      <c r="W904">
        <v>0</v>
      </c>
      <c r="X904">
        <v>0</v>
      </c>
      <c r="Y904">
        <v>0.5</v>
      </c>
      <c r="Z904">
        <v>0.5</v>
      </c>
    </row>
    <row r="905" spans="1:30">
      <c r="A905" t="s">
        <v>1067</v>
      </c>
      <c r="B905">
        <v>23.4375</v>
      </c>
      <c r="C905">
        <v>75.6875</v>
      </c>
      <c r="D905">
        <v>2.6875</v>
      </c>
      <c r="F905" t="s">
        <v>156</v>
      </c>
      <c r="G905">
        <v>0</v>
      </c>
      <c r="I905">
        <v>1</v>
      </c>
      <c r="J905">
        <v>0</v>
      </c>
      <c r="N905">
        <v>0.5</v>
      </c>
      <c r="O905">
        <v>0.38</v>
      </c>
      <c r="P905">
        <v>3.5</v>
      </c>
      <c r="Q905">
        <v>1.8125</v>
      </c>
      <c r="R905">
        <v>4.5</v>
      </c>
      <c r="S905">
        <v>4</v>
      </c>
      <c r="T905">
        <v>0.5</v>
      </c>
      <c r="U905">
        <v>0</v>
      </c>
      <c r="V905">
        <v>0</v>
      </c>
      <c r="W905">
        <v>0</v>
      </c>
      <c r="X905">
        <v>0</v>
      </c>
      <c r="Y905">
        <v>0.5</v>
      </c>
      <c r="Z905">
        <v>0.5</v>
      </c>
    </row>
    <row r="906" spans="1:30">
      <c r="A906" t="s">
        <v>1068</v>
      </c>
      <c r="B906">
        <v>47.8125</v>
      </c>
      <c r="C906">
        <v>71.625</v>
      </c>
      <c r="D906">
        <v>12</v>
      </c>
      <c r="E906">
        <v>6.6875</v>
      </c>
      <c r="F906" t="s">
        <v>156</v>
      </c>
      <c r="G906">
        <v>0</v>
      </c>
      <c r="I906">
        <v>1</v>
      </c>
      <c r="J906">
        <v>1</v>
      </c>
      <c r="N906">
        <v>0.5</v>
      </c>
      <c r="O906">
        <v>0.38</v>
      </c>
      <c r="P906">
        <v>3.5</v>
      </c>
      <c r="Q906">
        <v>-7.5</v>
      </c>
      <c r="R906">
        <v>0</v>
      </c>
      <c r="S906">
        <v>4</v>
      </c>
      <c r="T906">
        <v>0.5</v>
      </c>
      <c r="U906">
        <v>0</v>
      </c>
      <c r="V906">
        <v>0</v>
      </c>
      <c r="W906">
        <v>0</v>
      </c>
      <c r="X906">
        <v>0</v>
      </c>
      <c r="Y906">
        <v>0.5</v>
      </c>
      <c r="Z906">
        <v>0.5</v>
      </c>
    </row>
    <row r="907" spans="1:30">
      <c r="A907" t="s">
        <v>1069</v>
      </c>
      <c r="B907">
        <v>20.0625</v>
      </c>
      <c r="C907">
        <v>27.8125</v>
      </c>
      <c r="D907">
        <v>9</v>
      </c>
      <c r="F907" t="s">
        <v>156</v>
      </c>
      <c r="G907">
        <v>1</v>
      </c>
      <c r="H907">
        <v>0</v>
      </c>
      <c r="I907">
        <v>0</v>
      </c>
      <c r="N907">
        <v>0.5</v>
      </c>
      <c r="O907">
        <v>0.38</v>
      </c>
      <c r="P907">
        <v>3.5</v>
      </c>
      <c r="Q907">
        <v>-4.5</v>
      </c>
      <c r="R907">
        <v>4.5</v>
      </c>
      <c r="S907">
        <v>4</v>
      </c>
      <c r="T907">
        <v>0.5</v>
      </c>
      <c r="U907">
        <v>0</v>
      </c>
      <c r="V907">
        <v>0</v>
      </c>
      <c r="W907">
        <v>0</v>
      </c>
      <c r="X907">
        <v>0</v>
      </c>
      <c r="Y907">
        <v>0.5</v>
      </c>
      <c r="Z907">
        <v>0.5</v>
      </c>
    </row>
    <row r="908" spans="1:30">
      <c r="A908" t="s">
        <v>1070</v>
      </c>
      <c r="B908">
        <v>37.5625</v>
      </c>
      <c r="C908">
        <v>30.0625</v>
      </c>
      <c r="D908">
        <v>1</v>
      </c>
      <c r="E908">
        <v>7.6875</v>
      </c>
      <c r="F908" t="s">
        <v>156</v>
      </c>
      <c r="G908">
        <v>1</v>
      </c>
      <c r="H908">
        <v>0</v>
      </c>
      <c r="I908">
        <v>1</v>
      </c>
      <c r="J908">
        <v>0</v>
      </c>
      <c r="K908">
        <v>12</v>
      </c>
      <c r="N908">
        <v>0.5</v>
      </c>
      <c r="O908">
        <v>0.38</v>
      </c>
      <c r="P908">
        <v>3.5</v>
      </c>
      <c r="Q908">
        <v>3.5</v>
      </c>
      <c r="R908">
        <v>0</v>
      </c>
      <c r="S908">
        <v>4</v>
      </c>
      <c r="T908">
        <v>0.5</v>
      </c>
      <c r="U908">
        <v>0</v>
      </c>
      <c r="V908">
        <v>0</v>
      </c>
      <c r="W908">
        <v>0</v>
      </c>
      <c r="X908">
        <v>0</v>
      </c>
      <c r="Y908">
        <v>0.5</v>
      </c>
      <c r="Z908">
        <v>0.5</v>
      </c>
    </row>
    <row r="909" spans="1:30">
      <c r="A909" t="s">
        <v>1071</v>
      </c>
      <c r="B909">
        <v>16.75</v>
      </c>
      <c r="C909">
        <v>40.5</v>
      </c>
      <c r="D909">
        <v>1</v>
      </c>
      <c r="F909" t="s">
        <v>156</v>
      </c>
      <c r="G909">
        <v>1</v>
      </c>
      <c r="H909">
        <v>0</v>
      </c>
      <c r="I909">
        <v>1</v>
      </c>
      <c r="J909">
        <v>0</v>
      </c>
      <c r="K909">
        <v>24</v>
      </c>
      <c r="L909" t="s">
        <v>120</v>
      </c>
      <c r="N909">
        <v>0.5</v>
      </c>
      <c r="O909">
        <v>0.38</v>
      </c>
      <c r="P909">
        <v>3.5</v>
      </c>
      <c r="Q909">
        <v>3.5</v>
      </c>
      <c r="R909">
        <v>4.5</v>
      </c>
      <c r="S909">
        <v>4</v>
      </c>
      <c r="T909">
        <v>0.5</v>
      </c>
      <c r="U909">
        <v>0</v>
      </c>
      <c r="V909">
        <v>0</v>
      </c>
      <c r="W909">
        <v>0</v>
      </c>
      <c r="X909">
        <v>0</v>
      </c>
      <c r="Y909">
        <v>0.5</v>
      </c>
      <c r="Z909">
        <v>0.5</v>
      </c>
    </row>
    <row r="910" spans="1:30">
      <c r="A910" t="s">
        <v>1072</v>
      </c>
      <c r="B910">
        <v>14.0625</v>
      </c>
      <c r="C910">
        <v>46.75</v>
      </c>
      <c r="D910">
        <v>9</v>
      </c>
      <c r="F910" t="s">
        <v>156</v>
      </c>
      <c r="G910">
        <v>1</v>
      </c>
      <c r="H910">
        <v>0</v>
      </c>
      <c r="I910">
        <v>1</v>
      </c>
      <c r="J910">
        <v>0</v>
      </c>
      <c r="N910">
        <v>0.5</v>
      </c>
      <c r="O910">
        <v>0.38</v>
      </c>
      <c r="P910">
        <v>3.5</v>
      </c>
      <c r="Q910">
        <v>-4.5</v>
      </c>
      <c r="R910">
        <v>4.5</v>
      </c>
      <c r="S910">
        <v>4</v>
      </c>
      <c r="T910">
        <v>0.5</v>
      </c>
      <c r="U910">
        <v>0</v>
      </c>
      <c r="V910">
        <v>0</v>
      </c>
      <c r="W910">
        <v>0</v>
      </c>
      <c r="X910">
        <v>0</v>
      </c>
      <c r="Y910">
        <v>0.5</v>
      </c>
      <c r="Z910">
        <v>0.5</v>
      </c>
    </row>
    <row r="911" spans="1:30">
      <c r="A911" t="s">
        <v>1073</v>
      </c>
      <c r="B911">
        <v>37.625</v>
      </c>
      <c r="C911">
        <v>40.5</v>
      </c>
      <c r="D911">
        <v>1</v>
      </c>
      <c r="F911" t="s">
        <v>156</v>
      </c>
      <c r="G911">
        <v>1</v>
      </c>
      <c r="H911">
        <v>0</v>
      </c>
      <c r="I911">
        <v>1</v>
      </c>
      <c r="J911">
        <v>1</v>
      </c>
      <c r="N911">
        <v>0.5</v>
      </c>
      <c r="O911">
        <v>0.38</v>
      </c>
      <c r="P911">
        <v>3.5</v>
      </c>
      <c r="Q911">
        <v>3.5</v>
      </c>
      <c r="R911">
        <v>4.5</v>
      </c>
      <c r="S911">
        <v>4</v>
      </c>
      <c r="T911">
        <v>0.5</v>
      </c>
      <c r="U911">
        <v>0</v>
      </c>
      <c r="V911">
        <v>0</v>
      </c>
      <c r="W911">
        <v>0</v>
      </c>
      <c r="X911">
        <v>0</v>
      </c>
      <c r="Y911">
        <v>0.5</v>
      </c>
      <c r="Z911">
        <v>0.5</v>
      </c>
    </row>
    <row r="912" spans="1:30">
      <c r="A912" t="s">
        <v>1074</v>
      </c>
      <c r="B912">
        <v>30.4375</v>
      </c>
      <c r="C912">
        <v>79.875</v>
      </c>
      <c r="D912">
        <v>12</v>
      </c>
      <c r="E912">
        <v>8.3125</v>
      </c>
      <c r="F912" t="s">
        <v>156</v>
      </c>
      <c r="G912">
        <v>1</v>
      </c>
      <c r="H912">
        <v>1</v>
      </c>
      <c r="I912">
        <v>0</v>
      </c>
      <c r="L912" t="s">
        <v>120</v>
      </c>
      <c r="N912">
        <v>0.5</v>
      </c>
      <c r="O912">
        <v>0.38</v>
      </c>
      <c r="P912">
        <v>3.5</v>
      </c>
      <c r="Q912">
        <v>-7.5</v>
      </c>
      <c r="R912">
        <v>0</v>
      </c>
      <c r="S912">
        <v>4</v>
      </c>
      <c r="T912">
        <v>0.5</v>
      </c>
      <c r="U912">
        <v>0</v>
      </c>
      <c r="V912">
        <v>0</v>
      </c>
      <c r="W912">
        <v>0</v>
      </c>
      <c r="X912">
        <v>0</v>
      </c>
      <c r="Y912">
        <v>0.5</v>
      </c>
      <c r="Z912">
        <v>0.5</v>
      </c>
    </row>
    <row r="913" spans="1:30">
      <c r="A913" t="s">
        <v>1075</v>
      </c>
      <c r="B913">
        <v>39.4375</v>
      </c>
      <c r="C913">
        <v>15.9375</v>
      </c>
      <c r="D913">
        <v>1</v>
      </c>
      <c r="E913">
        <v>4.5625</v>
      </c>
      <c r="F913" t="s">
        <v>156</v>
      </c>
      <c r="G913">
        <v>1</v>
      </c>
      <c r="H913">
        <v>1</v>
      </c>
      <c r="I913">
        <v>1</v>
      </c>
      <c r="J913">
        <v>0</v>
      </c>
      <c r="K913">
        <v>12</v>
      </c>
      <c r="N913">
        <v>0.5</v>
      </c>
      <c r="O913">
        <v>0.38</v>
      </c>
      <c r="P913">
        <v>3.5</v>
      </c>
      <c r="Q913">
        <v>3.5</v>
      </c>
      <c r="R913">
        <v>0</v>
      </c>
      <c r="S913">
        <v>4</v>
      </c>
      <c r="T913">
        <v>0.5</v>
      </c>
      <c r="U913">
        <v>0</v>
      </c>
      <c r="V913">
        <v>0</v>
      </c>
      <c r="W913">
        <v>0</v>
      </c>
      <c r="X913">
        <v>0</v>
      </c>
      <c r="Y913">
        <v>0.5</v>
      </c>
      <c r="Z913">
        <v>0.5</v>
      </c>
    </row>
    <row r="914" spans="1:30">
      <c r="A914" t="s">
        <v>1076</v>
      </c>
      <c r="B914">
        <v>47.6875</v>
      </c>
      <c r="C914">
        <v>56.75</v>
      </c>
      <c r="D914">
        <v>12</v>
      </c>
      <c r="E914">
        <v>1</v>
      </c>
      <c r="F914" t="s">
        <v>156</v>
      </c>
      <c r="G914">
        <v>1</v>
      </c>
      <c r="H914">
        <v>1</v>
      </c>
      <c r="I914">
        <v>1</v>
      </c>
      <c r="J914">
        <v>0</v>
      </c>
      <c r="K914">
        <v>24</v>
      </c>
      <c r="L914" t="s">
        <v>149</v>
      </c>
      <c r="N914">
        <v>0.5</v>
      </c>
      <c r="O914">
        <v>0.38</v>
      </c>
      <c r="P914">
        <v>3.5</v>
      </c>
      <c r="Q914">
        <v>-7.5</v>
      </c>
      <c r="R914">
        <v>3.5</v>
      </c>
      <c r="S914">
        <v>4</v>
      </c>
      <c r="T914">
        <v>0.5</v>
      </c>
      <c r="U914">
        <v>0</v>
      </c>
      <c r="V914">
        <v>0</v>
      </c>
      <c r="W914">
        <v>1</v>
      </c>
      <c r="X914">
        <v>0</v>
      </c>
      <c r="Y914">
        <v>0.5</v>
      </c>
      <c r="Z914">
        <v>0.5</v>
      </c>
    </row>
    <row r="915" spans="1:30">
      <c r="A915" t="s">
        <v>1077</v>
      </c>
      <c r="B915">
        <v>27.6875</v>
      </c>
      <c r="C915">
        <v>76.9375</v>
      </c>
      <c r="D915">
        <v>4.25</v>
      </c>
      <c r="E915">
        <v>1</v>
      </c>
      <c r="F915" t="s">
        <v>156</v>
      </c>
      <c r="G915">
        <v>1</v>
      </c>
      <c r="H915">
        <v>1</v>
      </c>
      <c r="I915">
        <v>1</v>
      </c>
      <c r="J915">
        <v>0</v>
      </c>
      <c r="N915">
        <v>0.5</v>
      </c>
      <c r="O915">
        <v>0.38</v>
      </c>
      <c r="P915">
        <v>3.5</v>
      </c>
      <c r="Q915">
        <v>0.25</v>
      </c>
      <c r="R915">
        <v>3.5</v>
      </c>
      <c r="S915">
        <v>4</v>
      </c>
      <c r="T915">
        <v>0.5</v>
      </c>
      <c r="U915">
        <v>0</v>
      </c>
      <c r="V915">
        <v>0</v>
      </c>
      <c r="W915">
        <v>1</v>
      </c>
      <c r="X915">
        <v>0</v>
      </c>
      <c r="Y915">
        <v>0.5</v>
      </c>
      <c r="Z915">
        <v>0.5</v>
      </c>
    </row>
    <row r="916" spans="1:30">
      <c r="A916" t="s">
        <v>1078</v>
      </c>
      <c r="B916">
        <v>17.125</v>
      </c>
      <c r="C916">
        <v>45.75</v>
      </c>
      <c r="D916">
        <v>2.8125</v>
      </c>
      <c r="E916">
        <v>8.25</v>
      </c>
      <c r="F916" t="s">
        <v>156</v>
      </c>
      <c r="G916">
        <v>1</v>
      </c>
      <c r="H916">
        <v>1</v>
      </c>
      <c r="I916">
        <v>1</v>
      </c>
      <c r="J916">
        <v>1</v>
      </c>
      <c r="N916">
        <v>0.5</v>
      </c>
      <c r="O916">
        <v>0.38</v>
      </c>
      <c r="P916">
        <v>3.5</v>
      </c>
      <c r="Q916">
        <v>1.6875</v>
      </c>
      <c r="R916">
        <v>0</v>
      </c>
      <c r="S916">
        <v>4</v>
      </c>
      <c r="T916">
        <v>0.5</v>
      </c>
      <c r="U916">
        <v>0</v>
      </c>
      <c r="V916">
        <v>0</v>
      </c>
      <c r="W916">
        <v>0</v>
      </c>
      <c r="X916">
        <v>0</v>
      </c>
      <c r="Y916">
        <v>0.5</v>
      </c>
      <c r="Z916">
        <v>0.5</v>
      </c>
    </row>
    <row r="917" spans="1:30">
      <c r="A917" t="s">
        <v>1079</v>
      </c>
      <c r="B917">
        <v>60</v>
      </c>
      <c r="C917">
        <v>62.0625</v>
      </c>
      <c r="D917">
        <v>1</v>
      </c>
      <c r="E917">
        <v>6</v>
      </c>
      <c r="F917" t="s">
        <v>157</v>
      </c>
      <c r="G917">
        <v>0</v>
      </c>
      <c r="I917">
        <v>0</v>
      </c>
      <c r="L917" t="s">
        <v>120</v>
      </c>
      <c r="N917">
        <v>0.5</v>
      </c>
      <c r="O917">
        <v>0.38</v>
      </c>
      <c r="P917">
        <v>3.5</v>
      </c>
      <c r="Q917">
        <v>3.5</v>
      </c>
      <c r="R917">
        <v>0</v>
      </c>
      <c r="S917">
        <v>4</v>
      </c>
      <c r="T917">
        <v>0.5</v>
      </c>
      <c r="U917">
        <v>0</v>
      </c>
      <c r="V917">
        <v>0</v>
      </c>
      <c r="W917">
        <v>0</v>
      </c>
      <c r="X917">
        <v>0</v>
      </c>
      <c r="Y917">
        <v>0.5</v>
      </c>
      <c r="Z917">
        <v>0.5</v>
      </c>
      <c r="AA917">
        <v>11.5</v>
      </c>
      <c r="AB917">
        <v>10.875</v>
      </c>
      <c r="AC917">
        <v>28.94</v>
      </c>
      <c r="AD917">
        <v>17</v>
      </c>
    </row>
    <row r="918" spans="1:30">
      <c r="A918" t="s">
        <v>1080</v>
      </c>
      <c r="B918">
        <v>60</v>
      </c>
      <c r="C918">
        <v>70</v>
      </c>
      <c r="D918">
        <v>4.5</v>
      </c>
      <c r="E918">
        <v>4.125</v>
      </c>
      <c r="F918" t="s">
        <v>157</v>
      </c>
      <c r="G918">
        <v>0</v>
      </c>
      <c r="I918">
        <v>1</v>
      </c>
      <c r="J918">
        <v>0</v>
      </c>
      <c r="K918">
        <v>12</v>
      </c>
      <c r="L918" t="s">
        <v>145</v>
      </c>
      <c r="N918">
        <v>0.5</v>
      </c>
      <c r="O918">
        <v>0.38</v>
      </c>
      <c r="P918">
        <v>3.5</v>
      </c>
      <c r="Q918">
        <v>0</v>
      </c>
      <c r="R918">
        <v>0.375</v>
      </c>
      <c r="S918">
        <v>4</v>
      </c>
      <c r="T918">
        <v>0.5</v>
      </c>
      <c r="U918">
        <v>0</v>
      </c>
      <c r="V918">
        <v>0</v>
      </c>
      <c r="W918">
        <v>0</v>
      </c>
      <c r="X918">
        <v>0</v>
      </c>
      <c r="Y918">
        <v>0.5</v>
      </c>
      <c r="Z918">
        <v>0.5</v>
      </c>
      <c r="AA918">
        <v>15.5</v>
      </c>
      <c r="AB918">
        <v>28.875</v>
      </c>
      <c r="AC918">
        <v>14</v>
      </c>
      <c r="AD918">
        <v>25.63</v>
      </c>
    </row>
    <row r="919" spans="1:30">
      <c r="A919" t="s">
        <v>1081</v>
      </c>
      <c r="B919">
        <v>60</v>
      </c>
      <c r="C919">
        <v>45.0625</v>
      </c>
      <c r="D919">
        <v>9</v>
      </c>
      <c r="E919">
        <v>5.5</v>
      </c>
      <c r="F919" t="s">
        <v>157</v>
      </c>
      <c r="G919">
        <v>0</v>
      </c>
      <c r="I919">
        <v>1</v>
      </c>
      <c r="J919">
        <v>0</v>
      </c>
      <c r="K919">
        <v>24</v>
      </c>
      <c r="L919" t="s">
        <v>121</v>
      </c>
      <c r="N919">
        <v>0.5</v>
      </c>
      <c r="O919">
        <v>0.38</v>
      </c>
      <c r="P919">
        <v>3.5</v>
      </c>
      <c r="Q919">
        <v>-4.5</v>
      </c>
      <c r="R919">
        <v>0</v>
      </c>
      <c r="S919">
        <v>4</v>
      </c>
      <c r="T919">
        <v>0.5</v>
      </c>
      <c r="U919">
        <v>0</v>
      </c>
      <c r="V919">
        <v>0</v>
      </c>
      <c r="W919">
        <v>0</v>
      </c>
      <c r="X919">
        <v>0</v>
      </c>
      <c r="Y919">
        <v>0.5</v>
      </c>
      <c r="Z919">
        <v>0.5</v>
      </c>
      <c r="AA919">
        <v>11</v>
      </c>
      <c r="AB919">
        <v>9.375</v>
      </c>
    </row>
    <row r="920" spans="1:30">
      <c r="A920" t="s">
        <v>1082</v>
      </c>
      <c r="B920">
        <v>60</v>
      </c>
      <c r="C920">
        <v>12.8125</v>
      </c>
      <c r="D920">
        <v>4.1875</v>
      </c>
      <c r="E920">
        <v>7.625</v>
      </c>
      <c r="F920" t="s">
        <v>157</v>
      </c>
      <c r="G920">
        <v>0</v>
      </c>
      <c r="I920">
        <v>1</v>
      </c>
      <c r="J920">
        <v>0</v>
      </c>
      <c r="N920">
        <v>0.5</v>
      </c>
      <c r="O920">
        <v>0.38</v>
      </c>
      <c r="P920">
        <v>3.5</v>
      </c>
      <c r="Q920">
        <v>0.3125</v>
      </c>
      <c r="R920">
        <v>0</v>
      </c>
      <c r="S920">
        <v>4</v>
      </c>
      <c r="T920">
        <v>0.5</v>
      </c>
      <c r="U920">
        <v>0</v>
      </c>
      <c r="V920">
        <v>1</v>
      </c>
      <c r="W920">
        <v>0</v>
      </c>
      <c r="X920">
        <v>0</v>
      </c>
      <c r="Y920">
        <v>0.5</v>
      </c>
      <c r="Z920">
        <v>0</v>
      </c>
    </row>
    <row r="921" spans="1:30">
      <c r="A921" t="s">
        <v>1083</v>
      </c>
      <c r="B921">
        <v>60</v>
      </c>
      <c r="C921">
        <v>31.4375</v>
      </c>
      <c r="D921">
        <v>2.9375</v>
      </c>
      <c r="E921">
        <v>1</v>
      </c>
      <c r="F921" t="s">
        <v>157</v>
      </c>
      <c r="G921">
        <v>0</v>
      </c>
      <c r="I921">
        <v>1</v>
      </c>
      <c r="J921">
        <v>1</v>
      </c>
      <c r="N921">
        <v>0.5</v>
      </c>
      <c r="O921">
        <v>0.38</v>
      </c>
      <c r="P921">
        <v>3.5</v>
      </c>
      <c r="Q921">
        <v>1.5625</v>
      </c>
      <c r="R921">
        <v>3.5</v>
      </c>
      <c r="S921">
        <v>4</v>
      </c>
      <c r="T921">
        <v>0.5</v>
      </c>
      <c r="U921">
        <v>0</v>
      </c>
      <c r="V921">
        <v>1</v>
      </c>
      <c r="W921">
        <v>0</v>
      </c>
      <c r="X921">
        <v>0</v>
      </c>
      <c r="Y921">
        <v>0.5</v>
      </c>
      <c r="Z921">
        <v>0</v>
      </c>
    </row>
    <row r="922" spans="1:30">
      <c r="A922" t="s">
        <v>1084</v>
      </c>
      <c r="B922">
        <v>60</v>
      </c>
      <c r="C922">
        <v>70.625</v>
      </c>
      <c r="D922">
        <v>12</v>
      </c>
      <c r="E922">
        <v>7.375</v>
      </c>
      <c r="F922" t="s">
        <v>157</v>
      </c>
      <c r="G922">
        <v>1</v>
      </c>
      <c r="H922">
        <v>0</v>
      </c>
      <c r="I922">
        <v>0</v>
      </c>
      <c r="L922" t="s">
        <v>35</v>
      </c>
      <c r="N922">
        <v>0.5</v>
      </c>
      <c r="O922">
        <v>0.38</v>
      </c>
      <c r="P922">
        <v>3.5</v>
      </c>
      <c r="Q922">
        <v>-7.5</v>
      </c>
      <c r="R922">
        <v>0</v>
      </c>
      <c r="S922">
        <v>4</v>
      </c>
      <c r="T922">
        <v>0.5</v>
      </c>
      <c r="U922">
        <v>0</v>
      </c>
      <c r="V922">
        <v>0</v>
      </c>
      <c r="W922">
        <v>0</v>
      </c>
      <c r="X922">
        <v>0</v>
      </c>
      <c r="Y922">
        <v>0.5</v>
      </c>
      <c r="Z922">
        <v>0.5</v>
      </c>
      <c r="AA922">
        <v>15.5</v>
      </c>
      <c r="AB922">
        <v>28.875</v>
      </c>
      <c r="AC922">
        <v>26</v>
      </c>
      <c r="AD922">
        <v>18.13</v>
      </c>
    </row>
    <row r="923" spans="1:30">
      <c r="A923" t="s">
        <v>1085</v>
      </c>
      <c r="B923">
        <v>60</v>
      </c>
      <c r="C923">
        <v>79.5625</v>
      </c>
      <c r="D923">
        <v>9</v>
      </c>
      <c r="E923">
        <v>4.875</v>
      </c>
      <c r="F923" t="s">
        <v>157</v>
      </c>
      <c r="G923">
        <v>1</v>
      </c>
      <c r="H923">
        <v>0</v>
      </c>
      <c r="I923">
        <v>1</v>
      </c>
      <c r="J923">
        <v>0</v>
      </c>
      <c r="K923">
        <v>12</v>
      </c>
      <c r="L923" t="s">
        <v>150</v>
      </c>
      <c r="N923">
        <v>0.5</v>
      </c>
      <c r="O923">
        <v>0.38</v>
      </c>
      <c r="P923">
        <v>3.5</v>
      </c>
      <c r="Q923">
        <v>-4.5</v>
      </c>
      <c r="R923">
        <v>0</v>
      </c>
      <c r="S923">
        <v>4</v>
      </c>
      <c r="T923">
        <v>0.5</v>
      </c>
      <c r="U923">
        <v>0</v>
      </c>
      <c r="V923">
        <v>0</v>
      </c>
      <c r="W923">
        <v>0</v>
      </c>
      <c r="X923">
        <v>0</v>
      </c>
      <c r="Y923">
        <v>0.5</v>
      </c>
      <c r="Z923">
        <v>0.5</v>
      </c>
      <c r="AA923">
        <v>15.5</v>
      </c>
      <c r="AB923">
        <v>28.875</v>
      </c>
      <c r="AC923">
        <v>9</v>
      </c>
      <c r="AD923">
        <v>9</v>
      </c>
    </row>
    <row r="924" spans="1:30">
      <c r="A924" t="s">
        <v>1086</v>
      </c>
      <c r="B924">
        <v>60</v>
      </c>
      <c r="C924">
        <v>71.5</v>
      </c>
      <c r="D924">
        <v>1</v>
      </c>
      <c r="E924">
        <v>7.6875</v>
      </c>
      <c r="F924" t="s">
        <v>157</v>
      </c>
      <c r="G924">
        <v>1</v>
      </c>
      <c r="H924">
        <v>0</v>
      </c>
      <c r="I924">
        <v>1</v>
      </c>
      <c r="J924">
        <v>0</v>
      </c>
      <c r="K924">
        <v>24</v>
      </c>
      <c r="N924">
        <v>0.5</v>
      </c>
      <c r="O924">
        <v>0.38</v>
      </c>
      <c r="P924">
        <v>3.5</v>
      </c>
      <c r="Q924">
        <v>3.5</v>
      </c>
      <c r="R924">
        <v>0</v>
      </c>
      <c r="S924">
        <v>4</v>
      </c>
      <c r="T924">
        <v>0.5</v>
      </c>
      <c r="U924">
        <v>1</v>
      </c>
      <c r="V924">
        <v>1</v>
      </c>
      <c r="W924">
        <v>0</v>
      </c>
      <c r="X924">
        <v>0</v>
      </c>
      <c r="Y924">
        <v>0</v>
      </c>
      <c r="Z924">
        <v>0</v>
      </c>
    </row>
    <row r="925" spans="1:30">
      <c r="A925" t="s">
        <v>1087</v>
      </c>
      <c r="B925">
        <v>60</v>
      </c>
      <c r="C925">
        <v>9.125</v>
      </c>
      <c r="D925">
        <v>1</v>
      </c>
      <c r="F925" t="s">
        <v>157</v>
      </c>
      <c r="G925">
        <v>1</v>
      </c>
      <c r="H925">
        <v>0</v>
      </c>
      <c r="I925">
        <v>1</v>
      </c>
      <c r="J925">
        <v>0</v>
      </c>
      <c r="N925">
        <v>0.5</v>
      </c>
      <c r="O925">
        <v>0.38</v>
      </c>
      <c r="P925">
        <v>3.5</v>
      </c>
      <c r="Q925">
        <v>3.5</v>
      </c>
      <c r="R925">
        <v>4.5</v>
      </c>
      <c r="S925">
        <v>4</v>
      </c>
      <c r="T925">
        <v>0.5</v>
      </c>
      <c r="U925">
        <v>1</v>
      </c>
      <c r="V925">
        <v>1</v>
      </c>
      <c r="W925">
        <v>0</v>
      </c>
      <c r="X925">
        <v>0</v>
      </c>
      <c r="Y925">
        <v>0</v>
      </c>
      <c r="Z925">
        <v>0</v>
      </c>
    </row>
    <row r="926" spans="1:30">
      <c r="A926" t="s">
        <v>1088</v>
      </c>
      <c r="B926">
        <v>60</v>
      </c>
      <c r="C926">
        <v>43.0625</v>
      </c>
      <c r="D926">
        <v>1.3125</v>
      </c>
      <c r="F926" t="s">
        <v>157</v>
      </c>
      <c r="G926">
        <v>1</v>
      </c>
      <c r="H926">
        <v>0</v>
      </c>
      <c r="I926">
        <v>1</v>
      </c>
      <c r="J926">
        <v>1</v>
      </c>
      <c r="N926">
        <v>0.5</v>
      </c>
      <c r="O926">
        <v>0.38</v>
      </c>
      <c r="P926">
        <v>3.5</v>
      </c>
      <c r="Q926">
        <v>3.1875</v>
      </c>
      <c r="R926">
        <v>4.5</v>
      </c>
      <c r="S926">
        <v>4</v>
      </c>
      <c r="T926">
        <v>0.5</v>
      </c>
      <c r="U926">
        <v>1</v>
      </c>
      <c r="V926">
        <v>1</v>
      </c>
      <c r="W926">
        <v>0</v>
      </c>
      <c r="X926">
        <v>0</v>
      </c>
      <c r="Y926">
        <v>0</v>
      </c>
      <c r="Z926">
        <v>0</v>
      </c>
    </row>
    <row r="927" spans="1:30">
      <c r="A927" t="s">
        <v>1089</v>
      </c>
      <c r="B927">
        <v>60</v>
      </c>
      <c r="C927">
        <v>56.1875</v>
      </c>
      <c r="D927">
        <v>4.5</v>
      </c>
      <c r="F927" t="s">
        <v>157</v>
      </c>
      <c r="G927">
        <v>1</v>
      </c>
      <c r="H927">
        <v>1</v>
      </c>
      <c r="I927">
        <v>0</v>
      </c>
      <c r="L927" t="s">
        <v>145</v>
      </c>
      <c r="N927">
        <v>0.5</v>
      </c>
      <c r="O927">
        <v>0.38</v>
      </c>
      <c r="P927">
        <v>3.5</v>
      </c>
      <c r="Q927">
        <v>0</v>
      </c>
      <c r="R927">
        <v>4.5</v>
      </c>
      <c r="S927">
        <v>4</v>
      </c>
      <c r="T927">
        <v>0.5</v>
      </c>
      <c r="U927">
        <v>0</v>
      </c>
      <c r="V927">
        <v>0</v>
      </c>
      <c r="W927">
        <v>0</v>
      </c>
      <c r="X927">
        <v>0</v>
      </c>
      <c r="Y927">
        <v>0.5</v>
      </c>
      <c r="Z927">
        <v>0.5</v>
      </c>
      <c r="AA927">
        <v>15.5</v>
      </c>
      <c r="AB927">
        <v>28.875</v>
      </c>
      <c r="AC927">
        <v>26</v>
      </c>
      <c r="AD927">
        <v>25.63</v>
      </c>
    </row>
    <row r="928" spans="1:30">
      <c r="A928" t="s">
        <v>1090</v>
      </c>
      <c r="B928">
        <v>60</v>
      </c>
      <c r="C928">
        <v>63.3125</v>
      </c>
      <c r="D928">
        <v>3.5</v>
      </c>
      <c r="E928">
        <v>1.0625</v>
      </c>
      <c r="F928" t="s">
        <v>157</v>
      </c>
      <c r="G928">
        <v>1</v>
      </c>
      <c r="H928">
        <v>1</v>
      </c>
      <c r="I928">
        <v>1</v>
      </c>
      <c r="J928">
        <v>0</v>
      </c>
      <c r="K928">
        <v>12</v>
      </c>
      <c r="L928" t="s">
        <v>148</v>
      </c>
      <c r="N928">
        <v>0.5</v>
      </c>
      <c r="O928">
        <v>0.38</v>
      </c>
      <c r="P928">
        <v>3.5</v>
      </c>
      <c r="Q928">
        <v>1</v>
      </c>
      <c r="R928">
        <v>3.4375</v>
      </c>
      <c r="S928">
        <v>4</v>
      </c>
      <c r="T928">
        <v>0.5</v>
      </c>
      <c r="U928">
        <v>1</v>
      </c>
      <c r="V928">
        <v>1</v>
      </c>
      <c r="W928">
        <v>0</v>
      </c>
      <c r="X928">
        <v>0</v>
      </c>
      <c r="Y928">
        <v>0</v>
      </c>
      <c r="Z928">
        <v>0</v>
      </c>
      <c r="AA928">
        <v>15.5</v>
      </c>
      <c r="AB928">
        <v>28.875</v>
      </c>
      <c r="AC928">
        <v>9</v>
      </c>
      <c r="AD928">
        <v>14.5</v>
      </c>
    </row>
    <row r="929" spans="1:30">
      <c r="A929" t="s">
        <v>1091</v>
      </c>
      <c r="B929">
        <v>60</v>
      </c>
      <c r="C929">
        <v>49.4375</v>
      </c>
      <c r="D929">
        <v>4.5</v>
      </c>
      <c r="F929" t="s">
        <v>157</v>
      </c>
      <c r="G929">
        <v>1</v>
      </c>
      <c r="H929">
        <v>1</v>
      </c>
      <c r="I929">
        <v>1</v>
      </c>
      <c r="J929">
        <v>0</v>
      </c>
      <c r="K929">
        <v>24</v>
      </c>
      <c r="L929" t="s">
        <v>120</v>
      </c>
      <c r="N929">
        <v>0.5</v>
      </c>
      <c r="O929">
        <v>0.38</v>
      </c>
      <c r="P929">
        <v>3.5</v>
      </c>
      <c r="Q929">
        <v>0</v>
      </c>
      <c r="R929">
        <v>4.5</v>
      </c>
      <c r="S929">
        <v>4</v>
      </c>
      <c r="T929">
        <v>0.5</v>
      </c>
      <c r="U929">
        <v>0</v>
      </c>
      <c r="V929">
        <v>0</v>
      </c>
      <c r="W929">
        <v>0</v>
      </c>
      <c r="X929">
        <v>0</v>
      </c>
      <c r="Y929">
        <v>0.5</v>
      </c>
      <c r="Z929">
        <v>0.5</v>
      </c>
      <c r="AA929">
        <v>11.5</v>
      </c>
      <c r="AB929">
        <v>10.875</v>
      </c>
      <c r="AC929">
        <v>4.9400000000000004</v>
      </c>
      <c r="AD929">
        <v>13.5</v>
      </c>
    </row>
    <row r="930" spans="1:30">
      <c r="A930" t="s">
        <v>1092</v>
      </c>
      <c r="B930">
        <v>60</v>
      </c>
      <c r="C930">
        <v>66.1875</v>
      </c>
      <c r="D930">
        <v>8.9375</v>
      </c>
      <c r="E930">
        <v>5.6875</v>
      </c>
      <c r="F930" t="s">
        <v>157</v>
      </c>
      <c r="G930">
        <v>1</v>
      </c>
      <c r="H930">
        <v>1</v>
      </c>
      <c r="I930">
        <v>1</v>
      </c>
      <c r="J930">
        <v>0</v>
      </c>
      <c r="N930">
        <v>0.5</v>
      </c>
      <c r="O930">
        <v>0.38</v>
      </c>
      <c r="P930">
        <v>3.5</v>
      </c>
      <c r="Q930">
        <v>-4.4375</v>
      </c>
      <c r="R930">
        <v>0</v>
      </c>
      <c r="S930">
        <v>4</v>
      </c>
      <c r="T930">
        <v>0.5</v>
      </c>
      <c r="U930">
        <v>0</v>
      </c>
      <c r="V930">
        <v>0</v>
      </c>
      <c r="W930">
        <v>0</v>
      </c>
      <c r="X930">
        <v>0</v>
      </c>
      <c r="Y930">
        <v>0.5</v>
      </c>
      <c r="Z930">
        <v>0.5</v>
      </c>
    </row>
    <row r="931" spans="1:30">
      <c r="A931" t="s">
        <v>1093</v>
      </c>
      <c r="B931">
        <v>60</v>
      </c>
      <c r="C931">
        <v>33.5</v>
      </c>
      <c r="D931">
        <v>5.75</v>
      </c>
      <c r="E931">
        <v>1</v>
      </c>
      <c r="F931" t="s">
        <v>157</v>
      </c>
      <c r="G931">
        <v>1</v>
      </c>
      <c r="H931">
        <v>1</v>
      </c>
      <c r="I931">
        <v>1</v>
      </c>
      <c r="J931">
        <v>1</v>
      </c>
      <c r="N931">
        <v>0.5</v>
      </c>
      <c r="O931">
        <v>0.38</v>
      </c>
      <c r="P931">
        <v>3.5</v>
      </c>
      <c r="Q931">
        <v>-1.25</v>
      </c>
      <c r="R931">
        <v>3.5</v>
      </c>
      <c r="S931">
        <v>4</v>
      </c>
      <c r="T931">
        <v>0.5</v>
      </c>
      <c r="U931">
        <v>0</v>
      </c>
      <c r="V931">
        <v>0</v>
      </c>
      <c r="W931">
        <v>0</v>
      </c>
      <c r="X931">
        <v>0</v>
      </c>
      <c r="Y931">
        <v>0.5</v>
      </c>
      <c r="Z931">
        <v>0.5</v>
      </c>
    </row>
    <row r="932" spans="1:30">
      <c r="A932" t="s">
        <v>1094</v>
      </c>
      <c r="B932">
        <v>94.3125</v>
      </c>
      <c r="C932">
        <v>77.1875</v>
      </c>
      <c r="D932">
        <v>4.5</v>
      </c>
      <c r="E932">
        <v>4.25</v>
      </c>
      <c r="F932" t="s">
        <v>21</v>
      </c>
      <c r="G932">
        <v>0</v>
      </c>
      <c r="I932">
        <v>0</v>
      </c>
      <c r="L932" t="s">
        <v>121</v>
      </c>
      <c r="N932">
        <v>0.5</v>
      </c>
      <c r="O932">
        <v>0.38</v>
      </c>
      <c r="P932">
        <v>3.5</v>
      </c>
      <c r="Q932">
        <v>0</v>
      </c>
      <c r="R932">
        <v>0.25</v>
      </c>
      <c r="S932">
        <v>4</v>
      </c>
      <c r="T932">
        <v>0.5</v>
      </c>
      <c r="U932">
        <v>0</v>
      </c>
      <c r="V932">
        <v>0</v>
      </c>
      <c r="W932">
        <v>0</v>
      </c>
      <c r="X932">
        <v>0</v>
      </c>
      <c r="Y932">
        <v>0.5</v>
      </c>
      <c r="Z932">
        <v>0.5</v>
      </c>
      <c r="AA932">
        <v>11</v>
      </c>
      <c r="AB932">
        <v>9.375</v>
      </c>
      <c r="AC932">
        <v>14.5</v>
      </c>
      <c r="AD932">
        <v>14.25</v>
      </c>
    </row>
    <row r="933" spans="1:30">
      <c r="A933" t="s">
        <v>1095</v>
      </c>
      <c r="B933">
        <v>53.875</v>
      </c>
      <c r="C933">
        <v>77.0625</v>
      </c>
      <c r="D933">
        <v>12</v>
      </c>
      <c r="F933" t="s">
        <v>21</v>
      </c>
      <c r="G933">
        <v>0</v>
      </c>
      <c r="I933">
        <v>1</v>
      </c>
      <c r="J933">
        <v>0</v>
      </c>
      <c r="K933">
        <v>12</v>
      </c>
      <c r="N933">
        <v>0.5</v>
      </c>
      <c r="O933">
        <v>0.38</v>
      </c>
      <c r="P933">
        <v>3.5</v>
      </c>
      <c r="Q933">
        <v>-7.5</v>
      </c>
      <c r="R933">
        <v>4.5</v>
      </c>
      <c r="S933">
        <v>4</v>
      </c>
      <c r="T933">
        <v>0.5</v>
      </c>
      <c r="U933">
        <v>0</v>
      </c>
      <c r="V933">
        <v>0</v>
      </c>
      <c r="W933">
        <v>0</v>
      </c>
      <c r="X933">
        <v>0</v>
      </c>
      <c r="Y933">
        <v>0.5</v>
      </c>
      <c r="Z933">
        <v>0.5</v>
      </c>
    </row>
    <row r="934" spans="1:30">
      <c r="A934" t="s">
        <v>1096</v>
      </c>
      <c r="B934">
        <v>100.0625</v>
      </c>
      <c r="C934">
        <v>37.625</v>
      </c>
      <c r="D934">
        <v>1.125</v>
      </c>
      <c r="E934">
        <v>1</v>
      </c>
      <c r="F934" t="s">
        <v>21</v>
      </c>
      <c r="G934">
        <v>0</v>
      </c>
      <c r="I934">
        <v>1</v>
      </c>
      <c r="J934">
        <v>0</v>
      </c>
      <c r="K934">
        <v>24</v>
      </c>
      <c r="N934">
        <v>0.5</v>
      </c>
      <c r="O934">
        <v>0.38</v>
      </c>
      <c r="P934">
        <v>3.5</v>
      </c>
      <c r="Q934">
        <v>3.375</v>
      </c>
      <c r="R934">
        <v>3.5</v>
      </c>
      <c r="S934">
        <v>4</v>
      </c>
      <c r="T934">
        <v>0.5</v>
      </c>
      <c r="U934">
        <v>0</v>
      </c>
      <c r="V934">
        <v>1</v>
      </c>
      <c r="W934">
        <v>0</v>
      </c>
      <c r="X934">
        <v>0</v>
      </c>
      <c r="Y934">
        <v>0.5</v>
      </c>
      <c r="Z934">
        <v>0</v>
      </c>
    </row>
    <row r="935" spans="1:30">
      <c r="A935" t="s">
        <v>1097</v>
      </c>
      <c r="B935">
        <v>96</v>
      </c>
      <c r="C935">
        <v>6.125</v>
      </c>
      <c r="D935">
        <v>3.3125</v>
      </c>
      <c r="E935">
        <v>2.1875</v>
      </c>
      <c r="F935" t="s">
        <v>21</v>
      </c>
      <c r="G935">
        <v>0</v>
      </c>
      <c r="I935">
        <v>1</v>
      </c>
      <c r="J935">
        <v>0</v>
      </c>
      <c r="N935">
        <v>0.5</v>
      </c>
      <c r="O935">
        <v>0.38</v>
      </c>
      <c r="P935">
        <v>3.5</v>
      </c>
      <c r="Q935">
        <v>1.1875</v>
      </c>
      <c r="R935">
        <v>2.3125</v>
      </c>
      <c r="S935">
        <v>4</v>
      </c>
      <c r="T935">
        <v>0.5</v>
      </c>
      <c r="U935">
        <v>0</v>
      </c>
      <c r="V935">
        <v>1</v>
      </c>
      <c r="W935">
        <v>0</v>
      </c>
      <c r="X935">
        <v>0</v>
      </c>
      <c r="Y935">
        <v>0.5</v>
      </c>
      <c r="Z935">
        <v>0</v>
      </c>
    </row>
    <row r="936" spans="1:30">
      <c r="A936" t="s">
        <v>1098</v>
      </c>
      <c r="B936">
        <v>47.0625</v>
      </c>
      <c r="C936">
        <v>79.125</v>
      </c>
      <c r="D936">
        <v>9</v>
      </c>
      <c r="E936">
        <v>7.875</v>
      </c>
      <c r="F936" t="s">
        <v>21</v>
      </c>
      <c r="G936">
        <v>0</v>
      </c>
      <c r="I936">
        <v>1</v>
      </c>
      <c r="J936">
        <v>1</v>
      </c>
      <c r="N936">
        <v>0.5</v>
      </c>
      <c r="O936">
        <v>0.38</v>
      </c>
      <c r="P936">
        <v>3.5</v>
      </c>
      <c r="Q936">
        <v>-4.5</v>
      </c>
      <c r="R936">
        <v>0</v>
      </c>
      <c r="S936">
        <v>4</v>
      </c>
      <c r="T936">
        <v>0.5</v>
      </c>
      <c r="U936">
        <v>0</v>
      </c>
      <c r="V936">
        <v>0</v>
      </c>
      <c r="W936">
        <v>0</v>
      </c>
      <c r="X936">
        <v>0</v>
      </c>
      <c r="Y936">
        <v>0.5</v>
      </c>
      <c r="Z936">
        <v>0.5</v>
      </c>
    </row>
    <row r="937" spans="1:30">
      <c r="A937" t="s">
        <v>1099</v>
      </c>
      <c r="B937">
        <v>96</v>
      </c>
      <c r="C937">
        <v>65.3125</v>
      </c>
      <c r="D937">
        <v>5.3125</v>
      </c>
      <c r="E937">
        <v>7.1875</v>
      </c>
      <c r="F937" t="s">
        <v>21</v>
      </c>
      <c r="G937">
        <v>1</v>
      </c>
      <c r="H937">
        <v>0</v>
      </c>
      <c r="I937">
        <v>0</v>
      </c>
      <c r="L937" t="s">
        <v>148</v>
      </c>
      <c r="N937">
        <v>0.5</v>
      </c>
      <c r="O937">
        <v>0.38</v>
      </c>
      <c r="P937">
        <v>3.5</v>
      </c>
      <c r="Q937">
        <v>-0.8125</v>
      </c>
      <c r="R937">
        <v>0</v>
      </c>
      <c r="S937">
        <v>4</v>
      </c>
      <c r="T937">
        <v>0.5</v>
      </c>
      <c r="U937">
        <v>0</v>
      </c>
      <c r="V937">
        <v>0</v>
      </c>
      <c r="W937">
        <v>0</v>
      </c>
      <c r="X937">
        <v>0</v>
      </c>
      <c r="Y937">
        <v>0.5</v>
      </c>
      <c r="Z937">
        <v>0.5</v>
      </c>
      <c r="AA937">
        <v>15.5</v>
      </c>
      <c r="AB937">
        <v>28.875</v>
      </c>
      <c r="AC937">
        <v>21</v>
      </c>
      <c r="AD937">
        <v>12.6875</v>
      </c>
    </row>
    <row r="938" spans="1:30">
      <c r="A938" t="s">
        <v>1100</v>
      </c>
      <c r="B938">
        <v>96</v>
      </c>
      <c r="C938">
        <v>77.4375</v>
      </c>
      <c r="D938">
        <v>12</v>
      </c>
      <c r="F938" t="s">
        <v>21</v>
      </c>
      <c r="G938">
        <v>1</v>
      </c>
      <c r="H938">
        <v>0</v>
      </c>
      <c r="I938">
        <v>1</v>
      </c>
      <c r="J938">
        <v>0</v>
      </c>
      <c r="K938">
        <v>12</v>
      </c>
      <c r="L938" t="s">
        <v>120</v>
      </c>
      <c r="N938">
        <v>0.5</v>
      </c>
      <c r="O938">
        <v>0.38</v>
      </c>
      <c r="P938">
        <v>3.5</v>
      </c>
      <c r="Q938">
        <v>-7.5</v>
      </c>
      <c r="R938">
        <v>4.5</v>
      </c>
      <c r="S938">
        <v>4</v>
      </c>
      <c r="T938">
        <v>0.5</v>
      </c>
      <c r="U938">
        <v>0</v>
      </c>
      <c r="V938">
        <v>0</v>
      </c>
      <c r="W938">
        <v>0</v>
      </c>
      <c r="X938">
        <v>0</v>
      </c>
      <c r="Y938">
        <v>0.5</v>
      </c>
      <c r="Z938">
        <v>0.5</v>
      </c>
      <c r="AA938">
        <v>11.5</v>
      </c>
      <c r="AB938">
        <v>10.875</v>
      </c>
      <c r="AC938">
        <v>16.940000000000001</v>
      </c>
      <c r="AD938">
        <v>6</v>
      </c>
    </row>
    <row r="939" spans="1:30">
      <c r="A939" t="s">
        <v>1101</v>
      </c>
      <c r="B939">
        <v>75.875</v>
      </c>
      <c r="C939">
        <v>62</v>
      </c>
      <c r="D939">
        <v>6.625</v>
      </c>
      <c r="E939">
        <v>1</v>
      </c>
      <c r="F939" t="s">
        <v>21</v>
      </c>
      <c r="G939">
        <v>1</v>
      </c>
      <c r="H939">
        <v>0</v>
      </c>
      <c r="I939">
        <v>1</v>
      </c>
      <c r="J939">
        <v>0</v>
      </c>
      <c r="K939">
        <v>24</v>
      </c>
      <c r="N939">
        <v>0.5</v>
      </c>
      <c r="O939">
        <v>0.38</v>
      </c>
      <c r="P939">
        <v>3.5</v>
      </c>
      <c r="Q939">
        <v>-2.125</v>
      </c>
      <c r="R939">
        <v>3.5</v>
      </c>
      <c r="S939">
        <v>4</v>
      </c>
      <c r="T939">
        <v>0.5</v>
      </c>
      <c r="U939">
        <v>0</v>
      </c>
      <c r="V939">
        <v>0</v>
      </c>
      <c r="W939">
        <v>0</v>
      </c>
      <c r="X939">
        <v>0</v>
      </c>
      <c r="Y939">
        <v>0.5</v>
      </c>
      <c r="Z939">
        <v>0.5</v>
      </c>
    </row>
    <row r="940" spans="1:30">
      <c r="A940" t="s">
        <v>1102</v>
      </c>
      <c r="B940">
        <v>89</v>
      </c>
      <c r="C940">
        <v>70.8125</v>
      </c>
      <c r="D940">
        <v>9</v>
      </c>
      <c r="E940">
        <v>7.5625</v>
      </c>
      <c r="F940" t="s">
        <v>21</v>
      </c>
      <c r="G940">
        <v>1</v>
      </c>
      <c r="H940">
        <v>0</v>
      </c>
      <c r="I940">
        <v>1</v>
      </c>
      <c r="J940">
        <v>0</v>
      </c>
      <c r="N940">
        <v>0.5</v>
      </c>
      <c r="O940">
        <v>0.38</v>
      </c>
      <c r="P940">
        <v>3.5</v>
      </c>
      <c r="Q940">
        <v>-4.5</v>
      </c>
      <c r="R940">
        <v>0</v>
      </c>
      <c r="S940">
        <v>4</v>
      </c>
      <c r="T940">
        <v>0.5</v>
      </c>
      <c r="U940">
        <v>0</v>
      </c>
      <c r="V940">
        <v>0</v>
      </c>
      <c r="W940">
        <v>0</v>
      </c>
      <c r="X940">
        <v>0</v>
      </c>
      <c r="Y940">
        <v>0.5</v>
      </c>
      <c r="Z940">
        <v>0.5</v>
      </c>
    </row>
    <row r="941" spans="1:30">
      <c r="A941" t="s">
        <v>1103</v>
      </c>
      <c r="B941">
        <v>50.375</v>
      </c>
      <c r="C941">
        <v>71.5</v>
      </c>
      <c r="D941">
        <v>1</v>
      </c>
      <c r="E941">
        <v>1</v>
      </c>
      <c r="F941" t="s">
        <v>21</v>
      </c>
      <c r="G941">
        <v>1</v>
      </c>
      <c r="H941">
        <v>0</v>
      </c>
      <c r="I941">
        <v>1</v>
      </c>
      <c r="J941">
        <v>1</v>
      </c>
      <c r="N941">
        <v>0.5</v>
      </c>
      <c r="O941">
        <v>0.38</v>
      </c>
      <c r="P941">
        <v>3.5</v>
      </c>
      <c r="Q941">
        <v>3.5</v>
      </c>
      <c r="R941">
        <v>3.5</v>
      </c>
      <c r="S941">
        <v>4</v>
      </c>
      <c r="T941">
        <v>0.5</v>
      </c>
      <c r="U941">
        <v>1</v>
      </c>
      <c r="V941">
        <v>1</v>
      </c>
      <c r="W941">
        <v>0</v>
      </c>
      <c r="X941">
        <v>1</v>
      </c>
      <c r="Y941">
        <v>0</v>
      </c>
      <c r="Z941">
        <v>0</v>
      </c>
    </row>
    <row r="942" spans="1:30">
      <c r="A942" t="s">
        <v>1104</v>
      </c>
      <c r="B942">
        <v>83.5625</v>
      </c>
      <c r="C942">
        <v>45.5625</v>
      </c>
      <c r="D942">
        <v>1</v>
      </c>
      <c r="E942">
        <v>5.5625</v>
      </c>
      <c r="F942" t="s">
        <v>21</v>
      </c>
      <c r="G942">
        <v>1</v>
      </c>
      <c r="H942">
        <v>1</v>
      </c>
      <c r="I942">
        <v>0</v>
      </c>
      <c r="N942">
        <v>0.5</v>
      </c>
      <c r="O942">
        <v>0.38</v>
      </c>
      <c r="P942">
        <v>3.5</v>
      </c>
      <c r="Q942">
        <v>3.5</v>
      </c>
      <c r="R942">
        <v>0</v>
      </c>
      <c r="S942">
        <v>4</v>
      </c>
      <c r="T942">
        <v>0.5</v>
      </c>
      <c r="U942">
        <v>1</v>
      </c>
      <c r="V942">
        <v>0</v>
      </c>
      <c r="W942">
        <v>0</v>
      </c>
      <c r="X942">
        <v>0</v>
      </c>
      <c r="Y942">
        <v>0</v>
      </c>
      <c r="Z942">
        <v>0.5</v>
      </c>
    </row>
    <row r="943" spans="1:30">
      <c r="A943" t="s">
        <v>1105</v>
      </c>
      <c r="B943">
        <v>96</v>
      </c>
      <c r="C943">
        <v>65.625</v>
      </c>
      <c r="D943">
        <v>12</v>
      </c>
      <c r="E943">
        <v>1</v>
      </c>
      <c r="F943" t="s">
        <v>21</v>
      </c>
      <c r="G943">
        <v>1</v>
      </c>
      <c r="H943">
        <v>1</v>
      </c>
      <c r="I943">
        <v>1</v>
      </c>
      <c r="J943">
        <v>0</v>
      </c>
      <c r="K943">
        <v>12</v>
      </c>
      <c r="L943" t="s">
        <v>120</v>
      </c>
      <c r="N943">
        <v>0.5</v>
      </c>
      <c r="O943">
        <v>0.38</v>
      </c>
      <c r="P943">
        <v>3.5</v>
      </c>
      <c r="Q943">
        <v>-7.5</v>
      </c>
      <c r="R943">
        <v>3.5</v>
      </c>
      <c r="S943">
        <v>4</v>
      </c>
      <c r="T943">
        <v>0.5</v>
      </c>
      <c r="U943">
        <v>0</v>
      </c>
      <c r="V943">
        <v>0</v>
      </c>
      <c r="W943">
        <v>1</v>
      </c>
      <c r="X943">
        <v>0</v>
      </c>
      <c r="Y943">
        <v>0.5</v>
      </c>
      <c r="Z943">
        <v>0.5</v>
      </c>
      <c r="AA943">
        <v>11.5</v>
      </c>
      <c r="AB943">
        <v>10.875</v>
      </c>
      <c r="AC943">
        <v>16.940000000000001</v>
      </c>
      <c r="AD943">
        <v>6</v>
      </c>
    </row>
    <row r="944" spans="1:30">
      <c r="A944" t="s">
        <v>1106</v>
      </c>
      <c r="B944">
        <v>96</v>
      </c>
      <c r="C944">
        <v>62.8125</v>
      </c>
      <c r="D944">
        <v>9</v>
      </c>
      <c r="E944">
        <v>1</v>
      </c>
      <c r="F944" t="s">
        <v>21</v>
      </c>
      <c r="G944">
        <v>1</v>
      </c>
      <c r="H944">
        <v>1</v>
      </c>
      <c r="I944">
        <v>1</v>
      </c>
      <c r="J944">
        <v>0</v>
      </c>
      <c r="K944">
        <v>24</v>
      </c>
      <c r="L944" t="s">
        <v>120</v>
      </c>
      <c r="N944">
        <v>0.5</v>
      </c>
      <c r="O944">
        <v>0.38</v>
      </c>
      <c r="P944">
        <v>3.5</v>
      </c>
      <c r="Q944">
        <v>-4.5</v>
      </c>
      <c r="R944">
        <v>3.5</v>
      </c>
      <c r="S944">
        <v>4</v>
      </c>
      <c r="T944">
        <v>0.5</v>
      </c>
      <c r="U944">
        <v>0</v>
      </c>
      <c r="V944">
        <v>0</v>
      </c>
      <c r="W944">
        <v>1</v>
      </c>
      <c r="X944">
        <v>0</v>
      </c>
      <c r="Y944">
        <v>0.5</v>
      </c>
      <c r="Z944">
        <v>0.5</v>
      </c>
      <c r="AA944">
        <v>11.5</v>
      </c>
      <c r="AB944">
        <v>10.875</v>
      </c>
      <c r="AC944">
        <v>4.9400000000000004</v>
      </c>
      <c r="AD944">
        <v>9</v>
      </c>
    </row>
    <row r="945" spans="1:26">
      <c r="A945" t="s">
        <v>1107</v>
      </c>
      <c r="B945">
        <v>66.875</v>
      </c>
      <c r="C945">
        <v>41.5625</v>
      </c>
      <c r="D945">
        <v>9</v>
      </c>
      <c r="E945">
        <v>1</v>
      </c>
      <c r="F945" t="s">
        <v>21</v>
      </c>
      <c r="G945">
        <v>1</v>
      </c>
      <c r="H945">
        <v>1</v>
      </c>
      <c r="I945">
        <v>1</v>
      </c>
      <c r="J945">
        <v>0</v>
      </c>
      <c r="N945">
        <v>0.5</v>
      </c>
      <c r="O945">
        <v>0.38</v>
      </c>
      <c r="P945">
        <v>3.5</v>
      </c>
      <c r="Q945">
        <v>-4.5</v>
      </c>
      <c r="R945">
        <v>3.5</v>
      </c>
      <c r="S945">
        <v>4</v>
      </c>
      <c r="T945">
        <v>0.5</v>
      </c>
      <c r="U945">
        <v>0</v>
      </c>
      <c r="V945">
        <v>0</v>
      </c>
      <c r="W945">
        <v>1</v>
      </c>
      <c r="X945">
        <v>0</v>
      </c>
      <c r="Y945">
        <v>0.5</v>
      </c>
      <c r="Z945">
        <v>0.5</v>
      </c>
    </row>
    <row r="946" spans="1:26">
      <c r="A946" t="s">
        <v>1108</v>
      </c>
      <c r="B946">
        <v>37.125</v>
      </c>
      <c r="C946">
        <v>66.6875</v>
      </c>
      <c r="D946">
        <v>4.9375</v>
      </c>
      <c r="E946">
        <v>3.75</v>
      </c>
      <c r="F946" t="s">
        <v>21</v>
      </c>
      <c r="G946">
        <v>1</v>
      </c>
      <c r="H946">
        <v>1</v>
      </c>
      <c r="I946">
        <v>1</v>
      </c>
      <c r="J946">
        <v>1</v>
      </c>
      <c r="N946">
        <v>0.5</v>
      </c>
      <c r="O946">
        <v>0.38</v>
      </c>
      <c r="P946">
        <v>3.5</v>
      </c>
      <c r="Q946">
        <v>-0.4375</v>
      </c>
      <c r="R946">
        <v>0.75</v>
      </c>
      <c r="S946">
        <v>4</v>
      </c>
      <c r="T946">
        <v>0.5</v>
      </c>
      <c r="U946">
        <v>0</v>
      </c>
      <c r="V946">
        <v>0</v>
      </c>
      <c r="W946">
        <v>1</v>
      </c>
      <c r="X946">
        <v>1</v>
      </c>
      <c r="Y946">
        <v>0.5</v>
      </c>
      <c r="Z946">
        <v>0.5</v>
      </c>
    </row>
    <row r="947" spans="1:26">
      <c r="A947" t="s">
        <v>1109</v>
      </c>
      <c r="B947">
        <v>5.0625</v>
      </c>
      <c r="C947">
        <v>30.375</v>
      </c>
      <c r="D947">
        <v>1</v>
      </c>
      <c r="F947" t="s">
        <v>156</v>
      </c>
      <c r="G947">
        <v>0</v>
      </c>
      <c r="I947">
        <v>0</v>
      </c>
      <c r="N947">
        <v>0.5</v>
      </c>
      <c r="O947">
        <v>0.38</v>
      </c>
      <c r="P947">
        <v>3.5</v>
      </c>
      <c r="Q947">
        <v>3.5</v>
      </c>
      <c r="R947">
        <v>4.5</v>
      </c>
      <c r="S947">
        <v>4</v>
      </c>
      <c r="T947">
        <v>0.5</v>
      </c>
      <c r="U947">
        <v>0</v>
      </c>
      <c r="V947">
        <v>0</v>
      </c>
      <c r="W947">
        <v>0</v>
      </c>
      <c r="X947">
        <v>0</v>
      </c>
      <c r="Y947">
        <v>0.5</v>
      </c>
      <c r="Z947">
        <v>0.5</v>
      </c>
    </row>
    <row r="948" spans="1:26">
      <c r="A948" t="s">
        <v>1110</v>
      </c>
      <c r="B948">
        <v>33</v>
      </c>
      <c r="C948">
        <v>42.8125</v>
      </c>
      <c r="D948">
        <v>12</v>
      </c>
      <c r="E948">
        <v>3.1875</v>
      </c>
      <c r="F948" t="s">
        <v>156</v>
      </c>
      <c r="G948">
        <v>0</v>
      </c>
      <c r="I948">
        <v>1</v>
      </c>
      <c r="J948">
        <v>0</v>
      </c>
      <c r="K948">
        <v>12</v>
      </c>
      <c r="L948" t="s">
        <v>145</v>
      </c>
      <c r="N948">
        <v>0.5</v>
      </c>
      <c r="O948">
        <v>0.38</v>
      </c>
      <c r="P948">
        <v>3.5</v>
      </c>
      <c r="Q948">
        <v>-7.5</v>
      </c>
      <c r="R948">
        <v>1.3125</v>
      </c>
      <c r="S948">
        <v>4</v>
      </c>
      <c r="T948">
        <v>0.5</v>
      </c>
      <c r="U948">
        <v>0</v>
      </c>
      <c r="V948">
        <v>0</v>
      </c>
      <c r="W948">
        <v>0</v>
      </c>
      <c r="X948">
        <v>0</v>
      </c>
      <c r="Y948">
        <v>0.5</v>
      </c>
      <c r="Z948">
        <v>0.5</v>
      </c>
    </row>
    <row r="949" spans="1:26">
      <c r="A949" t="s">
        <v>1111</v>
      </c>
      <c r="B949">
        <v>4.25</v>
      </c>
      <c r="C949">
        <v>57.3125</v>
      </c>
      <c r="D949">
        <v>12</v>
      </c>
      <c r="E949">
        <v>6.5</v>
      </c>
      <c r="F949" t="s">
        <v>156</v>
      </c>
      <c r="G949">
        <v>0</v>
      </c>
      <c r="I949">
        <v>1</v>
      </c>
      <c r="J949">
        <v>0</v>
      </c>
      <c r="K949">
        <v>24</v>
      </c>
      <c r="L949" t="s">
        <v>145</v>
      </c>
      <c r="N949">
        <v>0.5</v>
      </c>
      <c r="O949">
        <v>0.38</v>
      </c>
      <c r="P949">
        <v>3.5</v>
      </c>
      <c r="Q949">
        <v>-7.5</v>
      </c>
      <c r="R949">
        <v>0</v>
      </c>
      <c r="S949">
        <v>4</v>
      </c>
      <c r="T949">
        <v>0.5</v>
      </c>
      <c r="U949">
        <v>0</v>
      </c>
      <c r="V949">
        <v>0</v>
      </c>
      <c r="W949">
        <v>0</v>
      </c>
      <c r="X949">
        <v>0</v>
      </c>
      <c r="Y949">
        <v>0.5</v>
      </c>
      <c r="Z949">
        <v>0.5</v>
      </c>
    </row>
    <row r="950" spans="1:26">
      <c r="A950" t="s">
        <v>1112</v>
      </c>
      <c r="B950">
        <v>6.8125</v>
      </c>
      <c r="C950">
        <v>54.75</v>
      </c>
      <c r="D950">
        <v>9</v>
      </c>
      <c r="E950">
        <v>6.6875</v>
      </c>
      <c r="F950" t="s">
        <v>156</v>
      </c>
      <c r="G950">
        <v>0</v>
      </c>
      <c r="I950">
        <v>1</v>
      </c>
      <c r="J950">
        <v>0</v>
      </c>
      <c r="N950">
        <v>0.5</v>
      </c>
      <c r="O950">
        <v>0.38</v>
      </c>
      <c r="P950">
        <v>3.5</v>
      </c>
      <c r="Q950">
        <v>-4.5</v>
      </c>
      <c r="R950">
        <v>0</v>
      </c>
      <c r="S950">
        <v>4</v>
      </c>
      <c r="T950">
        <v>0.5</v>
      </c>
      <c r="U950">
        <v>0</v>
      </c>
      <c r="V950">
        <v>0</v>
      </c>
      <c r="W950">
        <v>0</v>
      </c>
      <c r="X950">
        <v>0</v>
      </c>
      <c r="Y950">
        <v>0.5</v>
      </c>
      <c r="Z950">
        <v>0.5</v>
      </c>
    </row>
    <row r="951" spans="1:26">
      <c r="A951" t="s">
        <v>1113</v>
      </c>
      <c r="B951">
        <v>39.875</v>
      </c>
      <c r="C951">
        <v>71.0625</v>
      </c>
      <c r="D951">
        <v>9.5</v>
      </c>
      <c r="E951">
        <v>2.375</v>
      </c>
      <c r="F951" t="s">
        <v>156</v>
      </c>
      <c r="G951">
        <v>0</v>
      </c>
      <c r="I951">
        <v>1</v>
      </c>
      <c r="J951">
        <v>1</v>
      </c>
      <c r="N951">
        <v>0.5</v>
      </c>
      <c r="O951">
        <v>0.38</v>
      </c>
      <c r="P951">
        <v>3.5</v>
      </c>
      <c r="Q951">
        <v>-5</v>
      </c>
      <c r="R951">
        <v>2.125</v>
      </c>
      <c r="S951">
        <v>4</v>
      </c>
      <c r="T951">
        <v>0.5</v>
      </c>
      <c r="U951">
        <v>0</v>
      </c>
      <c r="V951">
        <v>0</v>
      </c>
      <c r="W951">
        <v>0</v>
      </c>
      <c r="X951">
        <v>1</v>
      </c>
      <c r="Y951">
        <v>0.5</v>
      </c>
      <c r="Z951">
        <v>0.5</v>
      </c>
    </row>
    <row r="952" spans="1:26">
      <c r="A952" t="s">
        <v>1114</v>
      </c>
      <c r="B952">
        <v>49.125</v>
      </c>
      <c r="C952">
        <v>76.8125</v>
      </c>
      <c r="D952">
        <v>1</v>
      </c>
      <c r="E952">
        <v>1</v>
      </c>
      <c r="F952" t="s">
        <v>156</v>
      </c>
      <c r="G952">
        <v>1</v>
      </c>
      <c r="H952">
        <v>0</v>
      </c>
      <c r="I952">
        <v>0</v>
      </c>
      <c r="L952" t="s">
        <v>145</v>
      </c>
      <c r="N952">
        <v>0.5</v>
      </c>
      <c r="O952">
        <v>0.38</v>
      </c>
      <c r="P952">
        <v>3.5</v>
      </c>
      <c r="Q952">
        <v>3.5</v>
      </c>
      <c r="R952">
        <v>3.5</v>
      </c>
      <c r="S952">
        <v>4</v>
      </c>
      <c r="T952">
        <v>0.5</v>
      </c>
      <c r="U952">
        <v>0</v>
      </c>
      <c r="V952">
        <v>0</v>
      </c>
      <c r="W952">
        <v>0</v>
      </c>
      <c r="X952">
        <v>0</v>
      </c>
      <c r="Y952">
        <v>0.5</v>
      </c>
      <c r="Z952">
        <v>0.5</v>
      </c>
    </row>
    <row r="953" spans="1:26">
      <c r="A953" t="s">
        <v>1115</v>
      </c>
      <c r="B953">
        <v>25.875</v>
      </c>
      <c r="C953">
        <v>69.5</v>
      </c>
      <c r="D953">
        <v>10.25</v>
      </c>
      <c r="E953">
        <v>7.125</v>
      </c>
      <c r="F953" t="s">
        <v>156</v>
      </c>
      <c r="G953">
        <v>1</v>
      </c>
      <c r="H953">
        <v>0</v>
      </c>
      <c r="I953">
        <v>1</v>
      </c>
      <c r="J953">
        <v>0</v>
      </c>
      <c r="K953">
        <v>12</v>
      </c>
      <c r="L953" t="s">
        <v>120</v>
      </c>
      <c r="N953">
        <v>0.5</v>
      </c>
      <c r="O953">
        <v>0.38</v>
      </c>
      <c r="P953">
        <v>3.5</v>
      </c>
      <c r="Q953">
        <v>-5.75</v>
      </c>
      <c r="R953">
        <v>0</v>
      </c>
      <c r="S953">
        <v>4</v>
      </c>
      <c r="T953">
        <v>0.5</v>
      </c>
      <c r="U953">
        <v>0</v>
      </c>
      <c r="V953">
        <v>0</v>
      </c>
      <c r="W953">
        <v>0</v>
      </c>
      <c r="X953">
        <v>0</v>
      </c>
      <c r="Y953">
        <v>0.5</v>
      </c>
      <c r="Z953">
        <v>0.5</v>
      </c>
    </row>
    <row r="954" spans="1:26">
      <c r="A954" t="s">
        <v>1116</v>
      </c>
      <c r="B954">
        <v>10.9375</v>
      </c>
      <c r="C954">
        <v>47.875</v>
      </c>
      <c r="D954">
        <v>4.5</v>
      </c>
      <c r="E954">
        <v>1</v>
      </c>
      <c r="F954" t="s">
        <v>156</v>
      </c>
      <c r="G954">
        <v>1</v>
      </c>
      <c r="H954">
        <v>0</v>
      </c>
      <c r="I954">
        <v>1</v>
      </c>
      <c r="J954">
        <v>0</v>
      </c>
      <c r="K954">
        <v>24</v>
      </c>
      <c r="L954" t="s">
        <v>120</v>
      </c>
      <c r="N954">
        <v>0.5</v>
      </c>
      <c r="O954">
        <v>0.38</v>
      </c>
      <c r="P954">
        <v>3.5</v>
      </c>
      <c r="Q954">
        <v>0</v>
      </c>
      <c r="R954">
        <v>3.5</v>
      </c>
      <c r="S954">
        <v>4</v>
      </c>
      <c r="T954">
        <v>0.5</v>
      </c>
      <c r="U954">
        <v>0</v>
      </c>
      <c r="V954">
        <v>0</v>
      </c>
      <c r="W954">
        <v>0</v>
      </c>
      <c r="X954">
        <v>0</v>
      </c>
      <c r="Y954">
        <v>0.5</v>
      </c>
      <c r="Z954">
        <v>0.5</v>
      </c>
    </row>
    <row r="955" spans="1:26">
      <c r="A955" t="s">
        <v>1117</v>
      </c>
      <c r="B955">
        <v>21.375</v>
      </c>
      <c r="C955">
        <v>52.9375</v>
      </c>
      <c r="D955">
        <v>3.25</v>
      </c>
      <c r="F955" t="s">
        <v>156</v>
      </c>
      <c r="G955">
        <v>1</v>
      </c>
      <c r="H955">
        <v>0</v>
      </c>
      <c r="I955">
        <v>1</v>
      </c>
      <c r="J955">
        <v>0</v>
      </c>
      <c r="N955">
        <v>0.5</v>
      </c>
      <c r="O955">
        <v>0.38</v>
      </c>
      <c r="P955">
        <v>3.5</v>
      </c>
      <c r="Q955">
        <v>1.25</v>
      </c>
      <c r="R955">
        <v>4.5</v>
      </c>
      <c r="S955">
        <v>4</v>
      </c>
      <c r="T955">
        <v>0.5</v>
      </c>
      <c r="U955">
        <v>0</v>
      </c>
      <c r="V955">
        <v>0</v>
      </c>
      <c r="W955">
        <v>0</v>
      </c>
      <c r="X955">
        <v>0</v>
      </c>
      <c r="Y955">
        <v>0.5</v>
      </c>
      <c r="Z955">
        <v>0.5</v>
      </c>
    </row>
    <row r="956" spans="1:26">
      <c r="A956" t="s">
        <v>1118</v>
      </c>
      <c r="B956">
        <v>44.25</v>
      </c>
      <c r="C956">
        <v>49.875</v>
      </c>
      <c r="D956">
        <v>9</v>
      </c>
      <c r="F956" t="s">
        <v>156</v>
      </c>
      <c r="G956">
        <v>1</v>
      </c>
      <c r="H956">
        <v>0</v>
      </c>
      <c r="I956">
        <v>1</v>
      </c>
      <c r="J956">
        <v>1</v>
      </c>
      <c r="N956">
        <v>0.5</v>
      </c>
      <c r="O956">
        <v>0.38</v>
      </c>
      <c r="P956">
        <v>3.5</v>
      </c>
      <c r="Q956">
        <v>-4.5</v>
      </c>
      <c r="R956">
        <v>4.5</v>
      </c>
      <c r="S956">
        <v>4</v>
      </c>
      <c r="T956">
        <v>0.5</v>
      </c>
      <c r="U956">
        <v>0</v>
      </c>
      <c r="V956">
        <v>0</v>
      </c>
      <c r="W956">
        <v>0</v>
      </c>
      <c r="X956">
        <v>0</v>
      </c>
      <c r="Y956">
        <v>0.5</v>
      </c>
      <c r="Z956">
        <v>0.5</v>
      </c>
    </row>
    <row r="957" spans="1:26">
      <c r="A957" t="s">
        <v>1119</v>
      </c>
      <c r="B957">
        <v>30</v>
      </c>
      <c r="C957">
        <v>60.5625</v>
      </c>
      <c r="D957">
        <v>1</v>
      </c>
      <c r="E957">
        <v>1</v>
      </c>
      <c r="F957" t="s">
        <v>156</v>
      </c>
      <c r="G957">
        <v>1</v>
      </c>
      <c r="H957">
        <v>1</v>
      </c>
      <c r="I957">
        <v>0</v>
      </c>
      <c r="N957">
        <v>0.5</v>
      </c>
      <c r="O957">
        <v>0.38</v>
      </c>
      <c r="P957">
        <v>3.5</v>
      </c>
      <c r="Q957">
        <v>3.5</v>
      </c>
      <c r="R957">
        <v>3.5</v>
      </c>
      <c r="S957">
        <v>4</v>
      </c>
      <c r="T957">
        <v>0.5</v>
      </c>
      <c r="U957">
        <v>0</v>
      </c>
      <c r="V957">
        <v>0</v>
      </c>
      <c r="W957">
        <v>1</v>
      </c>
      <c r="X957">
        <v>0</v>
      </c>
      <c r="Y957">
        <v>0.5</v>
      </c>
      <c r="Z957">
        <v>0.5</v>
      </c>
    </row>
    <row r="958" spans="1:26">
      <c r="A958" t="s">
        <v>1120</v>
      </c>
      <c r="B958">
        <v>7.1875</v>
      </c>
      <c r="C958">
        <v>34.25</v>
      </c>
      <c r="D958">
        <v>4</v>
      </c>
      <c r="F958" t="s">
        <v>156</v>
      </c>
      <c r="G958">
        <v>1</v>
      </c>
      <c r="H958">
        <v>1</v>
      </c>
      <c r="I958">
        <v>1</v>
      </c>
      <c r="J958">
        <v>0</v>
      </c>
      <c r="K958">
        <v>12</v>
      </c>
      <c r="N958">
        <v>0.5</v>
      </c>
      <c r="O958">
        <v>0.38</v>
      </c>
      <c r="P958">
        <v>3.5</v>
      </c>
      <c r="Q958">
        <v>0.5</v>
      </c>
      <c r="R958">
        <v>4.5</v>
      </c>
      <c r="S958">
        <v>4</v>
      </c>
      <c r="T958">
        <v>0.5</v>
      </c>
      <c r="U958">
        <v>0</v>
      </c>
      <c r="V958">
        <v>0</v>
      </c>
      <c r="W958">
        <v>0</v>
      </c>
      <c r="X958">
        <v>0</v>
      </c>
      <c r="Y958">
        <v>0.5</v>
      </c>
      <c r="Z958">
        <v>0.5</v>
      </c>
    </row>
    <row r="959" spans="1:26">
      <c r="A959" t="s">
        <v>1121</v>
      </c>
      <c r="B959">
        <v>39.8125</v>
      </c>
      <c r="C959">
        <v>76.1875</v>
      </c>
      <c r="D959">
        <v>8.9375</v>
      </c>
      <c r="F959" t="s">
        <v>156</v>
      </c>
      <c r="G959">
        <v>1</v>
      </c>
      <c r="H959">
        <v>1</v>
      </c>
      <c r="I959">
        <v>1</v>
      </c>
      <c r="J959">
        <v>0</v>
      </c>
      <c r="K959">
        <v>24</v>
      </c>
      <c r="N959">
        <v>0.5</v>
      </c>
      <c r="O959">
        <v>0.38</v>
      </c>
      <c r="P959">
        <v>3.5</v>
      </c>
      <c r="Q959">
        <v>-4.4375</v>
      </c>
      <c r="R959">
        <v>4.5</v>
      </c>
      <c r="S959">
        <v>4</v>
      </c>
      <c r="T959">
        <v>0.5</v>
      </c>
      <c r="U959">
        <v>0</v>
      </c>
      <c r="V959">
        <v>0</v>
      </c>
      <c r="W959">
        <v>0</v>
      </c>
      <c r="X959">
        <v>0</v>
      </c>
      <c r="Y959">
        <v>0.5</v>
      </c>
      <c r="Z959">
        <v>0.5</v>
      </c>
    </row>
    <row r="960" spans="1:26">
      <c r="A960" t="s">
        <v>1122</v>
      </c>
      <c r="B960">
        <v>35.875</v>
      </c>
      <c r="C960">
        <v>46.75</v>
      </c>
      <c r="D960">
        <v>1.8125</v>
      </c>
      <c r="E960">
        <v>1</v>
      </c>
      <c r="F960" t="s">
        <v>156</v>
      </c>
      <c r="G960">
        <v>1</v>
      </c>
      <c r="H960">
        <v>1</v>
      </c>
      <c r="I960">
        <v>1</v>
      </c>
      <c r="J960">
        <v>0</v>
      </c>
      <c r="N960">
        <v>0.5</v>
      </c>
      <c r="O960">
        <v>0.38</v>
      </c>
      <c r="P960">
        <v>3.5</v>
      </c>
      <c r="Q960">
        <v>2.6875</v>
      </c>
      <c r="R960">
        <v>3.5</v>
      </c>
      <c r="S960">
        <v>4</v>
      </c>
      <c r="T960">
        <v>0.5</v>
      </c>
      <c r="U960">
        <v>0</v>
      </c>
      <c r="V960">
        <v>0</v>
      </c>
      <c r="W960">
        <v>1</v>
      </c>
      <c r="X960">
        <v>0</v>
      </c>
      <c r="Y960">
        <v>0.5</v>
      </c>
      <c r="Z960">
        <v>0.5</v>
      </c>
    </row>
    <row r="961" spans="1:30">
      <c r="A961" t="s">
        <v>1123</v>
      </c>
      <c r="B961">
        <v>35.0625</v>
      </c>
      <c r="C961">
        <v>68.375</v>
      </c>
      <c r="D961">
        <v>1.5625</v>
      </c>
      <c r="E961">
        <v>2.125</v>
      </c>
      <c r="F961" t="s">
        <v>156</v>
      </c>
      <c r="G961">
        <v>1</v>
      </c>
      <c r="H961">
        <v>1</v>
      </c>
      <c r="I961">
        <v>1</v>
      </c>
      <c r="J961">
        <v>1</v>
      </c>
      <c r="N961">
        <v>0.5</v>
      </c>
      <c r="O961">
        <v>0.38</v>
      </c>
      <c r="P961">
        <v>3.5</v>
      </c>
      <c r="Q961">
        <v>2.9375</v>
      </c>
      <c r="R961">
        <v>2.375</v>
      </c>
      <c r="S961">
        <v>4</v>
      </c>
      <c r="T961">
        <v>0.5</v>
      </c>
      <c r="U961">
        <v>0</v>
      </c>
      <c r="V961">
        <v>0</v>
      </c>
      <c r="W961">
        <v>1</v>
      </c>
      <c r="X961">
        <v>1</v>
      </c>
      <c r="Y961">
        <v>0.5</v>
      </c>
      <c r="Z961">
        <v>0.5</v>
      </c>
    </row>
    <row r="962" spans="1:30">
      <c r="A962" t="s">
        <v>1124</v>
      </c>
      <c r="B962">
        <v>60</v>
      </c>
      <c r="C962">
        <v>52.1875</v>
      </c>
      <c r="D962">
        <v>4.375</v>
      </c>
      <c r="E962">
        <v>4.3125</v>
      </c>
      <c r="F962" t="s">
        <v>157</v>
      </c>
      <c r="G962">
        <v>0</v>
      </c>
      <c r="I962">
        <v>0</v>
      </c>
      <c r="L962" t="s">
        <v>35</v>
      </c>
      <c r="N962">
        <v>0.5</v>
      </c>
      <c r="O962">
        <v>0.38</v>
      </c>
      <c r="P962">
        <v>3.5</v>
      </c>
      <c r="Q962">
        <v>0.125</v>
      </c>
      <c r="R962">
        <v>0.1875</v>
      </c>
      <c r="S962">
        <v>4</v>
      </c>
      <c r="T962">
        <v>0.5</v>
      </c>
      <c r="U962">
        <v>0</v>
      </c>
      <c r="V962">
        <v>0</v>
      </c>
      <c r="W962">
        <v>0</v>
      </c>
      <c r="X962">
        <v>0</v>
      </c>
      <c r="Y962">
        <v>0.5</v>
      </c>
      <c r="Z962">
        <v>0.5</v>
      </c>
      <c r="AA962">
        <v>15.5</v>
      </c>
      <c r="AB962">
        <v>28.875</v>
      </c>
      <c r="AC962">
        <v>26</v>
      </c>
      <c r="AD962">
        <v>25.754999999999999</v>
      </c>
    </row>
    <row r="963" spans="1:30">
      <c r="A963" t="s">
        <v>1125</v>
      </c>
      <c r="B963">
        <v>60</v>
      </c>
      <c r="C963">
        <v>79.9375</v>
      </c>
      <c r="D963">
        <v>12</v>
      </c>
      <c r="E963">
        <v>2.6875</v>
      </c>
      <c r="F963" t="s">
        <v>157</v>
      </c>
      <c r="G963">
        <v>0</v>
      </c>
      <c r="I963">
        <v>1</v>
      </c>
      <c r="J963">
        <v>0</v>
      </c>
      <c r="K963">
        <v>12</v>
      </c>
      <c r="L963" t="s">
        <v>151</v>
      </c>
      <c r="N963">
        <v>0.5</v>
      </c>
      <c r="O963">
        <v>0.38</v>
      </c>
      <c r="P963">
        <v>3.5</v>
      </c>
      <c r="Q963">
        <v>-7.5</v>
      </c>
      <c r="R963">
        <v>1.8125</v>
      </c>
      <c r="S963">
        <v>4</v>
      </c>
      <c r="T963">
        <v>0.5</v>
      </c>
      <c r="U963">
        <v>0</v>
      </c>
      <c r="V963">
        <v>0</v>
      </c>
      <c r="W963">
        <v>0</v>
      </c>
      <c r="X963">
        <v>0</v>
      </c>
      <c r="Y963">
        <v>0.5</v>
      </c>
      <c r="Z963">
        <v>0.5</v>
      </c>
      <c r="AA963">
        <v>15.5</v>
      </c>
      <c r="AB963">
        <v>28.875</v>
      </c>
      <c r="AC963">
        <v>9</v>
      </c>
      <c r="AD963">
        <v>6</v>
      </c>
    </row>
    <row r="964" spans="1:30">
      <c r="A964" t="s">
        <v>1126</v>
      </c>
      <c r="B964">
        <v>60</v>
      </c>
      <c r="C964">
        <v>50.4375</v>
      </c>
      <c r="D964">
        <v>4.5</v>
      </c>
      <c r="E964">
        <v>2.75</v>
      </c>
      <c r="F964" t="s">
        <v>157</v>
      </c>
      <c r="G964">
        <v>0</v>
      </c>
      <c r="I964">
        <v>1</v>
      </c>
      <c r="J964">
        <v>0</v>
      </c>
      <c r="K964">
        <v>24</v>
      </c>
      <c r="L964" t="s">
        <v>121</v>
      </c>
      <c r="N964">
        <v>0.5</v>
      </c>
      <c r="O964">
        <v>0.38</v>
      </c>
      <c r="P964">
        <v>3.5</v>
      </c>
      <c r="Q964">
        <v>0</v>
      </c>
      <c r="R964">
        <v>1.75</v>
      </c>
      <c r="S964">
        <v>4</v>
      </c>
      <c r="T964">
        <v>0.5</v>
      </c>
      <c r="U964">
        <v>0</v>
      </c>
      <c r="V964">
        <v>0</v>
      </c>
      <c r="W964">
        <v>0</v>
      </c>
      <c r="X964">
        <v>0</v>
      </c>
      <c r="Y964">
        <v>0.5</v>
      </c>
      <c r="Z964">
        <v>0.5</v>
      </c>
      <c r="AA964">
        <v>11</v>
      </c>
      <c r="AB964">
        <v>9.375</v>
      </c>
    </row>
    <row r="965" spans="1:30">
      <c r="A965" t="s">
        <v>1127</v>
      </c>
      <c r="B965">
        <v>60</v>
      </c>
      <c r="C965">
        <v>13.625</v>
      </c>
      <c r="D965">
        <v>1</v>
      </c>
      <c r="E965">
        <v>7.875</v>
      </c>
      <c r="F965" t="s">
        <v>157</v>
      </c>
      <c r="G965">
        <v>0</v>
      </c>
      <c r="I965">
        <v>1</v>
      </c>
      <c r="J965">
        <v>0</v>
      </c>
      <c r="N965">
        <v>0.5</v>
      </c>
      <c r="O965">
        <v>0.38</v>
      </c>
      <c r="P965">
        <v>3.5</v>
      </c>
      <c r="Q965">
        <v>3.5</v>
      </c>
      <c r="R965">
        <v>0</v>
      </c>
      <c r="S965">
        <v>4</v>
      </c>
      <c r="T965">
        <v>0.5</v>
      </c>
      <c r="U965">
        <v>0</v>
      </c>
      <c r="V965">
        <v>1</v>
      </c>
      <c r="W965">
        <v>0</v>
      </c>
      <c r="X965">
        <v>0</v>
      </c>
      <c r="Y965">
        <v>0.5</v>
      </c>
      <c r="Z965">
        <v>0</v>
      </c>
    </row>
    <row r="966" spans="1:30">
      <c r="A966" t="s">
        <v>1128</v>
      </c>
      <c r="B966">
        <v>60</v>
      </c>
      <c r="C966">
        <v>70.8125</v>
      </c>
      <c r="D966">
        <v>9</v>
      </c>
      <c r="F966" t="s">
        <v>157</v>
      </c>
      <c r="G966">
        <v>0</v>
      </c>
      <c r="I966">
        <v>1</v>
      </c>
      <c r="J966">
        <v>1</v>
      </c>
      <c r="N966">
        <v>0.5</v>
      </c>
      <c r="O966">
        <v>0.38</v>
      </c>
      <c r="P966">
        <v>3.5</v>
      </c>
      <c r="Q966">
        <v>-4.5</v>
      </c>
      <c r="R966">
        <v>4.5</v>
      </c>
      <c r="S966">
        <v>4</v>
      </c>
      <c r="T966">
        <v>0.5</v>
      </c>
      <c r="U966">
        <v>0</v>
      </c>
      <c r="V966">
        <v>0</v>
      </c>
      <c r="W966">
        <v>0</v>
      </c>
      <c r="X966">
        <v>0</v>
      </c>
      <c r="Y966">
        <v>0.5</v>
      </c>
      <c r="Z966">
        <v>0.5</v>
      </c>
    </row>
    <row r="967" spans="1:30">
      <c r="A967" t="s">
        <v>1129</v>
      </c>
      <c r="B967">
        <v>60</v>
      </c>
      <c r="C967">
        <v>66.5625</v>
      </c>
      <c r="D967">
        <v>12</v>
      </c>
      <c r="E967">
        <v>5.6875</v>
      </c>
      <c r="F967" t="s">
        <v>157</v>
      </c>
      <c r="G967">
        <v>1</v>
      </c>
      <c r="H967">
        <v>0</v>
      </c>
      <c r="I967">
        <v>0</v>
      </c>
      <c r="L967" t="s">
        <v>119</v>
      </c>
      <c r="N967">
        <v>0.5</v>
      </c>
      <c r="O967">
        <v>0.38</v>
      </c>
      <c r="P967">
        <v>3.5</v>
      </c>
      <c r="Q967">
        <v>-7.5</v>
      </c>
      <c r="R967">
        <v>0</v>
      </c>
      <c r="S967">
        <v>4</v>
      </c>
      <c r="T967">
        <v>0.5</v>
      </c>
      <c r="U967">
        <v>0</v>
      </c>
      <c r="V967">
        <v>0</v>
      </c>
      <c r="W967">
        <v>0</v>
      </c>
      <c r="X967">
        <v>0</v>
      </c>
      <c r="Y967">
        <v>0.5</v>
      </c>
      <c r="Z967">
        <v>0.5</v>
      </c>
      <c r="AA967">
        <v>11</v>
      </c>
      <c r="AB967">
        <v>15.5</v>
      </c>
      <c r="AC967">
        <v>14.5</v>
      </c>
      <c r="AD967">
        <v>2.75</v>
      </c>
    </row>
    <row r="968" spans="1:30">
      <c r="A968" t="s">
        <v>1130</v>
      </c>
      <c r="B968">
        <v>60</v>
      </c>
      <c r="C968">
        <v>60</v>
      </c>
      <c r="D968">
        <v>1.375</v>
      </c>
      <c r="E968">
        <v>8.25</v>
      </c>
      <c r="F968" t="s">
        <v>157</v>
      </c>
      <c r="G968">
        <v>1</v>
      </c>
      <c r="H968">
        <v>0</v>
      </c>
      <c r="I968">
        <v>1</v>
      </c>
      <c r="J968">
        <v>0</v>
      </c>
      <c r="K968">
        <v>12</v>
      </c>
      <c r="N968">
        <v>0.5</v>
      </c>
      <c r="O968">
        <v>0.38</v>
      </c>
      <c r="P968">
        <v>3.5</v>
      </c>
      <c r="Q968">
        <v>3.125</v>
      </c>
      <c r="R968">
        <v>0</v>
      </c>
      <c r="S968">
        <v>4</v>
      </c>
      <c r="T968">
        <v>0.5</v>
      </c>
      <c r="U968">
        <v>1</v>
      </c>
      <c r="V968">
        <v>1</v>
      </c>
      <c r="W968">
        <v>0</v>
      </c>
      <c r="X968">
        <v>0</v>
      </c>
      <c r="Y968">
        <v>0</v>
      </c>
      <c r="Z968">
        <v>0</v>
      </c>
    </row>
    <row r="969" spans="1:30">
      <c r="A969" t="s">
        <v>1131</v>
      </c>
      <c r="B969">
        <v>60</v>
      </c>
      <c r="C969">
        <v>57.75</v>
      </c>
      <c r="D969">
        <v>1</v>
      </c>
      <c r="E969">
        <v>1</v>
      </c>
      <c r="F969" t="s">
        <v>157</v>
      </c>
      <c r="G969">
        <v>1</v>
      </c>
      <c r="H969">
        <v>0</v>
      </c>
      <c r="I969">
        <v>1</v>
      </c>
      <c r="J969">
        <v>0</v>
      </c>
      <c r="K969">
        <v>24</v>
      </c>
      <c r="L969" t="s">
        <v>149</v>
      </c>
      <c r="N969">
        <v>0.5</v>
      </c>
      <c r="O969">
        <v>0.38</v>
      </c>
      <c r="P969">
        <v>3.5</v>
      </c>
      <c r="Q969">
        <v>3.5</v>
      </c>
      <c r="R969">
        <v>3.5</v>
      </c>
      <c r="S969">
        <v>4</v>
      </c>
      <c r="T969">
        <v>0.5</v>
      </c>
      <c r="U969">
        <v>1</v>
      </c>
      <c r="V969">
        <v>1</v>
      </c>
      <c r="W969">
        <v>0</v>
      </c>
      <c r="X969">
        <v>0</v>
      </c>
      <c r="Y969">
        <v>0</v>
      </c>
      <c r="Z969">
        <v>0</v>
      </c>
      <c r="AA969">
        <v>15.5</v>
      </c>
      <c r="AB969">
        <v>28.875</v>
      </c>
    </row>
    <row r="970" spans="1:30">
      <c r="A970" t="s">
        <v>1132</v>
      </c>
      <c r="B970">
        <v>60</v>
      </c>
      <c r="C970">
        <v>59.0625</v>
      </c>
      <c r="D970">
        <v>9</v>
      </c>
      <c r="E970">
        <v>2.375</v>
      </c>
      <c r="F970" t="s">
        <v>157</v>
      </c>
      <c r="G970">
        <v>1</v>
      </c>
      <c r="H970">
        <v>0</v>
      </c>
      <c r="I970">
        <v>1</v>
      </c>
      <c r="J970">
        <v>0</v>
      </c>
      <c r="N970">
        <v>0.5</v>
      </c>
      <c r="O970">
        <v>0.38</v>
      </c>
      <c r="P970">
        <v>3.5</v>
      </c>
      <c r="Q970">
        <v>-4.5</v>
      </c>
      <c r="R970">
        <v>2.125</v>
      </c>
      <c r="S970">
        <v>4</v>
      </c>
      <c r="T970">
        <v>0.5</v>
      </c>
      <c r="U970">
        <v>0</v>
      </c>
      <c r="V970">
        <v>0</v>
      </c>
      <c r="W970">
        <v>0</v>
      </c>
      <c r="X970">
        <v>0</v>
      </c>
      <c r="Y970">
        <v>0.5</v>
      </c>
      <c r="Z970">
        <v>0.5</v>
      </c>
    </row>
    <row r="971" spans="1:30">
      <c r="A971" t="s">
        <v>1133</v>
      </c>
      <c r="B971">
        <v>60</v>
      </c>
      <c r="C971">
        <v>59.625</v>
      </c>
      <c r="D971">
        <v>7.375</v>
      </c>
      <c r="E971">
        <v>1.0625</v>
      </c>
      <c r="F971" t="s">
        <v>157</v>
      </c>
      <c r="G971">
        <v>1</v>
      </c>
      <c r="H971">
        <v>0</v>
      </c>
      <c r="I971">
        <v>1</v>
      </c>
      <c r="J971">
        <v>1</v>
      </c>
      <c r="N971">
        <v>0.5</v>
      </c>
      <c r="O971">
        <v>0.38</v>
      </c>
      <c r="P971">
        <v>3.5</v>
      </c>
      <c r="Q971">
        <v>-2.875</v>
      </c>
      <c r="R971">
        <v>3.4375</v>
      </c>
      <c r="S971">
        <v>4</v>
      </c>
      <c r="T971">
        <v>0.5</v>
      </c>
      <c r="U971">
        <v>0</v>
      </c>
      <c r="V971">
        <v>0</v>
      </c>
      <c r="W971">
        <v>0</v>
      </c>
      <c r="X971">
        <v>0</v>
      </c>
      <c r="Y971">
        <v>0.5</v>
      </c>
      <c r="Z971">
        <v>0.5</v>
      </c>
    </row>
    <row r="972" spans="1:30">
      <c r="A972" t="s">
        <v>1134</v>
      </c>
      <c r="B972">
        <v>60</v>
      </c>
      <c r="C972">
        <v>55.6875</v>
      </c>
      <c r="D972">
        <v>4.8125</v>
      </c>
      <c r="E972">
        <v>1</v>
      </c>
      <c r="F972" t="s">
        <v>157</v>
      </c>
      <c r="G972">
        <v>1</v>
      </c>
      <c r="H972">
        <v>1</v>
      </c>
      <c r="I972">
        <v>0</v>
      </c>
      <c r="L972" t="s">
        <v>120</v>
      </c>
      <c r="N972">
        <v>0.5</v>
      </c>
      <c r="O972">
        <v>0.38</v>
      </c>
      <c r="P972">
        <v>3.5</v>
      </c>
      <c r="Q972">
        <v>-0.3125</v>
      </c>
      <c r="R972">
        <v>3.5</v>
      </c>
      <c r="S972">
        <v>4</v>
      </c>
      <c r="T972">
        <v>0.5</v>
      </c>
      <c r="U972">
        <v>0</v>
      </c>
      <c r="V972">
        <v>0</v>
      </c>
      <c r="W972">
        <v>0</v>
      </c>
      <c r="X972">
        <v>0</v>
      </c>
      <c r="Y972">
        <v>0.5</v>
      </c>
      <c r="Z972">
        <v>0.5</v>
      </c>
      <c r="AA972">
        <v>11.5</v>
      </c>
      <c r="AB972">
        <v>10.875</v>
      </c>
      <c r="AC972">
        <v>28.94</v>
      </c>
      <c r="AD972">
        <v>13.1875</v>
      </c>
    </row>
    <row r="973" spans="1:30">
      <c r="A973" t="s">
        <v>1135</v>
      </c>
      <c r="B973">
        <v>60</v>
      </c>
      <c r="C973">
        <v>43.125</v>
      </c>
      <c r="D973">
        <v>12</v>
      </c>
      <c r="E973">
        <v>1</v>
      </c>
      <c r="F973" t="s">
        <v>157</v>
      </c>
      <c r="G973">
        <v>1</v>
      </c>
      <c r="H973">
        <v>1</v>
      </c>
      <c r="I973">
        <v>1</v>
      </c>
      <c r="J973">
        <v>0</v>
      </c>
      <c r="K973">
        <v>12</v>
      </c>
      <c r="L973" t="s">
        <v>120</v>
      </c>
      <c r="N973">
        <v>0.5</v>
      </c>
      <c r="O973">
        <v>0.38</v>
      </c>
      <c r="P973">
        <v>3.5</v>
      </c>
      <c r="Q973">
        <v>-7.5</v>
      </c>
      <c r="R973">
        <v>3.5</v>
      </c>
      <c r="S973">
        <v>4</v>
      </c>
      <c r="T973">
        <v>0.5</v>
      </c>
      <c r="U973">
        <v>0</v>
      </c>
      <c r="V973">
        <v>0</v>
      </c>
      <c r="W973">
        <v>0</v>
      </c>
      <c r="X973">
        <v>0</v>
      </c>
      <c r="Y973">
        <v>0.5</v>
      </c>
      <c r="Z973">
        <v>0.5</v>
      </c>
      <c r="AA973">
        <v>11.5</v>
      </c>
      <c r="AB973">
        <v>10.875</v>
      </c>
      <c r="AC973">
        <v>16.940000000000001</v>
      </c>
      <c r="AD973">
        <v>6</v>
      </c>
    </row>
    <row r="974" spans="1:30">
      <c r="A974" t="s">
        <v>1136</v>
      </c>
      <c r="B974">
        <v>60</v>
      </c>
      <c r="C974">
        <v>62.9375</v>
      </c>
      <c r="D974">
        <v>1.6875</v>
      </c>
      <c r="E974">
        <v>6.6875</v>
      </c>
      <c r="F974" t="s">
        <v>157</v>
      </c>
      <c r="G974">
        <v>1</v>
      </c>
      <c r="H974">
        <v>1</v>
      </c>
      <c r="I974">
        <v>1</v>
      </c>
      <c r="J974">
        <v>0</v>
      </c>
      <c r="K974">
        <v>24</v>
      </c>
      <c r="L974" t="s">
        <v>35</v>
      </c>
      <c r="N974">
        <v>0.5</v>
      </c>
      <c r="O974">
        <v>0.38</v>
      </c>
      <c r="P974">
        <v>3.5</v>
      </c>
      <c r="Q974">
        <v>2.8125</v>
      </c>
      <c r="R974">
        <v>0</v>
      </c>
      <c r="S974">
        <v>4</v>
      </c>
      <c r="T974">
        <v>0.5</v>
      </c>
      <c r="U974">
        <v>1</v>
      </c>
      <c r="V974">
        <v>1</v>
      </c>
      <c r="W974">
        <v>0</v>
      </c>
      <c r="X974">
        <v>0</v>
      </c>
      <c r="Y974">
        <v>0</v>
      </c>
      <c r="Z974">
        <v>0</v>
      </c>
      <c r="AA974">
        <v>15.5</v>
      </c>
      <c r="AB974">
        <v>28.875</v>
      </c>
    </row>
    <row r="975" spans="1:30">
      <c r="A975" t="s">
        <v>1137</v>
      </c>
      <c r="B975">
        <v>60</v>
      </c>
      <c r="C975">
        <v>57.8125</v>
      </c>
      <c r="D975">
        <v>4.5</v>
      </c>
      <c r="E975">
        <v>3.625</v>
      </c>
      <c r="F975" t="s">
        <v>157</v>
      </c>
      <c r="G975">
        <v>1</v>
      </c>
      <c r="H975">
        <v>1</v>
      </c>
      <c r="I975">
        <v>1</v>
      </c>
      <c r="J975">
        <v>0</v>
      </c>
      <c r="N975">
        <v>0.5</v>
      </c>
      <c r="O975">
        <v>0.38</v>
      </c>
      <c r="P975">
        <v>3.5</v>
      </c>
      <c r="Q975">
        <v>0</v>
      </c>
      <c r="R975">
        <v>0.875</v>
      </c>
      <c r="S975">
        <v>4</v>
      </c>
      <c r="T975">
        <v>0.5</v>
      </c>
      <c r="U975">
        <v>0</v>
      </c>
      <c r="V975">
        <v>0</v>
      </c>
      <c r="W975">
        <v>0</v>
      </c>
      <c r="X975">
        <v>0</v>
      </c>
      <c r="Y975">
        <v>0.5</v>
      </c>
      <c r="Z975">
        <v>0.5</v>
      </c>
    </row>
    <row r="976" spans="1:30">
      <c r="A976" t="s">
        <v>1138</v>
      </c>
      <c r="B976">
        <v>60</v>
      </c>
      <c r="C976">
        <v>53.1875</v>
      </c>
      <c r="D976">
        <v>1.3125</v>
      </c>
      <c r="E976">
        <v>1</v>
      </c>
      <c r="F976" t="s">
        <v>157</v>
      </c>
      <c r="G976">
        <v>1</v>
      </c>
      <c r="H976">
        <v>1</v>
      </c>
      <c r="I976">
        <v>1</v>
      </c>
      <c r="J976">
        <v>1</v>
      </c>
      <c r="N976">
        <v>0.5</v>
      </c>
      <c r="O976">
        <v>0.38</v>
      </c>
      <c r="P976">
        <v>3.5</v>
      </c>
      <c r="Q976">
        <v>3.1875</v>
      </c>
      <c r="R976">
        <v>3.5</v>
      </c>
      <c r="S976">
        <v>4</v>
      </c>
      <c r="T976">
        <v>0.5</v>
      </c>
      <c r="U976">
        <v>1</v>
      </c>
      <c r="V976">
        <v>1</v>
      </c>
      <c r="W976">
        <v>0</v>
      </c>
      <c r="X976">
        <v>0</v>
      </c>
      <c r="Y976">
        <v>0</v>
      </c>
      <c r="Z976">
        <v>0</v>
      </c>
    </row>
    <row r="977" spans="1:30">
      <c r="A977" t="s">
        <v>1139</v>
      </c>
      <c r="B977">
        <v>45.8125</v>
      </c>
      <c r="C977">
        <v>71.9375</v>
      </c>
      <c r="D977">
        <v>9</v>
      </c>
      <c r="E977">
        <v>1</v>
      </c>
      <c r="F977" t="s">
        <v>21</v>
      </c>
      <c r="G977">
        <v>0</v>
      </c>
      <c r="I977">
        <v>0</v>
      </c>
      <c r="L977" t="s">
        <v>145</v>
      </c>
      <c r="N977">
        <v>0.5</v>
      </c>
      <c r="O977">
        <v>0.38</v>
      </c>
      <c r="P977">
        <v>3.5</v>
      </c>
      <c r="Q977">
        <v>-4.5</v>
      </c>
      <c r="R977">
        <v>3.5</v>
      </c>
      <c r="S977">
        <v>4</v>
      </c>
      <c r="T977">
        <v>0.5</v>
      </c>
      <c r="U977">
        <v>0</v>
      </c>
      <c r="V977">
        <v>0</v>
      </c>
      <c r="W977">
        <v>0</v>
      </c>
      <c r="X977">
        <v>0</v>
      </c>
      <c r="Y977">
        <v>0.5</v>
      </c>
      <c r="Z977">
        <v>0.5</v>
      </c>
      <c r="AA977">
        <v>15.5</v>
      </c>
      <c r="AB977">
        <v>28.875</v>
      </c>
      <c r="AC977">
        <v>26</v>
      </c>
      <c r="AD977">
        <v>21.13</v>
      </c>
    </row>
    <row r="978" spans="1:30">
      <c r="A978" t="s">
        <v>1140</v>
      </c>
      <c r="B978">
        <v>45.9375</v>
      </c>
      <c r="C978">
        <v>52.5</v>
      </c>
      <c r="D978">
        <v>1</v>
      </c>
      <c r="F978" t="s">
        <v>21</v>
      </c>
      <c r="G978">
        <v>0</v>
      </c>
      <c r="I978">
        <v>1</v>
      </c>
      <c r="J978">
        <v>0</v>
      </c>
      <c r="K978">
        <v>12</v>
      </c>
      <c r="L978" t="s">
        <v>119</v>
      </c>
      <c r="N978">
        <v>0.5</v>
      </c>
      <c r="O978">
        <v>0.38</v>
      </c>
      <c r="P978">
        <v>3.5</v>
      </c>
      <c r="Q978">
        <v>3.5</v>
      </c>
      <c r="R978">
        <v>4.5</v>
      </c>
      <c r="S978">
        <v>4</v>
      </c>
      <c r="T978">
        <v>0.5</v>
      </c>
      <c r="U978">
        <v>0</v>
      </c>
      <c r="V978">
        <v>1</v>
      </c>
      <c r="W978">
        <v>0</v>
      </c>
      <c r="X978">
        <v>0</v>
      </c>
      <c r="Y978">
        <v>0.5</v>
      </c>
      <c r="Z978">
        <v>0</v>
      </c>
      <c r="AA978">
        <v>11</v>
      </c>
      <c r="AB978">
        <v>15.5</v>
      </c>
    </row>
    <row r="979" spans="1:30">
      <c r="A979" t="s">
        <v>1141</v>
      </c>
      <c r="B979">
        <v>96</v>
      </c>
      <c r="C979">
        <v>62.4375</v>
      </c>
      <c r="D979">
        <v>4.5</v>
      </c>
      <c r="F979" t="s">
        <v>21</v>
      </c>
      <c r="G979">
        <v>0</v>
      </c>
      <c r="I979">
        <v>1</v>
      </c>
      <c r="J979">
        <v>0</v>
      </c>
      <c r="K979">
        <v>24</v>
      </c>
      <c r="L979" t="s">
        <v>121</v>
      </c>
      <c r="N979">
        <v>0.5</v>
      </c>
      <c r="O979">
        <v>0.38</v>
      </c>
      <c r="P979">
        <v>3.5</v>
      </c>
      <c r="Q979">
        <v>0</v>
      </c>
      <c r="R979">
        <v>4.5</v>
      </c>
      <c r="S979">
        <v>4</v>
      </c>
      <c r="T979">
        <v>0.5</v>
      </c>
      <c r="U979">
        <v>0</v>
      </c>
      <c r="V979">
        <v>0</v>
      </c>
      <c r="W979">
        <v>0</v>
      </c>
      <c r="X979">
        <v>0</v>
      </c>
      <c r="Y979">
        <v>0.5</v>
      </c>
      <c r="Z979">
        <v>0.5</v>
      </c>
      <c r="AA979">
        <v>11</v>
      </c>
      <c r="AB979">
        <v>9.375</v>
      </c>
    </row>
    <row r="980" spans="1:30">
      <c r="A980" t="s">
        <v>1142</v>
      </c>
      <c r="B980">
        <v>101.875</v>
      </c>
      <c r="C980">
        <v>62.9375</v>
      </c>
      <c r="D980">
        <v>9</v>
      </c>
      <c r="F980" t="s">
        <v>21</v>
      </c>
      <c r="G980">
        <v>0</v>
      </c>
      <c r="I980">
        <v>1</v>
      </c>
      <c r="J980">
        <v>0</v>
      </c>
      <c r="N980">
        <v>0.5</v>
      </c>
      <c r="O980">
        <v>0.38</v>
      </c>
      <c r="P980">
        <v>3.5</v>
      </c>
      <c r="Q980">
        <v>-4.5</v>
      </c>
      <c r="R980">
        <v>4.5</v>
      </c>
      <c r="S980">
        <v>4</v>
      </c>
      <c r="T980">
        <v>0.5</v>
      </c>
      <c r="U980">
        <v>0</v>
      </c>
      <c r="V980">
        <v>0</v>
      </c>
      <c r="W980">
        <v>0</v>
      </c>
      <c r="X980">
        <v>0</v>
      </c>
      <c r="Y980">
        <v>0.5</v>
      </c>
      <c r="Z980">
        <v>0.5</v>
      </c>
    </row>
    <row r="981" spans="1:30">
      <c r="A981" t="s">
        <v>1143</v>
      </c>
      <c r="B981">
        <v>86.625</v>
      </c>
      <c r="C981">
        <v>17.8125</v>
      </c>
      <c r="D981">
        <v>12</v>
      </c>
      <c r="F981" t="s">
        <v>21</v>
      </c>
      <c r="G981">
        <v>0</v>
      </c>
      <c r="I981">
        <v>1</v>
      </c>
      <c r="J981">
        <v>1</v>
      </c>
      <c r="N981">
        <v>0.5</v>
      </c>
      <c r="O981">
        <v>0.38</v>
      </c>
      <c r="P981">
        <v>3.5</v>
      </c>
      <c r="Q981">
        <v>-7.5</v>
      </c>
      <c r="R981">
        <v>4.5</v>
      </c>
      <c r="S981">
        <v>4</v>
      </c>
      <c r="T981">
        <v>0.5</v>
      </c>
      <c r="U981">
        <v>0</v>
      </c>
      <c r="V981">
        <v>0</v>
      </c>
      <c r="W981">
        <v>0</v>
      </c>
      <c r="X981">
        <v>0</v>
      </c>
      <c r="Y981">
        <v>0.5</v>
      </c>
      <c r="Z981">
        <v>0.5</v>
      </c>
    </row>
    <row r="982" spans="1:30">
      <c r="A982" t="s">
        <v>1144</v>
      </c>
      <c r="B982">
        <v>96</v>
      </c>
      <c r="C982">
        <v>56.5</v>
      </c>
      <c r="D982">
        <v>10.875</v>
      </c>
      <c r="F982" t="s">
        <v>21</v>
      </c>
      <c r="G982">
        <v>1</v>
      </c>
      <c r="H982">
        <v>0</v>
      </c>
      <c r="I982">
        <v>0</v>
      </c>
      <c r="L982" t="s">
        <v>119</v>
      </c>
      <c r="N982">
        <v>0.5</v>
      </c>
      <c r="O982">
        <v>0.38</v>
      </c>
      <c r="P982">
        <v>3.5</v>
      </c>
      <c r="Q982">
        <v>-6.375</v>
      </c>
      <c r="R982">
        <v>4.5</v>
      </c>
      <c r="S982">
        <v>4</v>
      </c>
      <c r="T982">
        <v>0.5</v>
      </c>
      <c r="U982">
        <v>0</v>
      </c>
      <c r="V982">
        <v>0</v>
      </c>
      <c r="W982">
        <v>0</v>
      </c>
      <c r="X982">
        <v>0</v>
      </c>
      <c r="Y982">
        <v>0.5</v>
      </c>
      <c r="Z982">
        <v>0.5</v>
      </c>
      <c r="AA982">
        <v>11</v>
      </c>
      <c r="AB982">
        <v>15.5</v>
      </c>
      <c r="AC982">
        <v>14.5</v>
      </c>
      <c r="AD982">
        <v>3.875</v>
      </c>
    </row>
    <row r="983" spans="1:30">
      <c r="A983" t="s">
        <v>1145</v>
      </c>
      <c r="B983">
        <v>96</v>
      </c>
      <c r="C983">
        <v>70.5</v>
      </c>
      <c r="D983">
        <v>12</v>
      </c>
      <c r="E983">
        <v>2.375</v>
      </c>
      <c r="F983" t="s">
        <v>21</v>
      </c>
      <c r="G983">
        <v>1</v>
      </c>
      <c r="H983">
        <v>0</v>
      </c>
      <c r="I983">
        <v>1</v>
      </c>
      <c r="J983">
        <v>0</v>
      </c>
      <c r="K983">
        <v>12</v>
      </c>
      <c r="L983" t="s">
        <v>119</v>
      </c>
      <c r="N983">
        <v>0.5</v>
      </c>
      <c r="O983">
        <v>0.38</v>
      </c>
      <c r="P983">
        <v>3.5</v>
      </c>
      <c r="Q983">
        <v>-7.5</v>
      </c>
      <c r="R983">
        <v>2.125</v>
      </c>
      <c r="S983">
        <v>4</v>
      </c>
      <c r="T983">
        <v>0.5</v>
      </c>
      <c r="U983">
        <v>0</v>
      </c>
      <c r="V983">
        <v>0</v>
      </c>
      <c r="W983">
        <v>0</v>
      </c>
      <c r="X983">
        <v>0</v>
      </c>
      <c r="Y983">
        <v>0.5</v>
      </c>
      <c r="Z983">
        <v>0.5</v>
      </c>
      <c r="AA983">
        <v>11</v>
      </c>
      <c r="AB983">
        <v>15.5</v>
      </c>
    </row>
    <row r="984" spans="1:30">
      <c r="A984" t="s">
        <v>1146</v>
      </c>
      <c r="B984">
        <v>78</v>
      </c>
      <c r="C984">
        <v>42.25</v>
      </c>
      <c r="D984">
        <v>12</v>
      </c>
      <c r="E984">
        <v>3.5</v>
      </c>
      <c r="F984" t="s">
        <v>21</v>
      </c>
      <c r="G984">
        <v>1</v>
      </c>
      <c r="H984">
        <v>0</v>
      </c>
      <c r="I984">
        <v>1</v>
      </c>
      <c r="J984">
        <v>0</v>
      </c>
      <c r="K984">
        <v>24</v>
      </c>
      <c r="N984">
        <v>0.5</v>
      </c>
      <c r="O984">
        <v>0.38</v>
      </c>
      <c r="P984">
        <v>3.5</v>
      </c>
      <c r="Q984">
        <v>-7.5</v>
      </c>
      <c r="R984">
        <v>1</v>
      </c>
      <c r="S984">
        <v>4</v>
      </c>
      <c r="T984">
        <v>0.5</v>
      </c>
      <c r="U984">
        <v>0</v>
      </c>
      <c r="V984">
        <v>0</v>
      </c>
      <c r="W984">
        <v>0</v>
      </c>
      <c r="X984">
        <v>0</v>
      </c>
      <c r="Y984">
        <v>0.5</v>
      </c>
      <c r="Z984">
        <v>0.5</v>
      </c>
    </row>
    <row r="985" spans="1:30">
      <c r="A985" t="s">
        <v>1147</v>
      </c>
      <c r="B985">
        <v>96.25</v>
      </c>
      <c r="C985">
        <v>45.4375</v>
      </c>
      <c r="D985">
        <v>9</v>
      </c>
      <c r="E985">
        <v>1</v>
      </c>
      <c r="F985" t="s">
        <v>21</v>
      </c>
      <c r="G985">
        <v>1</v>
      </c>
      <c r="H985">
        <v>0</v>
      </c>
      <c r="I985">
        <v>1</v>
      </c>
      <c r="J985">
        <v>0</v>
      </c>
      <c r="N985">
        <v>0.5</v>
      </c>
      <c r="O985">
        <v>0.38</v>
      </c>
      <c r="P985">
        <v>3.5</v>
      </c>
      <c r="Q985">
        <v>-4.5</v>
      </c>
      <c r="R985">
        <v>3.5</v>
      </c>
      <c r="S985">
        <v>4</v>
      </c>
      <c r="T985">
        <v>0.5</v>
      </c>
      <c r="U985">
        <v>0</v>
      </c>
      <c r="V985">
        <v>0</v>
      </c>
      <c r="W985">
        <v>0</v>
      </c>
      <c r="X985">
        <v>0</v>
      </c>
      <c r="Y985">
        <v>0.5</v>
      </c>
      <c r="Z985">
        <v>0.5</v>
      </c>
    </row>
    <row r="986" spans="1:30">
      <c r="A986" t="s">
        <v>1148</v>
      </c>
      <c r="B986">
        <v>98.25</v>
      </c>
      <c r="C986">
        <v>50</v>
      </c>
      <c r="D986">
        <v>12</v>
      </c>
      <c r="F986" t="s">
        <v>21</v>
      </c>
      <c r="G986">
        <v>1</v>
      </c>
      <c r="H986">
        <v>0</v>
      </c>
      <c r="I986">
        <v>1</v>
      </c>
      <c r="J986">
        <v>1</v>
      </c>
      <c r="N986">
        <v>0.5</v>
      </c>
      <c r="O986">
        <v>0.38</v>
      </c>
      <c r="P986">
        <v>3.5</v>
      </c>
      <c r="Q986">
        <v>-7.5</v>
      </c>
      <c r="R986">
        <v>4.5</v>
      </c>
      <c r="S986">
        <v>4</v>
      </c>
      <c r="T986">
        <v>0.5</v>
      </c>
      <c r="U986">
        <v>0</v>
      </c>
      <c r="V986">
        <v>0</v>
      </c>
      <c r="W986">
        <v>0</v>
      </c>
      <c r="X986">
        <v>0</v>
      </c>
      <c r="Y986">
        <v>0.5</v>
      </c>
      <c r="Z986">
        <v>0.5</v>
      </c>
    </row>
    <row r="987" spans="1:30">
      <c r="A987" t="s">
        <v>1149</v>
      </c>
      <c r="B987">
        <v>105.1875</v>
      </c>
      <c r="C987">
        <v>67.4375</v>
      </c>
      <c r="D987">
        <v>9</v>
      </c>
      <c r="E987">
        <v>1</v>
      </c>
      <c r="F987" t="s">
        <v>21</v>
      </c>
      <c r="G987">
        <v>1</v>
      </c>
      <c r="H987">
        <v>1</v>
      </c>
      <c r="I987">
        <v>0</v>
      </c>
      <c r="L987" t="s">
        <v>120</v>
      </c>
      <c r="N987">
        <v>0.5</v>
      </c>
      <c r="O987">
        <v>0.38</v>
      </c>
      <c r="P987">
        <v>3.5</v>
      </c>
      <c r="Q987">
        <v>-4.5</v>
      </c>
      <c r="R987">
        <v>3.5</v>
      </c>
      <c r="S987">
        <v>4</v>
      </c>
      <c r="T987">
        <v>0.5</v>
      </c>
      <c r="U987">
        <v>0</v>
      </c>
      <c r="V987">
        <v>0</v>
      </c>
      <c r="W987">
        <v>1</v>
      </c>
      <c r="X987">
        <v>0</v>
      </c>
      <c r="Y987">
        <v>0.5</v>
      </c>
      <c r="Z987">
        <v>0.5</v>
      </c>
      <c r="AA987">
        <v>11.5</v>
      </c>
      <c r="AB987">
        <v>10.875</v>
      </c>
      <c r="AC987">
        <v>28.94</v>
      </c>
      <c r="AD987">
        <v>9</v>
      </c>
    </row>
    <row r="988" spans="1:30">
      <c r="A988" t="s">
        <v>1150</v>
      </c>
      <c r="B988">
        <v>55.375</v>
      </c>
      <c r="C988">
        <v>73.25</v>
      </c>
      <c r="D988">
        <v>5.25</v>
      </c>
      <c r="F988" t="s">
        <v>21</v>
      </c>
      <c r="G988">
        <v>1</v>
      </c>
      <c r="H988">
        <v>1</v>
      </c>
      <c r="I988">
        <v>1</v>
      </c>
      <c r="J988">
        <v>0</v>
      </c>
      <c r="K988">
        <v>12</v>
      </c>
      <c r="L988" t="s">
        <v>151</v>
      </c>
      <c r="N988">
        <v>0.5</v>
      </c>
      <c r="O988">
        <v>0.38</v>
      </c>
      <c r="P988">
        <v>3.5</v>
      </c>
      <c r="Q988">
        <v>-0.75</v>
      </c>
      <c r="R988">
        <v>4.5</v>
      </c>
      <c r="S988">
        <v>4</v>
      </c>
      <c r="T988">
        <v>0.5</v>
      </c>
      <c r="U988">
        <v>0</v>
      </c>
      <c r="V988">
        <v>0</v>
      </c>
      <c r="W988">
        <v>0</v>
      </c>
      <c r="X988">
        <v>0</v>
      </c>
      <c r="Y988">
        <v>0.5</v>
      </c>
      <c r="Z988">
        <v>0.5</v>
      </c>
      <c r="AA988">
        <v>15.5</v>
      </c>
      <c r="AB988">
        <v>28.875</v>
      </c>
      <c r="AC988">
        <v>9</v>
      </c>
      <c r="AD988">
        <v>12.75</v>
      </c>
    </row>
    <row r="989" spans="1:30">
      <c r="A989" t="s">
        <v>1151</v>
      </c>
      <c r="B989">
        <v>65.125</v>
      </c>
      <c r="C989">
        <v>66.4375</v>
      </c>
      <c r="D989">
        <v>4.5</v>
      </c>
      <c r="E989">
        <v>1</v>
      </c>
      <c r="F989" t="s">
        <v>21</v>
      </c>
      <c r="G989">
        <v>1</v>
      </c>
      <c r="H989">
        <v>1</v>
      </c>
      <c r="I989">
        <v>1</v>
      </c>
      <c r="J989">
        <v>0</v>
      </c>
      <c r="K989">
        <v>24</v>
      </c>
      <c r="L989" t="s">
        <v>120</v>
      </c>
      <c r="N989">
        <v>0.5</v>
      </c>
      <c r="O989">
        <v>0.38</v>
      </c>
      <c r="P989">
        <v>3.5</v>
      </c>
      <c r="Q989">
        <v>0</v>
      </c>
      <c r="R989">
        <v>3.5</v>
      </c>
      <c r="S989">
        <v>4</v>
      </c>
      <c r="T989">
        <v>0.5</v>
      </c>
      <c r="U989">
        <v>0</v>
      </c>
      <c r="V989">
        <v>0</v>
      </c>
      <c r="W989">
        <v>1</v>
      </c>
      <c r="X989">
        <v>0</v>
      </c>
      <c r="Y989">
        <v>0.5</v>
      </c>
      <c r="Z989">
        <v>0.5</v>
      </c>
      <c r="AA989">
        <v>11.5</v>
      </c>
      <c r="AB989">
        <v>10.875</v>
      </c>
      <c r="AC989">
        <v>4.9400000000000004</v>
      </c>
      <c r="AD989">
        <v>13.5</v>
      </c>
    </row>
    <row r="990" spans="1:30">
      <c r="A990" t="s">
        <v>1152</v>
      </c>
      <c r="B990">
        <v>81.6875</v>
      </c>
      <c r="C990">
        <v>61.25</v>
      </c>
      <c r="D990">
        <v>1</v>
      </c>
      <c r="E990">
        <v>3.25</v>
      </c>
      <c r="F990" t="s">
        <v>21</v>
      </c>
      <c r="G990">
        <v>1</v>
      </c>
      <c r="H990">
        <v>1</v>
      </c>
      <c r="I990">
        <v>1</v>
      </c>
      <c r="J990">
        <v>0</v>
      </c>
      <c r="N990">
        <v>0.5</v>
      </c>
      <c r="O990">
        <v>0.38</v>
      </c>
      <c r="P990">
        <v>3.5</v>
      </c>
      <c r="Q990">
        <v>3.5</v>
      </c>
      <c r="R990">
        <v>1.25</v>
      </c>
      <c r="S990">
        <v>4</v>
      </c>
      <c r="T990">
        <v>0.5</v>
      </c>
      <c r="U990">
        <v>1</v>
      </c>
      <c r="V990">
        <v>1</v>
      </c>
      <c r="W990">
        <v>1</v>
      </c>
      <c r="X990">
        <v>0</v>
      </c>
      <c r="Y990">
        <v>0</v>
      </c>
      <c r="Z990">
        <v>0</v>
      </c>
    </row>
    <row r="991" spans="1:30">
      <c r="A991" t="s">
        <v>1153</v>
      </c>
      <c r="B991">
        <v>79.3125</v>
      </c>
      <c r="C991">
        <v>48.125</v>
      </c>
      <c r="D991">
        <v>9</v>
      </c>
      <c r="E991">
        <v>1</v>
      </c>
      <c r="F991" t="s">
        <v>21</v>
      </c>
      <c r="G991">
        <v>1</v>
      </c>
      <c r="H991">
        <v>1</v>
      </c>
      <c r="I991">
        <v>1</v>
      </c>
      <c r="J991">
        <v>1</v>
      </c>
      <c r="N991">
        <v>0.5</v>
      </c>
      <c r="O991">
        <v>0.38</v>
      </c>
      <c r="P991">
        <v>3.5</v>
      </c>
      <c r="Q991">
        <v>-4.5</v>
      </c>
      <c r="R991">
        <v>3.5</v>
      </c>
      <c r="S991">
        <v>4</v>
      </c>
      <c r="T991">
        <v>0.5</v>
      </c>
      <c r="U991">
        <v>0</v>
      </c>
      <c r="V991">
        <v>0</v>
      </c>
      <c r="W991">
        <v>1</v>
      </c>
      <c r="X991">
        <v>1</v>
      </c>
      <c r="Y991">
        <v>0.5</v>
      </c>
      <c r="Z991">
        <v>0.5</v>
      </c>
    </row>
    <row r="992" spans="1:30">
      <c r="A992" t="s">
        <v>1154</v>
      </c>
      <c r="B992">
        <v>25.4375</v>
      </c>
      <c r="C992">
        <v>52.6875</v>
      </c>
      <c r="D992">
        <v>8.8125</v>
      </c>
      <c r="F992" t="s">
        <v>156</v>
      </c>
      <c r="G992">
        <v>0</v>
      </c>
      <c r="I992">
        <v>0</v>
      </c>
      <c r="L992" t="s">
        <v>151</v>
      </c>
      <c r="N992">
        <v>0.5</v>
      </c>
      <c r="O992">
        <v>0.38</v>
      </c>
      <c r="P992">
        <v>3.5</v>
      </c>
      <c r="Q992">
        <v>-4.3125</v>
      </c>
      <c r="R992">
        <v>4.5</v>
      </c>
      <c r="S992">
        <v>4</v>
      </c>
      <c r="T992">
        <v>0.5</v>
      </c>
      <c r="U992">
        <v>0</v>
      </c>
      <c r="V992">
        <v>0</v>
      </c>
      <c r="W992">
        <v>0</v>
      </c>
      <c r="X992">
        <v>0</v>
      </c>
      <c r="Y992">
        <v>0.5</v>
      </c>
      <c r="Z992">
        <v>0.5</v>
      </c>
    </row>
    <row r="993" spans="1:30">
      <c r="A993" t="s">
        <v>1155</v>
      </c>
      <c r="B993">
        <v>28.6875</v>
      </c>
      <c r="C993">
        <v>53</v>
      </c>
      <c r="D993">
        <v>12</v>
      </c>
      <c r="E993">
        <v>1</v>
      </c>
      <c r="F993" t="s">
        <v>156</v>
      </c>
      <c r="G993">
        <v>0</v>
      </c>
      <c r="I993">
        <v>1</v>
      </c>
      <c r="J993">
        <v>0</v>
      </c>
      <c r="K993">
        <v>12</v>
      </c>
      <c r="L993" t="s">
        <v>120</v>
      </c>
      <c r="N993">
        <v>0.5</v>
      </c>
      <c r="O993">
        <v>0.38</v>
      </c>
      <c r="P993">
        <v>3.5</v>
      </c>
      <c r="Q993">
        <v>-7.5</v>
      </c>
      <c r="R993">
        <v>3.5</v>
      </c>
      <c r="S993">
        <v>4</v>
      </c>
      <c r="T993">
        <v>0.5</v>
      </c>
      <c r="U993">
        <v>0</v>
      </c>
      <c r="V993">
        <v>0</v>
      </c>
      <c r="W993">
        <v>0</v>
      </c>
      <c r="X993">
        <v>0</v>
      </c>
      <c r="Y993">
        <v>0.5</v>
      </c>
      <c r="Z993">
        <v>0.5</v>
      </c>
    </row>
    <row r="994" spans="1:30">
      <c r="A994" t="s">
        <v>1156</v>
      </c>
      <c r="B994">
        <v>13.75</v>
      </c>
      <c r="C994">
        <v>75.1875</v>
      </c>
      <c r="D994">
        <v>4.5</v>
      </c>
      <c r="F994" t="s">
        <v>156</v>
      </c>
      <c r="G994">
        <v>0</v>
      </c>
      <c r="I994">
        <v>1</v>
      </c>
      <c r="J994">
        <v>0</v>
      </c>
      <c r="K994">
        <v>24</v>
      </c>
      <c r="L994" t="s">
        <v>35</v>
      </c>
      <c r="N994">
        <v>0.5</v>
      </c>
      <c r="O994">
        <v>0.38</v>
      </c>
      <c r="P994">
        <v>3.5</v>
      </c>
      <c r="Q994">
        <v>0</v>
      </c>
      <c r="R994">
        <v>4.5</v>
      </c>
      <c r="S994">
        <v>4</v>
      </c>
      <c r="T994">
        <v>0.5</v>
      </c>
      <c r="U994">
        <v>0</v>
      </c>
      <c r="V994">
        <v>0</v>
      </c>
      <c r="W994">
        <v>0</v>
      </c>
      <c r="X994">
        <v>0</v>
      </c>
      <c r="Y994">
        <v>0.5</v>
      </c>
      <c r="Z994">
        <v>0.5</v>
      </c>
    </row>
    <row r="995" spans="1:30">
      <c r="A995" t="s">
        <v>1157</v>
      </c>
      <c r="B995">
        <v>48.6875</v>
      </c>
      <c r="C995">
        <v>57.5625</v>
      </c>
      <c r="D995">
        <v>4.5</v>
      </c>
      <c r="E995">
        <v>1</v>
      </c>
      <c r="F995" t="s">
        <v>156</v>
      </c>
      <c r="G995">
        <v>0</v>
      </c>
      <c r="I995">
        <v>1</v>
      </c>
      <c r="J995">
        <v>0</v>
      </c>
      <c r="N995">
        <v>0.5</v>
      </c>
      <c r="O995">
        <v>0.38</v>
      </c>
      <c r="P995">
        <v>3.5</v>
      </c>
      <c r="Q995">
        <v>0</v>
      </c>
      <c r="R995">
        <v>3.5</v>
      </c>
      <c r="S995">
        <v>4</v>
      </c>
      <c r="T995">
        <v>0.5</v>
      </c>
      <c r="U995">
        <v>0</v>
      </c>
      <c r="V995">
        <v>0</v>
      </c>
      <c r="W995">
        <v>0</v>
      </c>
      <c r="X995">
        <v>0</v>
      </c>
      <c r="Y995">
        <v>0.5</v>
      </c>
      <c r="Z995">
        <v>0.5</v>
      </c>
    </row>
    <row r="996" spans="1:30">
      <c r="A996" t="s">
        <v>1158</v>
      </c>
      <c r="B996">
        <v>17.3125</v>
      </c>
      <c r="C996">
        <v>40.3125</v>
      </c>
      <c r="D996">
        <v>1</v>
      </c>
      <c r="E996">
        <v>1</v>
      </c>
      <c r="F996" t="s">
        <v>156</v>
      </c>
      <c r="G996">
        <v>0</v>
      </c>
      <c r="I996">
        <v>1</v>
      </c>
      <c r="J996">
        <v>1</v>
      </c>
      <c r="N996">
        <v>0.5</v>
      </c>
      <c r="O996">
        <v>0.38</v>
      </c>
      <c r="P996">
        <v>3.5</v>
      </c>
      <c r="Q996">
        <v>3.5</v>
      </c>
      <c r="R996">
        <v>3.5</v>
      </c>
      <c r="S996">
        <v>4</v>
      </c>
      <c r="T996">
        <v>0.5</v>
      </c>
      <c r="U996">
        <v>0</v>
      </c>
      <c r="V996">
        <v>0</v>
      </c>
      <c r="W996">
        <v>0</v>
      </c>
      <c r="X996">
        <v>1</v>
      </c>
      <c r="Y996">
        <v>0.5</v>
      </c>
      <c r="Z996">
        <v>0.5</v>
      </c>
    </row>
    <row r="997" spans="1:30">
      <c r="A997" t="s">
        <v>1159</v>
      </c>
      <c r="B997">
        <v>47.9375</v>
      </c>
      <c r="C997">
        <v>49</v>
      </c>
      <c r="D997">
        <v>1</v>
      </c>
      <c r="E997">
        <v>1</v>
      </c>
      <c r="F997" t="s">
        <v>156</v>
      </c>
      <c r="G997">
        <v>1</v>
      </c>
      <c r="H997">
        <v>0</v>
      </c>
      <c r="I997">
        <v>0</v>
      </c>
      <c r="L997" t="s">
        <v>151</v>
      </c>
      <c r="N997">
        <v>0.5</v>
      </c>
      <c r="O997">
        <v>0.38</v>
      </c>
      <c r="P997">
        <v>3.5</v>
      </c>
      <c r="Q997">
        <v>3.5</v>
      </c>
      <c r="R997">
        <v>3.5</v>
      </c>
      <c r="S997">
        <v>4</v>
      </c>
      <c r="T997">
        <v>0.5</v>
      </c>
      <c r="U997">
        <v>0</v>
      </c>
      <c r="V997">
        <v>0</v>
      </c>
      <c r="W997">
        <v>0</v>
      </c>
      <c r="X997">
        <v>0</v>
      </c>
      <c r="Y997">
        <v>0.5</v>
      </c>
      <c r="Z997">
        <v>0.5</v>
      </c>
    </row>
    <row r="998" spans="1:30">
      <c r="A998" t="s">
        <v>1160</v>
      </c>
      <c r="B998">
        <v>14.875</v>
      </c>
      <c r="C998">
        <v>40.75</v>
      </c>
      <c r="D998">
        <v>1.4375</v>
      </c>
      <c r="E998">
        <v>1</v>
      </c>
      <c r="F998" t="s">
        <v>156</v>
      </c>
      <c r="G998">
        <v>1</v>
      </c>
      <c r="H998">
        <v>0</v>
      </c>
      <c r="I998">
        <v>1</v>
      </c>
      <c r="J998">
        <v>0</v>
      </c>
      <c r="K998">
        <v>12</v>
      </c>
      <c r="L998" t="s">
        <v>119</v>
      </c>
      <c r="N998">
        <v>0.5</v>
      </c>
      <c r="O998">
        <v>0.38</v>
      </c>
      <c r="P998">
        <v>3.5</v>
      </c>
      <c r="Q998">
        <v>3.0625</v>
      </c>
      <c r="R998">
        <v>3.5</v>
      </c>
      <c r="S998">
        <v>4</v>
      </c>
      <c r="T998">
        <v>0.5</v>
      </c>
      <c r="U998">
        <v>0</v>
      </c>
      <c r="V998">
        <v>0</v>
      </c>
      <c r="W998">
        <v>0</v>
      </c>
      <c r="X998">
        <v>0</v>
      </c>
      <c r="Y998">
        <v>0.5</v>
      </c>
      <c r="Z998">
        <v>0.5</v>
      </c>
    </row>
    <row r="999" spans="1:30">
      <c r="A999" t="s">
        <v>1161</v>
      </c>
      <c r="B999">
        <v>24.1875</v>
      </c>
      <c r="C999">
        <v>69.375</v>
      </c>
      <c r="D999">
        <v>1</v>
      </c>
      <c r="E999">
        <v>4.0625</v>
      </c>
      <c r="F999" t="s">
        <v>156</v>
      </c>
      <c r="G999">
        <v>1</v>
      </c>
      <c r="H999">
        <v>0</v>
      </c>
      <c r="I999">
        <v>1</v>
      </c>
      <c r="J999">
        <v>0</v>
      </c>
      <c r="K999">
        <v>24</v>
      </c>
      <c r="L999" t="s">
        <v>120</v>
      </c>
      <c r="N999">
        <v>0.5</v>
      </c>
      <c r="O999">
        <v>0.38</v>
      </c>
      <c r="P999">
        <v>3.5</v>
      </c>
      <c r="Q999">
        <v>3.5</v>
      </c>
      <c r="R999">
        <v>0.4375</v>
      </c>
      <c r="S999">
        <v>4</v>
      </c>
      <c r="T999">
        <v>0.5</v>
      </c>
      <c r="U999">
        <v>0</v>
      </c>
      <c r="V999">
        <v>0</v>
      </c>
      <c r="W999">
        <v>0</v>
      </c>
      <c r="X999">
        <v>0</v>
      </c>
      <c r="Y999">
        <v>0.5</v>
      </c>
      <c r="Z999">
        <v>0.5</v>
      </c>
    </row>
    <row r="1000" spans="1:30">
      <c r="A1000" t="s">
        <v>1162</v>
      </c>
      <c r="B1000">
        <v>42.875</v>
      </c>
      <c r="C1000">
        <v>76.5625</v>
      </c>
      <c r="D1000">
        <v>1</v>
      </c>
      <c r="F1000" t="s">
        <v>156</v>
      </c>
      <c r="G1000">
        <v>1</v>
      </c>
      <c r="H1000">
        <v>0</v>
      </c>
      <c r="I1000">
        <v>1</v>
      </c>
      <c r="J1000">
        <v>0</v>
      </c>
      <c r="N1000">
        <v>0.5</v>
      </c>
      <c r="O1000">
        <v>0.38</v>
      </c>
      <c r="P1000">
        <v>3.5</v>
      </c>
      <c r="Q1000">
        <v>3.5</v>
      </c>
      <c r="R1000">
        <v>4.5</v>
      </c>
      <c r="S1000">
        <v>4</v>
      </c>
      <c r="T1000">
        <v>0.5</v>
      </c>
      <c r="U1000">
        <v>0</v>
      </c>
      <c r="V1000">
        <v>0</v>
      </c>
      <c r="W1000">
        <v>0</v>
      </c>
      <c r="X1000">
        <v>0</v>
      </c>
      <c r="Y1000">
        <v>0.5</v>
      </c>
      <c r="Z1000">
        <v>0.5</v>
      </c>
    </row>
    <row r="1001" spans="1:30">
      <c r="A1001" t="s">
        <v>1163</v>
      </c>
      <c r="B1001">
        <v>11.0625</v>
      </c>
      <c r="C1001">
        <v>63.4375</v>
      </c>
      <c r="D1001">
        <v>9</v>
      </c>
      <c r="E1001">
        <v>4.875</v>
      </c>
      <c r="F1001" t="s">
        <v>156</v>
      </c>
      <c r="G1001">
        <v>1</v>
      </c>
      <c r="H1001">
        <v>0</v>
      </c>
      <c r="I1001">
        <v>1</v>
      </c>
      <c r="J1001">
        <v>1</v>
      </c>
      <c r="N1001">
        <v>0.5</v>
      </c>
      <c r="O1001">
        <v>0.38</v>
      </c>
      <c r="P1001">
        <v>3.5</v>
      </c>
      <c r="Q1001">
        <v>-4.5</v>
      </c>
      <c r="R1001">
        <v>0</v>
      </c>
      <c r="S1001">
        <v>4</v>
      </c>
      <c r="T1001">
        <v>0.5</v>
      </c>
      <c r="U1001">
        <v>0</v>
      </c>
      <c r="V1001">
        <v>0</v>
      </c>
      <c r="W1001">
        <v>0</v>
      </c>
      <c r="X1001">
        <v>0</v>
      </c>
      <c r="Y1001">
        <v>0.5</v>
      </c>
      <c r="Z1001">
        <v>0.5</v>
      </c>
    </row>
    <row r="1002" spans="1:30">
      <c r="A1002" t="s">
        <v>1164</v>
      </c>
      <c r="B1002">
        <v>31.9375</v>
      </c>
      <c r="C1002">
        <v>73.6875</v>
      </c>
      <c r="D1002">
        <v>12</v>
      </c>
      <c r="E1002">
        <v>5.875</v>
      </c>
      <c r="F1002" t="s">
        <v>156</v>
      </c>
      <c r="G1002">
        <v>1</v>
      </c>
      <c r="H1002">
        <v>1</v>
      </c>
      <c r="I1002">
        <v>0</v>
      </c>
      <c r="L1002" t="s">
        <v>145</v>
      </c>
      <c r="N1002">
        <v>0.5</v>
      </c>
      <c r="O1002">
        <v>0.38</v>
      </c>
      <c r="P1002">
        <v>3.5</v>
      </c>
      <c r="Q1002">
        <v>-7.5</v>
      </c>
      <c r="R1002">
        <v>0</v>
      </c>
      <c r="S1002">
        <v>4</v>
      </c>
      <c r="T1002">
        <v>0.5</v>
      </c>
      <c r="U1002">
        <v>0</v>
      </c>
      <c r="V1002">
        <v>0</v>
      </c>
      <c r="W1002">
        <v>0</v>
      </c>
      <c r="X1002">
        <v>0</v>
      </c>
      <c r="Y1002">
        <v>0.5</v>
      </c>
      <c r="Z1002">
        <v>0.5</v>
      </c>
    </row>
    <row r="1003" spans="1:30">
      <c r="A1003" t="s">
        <v>1165</v>
      </c>
      <c r="B1003">
        <v>18.0625</v>
      </c>
      <c r="C1003">
        <v>67.5625</v>
      </c>
      <c r="D1003">
        <v>1.1875</v>
      </c>
      <c r="F1003" t="s">
        <v>156</v>
      </c>
      <c r="G1003">
        <v>1</v>
      </c>
      <c r="H1003">
        <v>1</v>
      </c>
      <c r="I1003">
        <v>1</v>
      </c>
      <c r="J1003">
        <v>0</v>
      </c>
      <c r="K1003">
        <v>12</v>
      </c>
      <c r="N1003">
        <v>0.5</v>
      </c>
      <c r="O1003">
        <v>0.38</v>
      </c>
      <c r="P1003">
        <v>3.5</v>
      </c>
      <c r="Q1003">
        <v>3.3125</v>
      </c>
      <c r="R1003">
        <v>4.5</v>
      </c>
      <c r="S1003">
        <v>4</v>
      </c>
      <c r="T1003">
        <v>0.5</v>
      </c>
      <c r="U1003">
        <v>0</v>
      </c>
      <c r="V1003">
        <v>0</v>
      </c>
      <c r="W1003">
        <v>0</v>
      </c>
      <c r="X1003">
        <v>0</v>
      </c>
      <c r="Y1003">
        <v>0.5</v>
      </c>
      <c r="Z1003">
        <v>0.5</v>
      </c>
    </row>
    <row r="1004" spans="1:30">
      <c r="A1004" t="s">
        <v>1166</v>
      </c>
      <c r="B1004">
        <v>12.5625</v>
      </c>
      <c r="C1004">
        <v>37.9375</v>
      </c>
      <c r="D1004">
        <v>4.875</v>
      </c>
      <c r="E1004">
        <v>1</v>
      </c>
      <c r="F1004" t="s">
        <v>156</v>
      </c>
      <c r="G1004">
        <v>1</v>
      </c>
      <c r="H1004">
        <v>1</v>
      </c>
      <c r="I1004">
        <v>1</v>
      </c>
      <c r="J1004">
        <v>0</v>
      </c>
      <c r="K1004">
        <v>24</v>
      </c>
      <c r="N1004">
        <v>0.5</v>
      </c>
      <c r="O1004">
        <v>0.38</v>
      </c>
      <c r="P1004">
        <v>3.5</v>
      </c>
      <c r="Q1004">
        <v>-0.375</v>
      </c>
      <c r="R1004">
        <v>3.5</v>
      </c>
      <c r="S1004">
        <v>4</v>
      </c>
      <c r="T1004">
        <v>0.5</v>
      </c>
      <c r="U1004">
        <v>0</v>
      </c>
      <c r="V1004">
        <v>0</v>
      </c>
      <c r="W1004">
        <v>1</v>
      </c>
      <c r="X1004">
        <v>0</v>
      </c>
      <c r="Y1004">
        <v>0.5</v>
      </c>
      <c r="Z1004">
        <v>0.5</v>
      </c>
    </row>
    <row r="1005" spans="1:30">
      <c r="A1005" t="s">
        <v>1167</v>
      </c>
      <c r="B1005">
        <v>17.1875</v>
      </c>
      <c r="C1005">
        <v>53.5625</v>
      </c>
      <c r="D1005">
        <v>4.5</v>
      </c>
      <c r="E1005">
        <v>1.75</v>
      </c>
      <c r="F1005" t="s">
        <v>156</v>
      </c>
      <c r="G1005">
        <v>1</v>
      </c>
      <c r="H1005">
        <v>1</v>
      </c>
      <c r="I1005">
        <v>1</v>
      </c>
      <c r="J1005">
        <v>0</v>
      </c>
      <c r="N1005">
        <v>0.5</v>
      </c>
      <c r="O1005">
        <v>0.38</v>
      </c>
      <c r="P1005">
        <v>3.5</v>
      </c>
      <c r="Q1005">
        <v>0</v>
      </c>
      <c r="R1005">
        <v>2.75</v>
      </c>
      <c r="S1005">
        <v>4</v>
      </c>
      <c r="T1005">
        <v>0.5</v>
      </c>
      <c r="U1005">
        <v>0</v>
      </c>
      <c r="V1005">
        <v>0</v>
      </c>
      <c r="W1005">
        <v>1</v>
      </c>
      <c r="X1005">
        <v>0</v>
      </c>
      <c r="Y1005">
        <v>0.5</v>
      </c>
      <c r="Z1005">
        <v>0.5</v>
      </c>
    </row>
    <row r="1006" spans="1:30">
      <c r="A1006" t="s">
        <v>1168</v>
      </c>
      <c r="B1006">
        <v>8.8125</v>
      </c>
      <c r="C1006">
        <v>52.8125</v>
      </c>
      <c r="D1006">
        <v>4.4375</v>
      </c>
      <c r="E1006">
        <v>5.5</v>
      </c>
      <c r="F1006" t="s">
        <v>156</v>
      </c>
      <c r="G1006">
        <v>1</v>
      </c>
      <c r="H1006">
        <v>1</v>
      </c>
      <c r="I1006">
        <v>1</v>
      </c>
      <c r="J1006">
        <v>1</v>
      </c>
      <c r="N1006">
        <v>0.5</v>
      </c>
      <c r="O1006">
        <v>0.38</v>
      </c>
      <c r="P1006">
        <v>3.5</v>
      </c>
      <c r="Q1006">
        <v>6.25E-2</v>
      </c>
      <c r="R1006">
        <v>0</v>
      </c>
      <c r="S1006">
        <v>4</v>
      </c>
      <c r="T1006">
        <v>0.5</v>
      </c>
      <c r="U1006">
        <v>0</v>
      </c>
      <c r="V1006">
        <v>0</v>
      </c>
      <c r="W1006">
        <v>0</v>
      </c>
      <c r="X1006">
        <v>0</v>
      </c>
      <c r="Y1006">
        <v>0.5</v>
      </c>
      <c r="Z1006">
        <v>0.5</v>
      </c>
    </row>
    <row r="1007" spans="1:30">
      <c r="A1007" t="s">
        <v>1169</v>
      </c>
      <c r="B1007">
        <v>60</v>
      </c>
      <c r="C1007">
        <v>60.6875</v>
      </c>
      <c r="D1007">
        <v>1</v>
      </c>
      <c r="E1007">
        <v>5.3125</v>
      </c>
      <c r="F1007" t="s">
        <v>157</v>
      </c>
      <c r="G1007">
        <v>0</v>
      </c>
      <c r="I1007">
        <v>0</v>
      </c>
      <c r="L1007" t="s">
        <v>148</v>
      </c>
      <c r="N1007">
        <v>0.5</v>
      </c>
      <c r="O1007">
        <v>0.38</v>
      </c>
      <c r="P1007">
        <v>3.5</v>
      </c>
      <c r="Q1007">
        <v>3.5</v>
      </c>
      <c r="R1007">
        <v>0</v>
      </c>
      <c r="S1007">
        <v>4</v>
      </c>
      <c r="T1007">
        <v>0.5</v>
      </c>
      <c r="U1007">
        <v>0</v>
      </c>
      <c r="V1007">
        <v>0</v>
      </c>
      <c r="W1007">
        <v>0</v>
      </c>
      <c r="X1007">
        <v>0</v>
      </c>
      <c r="Y1007">
        <v>0.5</v>
      </c>
      <c r="Z1007">
        <v>0.5</v>
      </c>
      <c r="AA1007">
        <v>15.5</v>
      </c>
      <c r="AB1007">
        <v>28.875</v>
      </c>
      <c r="AC1007">
        <v>21</v>
      </c>
      <c r="AD1007">
        <v>17</v>
      </c>
    </row>
    <row r="1008" spans="1:30">
      <c r="A1008" t="s">
        <v>1170</v>
      </c>
      <c r="B1008">
        <v>60</v>
      </c>
      <c r="C1008">
        <v>54.3125</v>
      </c>
      <c r="D1008">
        <v>9</v>
      </c>
      <c r="E1008">
        <v>1</v>
      </c>
      <c r="F1008" t="s">
        <v>157</v>
      </c>
      <c r="G1008">
        <v>0</v>
      </c>
      <c r="I1008">
        <v>1</v>
      </c>
      <c r="J1008">
        <v>0</v>
      </c>
      <c r="K1008">
        <v>12</v>
      </c>
      <c r="L1008" t="s">
        <v>35</v>
      </c>
      <c r="N1008">
        <v>0.5</v>
      </c>
      <c r="O1008">
        <v>0.38</v>
      </c>
      <c r="P1008">
        <v>3.5</v>
      </c>
      <c r="Q1008">
        <v>-4.5</v>
      </c>
      <c r="R1008">
        <v>3.5</v>
      </c>
      <c r="S1008">
        <v>4</v>
      </c>
      <c r="T1008">
        <v>0.5</v>
      </c>
      <c r="U1008">
        <v>0</v>
      </c>
      <c r="V1008">
        <v>0</v>
      </c>
      <c r="W1008">
        <v>0</v>
      </c>
      <c r="X1008">
        <v>0</v>
      </c>
      <c r="Y1008">
        <v>0.5</v>
      </c>
      <c r="Z1008">
        <v>0.5</v>
      </c>
      <c r="AA1008">
        <v>15.5</v>
      </c>
      <c r="AB1008">
        <v>28.875</v>
      </c>
      <c r="AC1008">
        <v>14</v>
      </c>
      <c r="AD1008">
        <v>21.13</v>
      </c>
    </row>
    <row r="1009" spans="1:30">
      <c r="A1009" t="s">
        <v>1171</v>
      </c>
      <c r="B1009">
        <v>60</v>
      </c>
      <c r="C1009">
        <v>67.625</v>
      </c>
      <c r="D1009">
        <v>12</v>
      </c>
      <c r="E1009">
        <v>1</v>
      </c>
      <c r="F1009" t="s">
        <v>157</v>
      </c>
      <c r="G1009">
        <v>0</v>
      </c>
      <c r="I1009">
        <v>1</v>
      </c>
      <c r="J1009">
        <v>0</v>
      </c>
      <c r="K1009">
        <v>24</v>
      </c>
      <c r="L1009" t="s">
        <v>35</v>
      </c>
      <c r="N1009">
        <v>0.5</v>
      </c>
      <c r="O1009">
        <v>0.38</v>
      </c>
      <c r="P1009">
        <v>3.5</v>
      </c>
      <c r="Q1009">
        <v>-7.5</v>
      </c>
      <c r="R1009">
        <v>3.5</v>
      </c>
      <c r="S1009">
        <v>4</v>
      </c>
      <c r="T1009">
        <v>0.5</v>
      </c>
      <c r="U1009">
        <v>0</v>
      </c>
      <c r="V1009">
        <v>0</v>
      </c>
      <c r="W1009">
        <v>0</v>
      </c>
      <c r="X1009">
        <v>0</v>
      </c>
      <c r="Y1009">
        <v>0.5</v>
      </c>
      <c r="Z1009">
        <v>0.5</v>
      </c>
      <c r="AA1009">
        <v>15.5</v>
      </c>
      <c r="AB1009">
        <v>28.875</v>
      </c>
    </row>
    <row r="1010" spans="1:30">
      <c r="A1010" t="s">
        <v>1172</v>
      </c>
      <c r="B1010">
        <v>60</v>
      </c>
      <c r="C1010">
        <v>46.0625</v>
      </c>
      <c r="D1010">
        <v>8.375</v>
      </c>
      <c r="E1010">
        <v>4.0625</v>
      </c>
      <c r="F1010" t="s">
        <v>157</v>
      </c>
      <c r="G1010">
        <v>0</v>
      </c>
      <c r="I1010">
        <v>1</v>
      </c>
      <c r="J1010">
        <v>0</v>
      </c>
      <c r="N1010">
        <v>0.5</v>
      </c>
      <c r="O1010">
        <v>0.38</v>
      </c>
      <c r="P1010">
        <v>3.5</v>
      </c>
      <c r="Q1010">
        <v>-3.875</v>
      </c>
      <c r="R1010">
        <v>0.4375</v>
      </c>
      <c r="S1010">
        <v>4</v>
      </c>
      <c r="T1010">
        <v>0.5</v>
      </c>
      <c r="U1010">
        <v>0</v>
      </c>
      <c r="V1010">
        <v>0</v>
      </c>
      <c r="W1010">
        <v>0</v>
      </c>
      <c r="X1010">
        <v>0</v>
      </c>
      <c r="Y1010">
        <v>0.5</v>
      </c>
      <c r="Z1010">
        <v>0.5</v>
      </c>
    </row>
    <row r="1011" spans="1:30">
      <c r="A1011" t="s">
        <v>1173</v>
      </c>
      <c r="B1011">
        <v>60</v>
      </c>
      <c r="C1011">
        <v>66.875</v>
      </c>
      <c r="D1011">
        <v>4.5</v>
      </c>
      <c r="E1011">
        <v>3.125</v>
      </c>
      <c r="F1011" t="s">
        <v>157</v>
      </c>
      <c r="G1011">
        <v>0</v>
      </c>
      <c r="I1011">
        <v>1</v>
      </c>
      <c r="J1011">
        <v>1</v>
      </c>
      <c r="N1011">
        <v>0.5</v>
      </c>
      <c r="O1011">
        <v>0.38</v>
      </c>
      <c r="P1011">
        <v>3.5</v>
      </c>
      <c r="Q1011">
        <v>0</v>
      </c>
      <c r="R1011">
        <v>1.375</v>
      </c>
      <c r="S1011">
        <v>4</v>
      </c>
      <c r="T1011">
        <v>0.5</v>
      </c>
      <c r="U1011">
        <v>0</v>
      </c>
      <c r="V1011">
        <v>0</v>
      </c>
      <c r="W1011">
        <v>0</v>
      </c>
      <c r="X1011">
        <v>0</v>
      </c>
      <c r="Y1011">
        <v>0.5</v>
      </c>
      <c r="Z1011">
        <v>0.5</v>
      </c>
    </row>
    <row r="1012" spans="1:30">
      <c r="A1012" t="s">
        <v>1174</v>
      </c>
      <c r="B1012">
        <v>60</v>
      </c>
      <c r="C1012">
        <v>46.8125</v>
      </c>
      <c r="D1012">
        <v>9</v>
      </c>
      <c r="F1012" t="s">
        <v>157</v>
      </c>
      <c r="G1012">
        <v>1</v>
      </c>
      <c r="H1012">
        <v>0</v>
      </c>
      <c r="I1012">
        <v>0</v>
      </c>
      <c r="L1012" t="s">
        <v>119</v>
      </c>
      <c r="N1012">
        <v>0.5</v>
      </c>
      <c r="O1012">
        <v>0.38</v>
      </c>
      <c r="P1012">
        <v>3.5</v>
      </c>
      <c r="Q1012">
        <v>-4.5</v>
      </c>
      <c r="R1012">
        <v>4.5</v>
      </c>
      <c r="S1012">
        <v>4</v>
      </c>
      <c r="T1012">
        <v>0.5</v>
      </c>
      <c r="U1012">
        <v>0</v>
      </c>
      <c r="V1012">
        <v>0</v>
      </c>
      <c r="W1012">
        <v>0</v>
      </c>
      <c r="X1012">
        <v>0</v>
      </c>
      <c r="Y1012">
        <v>0.5</v>
      </c>
      <c r="Z1012">
        <v>0.5</v>
      </c>
      <c r="AA1012">
        <v>11</v>
      </c>
      <c r="AB1012">
        <v>15.5</v>
      </c>
      <c r="AC1012">
        <v>14.5</v>
      </c>
      <c r="AD1012">
        <v>5.75</v>
      </c>
    </row>
    <row r="1013" spans="1:30">
      <c r="A1013" t="s">
        <v>1175</v>
      </c>
      <c r="B1013">
        <v>60</v>
      </c>
      <c r="C1013">
        <v>47.8125</v>
      </c>
      <c r="D1013">
        <v>1</v>
      </c>
      <c r="F1013" t="s">
        <v>157</v>
      </c>
      <c r="G1013">
        <v>1</v>
      </c>
      <c r="H1013">
        <v>0</v>
      </c>
      <c r="I1013">
        <v>1</v>
      </c>
      <c r="J1013">
        <v>0</v>
      </c>
      <c r="K1013">
        <v>12</v>
      </c>
      <c r="L1013" t="s">
        <v>120</v>
      </c>
      <c r="N1013">
        <v>0.5</v>
      </c>
      <c r="O1013">
        <v>0.38</v>
      </c>
      <c r="P1013">
        <v>3.5</v>
      </c>
      <c r="Q1013">
        <v>3.5</v>
      </c>
      <c r="R1013">
        <v>4.5</v>
      </c>
      <c r="S1013">
        <v>4</v>
      </c>
      <c r="T1013">
        <v>0.5</v>
      </c>
      <c r="U1013">
        <v>1</v>
      </c>
      <c r="V1013">
        <v>1</v>
      </c>
      <c r="W1013">
        <v>0</v>
      </c>
      <c r="X1013">
        <v>0</v>
      </c>
      <c r="Y1013">
        <v>0</v>
      </c>
      <c r="Z1013">
        <v>0</v>
      </c>
      <c r="AA1013">
        <v>11.5</v>
      </c>
      <c r="AB1013">
        <v>10.875</v>
      </c>
      <c r="AC1013">
        <v>16.940000000000001</v>
      </c>
      <c r="AD1013">
        <v>17</v>
      </c>
    </row>
    <row r="1014" spans="1:30">
      <c r="A1014" t="s">
        <v>1176</v>
      </c>
      <c r="B1014">
        <v>60</v>
      </c>
      <c r="C1014">
        <v>44.0625</v>
      </c>
      <c r="D1014">
        <v>9</v>
      </c>
      <c r="F1014" t="s">
        <v>157</v>
      </c>
      <c r="G1014">
        <v>1</v>
      </c>
      <c r="H1014">
        <v>0</v>
      </c>
      <c r="I1014">
        <v>1</v>
      </c>
      <c r="J1014">
        <v>0</v>
      </c>
      <c r="K1014">
        <v>24</v>
      </c>
      <c r="L1014" t="s">
        <v>35</v>
      </c>
      <c r="N1014">
        <v>0.5</v>
      </c>
      <c r="O1014">
        <v>0.38</v>
      </c>
      <c r="P1014">
        <v>3.5</v>
      </c>
      <c r="Q1014">
        <v>-4.5</v>
      </c>
      <c r="R1014">
        <v>4.5</v>
      </c>
      <c r="S1014">
        <v>4</v>
      </c>
      <c r="T1014">
        <v>0.5</v>
      </c>
      <c r="U1014">
        <v>0</v>
      </c>
      <c r="V1014">
        <v>0</v>
      </c>
      <c r="W1014">
        <v>0</v>
      </c>
      <c r="X1014">
        <v>0</v>
      </c>
      <c r="Y1014">
        <v>0.5</v>
      </c>
      <c r="Z1014">
        <v>0.5</v>
      </c>
      <c r="AA1014">
        <v>15.5</v>
      </c>
      <c r="AB1014">
        <v>28.875</v>
      </c>
    </row>
    <row r="1015" spans="1:30">
      <c r="A1015" t="s">
        <v>1177</v>
      </c>
      <c r="B1015">
        <v>60</v>
      </c>
      <c r="C1015">
        <v>59.3125</v>
      </c>
      <c r="D1015">
        <v>9</v>
      </c>
      <c r="F1015" t="s">
        <v>157</v>
      </c>
      <c r="G1015">
        <v>1</v>
      </c>
      <c r="H1015">
        <v>0</v>
      </c>
      <c r="I1015">
        <v>1</v>
      </c>
      <c r="J1015">
        <v>0</v>
      </c>
      <c r="N1015">
        <v>0.5</v>
      </c>
      <c r="O1015">
        <v>0.38</v>
      </c>
      <c r="P1015">
        <v>3.5</v>
      </c>
      <c r="Q1015">
        <v>-4.5</v>
      </c>
      <c r="R1015">
        <v>4.5</v>
      </c>
      <c r="S1015">
        <v>4</v>
      </c>
      <c r="T1015">
        <v>0.5</v>
      </c>
      <c r="U1015">
        <v>0</v>
      </c>
      <c r="V1015">
        <v>0</v>
      </c>
      <c r="W1015">
        <v>0</v>
      </c>
      <c r="X1015">
        <v>0</v>
      </c>
      <c r="Y1015">
        <v>0.5</v>
      </c>
      <c r="Z1015">
        <v>0.5</v>
      </c>
    </row>
    <row r="1016" spans="1:30">
      <c r="A1016" t="s">
        <v>1178</v>
      </c>
      <c r="B1016">
        <v>60</v>
      </c>
      <c r="C1016">
        <v>50.5625</v>
      </c>
      <c r="D1016">
        <v>1</v>
      </c>
      <c r="E1016">
        <v>1</v>
      </c>
      <c r="F1016" t="s">
        <v>157</v>
      </c>
      <c r="G1016">
        <v>1</v>
      </c>
      <c r="H1016">
        <v>0</v>
      </c>
      <c r="I1016">
        <v>1</v>
      </c>
      <c r="J1016">
        <v>1</v>
      </c>
      <c r="N1016">
        <v>0.5</v>
      </c>
      <c r="O1016">
        <v>0.38</v>
      </c>
      <c r="P1016">
        <v>3.5</v>
      </c>
      <c r="Q1016">
        <v>3.5</v>
      </c>
      <c r="R1016">
        <v>3.5</v>
      </c>
      <c r="S1016">
        <v>4</v>
      </c>
      <c r="T1016">
        <v>0.5</v>
      </c>
      <c r="U1016">
        <v>1</v>
      </c>
      <c r="V1016">
        <v>1</v>
      </c>
      <c r="W1016">
        <v>0</v>
      </c>
      <c r="X1016">
        <v>0</v>
      </c>
      <c r="Y1016">
        <v>0</v>
      </c>
      <c r="Z1016">
        <v>0</v>
      </c>
    </row>
    <row r="1017" spans="1:30">
      <c r="A1017" t="s">
        <v>1179</v>
      </c>
      <c r="B1017">
        <v>60</v>
      </c>
      <c r="C1017">
        <v>79</v>
      </c>
      <c r="D1017">
        <v>9</v>
      </c>
      <c r="E1017">
        <v>2.625</v>
      </c>
      <c r="F1017" t="s">
        <v>157</v>
      </c>
      <c r="G1017">
        <v>1</v>
      </c>
      <c r="H1017">
        <v>1</v>
      </c>
      <c r="I1017">
        <v>0</v>
      </c>
      <c r="L1017" t="s">
        <v>35</v>
      </c>
      <c r="N1017">
        <v>0.5</v>
      </c>
      <c r="O1017">
        <v>0.38</v>
      </c>
      <c r="P1017">
        <v>3.5</v>
      </c>
      <c r="Q1017">
        <v>-4.5</v>
      </c>
      <c r="R1017">
        <v>1.875</v>
      </c>
      <c r="S1017">
        <v>4</v>
      </c>
      <c r="T1017">
        <v>0.5</v>
      </c>
      <c r="U1017">
        <v>0</v>
      </c>
      <c r="V1017">
        <v>0</v>
      </c>
      <c r="W1017">
        <v>0</v>
      </c>
      <c r="X1017">
        <v>0</v>
      </c>
      <c r="Y1017">
        <v>0.5</v>
      </c>
      <c r="Z1017">
        <v>0.5</v>
      </c>
      <c r="AA1017">
        <v>15.5</v>
      </c>
      <c r="AB1017">
        <v>28.875</v>
      </c>
      <c r="AC1017">
        <v>26</v>
      </c>
      <c r="AD1017">
        <v>21.13</v>
      </c>
    </row>
    <row r="1018" spans="1:30">
      <c r="A1018" t="s">
        <v>1180</v>
      </c>
      <c r="B1018">
        <v>60</v>
      </c>
      <c r="C1018">
        <v>58.5625</v>
      </c>
      <c r="D1018">
        <v>3.5</v>
      </c>
      <c r="E1018">
        <v>1</v>
      </c>
      <c r="F1018" t="s">
        <v>157</v>
      </c>
      <c r="G1018">
        <v>1</v>
      </c>
      <c r="H1018">
        <v>1</v>
      </c>
      <c r="I1018">
        <v>1</v>
      </c>
      <c r="J1018">
        <v>0</v>
      </c>
      <c r="K1018">
        <v>12</v>
      </c>
      <c r="N1018">
        <v>0.5</v>
      </c>
      <c r="O1018">
        <v>0.38</v>
      </c>
      <c r="P1018">
        <v>3.5</v>
      </c>
      <c r="Q1018">
        <v>1</v>
      </c>
      <c r="R1018">
        <v>3.5</v>
      </c>
      <c r="S1018">
        <v>4</v>
      </c>
      <c r="T1018">
        <v>0.5</v>
      </c>
      <c r="U1018">
        <v>1</v>
      </c>
      <c r="V1018">
        <v>1</v>
      </c>
      <c r="W1018">
        <v>0</v>
      </c>
      <c r="X1018">
        <v>0</v>
      </c>
      <c r="Y1018">
        <v>0</v>
      </c>
      <c r="Z1018">
        <v>0</v>
      </c>
    </row>
    <row r="1019" spans="1:30">
      <c r="A1019" t="s">
        <v>1181</v>
      </c>
      <c r="B1019">
        <v>60</v>
      </c>
      <c r="C1019">
        <v>67</v>
      </c>
      <c r="D1019">
        <v>9</v>
      </c>
      <c r="E1019">
        <v>1</v>
      </c>
      <c r="F1019" t="s">
        <v>157</v>
      </c>
      <c r="G1019">
        <v>1</v>
      </c>
      <c r="H1019">
        <v>1</v>
      </c>
      <c r="I1019">
        <v>1</v>
      </c>
      <c r="J1019">
        <v>0</v>
      </c>
      <c r="K1019">
        <v>24</v>
      </c>
      <c r="L1019" t="s">
        <v>35</v>
      </c>
      <c r="N1019">
        <v>0.5</v>
      </c>
      <c r="O1019">
        <v>0.38</v>
      </c>
      <c r="P1019">
        <v>3.5</v>
      </c>
      <c r="Q1019">
        <v>-4.5</v>
      </c>
      <c r="R1019">
        <v>3.5</v>
      </c>
      <c r="S1019">
        <v>4</v>
      </c>
      <c r="T1019">
        <v>0.5</v>
      </c>
      <c r="U1019">
        <v>0</v>
      </c>
      <c r="V1019">
        <v>0</v>
      </c>
      <c r="W1019">
        <v>0</v>
      </c>
      <c r="X1019">
        <v>0</v>
      </c>
      <c r="Y1019">
        <v>0.5</v>
      </c>
      <c r="Z1019">
        <v>0.5</v>
      </c>
      <c r="AA1019">
        <v>15.5</v>
      </c>
      <c r="AB1019">
        <v>28.875</v>
      </c>
    </row>
    <row r="1020" spans="1:30">
      <c r="A1020" t="s">
        <v>1182</v>
      </c>
      <c r="B1020">
        <v>60</v>
      </c>
      <c r="C1020">
        <v>52.5625</v>
      </c>
      <c r="D1020">
        <v>6.8125</v>
      </c>
      <c r="E1020">
        <v>3</v>
      </c>
      <c r="F1020" t="s">
        <v>157</v>
      </c>
      <c r="G1020">
        <v>1</v>
      </c>
      <c r="H1020">
        <v>1</v>
      </c>
      <c r="I1020">
        <v>1</v>
      </c>
      <c r="J1020">
        <v>0</v>
      </c>
      <c r="N1020">
        <v>0.5</v>
      </c>
      <c r="O1020">
        <v>0.38</v>
      </c>
      <c r="P1020">
        <v>3.5</v>
      </c>
      <c r="Q1020">
        <v>-2.3125</v>
      </c>
      <c r="R1020">
        <v>1.5</v>
      </c>
      <c r="S1020">
        <v>4</v>
      </c>
      <c r="T1020">
        <v>0.5</v>
      </c>
      <c r="U1020">
        <v>0</v>
      </c>
      <c r="V1020">
        <v>0</v>
      </c>
      <c r="W1020">
        <v>0</v>
      </c>
      <c r="X1020">
        <v>0</v>
      </c>
      <c r="Y1020">
        <v>0.5</v>
      </c>
      <c r="Z1020">
        <v>0.5</v>
      </c>
    </row>
    <row r="1021" spans="1:30">
      <c r="A1021" t="s">
        <v>1183</v>
      </c>
      <c r="B1021">
        <v>60</v>
      </c>
      <c r="C1021">
        <v>66.4375</v>
      </c>
      <c r="D1021">
        <v>4.5</v>
      </c>
      <c r="F1021" t="s">
        <v>157</v>
      </c>
      <c r="G1021">
        <v>1</v>
      </c>
      <c r="H1021">
        <v>1</v>
      </c>
      <c r="I1021">
        <v>1</v>
      </c>
      <c r="J1021">
        <v>1</v>
      </c>
      <c r="N1021">
        <v>0.5</v>
      </c>
      <c r="O1021">
        <v>0.38</v>
      </c>
      <c r="P1021">
        <v>3.5</v>
      </c>
      <c r="Q1021">
        <v>0</v>
      </c>
      <c r="R1021">
        <v>4.5</v>
      </c>
      <c r="S1021">
        <v>4</v>
      </c>
      <c r="T1021">
        <v>0.5</v>
      </c>
      <c r="U1021">
        <v>0</v>
      </c>
      <c r="V1021">
        <v>0</v>
      </c>
      <c r="W1021">
        <v>0</v>
      </c>
      <c r="X1021">
        <v>0</v>
      </c>
      <c r="Y1021">
        <v>0.5</v>
      </c>
      <c r="Z1021">
        <v>0.5</v>
      </c>
    </row>
    <row r="1022" spans="1:30">
      <c r="A1022" t="s">
        <v>1184</v>
      </c>
      <c r="B1022">
        <v>54.25</v>
      </c>
      <c r="C1022">
        <v>43.6875</v>
      </c>
      <c r="D1022">
        <v>12</v>
      </c>
      <c r="E1022">
        <v>5.25</v>
      </c>
      <c r="F1022" t="s">
        <v>21</v>
      </c>
      <c r="G1022">
        <v>0</v>
      </c>
      <c r="I1022">
        <v>0</v>
      </c>
      <c r="L1022" t="s">
        <v>120</v>
      </c>
      <c r="N1022">
        <v>0.5</v>
      </c>
      <c r="O1022">
        <v>0.38</v>
      </c>
      <c r="P1022">
        <v>3.5</v>
      </c>
      <c r="Q1022">
        <v>-7.5</v>
      </c>
      <c r="R1022">
        <v>0</v>
      </c>
      <c r="S1022">
        <v>4</v>
      </c>
      <c r="T1022">
        <v>0.5</v>
      </c>
      <c r="U1022">
        <v>0</v>
      </c>
      <c r="V1022">
        <v>0</v>
      </c>
      <c r="W1022">
        <v>0</v>
      </c>
      <c r="X1022">
        <v>0</v>
      </c>
      <c r="Y1022">
        <v>0.5</v>
      </c>
      <c r="Z1022">
        <v>0.5</v>
      </c>
      <c r="AA1022">
        <v>11.5</v>
      </c>
      <c r="AB1022">
        <v>10.875</v>
      </c>
      <c r="AC1022">
        <v>28.94</v>
      </c>
      <c r="AD1022">
        <v>6</v>
      </c>
    </row>
    <row r="1023" spans="1:30">
      <c r="A1023" t="s">
        <v>1185</v>
      </c>
      <c r="B1023">
        <v>85.5</v>
      </c>
      <c r="C1023">
        <v>21.1875</v>
      </c>
      <c r="D1023">
        <v>12</v>
      </c>
      <c r="E1023">
        <v>1</v>
      </c>
      <c r="F1023" t="s">
        <v>21</v>
      </c>
      <c r="G1023">
        <v>0</v>
      </c>
      <c r="I1023">
        <v>1</v>
      </c>
      <c r="J1023">
        <v>0</v>
      </c>
      <c r="K1023">
        <v>12</v>
      </c>
      <c r="N1023">
        <v>0.5</v>
      </c>
      <c r="O1023">
        <v>0.38</v>
      </c>
      <c r="P1023">
        <v>3.5</v>
      </c>
      <c r="Q1023">
        <v>-7.5</v>
      </c>
      <c r="R1023">
        <v>3.5</v>
      </c>
      <c r="S1023">
        <v>4</v>
      </c>
      <c r="T1023">
        <v>0.5</v>
      </c>
      <c r="U1023">
        <v>0</v>
      </c>
      <c r="V1023">
        <v>0</v>
      </c>
      <c r="W1023">
        <v>0</v>
      </c>
      <c r="X1023">
        <v>0</v>
      </c>
      <c r="Y1023">
        <v>0.5</v>
      </c>
      <c r="Z1023">
        <v>0.5</v>
      </c>
    </row>
    <row r="1024" spans="1:30">
      <c r="A1024" t="s">
        <v>1186</v>
      </c>
      <c r="B1024">
        <v>37.125</v>
      </c>
      <c r="C1024">
        <v>61.25</v>
      </c>
      <c r="D1024">
        <v>12</v>
      </c>
      <c r="E1024">
        <v>7</v>
      </c>
      <c r="F1024" t="s">
        <v>21</v>
      </c>
      <c r="G1024">
        <v>0</v>
      </c>
      <c r="I1024">
        <v>1</v>
      </c>
      <c r="J1024">
        <v>0</v>
      </c>
      <c r="K1024">
        <v>24</v>
      </c>
      <c r="L1024" t="s">
        <v>151</v>
      </c>
      <c r="N1024">
        <v>0.5</v>
      </c>
      <c r="O1024">
        <v>0.38</v>
      </c>
      <c r="P1024">
        <v>3.5</v>
      </c>
      <c r="Q1024">
        <v>-7.5</v>
      </c>
      <c r="R1024">
        <v>0</v>
      </c>
      <c r="S1024">
        <v>4</v>
      </c>
      <c r="T1024">
        <v>0.5</v>
      </c>
      <c r="U1024">
        <v>0</v>
      </c>
      <c r="V1024">
        <v>0</v>
      </c>
      <c r="W1024">
        <v>0</v>
      </c>
      <c r="X1024">
        <v>0</v>
      </c>
      <c r="Y1024">
        <v>0.5</v>
      </c>
      <c r="Z1024">
        <v>0.5</v>
      </c>
      <c r="AA1024">
        <v>15.5</v>
      </c>
      <c r="AB1024">
        <v>28.875</v>
      </c>
    </row>
    <row r="1025" spans="1:30">
      <c r="A1025" t="s">
        <v>1187</v>
      </c>
      <c r="B1025">
        <v>53.625</v>
      </c>
      <c r="C1025">
        <v>76.0625</v>
      </c>
      <c r="D1025">
        <v>12</v>
      </c>
      <c r="E1025">
        <v>8.25</v>
      </c>
      <c r="F1025" t="s">
        <v>21</v>
      </c>
      <c r="G1025">
        <v>0</v>
      </c>
      <c r="I1025">
        <v>1</v>
      </c>
      <c r="J1025">
        <v>0</v>
      </c>
      <c r="N1025">
        <v>0.5</v>
      </c>
      <c r="O1025">
        <v>0.38</v>
      </c>
      <c r="P1025">
        <v>3.5</v>
      </c>
      <c r="Q1025">
        <v>-7.5</v>
      </c>
      <c r="R1025">
        <v>0</v>
      </c>
      <c r="S1025">
        <v>4</v>
      </c>
      <c r="T1025">
        <v>0.5</v>
      </c>
      <c r="U1025">
        <v>0</v>
      </c>
      <c r="V1025">
        <v>0</v>
      </c>
      <c r="W1025">
        <v>0</v>
      </c>
      <c r="X1025">
        <v>0</v>
      </c>
      <c r="Y1025">
        <v>0.5</v>
      </c>
      <c r="Z1025">
        <v>0.5</v>
      </c>
    </row>
    <row r="1026" spans="1:30">
      <c r="A1026" t="s">
        <v>1188</v>
      </c>
      <c r="B1026">
        <v>77</v>
      </c>
      <c r="C1026">
        <v>78.1875</v>
      </c>
      <c r="D1026">
        <v>12</v>
      </c>
      <c r="E1026">
        <v>1</v>
      </c>
      <c r="F1026" t="s">
        <v>21</v>
      </c>
      <c r="G1026">
        <v>0</v>
      </c>
      <c r="I1026">
        <v>1</v>
      </c>
      <c r="J1026">
        <v>1</v>
      </c>
      <c r="N1026">
        <v>0.5</v>
      </c>
      <c r="O1026">
        <v>0.38</v>
      </c>
      <c r="P1026">
        <v>3.5</v>
      </c>
      <c r="Q1026">
        <v>-7.5</v>
      </c>
      <c r="R1026">
        <v>3.5</v>
      </c>
      <c r="S1026">
        <v>4</v>
      </c>
      <c r="T1026">
        <v>0.5</v>
      </c>
      <c r="U1026">
        <v>0</v>
      </c>
      <c r="V1026">
        <v>0</v>
      </c>
      <c r="W1026">
        <v>0</v>
      </c>
      <c r="X1026">
        <v>1</v>
      </c>
      <c r="Y1026">
        <v>0.5</v>
      </c>
      <c r="Z1026">
        <v>0.5</v>
      </c>
    </row>
    <row r="1027" spans="1:30">
      <c r="A1027" t="s">
        <v>1189</v>
      </c>
      <c r="B1027">
        <v>102.5</v>
      </c>
      <c r="C1027">
        <v>56.9375</v>
      </c>
      <c r="D1027">
        <v>8.5625</v>
      </c>
      <c r="E1027">
        <v>1</v>
      </c>
      <c r="F1027" t="s">
        <v>21</v>
      </c>
      <c r="G1027">
        <v>1</v>
      </c>
      <c r="H1027">
        <v>0</v>
      </c>
      <c r="I1027">
        <v>0</v>
      </c>
      <c r="L1027" t="s">
        <v>119</v>
      </c>
      <c r="N1027">
        <v>0.5</v>
      </c>
      <c r="O1027">
        <v>0.38</v>
      </c>
      <c r="P1027">
        <v>3.5</v>
      </c>
      <c r="Q1027">
        <v>-4.0625</v>
      </c>
      <c r="R1027">
        <v>3.5</v>
      </c>
      <c r="S1027">
        <v>4</v>
      </c>
      <c r="T1027">
        <v>0.5</v>
      </c>
      <c r="U1027">
        <v>0</v>
      </c>
      <c r="V1027">
        <v>0</v>
      </c>
      <c r="W1027">
        <v>0</v>
      </c>
      <c r="X1027">
        <v>0</v>
      </c>
      <c r="Y1027">
        <v>0.5</v>
      </c>
      <c r="Z1027">
        <v>0.5</v>
      </c>
      <c r="AA1027">
        <v>11</v>
      </c>
      <c r="AB1027">
        <v>15.5</v>
      </c>
      <c r="AC1027">
        <v>14.5</v>
      </c>
      <c r="AD1027">
        <v>6.1875</v>
      </c>
    </row>
    <row r="1028" spans="1:30">
      <c r="A1028" t="s">
        <v>1190</v>
      </c>
      <c r="B1028">
        <v>102.1875</v>
      </c>
      <c r="C1028">
        <v>68.0625</v>
      </c>
      <c r="D1028">
        <v>4.5</v>
      </c>
      <c r="E1028">
        <v>1</v>
      </c>
      <c r="F1028" t="s">
        <v>21</v>
      </c>
      <c r="G1028">
        <v>1</v>
      </c>
      <c r="H1028">
        <v>0</v>
      </c>
      <c r="I1028">
        <v>1</v>
      </c>
      <c r="J1028">
        <v>0</v>
      </c>
      <c r="K1028">
        <v>12</v>
      </c>
      <c r="L1028" t="s">
        <v>121</v>
      </c>
      <c r="N1028">
        <v>0.5</v>
      </c>
      <c r="O1028">
        <v>0.38</v>
      </c>
      <c r="P1028">
        <v>3.5</v>
      </c>
      <c r="Q1028">
        <v>0</v>
      </c>
      <c r="R1028">
        <v>3.5</v>
      </c>
      <c r="S1028">
        <v>4</v>
      </c>
      <c r="T1028">
        <v>0.5</v>
      </c>
      <c r="U1028">
        <v>0</v>
      </c>
      <c r="V1028">
        <v>0</v>
      </c>
      <c r="W1028">
        <v>0</v>
      </c>
      <c r="X1028">
        <v>0</v>
      </c>
      <c r="Y1028">
        <v>0.5</v>
      </c>
      <c r="Z1028">
        <v>0.5</v>
      </c>
      <c r="AA1028">
        <v>11</v>
      </c>
      <c r="AB1028">
        <v>9.375</v>
      </c>
    </row>
    <row r="1029" spans="1:30">
      <c r="A1029" t="s">
        <v>1191</v>
      </c>
      <c r="B1029">
        <v>79.9375</v>
      </c>
      <c r="C1029">
        <v>63.9375</v>
      </c>
      <c r="D1029">
        <v>1</v>
      </c>
      <c r="F1029" t="s">
        <v>21</v>
      </c>
      <c r="G1029">
        <v>1</v>
      </c>
      <c r="H1029">
        <v>0</v>
      </c>
      <c r="I1029">
        <v>1</v>
      </c>
      <c r="J1029">
        <v>0</v>
      </c>
      <c r="K1029">
        <v>24</v>
      </c>
      <c r="L1029" t="s">
        <v>35</v>
      </c>
      <c r="N1029">
        <v>0.5</v>
      </c>
      <c r="O1029">
        <v>0.38</v>
      </c>
      <c r="P1029">
        <v>3.5</v>
      </c>
      <c r="Q1029">
        <v>3.5</v>
      </c>
      <c r="R1029">
        <v>4.5</v>
      </c>
      <c r="S1029">
        <v>4</v>
      </c>
      <c r="T1029">
        <v>0.5</v>
      </c>
      <c r="U1029">
        <v>1</v>
      </c>
      <c r="V1029">
        <v>1</v>
      </c>
      <c r="W1029">
        <v>0</v>
      </c>
      <c r="X1029">
        <v>0</v>
      </c>
      <c r="Y1029">
        <v>0</v>
      </c>
      <c r="Z1029">
        <v>0</v>
      </c>
      <c r="AA1029">
        <v>15.5</v>
      </c>
      <c r="AB1029">
        <v>28.875</v>
      </c>
    </row>
    <row r="1030" spans="1:30">
      <c r="A1030" t="s">
        <v>1192</v>
      </c>
      <c r="B1030">
        <v>83.6875</v>
      </c>
      <c r="C1030">
        <v>51.375</v>
      </c>
      <c r="D1030">
        <v>9</v>
      </c>
      <c r="E1030">
        <v>4.875</v>
      </c>
      <c r="F1030" t="s">
        <v>21</v>
      </c>
      <c r="G1030">
        <v>1</v>
      </c>
      <c r="H1030">
        <v>0</v>
      </c>
      <c r="I1030">
        <v>1</v>
      </c>
      <c r="J1030">
        <v>0</v>
      </c>
      <c r="N1030">
        <v>0.5</v>
      </c>
      <c r="O1030">
        <v>0.38</v>
      </c>
      <c r="P1030">
        <v>3.5</v>
      </c>
      <c r="Q1030">
        <v>-4.5</v>
      </c>
      <c r="R1030">
        <v>0</v>
      </c>
      <c r="S1030">
        <v>4</v>
      </c>
      <c r="T1030">
        <v>0.5</v>
      </c>
      <c r="U1030">
        <v>0</v>
      </c>
      <c r="V1030">
        <v>0</v>
      </c>
      <c r="W1030">
        <v>0</v>
      </c>
      <c r="X1030">
        <v>0</v>
      </c>
      <c r="Y1030">
        <v>0.5</v>
      </c>
      <c r="Z1030">
        <v>0.5</v>
      </c>
    </row>
    <row r="1031" spans="1:30">
      <c r="A1031" t="s">
        <v>1193</v>
      </c>
      <c r="B1031">
        <v>96</v>
      </c>
      <c r="C1031">
        <v>56.875</v>
      </c>
      <c r="D1031">
        <v>12</v>
      </c>
      <c r="E1031">
        <v>1</v>
      </c>
      <c r="F1031" t="s">
        <v>21</v>
      </c>
      <c r="G1031">
        <v>1</v>
      </c>
      <c r="H1031">
        <v>0</v>
      </c>
      <c r="I1031">
        <v>1</v>
      </c>
      <c r="J1031">
        <v>1</v>
      </c>
      <c r="N1031">
        <v>0.5</v>
      </c>
      <c r="O1031">
        <v>0.38</v>
      </c>
      <c r="P1031">
        <v>3.5</v>
      </c>
      <c r="Q1031">
        <v>-7.5</v>
      </c>
      <c r="R1031">
        <v>3.5</v>
      </c>
      <c r="S1031">
        <v>4</v>
      </c>
      <c r="T1031">
        <v>0.5</v>
      </c>
      <c r="U1031">
        <v>0</v>
      </c>
      <c r="V1031">
        <v>0</v>
      </c>
      <c r="W1031">
        <v>0</v>
      </c>
      <c r="X1031">
        <v>1</v>
      </c>
      <c r="Y1031">
        <v>0.5</v>
      </c>
      <c r="Z1031">
        <v>0.5</v>
      </c>
    </row>
    <row r="1032" spans="1:30">
      <c r="A1032" t="s">
        <v>1194</v>
      </c>
      <c r="B1032">
        <v>63.1875</v>
      </c>
      <c r="C1032">
        <v>79.3125</v>
      </c>
      <c r="D1032">
        <v>1</v>
      </c>
      <c r="F1032" t="s">
        <v>21</v>
      </c>
      <c r="G1032">
        <v>1</v>
      </c>
      <c r="H1032">
        <v>1</v>
      </c>
      <c r="I1032">
        <v>0</v>
      </c>
      <c r="L1032" t="s">
        <v>151</v>
      </c>
      <c r="N1032">
        <v>0.5</v>
      </c>
      <c r="O1032">
        <v>0.38</v>
      </c>
      <c r="P1032">
        <v>3.5</v>
      </c>
      <c r="Q1032">
        <v>3.5</v>
      </c>
      <c r="R1032">
        <v>4.5</v>
      </c>
      <c r="S1032">
        <v>4</v>
      </c>
      <c r="T1032">
        <v>0.5</v>
      </c>
      <c r="U1032">
        <v>1</v>
      </c>
      <c r="V1032">
        <v>0</v>
      </c>
      <c r="W1032">
        <v>0</v>
      </c>
      <c r="X1032">
        <v>0</v>
      </c>
      <c r="Y1032">
        <v>0</v>
      </c>
      <c r="Z1032">
        <v>0.5</v>
      </c>
      <c r="AA1032">
        <v>15.5</v>
      </c>
      <c r="AB1032">
        <v>28.875</v>
      </c>
      <c r="AC1032">
        <v>21</v>
      </c>
      <c r="AD1032">
        <v>17</v>
      </c>
    </row>
    <row r="1033" spans="1:30">
      <c r="A1033" t="s">
        <v>1195</v>
      </c>
      <c r="B1033">
        <v>36.6875</v>
      </c>
      <c r="C1033">
        <v>11</v>
      </c>
      <c r="D1033">
        <v>12</v>
      </c>
      <c r="F1033" t="s">
        <v>21</v>
      </c>
      <c r="G1033">
        <v>1</v>
      </c>
      <c r="H1033">
        <v>1</v>
      </c>
      <c r="I1033">
        <v>1</v>
      </c>
      <c r="J1033">
        <v>0</v>
      </c>
      <c r="K1033">
        <v>12</v>
      </c>
      <c r="N1033">
        <v>0.5</v>
      </c>
      <c r="O1033">
        <v>0.38</v>
      </c>
      <c r="P1033">
        <v>3.5</v>
      </c>
      <c r="Q1033">
        <v>-7.5</v>
      </c>
      <c r="R1033">
        <v>4.5</v>
      </c>
      <c r="S1033">
        <v>4</v>
      </c>
      <c r="T1033">
        <v>0.5</v>
      </c>
      <c r="U1033">
        <v>0</v>
      </c>
      <c r="V1033">
        <v>0</v>
      </c>
      <c r="W1033">
        <v>0</v>
      </c>
      <c r="X1033">
        <v>0</v>
      </c>
      <c r="Y1033">
        <v>0.5</v>
      </c>
      <c r="Z1033">
        <v>0.5</v>
      </c>
    </row>
    <row r="1034" spans="1:30">
      <c r="A1034" t="s">
        <v>1196</v>
      </c>
      <c r="B1034">
        <v>45.4375</v>
      </c>
      <c r="C1034">
        <v>22.75</v>
      </c>
      <c r="D1034">
        <v>12</v>
      </c>
      <c r="F1034" t="s">
        <v>21</v>
      </c>
      <c r="G1034">
        <v>1</v>
      </c>
      <c r="H1034">
        <v>1</v>
      </c>
      <c r="I1034">
        <v>1</v>
      </c>
      <c r="J1034">
        <v>0</v>
      </c>
      <c r="K1034">
        <v>24</v>
      </c>
      <c r="N1034">
        <v>0.5</v>
      </c>
      <c r="O1034">
        <v>0.38</v>
      </c>
      <c r="P1034">
        <v>3.5</v>
      </c>
      <c r="Q1034">
        <v>-7.5</v>
      </c>
      <c r="R1034">
        <v>4.5</v>
      </c>
      <c r="S1034">
        <v>4</v>
      </c>
      <c r="T1034">
        <v>0.5</v>
      </c>
      <c r="U1034">
        <v>0</v>
      </c>
      <c r="V1034">
        <v>0</v>
      </c>
      <c r="W1034">
        <v>0</v>
      </c>
      <c r="X1034">
        <v>0</v>
      </c>
      <c r="Y1034">
        <v>0.5</v>
      </c>
      <c r="Z1034">
        <v>0.5</v>
      </c>
    </row>
    <row r="1035" spans="1:30">
      <c r="A1035" t="s">
        <v>1197</v>
      </c>
      <c r="B1035">
        <v>96</v>
      </c>
      <c r="C1035">
        <v>77.1875</v>
      </c>
      <c r="D1035">
        <v>5.875</v>
      </c>
      <c r="E1035">
        <v>7.1875</v>
      </c>
      <c r="F1035" t="s">
        <v>21</v>
      </c>
      <c r="G1035">
        <v>1</v>
      </c>
      <c r="H1035">
        <v>1</v>
      </c>
      <c r="I1035">
        <v>1</v>
      </c>
      <c r="J1035">
        <v>0</v>
      </c>
      <c r="N1035">
        <v>0.5</v>
      </c>
      <c r="O1035">
        <v>0.38</v>
      </c>
      <c r="P1035">
        <v>3.5</v>
      </c>
      <c r="Q1035">
        <v>-1.375</v>
      </c>
      <c r="R1035">
        <v>0</v>
      </c>
      <c r="S1035">
        <v>4</v>
      </c>
      <c r="T1035">
        <v>0.5</v>
      </c>
      <c r="U1035">
        <v>0</v>
      </c>
      <c r="V1035">
        <v>0</v>
      </c>
      <c r="W1035">
        <v>0</v>
      </c>
      <c r="X1035">
        <v>0</v>
      </c>
      <c r="Y1035">
        <v>0.5</v>
      </c>
      <c r="Z1035">
        <v>0.5</v>
      </c>
    </row>
    <row r="1036" spans="1:30">
      <c r="A1036" t="s">
        <v>1198</v>
      </c>
      <c r="B1036">
        <v>47.6875</v>
      </c>
      <c r="C1036">
        <v>71.125</v>
      </c>
      <c r="D1036">
        <v>3.8125</v>
      </c>
      <c r="E1036">
        <v>1</v>
      </c>
      <c r="F1036" t="s">
        <v>21</v>
      </c>
      <c r="G1036">
        <v>1</v>
      </c>
      <c r="H1036">
        <v>1</v>
      </c>
      <c r="I1036">
        <v>1</v>
      </c>
      <c r="J1036">
        <v>1</v>
      </c>
      <c r="N1036">
        <v>0.5</v>
      </c>
      <c r="O1036">
        <v>0.38</v>
      </c>
      <c r="P1036">
        <v>3.5</v>
      </c>
      <c r="Q1036">
        <v>0.6875</v>
      </c>
      <c r="R1036">
        <v>3.5</v>
      </c>
      <c r="S1036">
        <v>4</v>
      </c>
      <c r="T1036">
        <v>0.5</v>
      </c>
      <c r="U1036">
        <v>1</v>
      </c>
      <c r="V1036">
        <v>1</v>
      </c>
      <c r="W1036">
        <v>1</v>
      </c>
      <c r="X1036">
        <v>1</v>
      </c>
      <c r="Y1036">
        <v>0</v>
      </c>
      <c r="Z1036">
        <v>0</v>
      </c>
    </row>
    <row r="1037" spans="1:30">
      <c r="A1037" t="s">
        <v>1199</v>
      </c>
      <c r="B1037">
        <v>35</v>
      </c>
      <c r="C1037">
        <v>64.5625</v>
      </c>
      <c r="D1037">
        <v>1</v>
      </c>
      <c r="E1037">
        <v>1</v>
      </c>
      <c r="F1037" t="s">
        <v>156</v>
      </c>
      <c r="G1037">
        <v>0</v>
      </c>
      <c r="I1037">
        <v>0</v>
      </c>
      <c r="L1037" t="s">
        <v>121</v>
      </c>
      <c r="N1037">
        <v>0.5</v>
      </c>
      <c r="O1037">
        <v>0.38</v>
      </c>
      <c r="P1037">
        <v>3.5</v>
      </c>
      <c r="Q1037">
        <v>3.5</v>
      </c>
      <c r="R1037">
        <v>3.5</v>
      </c>
      <c r="S1037">
        <v>4</v>
      </c>
      <c r="T1037">
        <v>0.5</v>
      </c>
      <c r="U1037">
        <v>0</v>
      </c>
      <c r="V1037">
        <v>0</v>
      </c>
      <c r="W1037">
        <v>0</v>
      </c>
      <c r="X1037">
        <v>0</v>
      </c>
      <c r="Y1037">
        <v>0.5</v>
      </c>
      <c r="Z1037">
        <v>0.5</v>
      </c>
    </row>
    <row r="1038" spans="1:30">
      <c r="A1038" t="s">
        <v>1200</v>
      </c>
      <c r="B1038">
        <v>19.5625</v>
      </c>
      <c r="C1038">
        <v>5.125</v>
      </c>
      <c r="D1038">
        <v>3.9375</v>
      </c>
      <c r="E1038">
        <v>7</v>
      </c>
      <c r="F1038" t="s">
        <v>156</v>
      </c>
      <c r="G1038">
        <v>0</v>
      </c>
      <c r="I1038">
        <v>1</v>
      </c>
      <c r="J1038">
        <v>0</v>
      </c>
      <c r="K1038">
        <v>12</v>
      </c>
      <c r="N1038">
        <v>0.5</v>
      </c>
      <c r="O1038">
        <v>0.38</v>
      </c>
      <c r="P1038">
        <v>3.5</v>
      </c>
      <c r="Q1038">
        <v>0.5625</v>
      </c>
      <c r="R1038">
        <v>0</v>
      </c>
      <c r="S1038">
        <v>4</v>
      </c>
      <c r="T1038">
        <v>0.5</v>
      </c>
      <c r="U1038">
        <v>0</v>
      </c>
      <c r="V1038">
        <v>0</v>
      </c>
      <c r="W1038">
        <v>0</v>
      </c>
      <c r="X1038">
        <v>0</v>
      </c>
      <c r="Y1038">
        <v>0.5</v>
      </c>
      <c r="Z1038">
        <v>0.5</v>
      </c>
    </row>
    <row r="1039" spans="1:30">
      <c r="A1039" t="s">
        <v>1201</v>
      </c>
      <c r="B1039">
        <v>44.75</v>
      </c>
      <c r="C1039">
        <v>17.625</v>
      </c>
      <c r="D1039">
        <v>12</v>
      </c>
      <c r="E1039">
        <v>5</v>
      </c>
      <c r="F1039" t="s">
        <v>156</v>
      </c>
      <c r="G1039">
        <v>0</v>
      </c>
      <c r="I1039">
        <v>1</v>
      </c>
      <c r="J1039">
        <v>0</v>
      </c>
      <c r="K1039">
        <v>24</v>
      </c>
      <c r="N1039">
        <v>0.5</v>
      </c>
      <c r="O1039">
        <v>0.38</v>
      </c>
      <c r="P1039">
        <v>3.5</v>
      </c>
      <c r="Q1039">
        <v>-7.5</v>
      </c>
      <c r="R1039">
        <v>0</v>
      </c>
      <c r="S1039">
        <v>4</v>
      </c>
      <c r="T1039">
        <v>0.5</v>
      </c>
      <c r="U1039">
        <v>0</v>
      </c>
      <c r="V1039">
        <v>0</v>
      </c>
      <c r="W1039">
        <v>0</v>
      </c>
      <c r="X1039">
        <v>0</v>
      </c>
      <c r="Y1039">
        <v>0.5</v>
      </c>
      <c r="Z1039">
        <v>0.5</v>
      </c>
    </row>
    <row r="1040" spans="1:30">
      <c r="A1040" t="s">
        <v>1202</v>
      </c>
      <c r="B1040">
        <v>37.3125</v>
      </c>
      <c r="C1040">
        <v>50.8125</v>
      </c>
      <c r="D1040">
        <v>12</v>
      </c>
      <c r="E1040">
        <v>4.375</v>
      </c>
      <c r="F1040" t="s">
        <v>156</v>
      </c>
      <c r="G1040">
        <v>0</v>
      </c>
      <c r="I1040">
        <v>1</v>
      </c>
      <c r="J1040">
        <v>0</v>
      </c>
      <c r="N1040">
        <v>0.5</v>
      </c>
      <c r="O1040">
        <v>0.38</v>
      </c>
      <c r="P1040">
        <v>3.5</v>
      </c>
      <c r="Q1040">
        <v>-7.5</v>
      </c>
      <c r="R1040">
        <v>0.125</v>
      </c>
      <c r="S1040">
        <v>4</v>
      </c>
      <c r="T1040">
        <v>0.5</v>
      </c>
      <c r="U1040">
        <v>0</v>
      </c>
      <c r="V1040">
        <v>0</v>
      </c>
      <c r="W1040">
        <v>0</v>
      </c>
      <c r="X1040">
        <v>0</v>
      </c>
      <c r="Y1040">
        <v>0.5</v>
      </c>
      <c r="Z1040">
        <v>0.5</v>
      </c>
    </row>
    <row r="1041" spans="1:30">
      <c r="A1041" t="s">
        <v>1203</v>
      </c>
      <c r="B1041">
        <v>25.6875</v>
      </c>
      <c r="C1041">
        <v>62.4375</v>
      </c>
      <c r="D1041">
        <v>9</v>
      </c>
      <c r="E1041">
        <v>1</v>
      </c>
      <c r="F1041" t="s">
        <v>156</v>
      </c>
      <c r="G1041">
        <v>0</v>
      </c>
      <c r="I1041">
        <v>1</v>
      </c>
      <c r="J1041">
        <v>1</v>
      </c>
      <c r="N1041">
        <v>0.5</v>
      </c>
      <c r="O1041">
        <v>0.38</v>
      </c>
      <c r="P1041">
        <v>3.5</v>
      </c>
      <c r="Q1041">
        <v>-4.5</v>
      </c>
      <c r="R1041">
        <v>3.5</v>
      </c>
      <c r="S1041">
        <v>4</v>
      </c>
      <c r="T1041">
        <v>0.5</v>
      </c>
      <c r="U1041">
        <v>0</v>
      </c>
      <c r="V1041">
        <v>0</v>
      </c>
      <c r="W1041">
        <v>0</v>
      </c>
      <c r="X1041">
        <v>1</v>
      </c>
      <c r="Y1041">
        <v>0.5</v>
      </c>
      <c r="Z1041">
        <v>0.5</v>
      </c>
    </row>
    <row r="1042" spans="1:30">
      <c r="A1042" t="s">
        <v>1204</v>
      </c>
      <c r="B1042">
        <v>19.25</v>
      </c>
      <c r="C1042">
        <v>58.3125</v>
      </c>
      <c r="D1042">
        <v>12</v>
      </c>
      <c r="E1042">
        <v>3.1875</v>
      </c>
      <c r="F1042" t="s">
        <v>156</v>
      </c>
      <c r="G1042">
        <v>1</v>
      </c>
      <c r="H1042">
        <v>0</v>
      </c>
      <c r="I1042">
        <v>0</v>
      </c>
      <c r="L1042" t="s">
        <v>148</v>
      </c>
      <c r="N1042">
        <v>0.5</v>
      </c>
      <c r="O1042">
        <v>0.38</v>
      </c>
      <c r="P1042">
        <v>3.5</v>
      </c>
      <c r="Q1042">
        <v>-7.5</v>
      </c>
      <c r="R1042">
        <v>1.3125</v>
      </c>
      <c r="S1042">
        <v>4</v>
      </c>
      <c r="T1042">
        <v>0.5</v>
      </c>
      <c r="U1042">
        <v>0</v>
      </c>
      <c r="V1042">
        <v>0</v>
      </c>
      <c r="W1042">
        <v>0</v>
      </c>
      <c r="X1042">
        <v>0</v>
      </c>
      <c r="Y1042">
        <v>0.5</v>
      </c>
      <c r="Z1042">
        <v>0.5</v>
      </c>
    </row>
    <row r="1043" spans="1:30">
      <c r="A1043" t="s">
        <v>1205</v>
      </c>
      <c r="B1043">
        <v>42.6875</v>
      </c>
      <c r="C1043">
        <v>6.0625</v>
      </c>
      <c r="D1043">
        <v>4.5</v>
      </c>
      <c r="F1043" t="s">
        <v>156</v>
      </c>
      <c r="G1043">
        <v>1</v>
      </c>
      <c r="H1043">
        <v>0</v>
      </c>
      <c r="I1043">
        <v>1</v>
      </c>
      <c r="J1043">
        <v>0</v>
      </c>
      <c r="K1043">
        <v>12</v>
      </c>
      <c r="N1043">
        <v>0.5</v>
      </c>
      <c r="O1043">
        <v>0.38</v>
      </c>
      <c r="P1043">
        <v>3.5</v>
      </c>
      <c r="Q1043">
        <v>0</v>
      </c>
      <c r="R1043">
        <v>4.5</v>
      </c>
      <c r="S1043">
        <v>4</v>
      </c>
      <c r="T1043">
        <v>0.5</v>
      </c>
      <c r="U1043">
        <v>0</v>
      </c>
      <c r="V1043">
        <v>0</v>
      </c>
      <c r="W1043">
        <v>0</v>
      </c>
      <c r="X1043">
        <v>0</v>
      </c>
      <c r="Y1043">
        <v>0.5</v>
      </c>
      <c r="Z1043">
        <v>0.5</v>
      </c>
    </row>
    <row r="1044" spans="1:30">
      <c r="A1044" t="s">
        <v>1206</v>
      </c>
      <c r="B1044">
        <v>33.375</v>
      </c>
      <c r="C1044">
        <v>9.1875</v>
      </c>
      <c r="D1044">
        <v>9</v>
      </c>
      <c r="F1044" t="s">
        <v>156</v>
      </c>
      <c r="G1044">
        <v>1</v>
      </c>
      <c r="H1044">
        <v>0</v>
      </c>
      <c r="I1044">
        <v>1</v>
      </c>
      <c r="J1044">
        <v>0</v>
      </c>
      <c r="K1044">
        <v>24</v>
      </c>
      <c r="N1044">
        <v>0.5</v>
      </c>
      <c r="O1044">
        <v>0.38</v>
      </c>
      <c r="P1044">
        <v>3.5</v>
      </c>
      <c r="Q1044">
        <v>-4.5</v>
      </c>
      <c r="R1044">
        <v>4.5</v>
      </c>
      <c r="S1044">
        <v>4</v>
      </c>
      <c r="T1044">
        <v>0.5</v>
      </c>
      <c r="U1044">
        <v>0</v>
      </c>
      <c r="V1044">
        <v>0</v>
      </c>
      <c r="W1044">
        <v>0</v>
      </c>
      <c r="X1044">
        <v>0</v>
      </c>
      <c r="Y1044">
        <v>0.5</v>
      </c>
      <c r="Z1044">
        <v>0.5</v>
      </c>
    </row>
    <row r="1045" spans="1:30">
      <c r="A1045" t="s">
        <v>1207</v>
      </c>
      <c r="B1045">
        <v>42.4375</v>
      </c>
      <c r="C1045">
        <v>55.9375</v>
      </c>
      <c r="D1045">
        <v>4.5</v>
      </c>
      <c r="E1045">
        <v>6.5</v>
      </c>
      <c r="F1045" t="s">
        <v>156</v>
      </c>
      <c r="G1045">
        <v>1</v>
      </c>
      <c r="H1045">
        <v>0</v>
      </c>
      <c r="I1045">
        <v>1</v>
      </c>
      <c r="J1045">
        <v>0</v>
      </c>
      <c r="N1045">
        <v>0.5</v>
      </c>
      <c r="O1045">
        <v>0.38</v>
      </c>
      <c r="P1045">
        <v>3.5</v>
      </c>
      <c r="Q1045">
        <v>0</v>
      </c>
      <c r="R1045">
        <v>0</v>
      </c>
      <c r="S1045">
        <v>4</v>
      </c>
      <c r="T1045">
        <v>0.5</v>
      </c>
      <c r="U1045">
        <v>0</v>
      </c>
      <c r="V1045">
        <v>0</v>
      </c>
      <c r="W1045">
        <v>0</v>
      </c>
      <c r="X1045">
        <v>0</v>
      </c>
      <c r="Y1045">
        <v>0.5</v>
      </c>
      <c r="Z1045">
        <v>0.5</v>
      </c>
    </row>
    <row r="1046" spans="1:30">
      <c r="A1046" t="s">
        <v>1208</v>
      </c>
      <c r="B1046">
        <v>49.25</v>
      </c>
      <c r="C1046">
        <v>53.875</v>
      </c>
      <c r="D1046">
        <v>9</v>
      </c>
      <c r="E1046">
        <v>1</v>
      </c>
      <c r="F1046" t="s">
        <v>156</v>
      </c>
      <c r="G1046">
        <v>1</v>
      </c>
      <c r="H1046">
        <v>0</v>
      </c>
      <c r="I1046">
        <v>1</v>
      </c>
      <c r="J1046">
        <v>1</v>
      </c>
      <c r="N1046">
        <v>0.5</v>
      </c>
      <c r="O1046">
        <v>0.38</v>
      </c>
      <c r="P1046">
        <v>3.5</v>
      </c>
      <c r="Q1046">
        <v>-4.5</v>
      </c>
      <c r="R1046">
        <v>3.5</v>
      </c>
      <c r="S1046">
        <v>4</v>
      </c>
      <c r="T1046">
        <v>0.5</v>
      </c>
      <c r="U1046">
        <v>0</v>
      </c>
      <c r="V1046">
        <v>0</v>
      </c>
      <c r="W1046">
        <v>0</v>
      </c>
      <c r="X1046">
        <v>1</v>
      </c>
      <c r="Y1046">
        <v>0.5</v>
      </c>
      <c r="Z1046">
        <v>0.5</v>
      </c>
    </row>
    <row r="1047" spans="1:30">
      <c r="A1047" t="s">
        <v>1209</v>
      </c>
      <c r="B1047">
        <v>18.125</v>
      </c>
      <c r="C1047">
        <v>66.4375</v>
      </c>
      <c r="D1047">
        <v>2.0625</v>
      </c>
      <c r="F1047" t="s">
        <v>156</v>
      </c>
      <c r="G1047">
        <v>1</v>
      </c>
      <c r="H1047">
        <v>1</v>
      </c>
      <c r="I1047">
        <v>0</v>
      </c>
      <c r="N1047">
        <v>0.5</v>
      </c>
      <c r="O1047">
        <v>0.38</v>
      </c>
      <c r="P1047">
        <v>3.5</v>
      </c>
      <c r="Q1047">
        <v>2.4375</v>
      </c>
      <c r="R1047">
        <v>4.5</v>
      </c>
      <c r="S1047">
        <v>4</v>
      </c>
      <c r="T1047">
        <v>0.5</v>
      </c>
      <c r="U1047">
        <v>0</v>
      </c>
      <c r="V1047">
        <v>0</v>
      </c>
      <c r="W1047">
        <v>0</v>
      </c>
      <c r="X1047">
        <v>0</v>
      </c>
      <c r="Y1047">
        <v>0.5</v>
      </c>
      <c r="Z1047">
        <v>0.5</v>
      </c>
    </row>
    <row r="1048" spans="1:30">
      <c r="A1048" t="s">
        <v>1210</v>
      </c>
      <c r="B1048">
        <v>41.4375</v>
      </c>
      <c r="C1048">
        <v>40.25</v>
      </c>
      <c r="D1048">
        <v>12</v>
      </c>
      <c r="E1048">
        <v>1</v>
      </c>
      <c r="F1048" t="s">
        <v>156</v>
      </c>
      <c r="G1048">
        <v>1</v>
      </c>
      <c r="H1048">
        <v>1</v>
      </c>
      <c r="I1048">
        <v>1</v>
      </c>
      <c r="J1048">
        <v>0</v>
      </c>
      <c r="K1048">
        <v>12</v>
      </c>
      <c r="N1048">
        <v>0.5</v>
      </c>
      <c r="O1048">
        <v>0.38</v>
      </c>
      <c r="P1048">
        <v>3.5</v>
      </c>
      <c r="Q1048">
        <v>-7.5</v>
      </c>
      <c r="R1048">
        <v>3.5</v>
      </c>
      <c r="S1048">
        <v>4</v>
      </c>
      <c r="T1048">
        <v>0.5</v>
      </c>
      <c r="U1048">
        <v>0</v>
      </c>
      <c r="V1048">
        <v>0</v>
      </c>
      <c r="W1048">
        <v>1</v>
      </c>
      <c r="X1048">
        <v>0</v>
      </c>
      <c r="Y1048">
        <v>0.5</v>
      </c>
      <c r="Z1048">
        <v>0.5</v>
      </c>
    </row>
    <row r="1049" spans="1:30">
      <c r="A1049" t="s">
        <v>1211</v>
      </c>
      <c r="B1049">
        <v>36.875</v>
      </c>
      <c r="C1049">
        <v>78.125</v>
      </c>
      <c r="D1049">
        <v>9</v>
      </c>
      <c r="F1049" t="s">
        <v>156</v>
      </c>
      <c r="G1049">
        <v>1</v>
      </c>
      <c r="H1049">
        <v>1</v>
      </c>
      <c r="I1049">
        <v>1</v>
      </c>
      <c r="J1049">
        <v>0</v>
      </c>
      <c r="K1049">
        <v>24</v>
      </c>
      <c r="L1049" t="s">
        <v>120</v>
      </c>
      <c r="N1049">
        <v>0.5</v>
      </c>
      <c r="O1049">
        <v>0.38</v>
      </c>
      <c r="P1049">
        <v>3.5</v>
      </c>
      <c r="Q1049">
        <v>-4.5</v>
      </c>
      <c r="R1049">
        <v>4.5</v>
      </c>
      <c r="S1049">
        <v>4</v>
      </c>
      <c r="T1049">
        <v>0.5</v>
      </c>
      <c r="U1049">
        <v>0</v>
      </c>
      <c r="V1049">
        <v>0</v>
      </c>
      <c r="W1049">
        <v>0</v>
      </c>
      <c r="X1049">
        <v>0</v>
      </c>
      <c r="Y1049">
        <v>0.5</v>
      </c>
      <c r="Z1049">
        <v>0.5</v>
      </c>
    </row>
    <row r="1050" spans="1:30">
      <c r="A1050" t="s">
        <v>1212</v>
      </c>
      <c r="B1050">
        <v>45.3125</v>
      </c>
      <c r="C1050">
        <v>61.625</v>
      </c>
      <c r="D1050">
        <v>4.5</v>
      </c>
      <c r="E1050">
        <v>2.3125</v>
      </c>
      <c r="F1050" t="s">
        <v>156</v>
      </c>
      <c r="G1050">
        <v>1</v>
      </c>
      <c r="H1050">
        <v>1</v>
      </c>
      <c r="I1050">
        <v>1</v>
      </c>
      <c r="J1050">
        <v>0</v>
      </c>
      <c r="N1050">
        <v>0.5</v>
      </c>
      <c r="O1050">
        <v>0.38</v>
      </c>
      <c r="P1050">
        <v>3.5</v>
      </c>
      <c r="Q1050">
        <v>0</v>
      </c>
      <c r="R1050">
        <v>2.1875</v>
      </c>
      <c r="S1050">
        <v>4</v>
      </c>
      <c r="T1050">
        <v>0.5</v>
      </c>
      <c r="U1050">
        <v>0</v>
      </c>
      <c r="V1050">
        <v>0</v>
      </c>
      <c r="W1050">
        <v>1</v>
      </c>
      <c r="X1050">
        <v>0</v>
      </c>
      <c r="Y1050">
        <v>0.5</v>
      </c>
      <c r="Z1050">
        <v>0.5</v>
      </c>
    </row>
    <row r="1051" spans="1:30">
      <c r="A1051" t="s">
        <v>1213</v>
      </c>
      <c r="B1051">
        <v>47.9375</v>
      </c>
      <c r="C1051">
        <v>52.4375</v>
      </c>
      <c r="D1051">
        <v>9</v>
      </c>
      <c r="F1051" t="s">
        <v>156</v>
      </c>
      <c r="G1051">
        <v>1</v>
      </c>
      <c r="H1051">
        <v>1</v>
      </c>
      <c r="I1051">
        <v>1</v>
      </c>
      <c r="J1051">
        <v>1</v>
      </c>
      <c r="N1051">
        <v>0.5</v>
      </c>
      <c r="O1051">
        <v>0.38</v>
      </c>
      <c r="P1051">
        <v>3.5</v>
      </c>
      <c r="Q1051">
        <v>-4.5</v>
      </c>
      <c r="R1051">
        <v>4.5</v>
      </c>
      <c r="S1051">
        <v>4</v>
      </c>
      <c r="T1051">
        <v>0.5</v>
      </c>
      <c r="U1051">
        <v>0</v>
      </c>
      <c r="V1051">
        <v>0</v>
      </c>
      <c r="W1051">
        <v>0</v>
      </c>
      <c r="X1051">
        <v>0</v>
      </c>
      <c r="Y1051">
        <v>0.5</v>
      </c>
      <c r="Z1051">
        <v>0.5</v>
      </c>
    </row>
    <row r="1052" spans="1:30">
      <c r="A1052" t="s">
        <v>1214</v>
      </c>
      <c r="B1052">
        <v>60</v>
      </c>
      <c r="C1052">
        <v>24.1875</v>
      </c>
      <c r="D1052">
        <v>11.25</v>
      </c>
      <c r="F1052" t="s">
        <v>157</v>
      </c>
      <c r="G1052">
        <v>0</v>
      </c>
      <c r="I1052">
        <v>0</v>
      </c>
      <c r="N1052">
        <v>0.5</v>
      </c>
      <c r="O1052">
        <v>0.38</v>
      </c>
      <c r="P1052">
        <v>3.5</v>
      </c>
      <c r="Q1052">
        <v>-6.75</v>
      </c>
      <c r="R1052">
        <v>4.5</v>
      </c>
      <c r="S1052">
        <v>4</v>
      </c>
      <c r="T1052">
        <v>0.5</v>
      </c>
      <c r="U1052">
        <v>0</v>
      </c>
      <c r="V1052">
        <v>0</v>
      </c>
      <c r="W1052">
        <v>0</v>
      </c>
      <c r="X1052">
        <v>0</v>
      </c>
      <c r="Y1052">
        <v>0.5</v>
      </c>
      <c r="Z1052">
        <v>0.5</v>
      </c>
    </row>
    <row r="1053" spans="1:30">
      <c r="A1053" t="s">
        <v>1215</v>
      </c>
      <c r="B1053">
        <v>60</v>
      </c>
      <c r="C1053">
        <v>67.25</v>
      </c>
      <c r="D1053">
        <v>10.125</v>
      </c>
      <c r="E1053">
        <v>1</v>
      </c>
      <c r="F1053" t="s">
        <v>157</v>
      </c>
      <c r="G1053">
        <v>0</v>
      </c>
      <c r="I1053">
        <v>1</v>
      </c>
      <c r="J1053">
        <v>0</v>
      </c>
      <c r="K1053">
        <v>12</v>
      </c>
      <c r="L1053" t="s">
        <v>120</v>
      </c>
      <c r="N1053">
        <v>0.5</v>
      </c>
      <c r="O1053">
        <v>0.38</v>
      </c>
      <c r="P1053">
        <v>3.5</v>
      </c>
      <c r="Q1053">
        <v>-5.625</v>
      </c>
      <c r="R1053">
        <v>3.5</v>
      </c>
      <c r="S1053">
        <v>4</v>
      </c>
      <c r="T1053">
        <v>0.5</v>
      </c>
      <c r="U1053">
        <v>0</v>
      </c>
      <c r="V1053">
        <v>0</v>
      </c>
      <c r="W1053">
        <v>0</v>
      </c>
      <c r="X1053">
        <v>0</v>
      </c>
      <c r="Y1053">
        <v>0.5</v>
      </c>
      <c r="Z1053">
        <v>0.5</v>
      </c>
      <c r="AA1053">
        <v>11.5</v>
      </c>
      <c r="AB1053">
        <v>10.875</v>
      </c>
      <c r="AC1053">
        <v>16.940000000000001</v>
      </c>
      <c r="AD1053">
        <v>7.875</v>
      </c>
    </row>
    <row r="1054" spans="1:30">
      <c r="A1054" t="s">
        <v>1216</v>
      </c>
      <c r="B1054">
        <v>60</v>
      </c>
      <c r="C1054">
        <v>61.5</v>
      </c>
      <c r="D1054">
        <v>2.75</v>
      </c>
      <c r="E1054">
        <v>2.5</v>
      </c>
      <c r="F1054" t="s">
        <v>157</v>
      </c>
      <c r="G1054">
        <v>0</v>
      </c>
      <c r="I1054">
        <v>1</v>
      </c>
      <c r="J1054">
        <v>0</v>
      </c>
      <c r="K1054">
        <v>24</v>
      </c>
      <c r="L1054" t="s">
        <v>148</v>
      </c>
      <c r="N1054">
        <v>0.5</v>
      </c>
      <c r="O1054">
        <v>0.38</v>
      </c>
      <c r="P1054">
        <v>3.5</v>
      </c>
      <c r="Q1054">
        <v>1.75</v>
      </c>
      <c r="R1054">
        <v>2</v>
      </c>
      <c r="S1054">
        <v>4</v>
      </c>
      <c r="T1054">
        <v>0.5</v>
      </c>
      <c r="U1054">
        <v>0</v>
      </c>
      <c r="V1054">
        <v>1</v>
      </c>
      <c r="W1054">
        <v>0</v>
      </c>
      <c r="X1054">
        <v>0</v>
      </c>
      <c r="Y1054">
        <v>0.5</v>
      </c>
      <c r="Z1054">
        <v>0</v>
      </c>
      <c r="AA1054">
        <v>15.5</v>
      </c>
      <c r="AB1054">
        <v>28.875</v>
      </c>
    </row>
    <row r="1055" spans="1:30">
      <c r="A1055" t="s">
        <v>1217</v>
      </c>
      <c r="B1055">
        <v>60</v>
      </c>
      <c r="C1055">
        <v>42.6875</v>
      </c>
      <c r="D1055">
        <v>2</v>
      </c>
      <c r="E1055">
        <v>1.5</v>
      </c>
      <c r="F1055" t="s">
        <v>157</v>
      </c>
      <c r="G1055">
        <v>0</v>
      </c>
      <c r="I1055">
        <v>1</v>
      </c>
      <c r="J1055">
        <v>0</v>
      </c>
      <c r="N1055">
        <v>0.5</v>
      </c>
      <c r="O1055">
        <v>0.38</v>
      </c>
      <c r="P1055">
        <v>3.5</v>
      </c>
      <c r="Q1055">
        <v>2.5</v>
      </c>
      <c r="R1055">
        <v>3</v>
      </c>
      <c r="S1055">
        <v>4</v>
      </c>
      <c r="T1055">
        <v>0.5</v>
      </c>
      <c r="U1055">
        <v>0</v>
      </c>
      <c r="V1055">
        <v>1</v>
      </c>
      <c r="W1055">
        <v>0</v>
      </c>
      <c r="X1055">
        <v>0</v>
      </c>
      <c r="Y1055">
        <v>0.5</v>
      </c>
      <c r="Z1055">
        <v>0</v>
      </c>
    </row>
    <row r="1056" spans="1:30">
      <c r="A1056" t="s">
        <v>1218</v>
      </c>
      <c r="B1056">
        <v>60</v>
      </c>
      <c r="C1056">
        <v>62.5625</v>
      </c>
      <c r="D1056">
        <v>7.625</v>
      </c>
      <c r="F1056" t="s">
        <v>157</v>
      </c>
      <c r="G1056">
        <v>0</v>
      </c>
      <c r="I1056">
        <v>1</v>
      </c>
      <c r="J1056">
        <v>1</v>
      </c>
      <c r="N1056">
        <v>0.5</v>
      </c>
      <c r="O1056">
        <v>0.38</v>
      </c>
      <c r="P1056">
        <v>3.5</v>
      </c>
      <c r="Q1056">
        <v>-3.125</v>
      </c>
      <c r="R1056">
        <v>4.5</v>
      </c>
      <c r="S1056">
        <v>4</v>
      </c>
      <c r="T1056">
        <v>0.5</v>
      </c>
      <c r="U1056">
        <v>0</v>
      </c>
      <c r="V1056">
        <v>0</v>
      </c>
      <c r="W1056">
        <v>0</v>
      </c>
      <c r="X1056">
        <v>0</v>
      </c>
      <c r="Y1056">
        <v>0.5</v>
      </c>
      <c r="Z1056">
        <v>0.5</v>
      </c>
    </row>
    <row r="1057" spans="1:30">
      <c r="A1057" t="s">
        <v>1219</v>
      </c>
      <c r="B1057">
        <v>60</v>
      </c>
      <c r="C1057">
        <v>75.1875</v>
      </c>
      <c r="D1057">
        <v>3</v>
      </c>
      <c r="F1057" t="s">
        <v>157</v>
      </c>
      <c r="G1057">
        <v>1</v>
      </c>
      <c r="H1057">
        <v>0</v>
      </c>
      <c r="I1057">
        <v>0</v>
      </c>
      <c r="N1057">
        <v>0.5</v>
      </c>
      <c r="O1057">
        <v>0.38</v>
      </c>
      <c r="P1057">
        <v>3.5</v>
      </c>
      <c r="Q1057">
        <v>1.5</v>
      </c>
      <c r="R1057">
        <v>4.5</v>
      </c>
      <c r="S1057">
        <v>4</v>
      </c>
      <c r="T1057">
        <v>0.5</v>
      </c>
      <c r="U1057">
        <v>1</v>
      </c>
      <c r="V1057">
        <v>0</v>
      </c>
      <c r="W1057">
        <v>0</v>
      </c>
      <c r="X1057">
        <v>0</v>
      </c>
      <c r="Y1057">
        <v>0</v>
      </c>
      <c r="Z1057">
        <v>0.5</v>
      </c>
    </row>
    <row r="1058" spans="1:30">
      <c r="A1058" t="s">
        <v>1220</v>
      </c>
      <c r="B1058">
        <v>60</v>
      </c>
      <c r="C1058">
        <v>56.75</v>
      </c>
      <c r="D1058">
        <v>12</v>
      </c>
      <c r="F1058" t="s">
        <v>157</v>
      </c>
      <c r="G1058">
        <v>1</v>
      </c>
      <c r="H1058">
        <v>0</v>
      </c>
      <c r="I1058">
        <v>1</v>
      </c>
      <c r="J1058">
        <v>0</v>
      </c>
      <c r="K1058">
        <v>12</v>
      </c>
      <c r="L1058" t="s">
        <v>151</v>
      </c>
      <c r="N1058">
        <v>0.5</v>
      </c>
      <c r="O1058">
        <v>0.38</v>
      </c>
      <c r="P1058">
        <v>3.5</v>
      </c>
      <c r="Q1058">
        <v>-7.5</v>
      </c>
      <c r="R1058">
        <v>4.5</v>
      </c>
      <c r="S1058">
        <v>4</v>
      </c>
      <c r="T1058">
        <v>0.5</v>
      </c>
      <c r="U1058">
        <v>0</v>
      </c>
      <c r="V1058">
        <v>0</v>
      </c>
      <c r="W1058">
        <v>0</v>
      </c>
      <c r="X1058">
        <v>0</v>
      </c>
      <c r="Y1058">
        <v>0.5</v>
      </c>
      <c r="Z1058">
        <v>0.5</v>
      </c>
      <c r="AA1058">
        <v>15.5</v>
      </c>
      <c r="AB1058">
        <v>28.875</v>
      </c>
      <c r="AC1058">
        <v>9</v>
      </c>
      <c r="AD1058">
        <v>6</v>
      </c>
    </row>
    <row r="1059" spans="1:30">
      <c r="A1059" t="s">
        <v>1221</v>
      </c>
      <c r="B1059">
        <v>60</v>
      </c>
      <c r="C1059">
        <v>62</v>
      </c>
      <c r="D1059">
        <v>9</v>
      </c>
      <c r="E1059">
        <v>7</v>
      </c>
      <c r="F1059" t="s">
        <v>157</v>
      </c>
      <c r="G1059">
        <v>1</v>
      </c>
      <c r="H1059">
        <v>0</v>
      </c>
      <c r="I1059">
        <v>1</v>
      </c>
      <c r="J1059">
        <v>0</v>
      </c>
      <c r="K1059">
        <v>24</v>
      </c>
      <c r="N1059">
        <v>0.5</v>
      </c>
      <c r="O1059">
        <v>0.38</v>
      </c>
      <c r="P1059">
        <v>3.5</v>
      </c>
      <c r="Q1059">
        <v>-4.5</v>
      </c>
      <c r="R1059">
        <v>0</v>
      </c>
      <c r="S1059">
        <v>4</v>
      </c>
      <c r="T1059">
        <v>0.5</v>
      </c>
      <c r="U1059">
        <v>0</v>
      </c>
      <c r="V1059">
        <v>0</v>
      </c>
      <c r="W1059">
        <v>0</v>
      </c>
      <c r="X1059">
        <v>0</v>
      </c>
      <c r="Y1059">
        <v>0.5</v>
      </c>
      <c r="Z1059">
        <v>0.5</v>
      </c>
    </row>
    <row r="1060" spans="1:30">
      <c r="A1060" t="s">
        <v>1222</v>
      </c>
      <c r="B1060">
        <v>60</v>
      </c>
      <c r="C1060">
        <v>72.5</v>
      </c>
      <c r="D1060">
        <v>9</v>
      </c>
      <c r="E1060">
        <v>5</v>
      </c>
      <c r="F1060" t="s">
        <v>157</v>
      </c>
      <c r="G1060">
        <v>1</v>
      </c>
      <c r="H1060">
        <v>0</v>
      </c>
      <c r="I1060">
        <v>1</v>
      </c>
      <c r="J1060">
        <v>0</v>
      </c>
      <c r="N1060">
        <v>0.5</v>
      </c>
      <c r="O1060">
        <v>0.38</v>
      </c>
      <c r="P1060">
        <v>3.5</v>
      </c>
      <c r="Q1060">
        <v>-4.5</v>
      </c>
      <c r="R1060">
        <v>0</v>
      </c>
      <c r="S1060">
        <v>4</v>
      </c>
      <c r="T1060">
        <v>0.5</v>
      </c>
      <c r="U1060">
        <v>0</v>
      </c>
      <c r="V1060">
        <v>0</v>
      </c>
      <c r="W1060">
        <v>0</v>
      </c>
      <c r="X1060">
        <v>0</v>
      </c>
      <c r="Y1060">
        <v>0.5</v>
      </c>
      <c r="Z1060">
        <v>0.5</v>
      </c>
    </row>
    <row r="1061" spans="1:30">
      <c r="A1061" t="s">
        <v>1223</v>
      </c>
      <c r="B1061">
        <v>60</v>
      </c>
      <c r="C1061">
        <v>65.5</v>
      </c>
      <c r="D1061">
        <v>1</v>
      </c>
      <c r="F1061" t="s">
        <v>157</v>
      </c>
      <c r="G1061">
        <v>1</v>
      </c>
      <c r="H1061">
        <v>0</v>
      </c>
      <c r="I1061">
        <v>1</v>
      </c>
      <c r="J1061">
        <v>1</v>
      </c>
      <c r="N1061">
        <v>0.5</v>
      </c>
      <c r="O1061">
        <v>0.38</v>
      </c>
      <c r="P1061">
        <v>3.5</v>
      </c>
      <c r="Q1061">
        <v>3.5</v>
      </c>
      <c r="R1061">
        <v>4.5</v>
      </c>
      <c r="S1061">
        <v>4</v>
      </c>
      <c r="T1061">
        <v>0.5</v>
      </c>
      <c r="U1061">
        <v>1</v>
      </c>
      <c r="V1061">
        <v>1</v>
      </c>
      <c r="W1061">
        <v>0</v>
      </c>
      <c r="X1061">
        <v>0</v>
      </c>
      <c r="Y1061">
        <v>0</v>
      </c>
      <c r="Z1061">
        <v>0</v>
      </c>
    </row>
    <row r="1062" spans="1:30">
      <c r="A1062" t="s">
        <v>1224</v>
      </c>
      <c r="B1062">
        <v>60</v>
      </c>
      <c r="C1062">
        <v>69.375</v>
      </c>
      <c r="D1062">
        <v>12</v>
      </c>
      <c r="E1062">
        <v>7.5</v>
      </c>
      <c r="F1062" t="s">
        <v>157</v>
      </c>
      <c r="G1062">
        <v>1</v>
      </c>
      <c r="H1062">
        <v>1</v>
      </c>
      <c r="I1062">
        <v>0</v>
      </c>
      <c r="L1062" t="s">
        <v>149</v>
      </c>
      <c r="N1062">
        <v>0.5</v>
      </c>
      <c r="O1062">
        <v>0.38</v>
      </c>
      <c r="P1062">
        <v>3.5</v>
      </c>
      <c r="Q1062">
        <v>-7.5</v>
      </c>
      <c r="R1062">
        <v>0</v>
      </c>
      <c r="S1062">
        <v>4</v>
      </c>
      <c r="T1062">
        <v>0.5</v>
      </c>
      <c r="U1062">
        <v>0</v>
      </c>
      <c r="V1062">
        <v>0</v>
      </c>
      <c r="W1062">
        <v>0</v>
      </c>
      <c r="X1062">
        <v>0</v>
      </c>
      <c r="Y1062">
        <v>0.5</v>
      </c>
      <c r="Z1062">
        <v>0.5</v>
      </c>
      <c r="AA1062">
        <v>15.5</v>
      </c>
      <c r="AB1062">
        <v>28.875</v>
      </c>
      <c r="AC1062">
        <v>21</v>
      </c>
      <c r="AD1062">
        <v>6</v>
      </c>
    </row>
    <row r="1063" spans="1:30">
      <c r="A1063" t="s">
        <v>1225</v>
      </c>
      <c r="B1063">
        <v>60</v>
      </c>
      <c r="C1063">
        <v>67.6875</v>
      </c>
      <c r="D1063">
        <v>12</v>
      </c>
      <c r="E1063">
        <v>1</v>
      </c>
      <c r="F1063" t="s">
        <v>157</v>
      </c>
      <c r="G1063">
        <v>1</v>
      </c>
      <c r="H1063">
        <v>1</v>
      </c>
      <c r="I1063">
        <v>1</v>
      </c>
      <c r="J1063">
        <v>0</v>
      </c>
      <c r="K1063">
        <v>12</v>
      </c>
      <c r="L1063" t="s">
        <v>145</v>
      </c>
      <c r="N1063">
        <v>0.5</v>
      </c>
      <c r="O1063">
        <v>0.38</v>
      </c>
      <c r="P1063">
        <v>3.5</v>
      </c>
      <c r="Q1063">
        <v>-7.5</v>
      </c>
      <c r="R1063">
        <v>3.5</v>
      </c>
      <c r="S1063">
        <v>4</v>
      </c>
      <c r="T1063">
        <v>0.5</v>
      </c>
      <c r="U1063">
        <v>0</v>
      </c>
      <c r="V1063">
        <v>0</v>
      </c>
      <c r="W1063">
        <v>0</v>
      </c>
      <c r="X1063">
        <v>0</v>
      </c>
      <c r="Y1063">
        <v>0.5</v>
      </c>
      <c r="Z1063">
        <v>0.5</v>
      </c>
      <c r="AA1063">
        <v>15.5</v>
      </c>
      <c r="AB1063">
        <v>28.875</v>
      </c>
      <c r="AC1063">
        <v>14</v>
      </c>
      <c r="AD1063">
        <v>18.13</v>
      </c>
    </row>
    <row r="1064" spans="1:30">
      <c r="A1064" t="s">
        <v>1226</v>
      </c>
      <c r="B1064">
        <v>60</v>
      </c>
      <c r="C1064">
        <v>59.3125</v>
      </c>
      <c r="D1064">
        <v>4.5</v>
      </c>
      <c r="E1064">
        <v>4.8125</v>
      </c>
      <c r="F1064" t="s">
        <v>157</v>
      </c>
      <c r="G1064">
        <v>1</v>
      </c>
      <c r="H1064">
        <v>1</v>
      </c>
      <c r="I1064">
        <v>1</v>
      </c>
      <c r="J1064">
        <v>0</v>
      </c>
      <c r="K1064">
        <v>24</v>
      </c>
      <c r="L1064" t="s">
        <v>35</v>
      </c>
      <c r="N1064">
        <v>0.5</v>
      </c>
      <c r="O1064">
        <v>0.38</v>
      </c>
      <c r="P1064">
        <v>3.5</v>
      </c>
      <c r="Q1064">
        <v>0</v>
      </c>
      <c r="R1064">
        <v>0</v>
      </c>
      <c r="S1064">
        <v>4</v>
      </c>
      <c r="T1064">
        <v>0.5</v>
      </c>
      <c r="U1064">
        <v>0</v>
      </c>
      <c r="V1064">
        <v>0</v>
      </c>
      <c r="W1064">
        <v>0</v>
      </c>
      <c r="X1064">
        <v>0</v>
      </c>
      <c r="Y1064">
        <v>0.5</v>
      </c>
      <c r="Z1064">
        <v>0.5</v>
      </c>
      <c r="AA1064">
        <v>15.5</v>
      </c>
      <c r="AB1064">
        <v>28.875</v>
      </c>
    </row>
    <row r="1065" spans="1:30">
      <c r="A1065" t="s">
        <v>1227</v>
      </c>
      <c r="B1065">
        <v>60</v>
      </c>
      <c r="C1065">
        <v>58.9375</v>
      </c>
      <c r="D1065">
        <v>12</v>
      </c>
      <c r="E1065">
        <v>3.25</v>
      </c>
      <c r="F1065" t="s">
        <v>157</v>
      </c>
      <c r="G1065">
        <v>1</v>
      </c>
      <c r="H1065">
        <v>1</v>
      </c>
      <c r="I1065">
        <v>1</v>
      </c>
      <c r="J1065">
        <v>0</v>
      </c>
      <c r="N1065">
        <v>0.5</v>
      </c>
      <c r="O1065">
        <v>0.38</v>
      </c>
      <c r="P1065">
        <v>3.5</v>
      </c>
      <c r="Q1065">
        <v>-7.5</v>
      </c>
      <c r="R1065">
        <v>1.25</v>
      </c>
      <c r="S1065">
        <v>4</v>
      </c>
      <c r="T1065">
        <v>0.5</v>
      </c>
      <c r="U1065">
        <v>0</v>
      </c>
      <c r="V1065">
        <v>0</v>
      </c>
      <c r="W1065">
        <v>0</v>
      </c>
      <c r="X1065">
        <v>0</v>
      </c>
      <c r="Y1065">
        <v>0.5</v>
      </c>
      <c r="Z1065">
        <v>0.5</v>
      </c>
    </row>
    <row r="1066" spans="1:30">
      <c r="A1066" t="s">
        <v>1228</v>
      </c>
      <c r="B1066">
        <v>60</v>
      </c>
      <c r="C1066">
        <v>68.625</v>
      </c>
      <c r="D1066">
        <v>4.5</v>
      </c>
      <c r="E1066">
        <v>3</v>
      </c>
      <c r="F1066" t="s">
        <v>157</v>
      </c>
      <c r="G1066">
        <v>1</v>
      </c>
      <c r="H1066">
        <v>1</v>
      </c>
      <c r="I1066">
        <v>1</v>
      </c>
      <c r="J1066">
        <v>1</v>
      </c>
      <c r="N1066">
        <v>0.5</v>
      </c>
      <c r="O1066">
        <v>0.38</v>
      </c>
      <c r="P1066">
        <v>3.5</v>
      </c>
      <c r="Q1066">
        <v>0</v>
      </c>
      <c r="R1066">
        <v>1.5</v>
      </c>
      <c r="S1066">
        <v>4</v>
      </c>
      <c r="T1066">
        <v>0.5</v>
      </c>
      <c r="U1066">
        <v>0</v>
      </c>
      <c r="V1066">
        <v>0</v>
      </c>
      <c r="W1066">
        <v>0</v>
      </c>
      <c r="X1066">
        <v>0</v>
      </c>
      <c r="Y1066">
        <v>0.5</v>
      </c>
      <c r="Z1066">
        <v>0.5</v>
      </c>
    </row>
    <row r="1067" spans="1:30">
      <c r="A1067" t="s">
        <v>1229</v>
      </c>
      <c r="B1067">
        <v>96</v>
      </c>
      <c r="C1067">
        <v>54.9375</v>
      </c>
      <c r="D1067">
        <v>9</v>
      </c>
      <c r="E1067">
        <v>1</v>
      </c>
      <c r="F1067" t="s">
        <v>21</v>
      </c>
      <c r="G1067">
        <v>0</v>
      </c>
      <c r="I1067">
        <v>0</v>
      </c>
      <c r="N1067">
        <v>0.5</v>
      </c>
      <c r="O1067">
        <v>0.38</v>
      </c>
      <c r="P1067">
        <v>3.5</v>
      </c>
      <c r="Q1067">
        <v>-4.5</v>
      </c>
      <c r="R1067">
        <v>3.5</v>
      </c>
      <c r="S1067">
        <v>4</v>
      </c>
      <c r="T1067">
        <v>0.5</v>
      </c>
      <c r="U1067">
        <v>0</v>
      </c>
      <c r="V1067">
        <v>0</v>
      </c>
      <c r="W1067">
        <v>0</v>
      </c>
      <c r="X1067">
        <v>0</v>
      </c>
      <c r="Y1067">
        <v>0.5</v>
      </c>
      <c r="Z1067">
        <v>0.5</v>
      </c>
    </row>
    <row r="1068" spans="1:30">
      <c r="A1068" t="s">
        <v>1230</v>
      </c>
      <c r="B1068">
        <v>106.6875</v>
      </c>
      <c r="C1068">
        <v>20.125</v>
      </c>
      <c r="D1068">
        <v>3.4375</v>
      </c>
      <c r="F1068" t="s">
        <v>21</v>
      </c>
      <c r="G1068">
        <v>0</v>
      </c>
      <c r="I1068">
        <v>1</v>
      </c>
      <c r="J1068">
        <v>0</v>
      </c>
      <c r="K1068">
        <v>12</v>
      </c>
      <c r="N1068">
        <v>0.5</v>
      </c>
      <c r="O1068">
        <v>0.38</v>
      </c>
      <c r="P1068">
        <v>3.5</v>
      </c>
      <c r="Q1068">
        <v>1.0625</v>
      </c>
      <c r="R1068">
        <v>4.5</v>
      </c>
      <c r="S1068">
        <v>4</v>
      </c>
      <c r="T1068">
        <v>0.5</v>
      </c>
      <c r="U1068">
        <v>0</v>
      </c>
      <c r="V1068">
        <v>1</v>
      </c>
      <c r="W1068">
        <v>0</v>
      </c>
      <c r="X1068">
        <v>0</v>
      </c>
      <c r="Y1068">
        <v>0.5</v>
      </c>
      <c r="Z1068">
        <v>0</v>
      </c>
    </row>
    <row r="1069" spans="1:30">
      <c r="A1069" t="s">
        <v>1231</v>
      </c>
      <c r="B1069">
        <v>55.5625</v>
      </c>
      <c r="C1069">
        <v>72.5625</v>
      </c>
      <c r="D1069">
        <v>12</v>
      </c>
      <c r="E1069">
        <v>6.5625</v>
      </c>
      <c r="F1069" t="s">
        <v>21</v>
      </c>
      <c r="G1069">
        <v>0</v>
      </c>
      <c r="I1069">
        <v>1</v>
      </c>
      <c r="J1069">
        <v>0</v>
      </c>
      <c r="K1069">
        <v>24</v>
      </c>
      <c r="L1069" t="s">
        <v>120</v>
      </c>
      <c r="N1069">
        <v>0.5</v>
      </c>
      <c r="O1069">
        <v>0.38</v>
      </c>
      <c r="P1069">
        <v>3.5</v>
      </c>
      <c r="Q1069">
        <v>-7.5</v>
      </c>
      <c r="R1069">
        <v>0</v>
      </c>
      <c r="S1069">
        <v>4</v>
      </c>
      <c r="T1069">
        <v>0.5</v>
      </c>
      <c r="U1069">
        <v>0</v>
      </c>
      <c r="V1069">
        <v>0</v>
      </c>
      <c r="W1069">
        <v>0</v>
      </c>
      <c r="X1069">
        <v>0</v>
      </c>
      <c r="Y1069">
        <v>0.5</v>
      </c>
      <c r="Z1069">
        <v>0.5</v>
      </c>
      <c r="AA1069">
        <v>11.5</v>
      </c>
      <c r="AB1069">
        <v>10.875</v>
      </c>
      <c r="AC1069">
        <v>4.9400000000000004</v>
      </c>
      <c r="AD1069">
        <v>6</v>
      </c>
    </row>
    <row r="1070" spans="1:30">
      <c r="A1070" t="s">
        <v>1232</v>
      </c>
      <c r="B1070">
        <v>105.375</v>
      </c>
      <c r="C1070">
        <v>78.9375</v>
      </c>
      <c r="D1070">
        <v>1</v>
      </c>
      <c r="F1070" t="s">
        <v>21</v>
      </c>
      <c r="G1070">
        <v>0</v>
      </c>
      <c r="I1070">
        <v>1</v>
      </c>
      <c r="J1070">
        <v>0</v>
      </c>
      <c r="N1070">
        <v>0.5</v>
      </c>
      <c r="O1070">
        <v>0.38</v>
      </c>
      <c r="P1070">
        <v>3.5</v>
      </c>
      <c r="Q1070">
        <v>3.5</v>
      </c>
      <c r="R1070">
        <v>4.5</v>
      </c>
      <c r="S1070">
        <v>4</v>
      </c>
      <c r="T1070">
        <v>0.5</v>
      </c>
      <c r="U1070">
        <v>0</v>
      </c>
      <c r="V1070">
        <v>1</v>
      </c>
      <c r="W1070">
        <v>0</v>
      </c>
      <c r="X1070">
        <v>0</v>
      </c>
      <c r="Y1070">
        <v>0.5</v>
      </c>
      <c r="Z1070">
        <v>0</v>
      </c>
    </row>
    <row r="1071" spans="1:30">
      <c r="A1071" t="s">
        <v>1233</v>
      </c>
      <c r="B1071">
        <v>95.75</v>
      </c>
      <c r="C1071">
        <v>52.5</v>
      </c>
      <c r="D1071">
        <v>1</v>
      </c>
      <c r="E1071">
        <v>3.5</v>
      </c>
      <c r="F1071" t="s">
        <v>21</v>
      </c>
      <c r="G1071">
        <v>0</v>
      </c>
      <c r="I1071">
        <v>1</v>
      </c>
      <c r="J1071">
        <v>1</v>
      </c>
      <c r="N1071">
        <v>0.5</v>
      </c>
      <c r="O1071">
        <v>0.38</v>
      </c>
      <c r="P1071">
        <v>3.5</v>
      </c>
      <c r="Q1071">
        <v>3.5</v>
      </c>
      <c r="R1071">
        <v>1</v>
      </c>
      <c r="S1071">
        <v>4</v>
      </c>
      <c r="T1071">
        <v>0.5</v>
      </c>
      <c r="U1071">
        <v>0</v>
      </c>
      <c r="V1071">
        <v>1</v>
      </c>
      <c r="W1071">
        <v>0</v>
      </c>
      <c r="X1071">
        <v>1</v>
      </c>
      <c r="Y1071">
        <v>0.5</v>
      </c>
      <c r="Z1071">
        <v>0</v>
      </c>
    </row>
    <row r="1072" spans="1:30">
      <c r="A1072" t="s">
        <v>1234</v>
      </c>
      <c r="B1072">
        <v>92</v>
      </c>
      <c r="C1072">
        <v>6.25</v>
      </c>
      <c r="D1072">
        <v>12</v>
      </c>
      <c r="F1072" t="s">
        <v>21</v>
      </c>
      <c r="G1072">
        <v>1</v>
      </c>
      <c r="H1072">
        <v>0</v>
      </c>
      <c r="I1072">
        <v>0</v>
      </c>
      <c r="N1072">
        <v>0.5</v>
      </c>
      <c r="O1072">
        <v>0.38</v>
      </c>
      <c r="P1072">
        <v>3.5</v>
      </c>
      <c r="Q1072">
        <v>-7.5</v>
      </c>
      <c r="R1072">
        <v>4.5</v>
      </c>
      <c r="S1072">
        <v>4</v>
      </c>
      <c r="T1072">
        <v>0.5</v>
      </c>
      <c r="U1072">
        <v>0</v>
      </c>
      <c r="V1072">
        <v>0</v>
      </c>
      <c r="W1072">
        <v>0</v>
      </c>
      <c r="X1072">
        <v>0</v>
      </c>
      <c r="Y1072">
        <v>0.5</v>
      </c>
      <c r="Z1072">
        <v>0.5</v>
      </c>
    </row>
    <row r="1073" spans="1:30">
      <c r="A1073" t="s">
        <v>1235</v>
      </c>
      <c r="B1073">
        <v>108.25</v>
      </c>
      <c r="C1073">
        <v>47</v>
      </c>
      <c r="D1073">
        <v>4.5</v>
      </c>
      <c r="E1073">
        <v>2.1875</v>
      </c>
      <c r="F1073" t="s">
        <v>21</v>
      </c>
      <c r="G1073">
        <v>1</v>
      </c>
      <c r="H1073">
        <v>0</v>
      </c>
      <c r="I1073">
        <v>1</v>
      </c>
      <c r="J1073">
        <v>0</v>
      </c>
      <c r="K1073">
        <v>12</v>
      </c>
      <c r="L1073" t="s">
        <v>120</v>
      </c>
      <c r="N1073">
        <v>0.5</v>
      </c>
      <c r="O1073">
        <v>0.38</v>
      </c>
      <c r="P1073">
        <v>3.5</v>
      </c>
      <c r="Q1073">
        <v>0</v>
      </c>
      <c r="R1073">
        <v>2.3125</v>
      </c>
      <c r="S1073">
        <v>4</v>
      </c>
      <c r="T1073">
        <v>0.5</v>
      </c>
      <c r="U1073">
        <v>0</v>
      </c>
      <c r="V1073">
        <v>0</v>
      </c>
      <c r="W1073">
        <v>0</v>
      </c>
      <c r="X1073">
        <v>0</v>
      </c>
      <c r="Y1073">
        <v>0.5</v>
      </c>
      <c r="Z1073">
        <v>0.5</v>
      </c>
      <c r="AA1073">
        <v>11.5</v>
      </c>
      <c r="AB1073">
        <v>10.875</v>
      </c>
      <c r="AC1073">
        <v>16.940000000000001</v>
      </c>
      <c r="AD1073">
        <v>13.5</v>
      </c>
    </row>
    <row r="1074" spans="1:30">
      <c r="A1074" t="s">
        <v>1236</v>
      </c>
      <c r="B1074">
        <v>40.25</v>
      </c>
      <c r="C1074">
        <v>50.3125</v>
      </c>
      <c r="D1074">
        <v>1</v>
      </c>
      <c r="E1074">
        <v>1</v>
      </c>
      <c r="F1074" t="s">
        <v>21</v>
      </c>
      <c r="G1074">
        <v>1</v>
      </c>
      <c r="H1074">
        <v>0</v>
      </c>
      <c r="I1074">
        <v>1</v>
      </c>
      <c r="J1074">
        <v>0</v>
      </c>
      <c r="K1074">
        <v>24</v>
      </c>
      <c r="L1074" t="s">
        <v>120</v>
      </c>
      <c r="N1074">
        <v>0.5</v>
      </c>
      <c r="O1074">
        <v>0.38</v>
      </c>
      <c r="P1074">
        <v>3.5</v>
      </c>
      <c r="Q1074">
        <v>3.5</v>
      </c>
      <c r="R1074">
        <v>3.5</v>
      </c>
      <c r="S1074">
        <v>4</v>
      </c>
      <c r="T1074">
        <v>0.5</v>
      </c>
      <c r="U1074">
        <v>1</v>
      </c>
      <c r="V1074">
        <v>1</v>
      </c>
      <c r="W1074">
        <v>0</v>
      </c>
      <c r="X1074">
        <v>0</v>
      </c>
      <c r="Y1074">
        <v>0</v>
      </c>
      <c r="Z1074">
        <v>0</v>
      </c>
      <c r="AA1074">
        <v>11.5</v>
      </c>
      <c r="AB1074">
        <v>10.875</v>
      </c>
      <c r="AC1074">
        <v>4.9400000000000004</v>
      </c>
      <c r="AD1074">
        <v>17</v>
      </c>
    </row>
    <row r="1075" spans="1:30">
      <c r="A1075" t="s">
        <v>1237</v>
      </c>
      <c r="B1075">
        <v>106.75</v>
      </c>
      <c r="C1075">
        <v>65.875</v>
      </c>
      <c r="D1075">
        <v>1</v>
      </c>
      <c r="E1075">
        <v>1</v>
      </c>
      <c r="F1075" t="s">
        <v>21</v>
      </c>
      <c r="G1075">
        <v>1</v>
      </c>
      <c r="H1075">
        <v>0</v>
      </c>
      <c r="I1075">
        <v>1</v>
      </c>
      <c r="J1075">
        <v>0</v>
      </c>
      <c r="N1075">
        <v>0.5</v>
      </c>
      <c r="O1075">
        <v>0.38</v>
      </c>
      <c r="P1075">
        <v>3.5</v>
      </c>
      <c r="Q1075">
        <v>3.5</v>
      </c>
      <c r="R1075">
        <v>3.5</v>
      </c>
      <c r="S1075">
        <v>4</v>
      </c>
      <c r="T1075">
        <v>0.5</v>
      </c>
      <c r="U1075">
        <v>1</v>
      </c>
      <c r="V1075">
        <v>1</v>
      </c>
      <c r="W1075">
        <v>0</v>
      </c>
      <c r="X1075">
        <v>0</v>
      </c>
      <c r="Y1075">
        <v>0</v>
      </c>
      <c r="Z1075">
        <v>0</v>
      </c>
    </row>
    <row r="1076" spans="1:30">
      <c r="A1076" t="s">
        <v>1238</v>
      </c>
      <c r="B1076">
        <v>70.375</v>
      </c>
      <c r="C1076">
        <v>54.3125</v>
      </c>
      <c r="D1076">
        <v>12</v>
      </c>
      <c r="E1076">
        <v>3.9375</v>
      </c>
      <c r="F1076" t="s">
        <v>21</v>
      </c>
      <c r="G1076">
        <v>1</v>
      </c>
      <c r="H1076">
        <v>0</v>
      </c>
      <c r="I1076">
        <v>1</v>
      </c>
      <c r="J1076">
        <v>1</v>
      </c>
      <c r="N1076">
        <v>0.5</v>
      </c>
      <c r="O1076">
        <v>0.38</v>
      </c>
      <c r="P1076">
        <v>3.5</v>
      </c>
      <c r="Q1076">
        <v>-7.5</v>
      </c>
      <c r="R1076">
        <v>0.5625</v>
      </c>
      <c r="S1076">
        <v>4</v>
      </c>
      <c r="T1076">
        <v>0.5</v>
      </c>
      <c r="U1076">
        <v>0</v>
      </c>
      <c r="V1076">
        <v>0</v>
      </c>
      <c r="W1076">
        <v>0</v>
      </c>
      <c r="X1076">
        <v>1</v>
      </c>
      <c r="Y1076">
        <v>0.5</v>
      </c>
      <c r="Z1076">
        <v>0.5</v>
      </c>
    </row>
    <row r="1077" spans="1:30">
      <c r="A1077" t="s">
        <v>1239</v>
      </c>
      <c r="B1077">
        <v>96</v>
      </c>
      <c r="C1077">
        <v>24.4375</v>
      </c>
      <c r="D1077">
        <v>12</v>
      </c>
      <c r="E1077">
        <v>8.125</v>
      </c>
      <c r="F1077" t="s">
        <v>21</v>
      </c>
      <c r="G1077">
        <v>1</v>
      </c>
      <c r="H1077">
        <v>1</v>
      </c>
      <c r="I1077">
        <v>0</v>
      </c>
      <c r="N1077">
        <v>0.5</v>
      </c>
      <c r="O1077">
        <v>0.38</v>
      </c>
      <c r="P1077">
        <v>3.5</v>
      </c>
      <c r="Q1077">
        <v>-7.5</v>
      </c>
      <c r="R1077">
        <v>0</v>
      </c>
      <c r="S1077">
        <v>4</v>
      </c>
      <c r="T1077">
        <v>0.5</v>
      </c>
      <c r="U1077">
        <v>0</v>
      </c>
      <c r="V1077">
        <v>0</v>
      </c>
      <c r="W1077">
        <v>0</v>
      </c>
      <c r="X1077">
        <v>0</v>
      </c>
      <c r="Y1077">
        <v>0.5</v>
      </c>
      <c r="Z1077">
        <v>0.5</v>
      </c>
    </row>
    <row r="1078" spans="1:30">
      <c r="A1078" t="s">
        <v>1240</v>
      </c>
      <c r="B1078">
        <v>78.4375</v>
      </c>
      <c r="C1078">
        <v>45.375</v>
      </c>
      <c r="D1078">
        <v>1.1875</v>
      </c>
      <c r="E1078">
        <v>7.0625</v>
      </c>
      <c r="F1078" t="s">
        <v>21</v>
      </c>
      <c r="G1078">
        <v>1</v>
      </c>
      <c r="H1078">
        <v>1</v>
      </c>
      <c r="I1078">
        <v>1</v>
      </c>
      <c r="J1078">
        <v>0</v>
      </c>
      <c r="K1078">
        <v>12</v>
      </c>
      <c r="L1078" t="s">
        <v>145</v>
      </c>
      <c r="N1078">
        <v>0.5</v>
      </c>
      <c r="O1078">
        <v>0.38</v>
      </c>
      <c r="P1078">
        <v>3.5</v>
      </c>
      <c r="Q1078">
        <v>3.3125</v>
      </c>
      <c r="R1078">
        <v>0</v>
      </c>
      <c r="S1078">
        <v>4</v>
      </c>
      <c r="T1078">
        <v>0.5</v>
      </c>
      <c r="U1078">
        <v>1</v>
      </c>
      <c r="V1078">
        <v>1</v>
      </c>
      <c r="W1078">
        <v>0</v>
      </c>
      <c r="X1078">
        <v>0</v>
      </c>
      <c r="Y1078">
        <v>0</v>
      </c>
      <c r="Z1078">
        <v>0</v>
      </c>
      <c r="AA1078">
        <v>15.5</v>
      </c>
      <c r="AB1078">
        <v>28.875</v>
      </c>
      <c r="AC1078">
        <v>14</v>
      </c>
      <c r="AD1078">
        <v>28.942499999999999</v>
      </c>
    </row>
    <row r="1079" spans="1:30">
      <c r="A1079" t="s">
        <v>1241</v>
      </c>
      <c r="B1079">
        <v>73.875</v>
      </c>
      <c r="C1079">
        <v>8.0625</v>
      </c>
      <c r="D1079">
        <v>1.375</v>
      </c>
      <c r="E1079">
        <v>7.5625</v>
      </c>
      <c r="F1079" t="s">
        <v>21</v>
      </c>
      <c r="G1079">
        <v>1</v>
      </c>
      <c r="H1079">
        <v>1</v>
      </c>
      <c r="I1079">
        <v>1</v>
      </c>
      <c r="J1079">
        <v>0</v>
      </c>
      <c r="K1079">
        <v>24</v>
      </c>
      <c r="N1079">
        <v>0.5</v>
      </c>
      <c r="O1079">
        <v>0.38</v>
      </c>
      <c r="P1079">
        <v>3.5</v>
      </c>
      <c r="Q1079">
        <v>3.125</v>
      </c>
      <c r="R1079">
        <v>0</v>
      </c>
      <c r="S1079">
        <v>4</v>
      </c>
      <c r="T1079">
        <v>0.5</v>
      </c>
      <c r="U1079">
        <v>1</v>
      </c>
      <c r="V1079">
        <v>1</v>
      </c>
      <c r="W1079">
        <v>0</v>
      </c>
      <c r="X1079">
        <v>0</v>
      </c>
      <c r="Y1079">
        <v>0</v>
      </c>
      <c r="Z1079">
        <v>0</v>
      </c>
    </row>
    <row r="1080" spans="1:30">
      <c r="A1080" t="s">
        <v>1242</v>
      </c>
      <c r="B1080">
        <v>50.9375</v>
      </c>
      <c r="C1080">
        <v>46.25</v>
      </c>
      <c r="D1080">
        <v>12</v>
      </c>
      <c r="F1080" t="s">
        <v>21</v>
      </c>
      <c r="G1080">
        <v>1</v>
      </c>
      <c r="H1080">
        <v>1</v>
      </c>
      <c r="I1080">
        <v>1</v>
      </c>
      <c r="J1080">
        <v>0</v>
      </c>
      <c r="N1080">
        <v>0.5</v>
      </c>
      <c r="O1080">
        <v>0.38</v>
      </c>
      <c r="P1080">
        <v>3.5</v>
      </c>
      <c r="Q1080">
        <v>-7.5</v>
      </c>
      <c r="R1080">
        <v>4.5</v>
      </c>
      <c r="S1080">
        <v>4</v>
      </c>
      <c r="T1080">
        <v>0.5</v>
      </c>
      <c r="U1080">
        <v>0</v>
      </c>
      <c r="V1080">
        <v>0</v>
      </c>
      <c r="W1080">
        <v>0</v>
      </c>
      <c r="X1080">
        <v>0</v>
      </c>
      <c r="Y1080">
        <v>0.5</v>
      </c>
      <c r="Z1080">
        <v>0.5</v>
      </c>
    </row>
    <row r="1081" spans="1:30">
      <c r="A1081" t="s">
        <v>1243</v>
      </c>
      <c r="B1081">
        <v>96</v>
      </c>
      <c r="C1081">
        <v>40.4375</v>
      </c>
      <c r="D1081">
        <v>10.375</v>
      </c>
      <c r="E1081">
        <v>2.25</v>
      </c>
      <c r="F1081" t="s">
        <v>21</v>
      </c>
      <c r="G1081">
        <v>1</v>
      </c>
      <c r="H1081">
        <v>1</v>
      </c>
      <c r="I1081">
        <v>1</v>
      </c>
      <c r="J1081">
        <v>1</v>
      </c>
      <c r="N1081">
        <v>0.5</v>
      </c>
      <c r="O1081">
        <v>0.38</v>
      </c>
      <c r="P1081">
        <v>3.5</v>
      </c>
      <c r="Q1081">
        <v>-5.875</v>
      </c>
      <c r="R1081">
        <v>2.25</v>
      </c>
      <c r="S1081">
        <v>4</v>
      </c>
      <c r="T1081">
        <v>0.5</v>
      </c>
      <c r="U1081">
        <v>0</v>
      </c>
      <c r="V1081">
        <v>0</v>
      </c>
      <c r="W1081">
        <v>1</v>
      </c>
      <c r="X1081">
        <v>1</v>
      </c>
      <c r="Y1081">
        <v>0.5</v>
      </c>
      <c r="Z1081">
        <v>0.5</v>
      </c>
    </row>
    <row r="1082" spans="1:30">
      <c r="A1082" t="s">
        <v>1244</v>
      </c>
      <c r="B1082">
        <v>10.5625</v>
      </c>
      <c r="C1082">
        <v>47.6875</v>
      </c>
      <c r="D1082">
        <v>9</v>
      </c>
      <c r="E1082">
        <v>1</v>
      </c>
      <c r="F1082" t="s">
        <v>156</v>
      </c>
      <c r="G1082">
        <v>0</v>
      </c>
      <c r="I1082">
        <v>0</v>
      </c>
      <c r="L1082" t="s">
        <v>121</v>
      </c>
      <c r="N1082">
        <v>0.5</v>
      </c>
      <c r="O1082">
        <v>0.38</v>
      </c>
      <c r="P1082">
        <v>3.5</v>
      </c>
      <c r="Q1082">
        <v>-4.5</v>
      </c>
      <c r="R1082">
        <v>3.5</v>
      </c>
      <c r="S1082">
        <v>4</v>
      </c>
      <c r="T1082">
        <v>0.5</v>
      </c>
      <c r="U1082">
        <v>0</v>
      </c>
      <c r="V1082">
        <v>0</v>
      </c>
      <c r="W1082">
        <v>0</v>
      </c>
      <c r="X1082">
        <v>0</v>
      </c>
      <c r="Y1082">
        <v>0.5</v>
      </c>
      <c r="Z1082">
        <v>0.5</v>
      </c>
    </row>
    <row r="1083" spans="1:30">
      <c r="A1083" t="s">
        <v>1245</v>
      </c>
      <c r="B1083">
        <v>21.4375</v>
      </c>
      <c r="C1083">
        <v>47.625</v>
      </c>
      <c r="D1083">
        <v>9.5625</v>
      </c>
      <c r="E1083">
        <v>1.1875</v>
      </c>
      <c r="F1083" t="s">
        <v>156</v>
      </c>
      <c r="G1083">
        <v>0</v>
      </c>
      <c r="I1083">
        <v>1</v>
      </c>
      <c r="J1083">
        <v>0</v>
      </c>
      <c r="K1083">
        <v>12</v>
      </c>
      <c r="L1083" t="s">
        <v>121</v>
      </c>
      <c r="N1083">
        <v>0.5</v>
      </c>
      <c r="O1083">
        <v>0.38</v>
      </c>
      <c r="P1083">
        <v>3.5</v>
      </c>
      <c r="Q1083">
        <v>-5.0625</v>
      </c>
      <c r="R1083">
        <v>3.3125</v>
      </c>
      <c r="S1083">
        <v>4</v>
      </c>
      <c r="T1083">
        <v>0.5</v>
      </c>
      <c r="U1083">
        <v>0</v>
      </c>
      <c r="V1083">
        <v>0</v>
      </c>
      <c r="W1083">
        <v>0</v>
      </c>
      <c r="X1083">
        <v>0</v>
      </c>
      <c r="Y1083">
        <v>0.5</v>
      </c>
      <c r="Z1083">
        <v>0.5</v>
      </c>
    </row>
    <row r="1084" spans="1:30">
      <c r="A1084" t="s">
        <v>1246</v>
      </c>
      <c r="B1084">
        <v>43.0625</v>
      </c>
      <c r="C1084">
        <v>46.375</v>
      </c>
      <c r="D1084">
        <v>9</v>
      </c>
      <c r="E1084">
        <v>3.9375</v>
      </c>
      <c r="F1084" t="s">
        <v>156</v>
      </c>
      <c r="G1084">
        <v>0</v>
      </c>
      <c r="I1084">
        <v>1</v>
      </c>
      <c r="J1084">
        <v>0</v>
      </c>
      <c r="K1084">
        <v>24</v>
      </c>
      <c r="N1084">
        <v>0.5</v>
      </c>
      <c r="O1084">
        <v>0.38</v>
      </c>
      <c r="P1084">
        <v>3.5</v>
      </c>
      <c r="Q1084">
        <v>-4.5</v>
      </c>
      <c r="R1084">
        <v>0.5625</v>
      </c>
      <c r="S1084">
        <v>4</v>
      </c>
      <c r="T1084">
        <v>0.5</v>
      </c>
      <c r="U1084">
        <v>0</v>
      </c>
      <c r="V1084">
        <v>0</v>
      </c>
      <c r="W1084">
        <v>0</v>
      </c>
      <c r="X1084">
        <v>0</v>
      </c>
      <c r="Y1084">
        <v>0.5</v>
      </c>
      <c r="Z1084">
        <v>0.5</v>
      </c>
    </row>
    <row r="1085" spans="1:30">
      <c r="A1085" t="s">
        <v>1247</v>
      </c>
      <c r="B1085">
        <v>25.0625</v>
      </c>
      <c r="C1085">
        <v>57.0625</v>
      </c>
      <c r="D1085">
        <v>9</v>
      </c>
      <c r="E1085">
        <v>6.875</v>
      </c>
      <c r="F1085" t="s">
        <v>156</v>
      </c>
      <c r="G1085">
        <v>0</v>
      </c>
      <c r="I1085">
        <v>1</v>
      </c>
      <c r="J1085">
        <v>0</v>
      </c>
      <c r="N1085">
        <v>0.5</v>
      </c>
      <c r="O1085">
        <v>0.38</v>
      </c>
      <c r="P1085">
        <v>3.5</v>
      </c>
      <c r="Q1085">
        <v>-4.5</v>
      </c>
      <c r="R1085">
        <v>0</v>
      </c>
      <c r="S1085">
        <v>4</v>
      </c>
      <c r="T1085">
        <v>0.5</v>
      </c>
      <c r="U1085">
        <v>0</v>
      </c>
      <c r="V1085">
        <v>0</v>
      </c>
      <c r="W1085">
        <v>0</v>
      </c>
      <c r="X1085">
        <v>0</v>
      </c>
      <c r="Y1085">
        <v>0.5</v>
      </c>
      <c r="Z1085">
        <v>0.5</v>
      </c>
    </row>
    <row r="1086" spans="1:30">
      <c r="A1086" t="s">
        <v>1248</v>
      </c>
      <c r="B1086">
        <v>43.3125</v>
      </c>
      <c r="C1086">
        <v>67.5625</v>
      </c>
      <c r="D1086">
        <v>9</v>
      </c>
      <c r="E1086">
        <v>1.125</v>
      </c>
      <c r="F1086" t="s">
        <v>156</v>
      </c>
      <c r="G1086">
        <v>0</v>
      </c>
      <c r="I1086">
        <v>1</v>
      </c>
      <c r="J1086">
        <v>1</v>
      </c>
      <c r="N1086">
        <v>0.5</v>
      </c>
      <c r="O1086">
        <v>0.38</v>
      </c>
      <c r="P1086">
        <v>3.5</v>
      </c>
      <c r="Q1086">
        <v>-4.5</v>
      </c>
      <c r="R1086">
        <v>3.375</v>
      </c>
      <c r="S1086">
        <v>4</v>
      </c>
      <c r="T1086">
        <v>0.5</v>
      </c>
      <c r="U1086">
        <v>0</v>
      </c>
      <c r="V1086">
        <v>0</v>
      </c>
      <c r="W1086">
        <v>0</v>
      </c>
      <c r="X1086">
        <v>1</v>
      </c>
      <c r="Y1086">
        <v>0.5</v>
      </c>
      <c r="Z1086">
        <v>0.5</v>
      </c>
    </row>
    <row r="1087" spans="1:30">
      <c r="A1087" t="s">
        <v>1249</v>
      </c>
      <c r="B1087">
        <v>23.75</v>
      </c>
      <c r="C1087">
        <v>52.5</v>
      </c>
      <c r="D1087">
        <v>4.75</v>
      </c>
      <c r="E1087">
        <v>1</v>
      </c>
      <c r="F1087" t="s">
        <v>156</v>
      </c>
      <c r="G1087">
        <v>1</v>
      </c>
      <c r="H1087">
        <v>0</v>
      </c>
      <c r="I1087">
        <v>0</v>
      </c>
      <c r="N1087">
        <v>0.5</v>
      </c>
      <c r="O1087">
        <v>0.38</v>
      </c>
      <c r="P1087">
        <v>3.5</v>
      </c>
      <c r="Q1087">
        <v>-0.25</v>
      </c>
      <c r="R1087">
        <v>3.5</v>
      </c>
      <c r="S1087">
        <v>4</v>
      </c>
      <c r="T1087">
        <v>0.5</v>
      </c>
      <c r="U1087">
        <v>0</v>
      </c>
      <c r="V1087">
        <v>0</v>
      </c>
      <c r="W1087">
        <v>0</v>
      </c>
      <c r="X1087">
        <v>0</v>
      </c>
      <c r="Y1087">
        <v>0.5</v>
      </c>
      <c r="Z1087">
        <v>0.5</v>
      </c>
    </row>
    <row r="1088" spans="1:30">
      <c r="A1088" t="s">
        <v>1250</v>
      </c>
      <c r="B1088">
        <v>13.875</v>
      </c>
      <c r="C1088">
        <v>44</v>
      </c>
      <c r="D1088">
        <v>1</v>
      </c>
      <c r="F1088" t="s">
        <v>156</v>
      </c>
      <c r="G1088">
        <v>1</v>
      </c>
      <c r="H1088">
        <v>0</v>
      </c>
      <c r="I1088">
        <v>1</v>
      </c>
      <c r="J1088">
        <v>0</v>
      </c>
      <c r="K1088">
        <v>12</v>
      </c>
      <c r="L1088" t="s">
        <v>121</v>
      </c>
      <c r="N1088">
        <v>0.5</v>
      </c>
      <c r="O1088">
        <v>0.38</v>
      </c>
      <c r="P1088">
        <v>3.5</v>
      </c>
      <c r="Q1088">
        <v>3.5</v>
      </c>
      <c r="R1088">
        <v>4.5</v>
      </c>
      <c r="S1088">
        <v>4</v>
      </c>
      <c r="T1088">
        <v>0.5</v>
      </c>
      <c r="U1088">
        <v>0</v>
      </c>
      <c r="V1088">
        <v>0</v>
      </c>
      <c r="W1088">
        <v>0</v>
      </c>
      <c r="X1088">
        <v>0</v>
      </c>
      <c r="Y1088">
        <v>0.5</v>
      </c>
      <c r="Z1088">
        <v>0.5</v>
      </c>
    </row>
    <row r="1089" spans="1:30">
      <c r="A1089" t="s">
        <v>1251</v>
      </c>
      <c r="B1089">
        <v>38.25</v>
      </c>
      <c r="C1089">
        <v>64.1875</v>
      </c>
      <c r="D1089">
        <v>9</v>
      </c>
      <c r="E1089">
        <v>1.875</v>
      </c>
      <c r="F1089" t="s">
        <v>156</v>
      </c>
      <c r="G1089">
        <v>1</v>
      </c>
      <c r="H1089">
        <v>0</v>
      </c>
      <c r="I1089">
        <v>1</v>
      </c>
      <c r="J1089">
        <v>0</v>
      </c>
      <c r="K1089">
        <v>24</v>
      </c>
      <c r="L1089" t="s">
        <v>119</v>
      </c>
      <c r="N1089">
        <v>0.5</v>
      </c>
      <c r="O1089">
        <v>0.38</v>
      </c>
      <c r="P1089">
        <v>3.5</v>
      </c>
      <c r="Q1089">
        <v>-4.5</v>
      </c>
      <c r="R1089">
        <v>2.625</v>
      </c>
      <c r="S1089">
        <v>4</v>
      </c>
      <c r="T1089">
        <v>0.5</v>
      </c>
      <c r="U1089">
        <v>0</v>
      </c>
      <c r="V1089">
        <v>0</v>
      </c>
      <c r="W1089">
        <v>0</v>
      </c>
      <c r="X1089">
        <v>0</v>
      </c>
      <c r="Y1089">
        <v>0.5</v>
      </c>
      <c r="Z1089">
        <v>0.5</v>
      </c>
    </row>
    <row r="1090" spans="1:30">
      <c r="A1090" t="s">
        <v>1252</v>
      </c>
      <c r="B1090">
        <v>40.5625</v>
      </c>
      <c r="C1090">
        <v>40.5</v>
      </c>
      <c r="D1090">
        <v>4.5</v>
      </c>
      <c r="F1090" t="s">
        <v>156</v>
      </c>
      <c r="G1090">
        <v>1</v>
      </c>
      <c r="H1090">
        <v>0</v>
      </c>
      <c r="I1090">
        <v>1</v>
      </c>
      <c r="J1090">
        <v>0</v>
      </c>
      <c r="N1090">
        <v>0.5</v>
      </c>
      <c r="O1090">
        <v>0.38</v>
      </c>
      <c r="P1090">
        <v>3.5</v>
      </c>
      <c r="Q1090">
        <v>0</v>
      </c>
      <c r="R1090">
        <v>4.5</v>
      </c>
      <c r="S1090">
        <v>4</v>
      </c>
      <c r="T1090">
        <v>0.5</v>
      </c>
      <c r="U1090">
        <v>0</v>
      </c>
      <c r="V1090">
        <v>0</v>
      </c>
      <c r="W1090">
        <v>0</v>
      </c>
      <c r="X1090">
        <v>0</v>
      </c>
      <c r="Y1090">
        <v>0.5</v>
      </c>
      <c r="Z1090">
        <v>0.5</v>
      </c>
    </row>
    <row r="1091" spans="1:30">
      <c r="A1091" t="s">
        <v>1253</v>
      </c>
      <c r="B1091">
        <v>18.8125</v>
      </c>
      <c r="C1091">
        <v>73.625</v>
      </c>
      <c r="D1091">
        <v>9</v>
      </c>
      <c r="F1091" t="s">
        <v>156</v>
      </c>
      <c r="G1091">
        <v>1</v>
      </c>
      <c r="H1091">
        <v>0</v>
      </c>
      <c r="I1091">
        <v>1</v>
      </c>
      <c r="J1091">
        <v>1</v>
      </c>
      <c r="N1091">
        <v>0.5</v>
      </c>
      <c r="O1091">
        <v>0.38</v>
      </c>
      <c r="P1091">
        <v>3.5</v>
      </c>
      <c r="Q1091">
        <v>-4.5</v>
      </c>
      <c r="R1091">
        <v>4.5</v>
      </c>
      <c r="S1091">
        <v>4</v>
      </c>
      <c r="T1091">
        <v>0.5</v>
      </c>
      <c r="U1091">
        <v>0</v>
      </c>
      <c r="V1091">
        <v>0</v>
      </c>
      <c r="W1091">
        <v>0</v>
      </c>
      <c r="X1091">
        <v>0</v>
      </c>
      <c r="Y1091">
        <v>0.5</v>
      </c>
      <c r="Z1091">
        <v>0.5</v>
      </c>
    </row>
    <row r="1092" spans="1:30">
      <c r="A1092" t="s">
        <v>1254</v>
      </c>
      <c r="B1092">
        <v>23.1875</v>
      </c>
      <c r="C1092">
        <v>46.9375</v>
      </c>
      <c r="D1092">
        <v>4.5</v>
      </c>
      <c r="F1092" t="s">
        <v>156</v>
      </c>
      <c r="G1092">
        <v>1</v>
      </c>
      <c r="H1092">
        <v>1</v>
      </c>
      <c r="I1092">
        <v>0</v>
      </c>
      <c r="L1092" t="s">
        <v>120</v>
      </c>
      <c r="N1092">
        <v>0.5</v>
      </c>
      <c r="O1092">
        <v>0.38</v>
      </c>
      <c r="P1092">
        <v>3.5</v>
      </c>
      <c r="Q1092">
        <v>0</v>
      </c>
      <c r="R1092">
        <v>4.5</v>
      </c>
      <c r="S1092">
        <v>4</v>
      </c>
      <c r="T1092">
        <v>0.5</v>
      </c>
      <c r="U1092">
        <v>0</v>
      </c>
      <c r="V1092">
        <v>0</v>
      </c>
      <c r="W1092">
        <v>0</v>
      </c>
      <c r="X1092">
        <v>0</v>
      </c>
      <c r="Y1092">
        <v>0.5</v>
      </c>
      <c r="Z1092">
        <v>0.5</v>
      </c>
    </row>
    <row r="1093" spans="1:30">
      <c r="A1093" t="s">
        <v>1255</v>
      </c>
      <c r="B1093">
        <v>32.25</v>
      </c>
      <c r="C1093">
        <v>56.875</v>
      </c>
      <c r="D1093">
        <v>11.4375</v>
      </c>
      <c r="F1093" t="s">
        <v>156</v>
      </c>
      <c r="G1093">
        <v>1</v>
      </c>
      <c r="H1093">
        <v>1</v>
      </c>
      <c r="I1093">
        <v>1</v>
      </c>
      <c r="J1093">
        <v>0</v>
      </c>
      <c r="K1093">
        <v>12</v>
      </c>
      <c r="L1093" t="s">
        <v>35</v>
      </c>
      <c r="N1093">
        <v>0.5</v>
      </c>
      <c r="O1093">
        <v>0.38</v>
      </c>
      <c r="P1093">
        <v>3.5</v>
      </c>
      <c r="Q1093">
        <v>-6.9375</v>
      </c>
      <c r="R1093">
        <v>4.5</v>
      </c>
      <c r="S1093">
        <v>4</v>
      </c>
      <c r="T1093">
        <v>0.5</v>
      </c>
      <c r="U1093">
        <v>0</v>
      </c>
      <c r="V1093">
        <v>0</v>
      </c>
      <c r="W1093">
        <v>0</v>
      </c>
      <c r="X1093">
        <v>0</v>
      </c>
      <c r="Y1093">
        <v>0.5</v>
      </c>
      <c r="Z1093">
        <v>0.5</v>
      </c>
    </row>
    <row r="1094" spans="1:30">
      <c r="A1094" t="s">
        <v>1256</v>
      </c>
      <c r="B1094">
        <v>24.375</v>
      </c>
      <c r="C1094">
        <v>56.75</v>
      </c>
      <c r="D1094">
        <v>10.5625</v>
      </c>
      <c r="E1094">
        <v>1</v>
      </c>
      <c r="F1094" t="s">
        <v>156</v>
      </c>
      <c r="G1094">
        <v>1</v>
      </c>
      <c r="H1094">
        <v>1</v>
      </c>
      <c r="I1094">
        <v>1</v>
      </c>
      <c r="J1094">
        <v>0</v>
      </c>
      <c r="K1094">
        <v>24</v>
      </c>
      <c r="L1094" t="s">
        <v>145</v>
      </c>
      <c r="N1094">
        <v>0.5</v>
      </c>
      <c r="O1094">
        <v>0.38</v>
      </c>
      <c r="P1094">
        <v>3.5</v>
      </c>
      <c r="Q1094">
        <v>-6.0625</v>
      </c>
      <c r="R1094">
        <v>3.5</v>
      </c>
      <c r="S1094">
        <v>4</v>
      </c>
      <c r="T1094">
        <v>0.5</v>
      </c>
      <c r="U1094">
        <v>0</v>
      </c>
      <c r="V1094">
        <v>0</v>
      </c>
      <c r="W1094">
        <v>1</v>
      </c>
      <c r="X1094">
        <v>0</v>
      </c>
      <c r="Y1094">
        <v>0.5</v>
      </c>
      <c r="Z1094">
        <v>0.5</v>
      </c>
    </row>
    <row r="1095" spans="1:30">
      <c r="A1095" t="s">
        <v>1257</v>
      </c>
      <c r="B1095">
        <v>48.3125</v>
      </c>
      <c r="C1095">
        <v>76.125</v>
      </c>
      <c r="D1095">
        <v>1</v>
      </c>
      <c r="E1095">
        <v>3.0625</v>
      </c>
      <c r="F1095" t="s">
        <v>156</v>
      </c>
      <c r="G1095">
        <v>1</v>
      </c>
      <c r="H1095">
        <v>1</v>
      </c>
      <c r="I1095">
        <v>1</v>
      </c>
      <c r="J1095">
        <v>0</v>
      </c>
      <c r="N1095">
        <v>0.5</v>
      </c>
      <c r="O1095">
        <v>0.38</v>
      </c>
      <c r="P1095">
        <v>3.5</v>
      </c>
      <c r="Q1095">
        <v>3.5</v>
      </c>
      <c r="R1095">
        <v>1.4375</v>
      </c>
      <c r="S1095">
        <v>4</v>
      </c>
      <c r="T1095">
        <v>0.5</v>
      </c>
      <c r="U1095">
        <v>0</v>
      </c>
      <c r="V1095">
        <v>0</v>
      </c>
      <c r="W1095">
        <v>1</v>
      </c>
      <c r="X1095">
        <v>0</v>
      </c>
      <c r="Y1095">
        <v>0.5</v>
      </c>
      <c r="Z1095">
        <v>0.5</v>
      </c>
    </row>
    <row r="1096" spans="1:30">
      <c r="A1096" t="s">
        <v>1258</v>
      </c>
      <c r="B1096">
        <v>25.6875</v>
      </c>
      <c r="C1096">
        <v>36.625</v>
      </c>
      <c r="D1096">
        <v>1</v>
      </c>
      <c r="E1096">
        <v>1</v>
      </c>
      <c r="F1096" t="s">
        <v>156</v>
      </c>
      <c r="G1096">
        <v>1</v>
      </c>
      <c r="H1096">
        <v>1</v>
      </c>
      <c r="I1096">
        <v>1</v>
      </c>
      <c r="J1096">
        <v>1</v>
      </c>
      <c r="N1096">
        <v>0.5</v>
      </c>
      <c r="O1096">
        <v>0.38</v>
      </c>
      <c r="P1096">
        <v>3.5</v>
      </c>
      <c r="Q1096">
        <v>3.5</v>
      </c>
      <c r="R1096">
        <v>3.5</v>
      </c>
      <c r="S1096">
        <v>4</v>
      </c>
      <c r="T1096">
        <v>0.5</v>
      </c>
      <c r="U1096">
        <v>0</v>
      </c>
      <c r="V1096">
        <v>0</v>
      </c>
      <c r="W1096">
        <v>1</v>
      </c>
      <c r="X1096">
        <v>1</v>
      </c>
      <c r="Y1096">
        <v>0.5</v>
      </c>
      <c r="Z1096">
        <v>0.5</v>
      </c>
    </row>
    <row r="1097" spans="1:30">
      <c r="A1097" t="s">
        <v>1259</v>
      </c>
      <c r="B1097">
        <v>60</v>
      </c>
      <c r="C1097">
        <v>72</v>
      </c>
      <c r="D1097">
        <v>4.5</v>
      </c>
      <c r="E1097">
        <v>6</v>
      </c>
      <c r="F1097" t="s">
        <v>157</v>
      </c>
      <c r="G1097">
        <v>0</v>
      </c>
      <c r="I1097">
        <v>0</v>
      </c>
      <c r="L1097" t="s">
        <v>120</v>
      </c>
      <c r="N1097">
        <v>0.5</v>
      </c>
      <c r="O1097">
        <v>0.38</v>
      </c>
      <c r="P1097">
        <v>3.5</v>
      </c>
      <c r="Q1097">
        <v>0</v>
      </c>
      <c r="R1097">
        <v>0</v>
      </c>
      <c r="S1097">
        <v>4</v>
      </c>
      <c r="T1097">
        <v>0.5</v>
      </c>
      <c r="U1097">
        <v>0</v>
      </c>
      <c r="V1097">
        <v>0</v>
      </c>
      <c r="W1097">
        <v>0</v>
      </c>
      <c r="X1097">
        <v>0</v>
      </c>
      <c r="Y1097">
        <v>0.5</v>
      </c>
      <c r="Z1097">
        <v>0.5</v>
      </c>
      <c r="AA1097">
        <v>11.5</v>
      </c>
      <c r="AB1097">
        <v>10.875</v>
      </c>
      <c r="AC1097">
        <v>28.94</v>
      </c>
      <c r="AD1097">
        <v>13.5</v>
      </c>
    </row>
    <row r="1098" spans="1:30">
      <c r="A1098" t="s">
        <v>1260</v>
      </c>
      <c r="B1098">
        <v>60</v>
      </c>
      <c r="C1098">
        <v>46.0625</v>
      </c>
      <c r="D1098">
        <v>4.5</v>
      </c>
      <c r="F1098" t="s">
        <v>157</v>
      </c>
      <c r="G1098">
        <v>0</v>
      </c>
      <c r="I1098">
        <v>1</v>
      </c>
      <c r="J1098">
        <v>0</v>
      </c>
      <c r="K1098">
        <v>12</v>
      </c>
      <c r="L1098" t="s">
        <v>145</v>
      </c>
      <c r="N1098">
        <v>0.5</v>
      </c>
      <c r="O1098">
        <v>0.38</v>
      </c>
      <c r="P1098">
        <v>3.5</v>
      </c>
      <c r="Q1098">
        <v>0</v>
      </c>
      <c r="R1098">
        <v>4.5</v>
      </c>
      <c r="S1098">
        <v>4</v>
      </c>
      <c r="T1098">
        <v>0.5</v>
      </c>
      <c r="U1098">
        <v>0</v>
      </c>
      <c r="V1098">
        <v>0</v>
      </c>
      <c r="W1098">
        <v>0</v>
      </c>
      <c r="X1098">
        <v>0</v>
      </c>
      <c r="Y1098">
        <v>0.5</v>
      </c>
      <c r="Z1098">
        <v>0.5</v>
      </c>
      <c r="AA1098">
        <v>15.5</v>
      </c>
      <c r="AB1098">
        <v>28.875</v>
      </c>
      <c r="AC1098">
        <v>14</v>
      </c>
      <c r="AD1098">
        <v>25.63</v>
      </c>
    </row>
    <row r="1099" spans="1:30">
      <c r="A1099" t="s">
        <v>1261</v>
      </c>
      <c r="B1099">
        <v>60</v>
      </c>
      <c r="C1099">
        <v>60.9375</v>
      </c>
      <c r="D1099">
        <v>12</v>
      </c>
      <c r="E1099">
        <v>2.3125</v>
      </c>
      <c r="F1099" t="s">
        <v>157</v>
      </c>
      <c r="G1099">
        <v>0</v>
      </c>
      <c r="I1099">
        <v>1</v>
      </c>
      <c r="J1099">
        <v>0</v>
      </c>
      <c r="K1099">
        <v>24</v>
      </c>
      <c r="L1099" t="s">
        <v>151</v>
      </c>
      <c r="N1099">
        <v>0.5</v>
      </c>
      <c r="O1099">
        <v>0.38</v>
      </c>
      <c r="P1099">
        <v>3.5</v>
      </c>
      <c r="Q1099">
        <v>-7.5</v>
      </c>
      <c r="R1099">
        <v>2.1875</v>
      </c>
      <c r="S1099">
        <v>4</v>
      </c>
      <c r="T1099">
        <v>0.5</v>
      </c>
      <c r="U1099">
        <v>0</v>
      </c>
      <c r="V1099">
        <v>0</v>
      </c>
      <c r="W1099">
        <v>0</v>
      </c>
      <c r="X1099">
        <v>0</v>
      </c>
      <c r="Y1099">
        <v>0.5</v>
      </c>
      <c r="Z1099">
        <v>0.5</v>
      </c>
      <c r="AA1099">
        <v>15.5</v>
      </c>
      <c r="AB1099">
        <v>28.875</v>
      </c>
    </row>
    <row r="1100" spans="1:30">
      <c r="A1100" t="s">
        <v>1262</v>
      </c>
      <c r="B1100">
        <v>60</v>
      </c>
      <c r="C1100">
        <v>75.125</v>
      </c>
      <c r="D1100">
        <v>7.4375</v>
      </c>
      <c r="E1100">
        <v>7.5625</v>
      </c>
      <c r="F1100" t="s">
        <v>157</v>
      </c>
      <c r="G1100">
        <v>0</v>
      </c>
      <c r="I1100">
        <v>1</v>
      </c>
      <c r="J1100">
        <v>0</v>
      </c>
      <c r="N1100">
        <v>0.5</v>
      </c>
      <c r="O1100">
        <v>0.38</v>
      </c>
      <c r="P1100">
        <v>3.5</v>
      </c>
      <c r="Q1100">
        <v>-2.9375</v>
      </c>
      <c r="R1100">
        <v>0</v>
      </c>
      <c r="S1100">
        <v>4</v>
      </c>
      <c r="T1100">
        <v>0.5</v>
      </c>
      <c r="U1100">
        <v>0</v>
      </c>
      <c r="V1100">
        <v>0</v>
      </c>
      <c r="W1100">
        <v>0</v>
      </c>
      <c r="X1100">
        <v>0</v>
      </c>
      <c r="Y1100">
        <v>0.5</v>
      </c>
      <c r="Z1100">
        <v>0.5</v>
      </c>
    </row>
    <row r="1101" spans="1:30">
      <c r="A1101" t="s">
        <v>1263</v>
      </c>
      <c r="B1101">
        <v>60</v>
      </c>
      <c r="C1101">
        <v>51.375</v>
      </c>
      <c r="D1101">
        <v>4.5</v>
      </c>
      <c r="E1101">
        <v>8.4375</v>
      </c>
      <c r="F1101" t="s">
        <v>157</v>
      </c>
      <c r="G1101">
        <v>0</v>
      </c>
      <c r="I1101">
        <v>1</v>
      </c>
      <c r="J1101">
        <v>1</v>
      </c>
      <c r="N1101">
        <v>0.5</v>
      </c>
      <c r="O1101">
        <v>0.38</v>
      </c>
      <c r="P1101">
        <v>3.5</v>
      </c>
      <c r="Q1101">
        <v>0</v>
      </c>
      <c r="R1101">
        <v>0</v>
      </c>
      <c r="S1101">
        <v>4</v>
      </c>
      <c r="T1101">
        <v>0.5</v>
      </c>
      <c r="U1101">
        <v>0</v>
      </c>
      <c r="V1101">
        <v>0</v>
      </c>
      <c r="W1101">
        <v>0</v>
      </c>
      <c r="X1101">
        <v>0</v>
      </c>
      <c r="Y1101">
        <v>0.5</v>
      </c>
      <c r="Z1101">
        <v>0.5</v>
      </c>
    </row>
    <row r="1102" spans="1:30">
      <c r="A1102" t="s">
        <v>1264</v>
      </c>
      <c r="B1102">
        <v>60</v>
      </c>
      <c r="C1102">
        <v>43.25</v>
      </c>
      <c r="D1102">
        <v>9</v>
      </c>
      <c r="F1102" t="s">
        <v>157</v>
      </c>
      <c r="G1102">
        <v>1</v>
      </c>
      <c r="H1102">
        <v>0</v>
      </c>
      <c r="I1102">
        <v>0</v>
      </c>
      <c r="L1102" t="s">
        <v>120</v>
      </c>
      <c r="N1102">
        <v>0.5</v>
      </c>
      <c r="O1102">
        <v>0.38</v>
      </c>
      <c r="P1102">
        <v>3.5</v>
      </c>
      <c r="Q1102">
        <v>-4.5</v>
      </c>
      <c r="R1102">
        <v>4.5</v>
      </c>
      <c r="S1102">
        <v>4</v>
      </c>
      <c r="T1102">
        <v>0.5</v>
      </c>
      <c r="U1102">
        <v>0</v>
      </c>
      <c r="V1102">
        <v>0</v>
      </c>
      <c r="W1102">
        <v>0</v>
      </c>
      <c r="X1102">
        <v>0</v>
      </c>
      <c r="Y1102">
        <v>0.5</v>
      </c>
      <c r="Z1102">
        <v>0.5</v>
      </c>
      <c r="AA1102">
        <v>11.5</v>
      </c>
      <c r="AB1102">
        <v>10.875</v>
      </c>
      <c r="AC1102">
        <v>28.94</v>
      </c>
      <c r="AD1102">
        <v>9</v>
      </c>
    </row>
    <row r="1103" spans="1:30">
      <c r="A1103" t="s">
        <v>1265</v>
      </c>
      <c r="B1103">
        <v>60</v>
      </c>
      <c r="C1103">
        <v>71.625</v>
      </c>
      <c r="D1103">
        <v>1.875</v>
      </c>
      <c r="F1103" t="s">
        <v>157</v>
      </c>
      <c r="G1103">
        <v>1</v>
      </c>
      <c r="H1103">
        <v>0</v>
      </c>
      <c r="I1103">
        <v>1</v>
      </c>
      <c r="J1103">
        <v>0</v>
      </c>
      <c r="K1103">
        <v>12</v>
      </c>
      <c r="L1103" t="s">
        <v>145</v>
      </c>
      <c r="N1103">
        <v>0.5</v>
      </c>
      <c r="O1103">
        <v>0.38</v>
      </c>
      <c r="P1103">
        <v>3.5</v>
      </c>
      <c r="Q1103">
        <v>2.625</v>
      </c>
      <c r="R1103">
        <v>4.5</v>
      </c>
      <c r="S1103">
        <v>4</v>
      </c>
      <c r="T1103">
        <v>0.5</v>
      </c>
      <c r="U1103">
        <v>1</v>
      </c>
      <c r="V1103">
        <v>1</v>
      </c>
      <c r="W1103">
        <v>0</v>
      </c>
      <c r="X1103">
        <v>0</v>
      </c>
      <c r="Y1103">
        <v>0</v>
      </c>
      <c r="Z1103">
        <v>0</v>
      </c>
      <c r="AA1103">
        <v>15.5</v>
      </c>
      <c r="AB1103">
        <v>28.875</v>
      </c>
      <c r="AC1103">
        <v>14</v>
      </c>
      <c r="AD1103">
        <v>28.254999999999999</v>
      </c>
    </row>
    <row r="1104" spans="1:30">
      <c r="A1104" t="s">
        <v>1266</v>
      </c>
      <c r="B1104">
        <v>60</v>
      </c>
      <c r="C1104">
        <v>46.8125</v>
      </c>
      <c r="D1104">
        <v>4.5</v>
      </c>
      <c r="E1104">
        <v>7.25</v>
      </c>
      <c r="F1104" t="s">
        <v>157</v>
      </c>
      <c r="G1104">
        <v>1</v>
      </c>
      <c r="H1104">
        <v>0</v>
      </c>
      <c r="I1104">
        <v>1</v>
      </c>
      <c r="J1104">
        <v>0</v>
      </c>
      <c r="K1104">
        <v>24</v>
      </c>
      <c r="N1104">
        <v>0.5</v>
      </c>
      <c r="O1104">
        <v>0.38</v>
      </c>
      <c r="P1104">
        <v>3.5</v>
      </c>
      <c r="Q1104">
        <v>0</v>
      </c>
      <c r="R1104">
        <v>0</v>
      </c>
      <c r="S1104">
        <v>4</v>
      </c>
      <c r="T1104">
        <v>0.5</v>
      </c>
      <c r="U1104">
        <v>0</v>
      </c>
      <c r="V1104">
        <v>0</v>
      </c>
      <c r="W1104">
        <v>0</v>
      </c>
      <c r="X1104">
        <v>0</v>
      </c>
      <c r="Y1104">
        <v>0.5</v>
      </c>
      <c r="Z1104">
        <v>0.5</v>
      </c>
    </row>
    <row r="1105" spans="1:30">
      <c r="A1105" t="s">
        <v>1267</v>
      </c>
      <c r="B1105">
        <v>60</v>
      </c>
      <c r="C1105">
        <v>48.75</v>
      </c>
      <c r="D1105">
        <v>11.0625</v>
      </c>
      <c r="E1105">
        <v>6.125</v>
      </c>
      <c r="F1105" t="s">
        <v>157</v>
      </c>
      <c r="G1105">
        <v>1</v>
      </c>
      <c r="H1105">
        <v>0</v>
      </c>
      <c r="I1105">
        <v>1</v>
      </c>
      <c r="J1105">
        <v>0</v>
      </c>
      <c r="N1105">
        <v>0.5</v>
      </c>
      <c r="O1105">
        <v>0.38</v>
      </c>
      <c r="P1105">
        <v>3.5</v>
      </c>
      <c r="Q1105">
        <v>-6.5625</v>
      </c>
      <c r="R1105">
        <v>0</v>
      </c>
      <c r="S1105">
        <v>4</v>
      </c>
      <c r="T1105">
        <v>0.5</v>
      </c>
      <c r="U1105">
        <v>0</v>
      </c>
      <c r="V1105">
        <v>0</v>
      </c>
      <c r="W1105">
        <v>0</v>
      </c>
      <c r="X1105">
        <v>0</v>
      </c>
      <c r="Y1105">
        <v>0.5</v>
      </c>
      <c r="Z1105">
        <v>0.5</v>
      </c>
    </row>
    <row r="1106" spans="1:30">
      <c r="A1106" t="s">
        <v>1268</v>
      </c>
      <c r="B1106">
        <v>60</v>
      </c>
      <c r="C1106">
        <v>72.0625</v>
      </c>
      <c r="D1106">
        <v>2.375</v>
      </c>
      <c r="E1106">
        <v>1</v>
      </c>
      <c r="F1106" t="s">
        <v>157</v>
      </c>
      <c r="G1106">
        <v>1</v>
      </c>
      <c r="H1106">
        <v>0</v>
      </c>
      <c r="I1106">
        <v>1</v>
      </c>
      <c r="J1106">
        <v>1</v>
      </c>
      <c r="N1106">
        <v>0.5</v>
      </c>
      <c r="O1106">
        <v>0.38</v>
      </c>
      <c r="P1106">
        <v>3.5</v>
      </c>
      <c r="Q1106">
        <v>2.125</v>
      </c>
      <c r="R1106">
        <v>3.5</v>
      </c>
      <c r="S1106">
        <v>4</v>
      </c>
      <c r="T1106">
        <v>0.5</v>
      </c>
      <c r="U1106">
        <v>1</v>
      </c>
      <c r="V1106">
        <v>1</v>
      </c>
      <c r="W1106">
        <v>0</v>
      </c>
      <c r="X1106">
        <v>0</v>
      </c>
      <c r="Y1106">
        <v>0</v>
      </c>
      <c r="Z1106">
        <v>0</v>
      </c>
    </row>
    <row r="1107" spans="1:30">
      <c r="A1107" t="s">
        <v>1269</v>
      </c>
      <c r="B1107">
        <v>60</v>
      </c>
      <c r="C1107">
        <v>70.4375</v>
      </c>
      <c r="D1107">
        <v>4.5</v>
      </c>
      <c r="F1107" t="s">
        <v>157</v>
      </c>
      <c r="G1107">
        <v>1</v>
      </c>
      <c r="H1107">
        <v>1</v>
      </c>
      <c r="I1107">
        <v>0</v>
      </c>
      <c r="L1107" t="s">
        <v>150</v>
      </c>
      <c r="N1107">
        <v>0.5</v>
      </c>
      <c r="O1107">
        <v>0.38</v>
      </c>
      <c r="P1107">
        <v>3.5</v>
      </c>
      <c r="Q1107">
        <v>0</v>
      </c>
      <c r="R1107">
        <v>4.5</v>
      </c>
      <c r="S1107">
        <v>4</v>
      </c>
      <c r="T1107">
        <v>0.5</v>
      </c>
      <c r="U1107">
        <v>0</v>
      </c>
      <c r="V1107">
        <v>0</v>
      </c>
      <c r="W1107">
        <v>0</v>
      </c>
      <c r="X1107">
        <v>0</v>
      </c>
      <c r="Y1107">
        <v>0.5</v>
      </c>
      <c r="Z1107">
        <v>0.5</v>
      </c>
      <c r="AA1107">
        <v>15.5</v>
      </c>
      <c r="AB1107">
        <v>28.875</v>
      </c>
      <c r="AC1107">
        <v>21</v>
      </c>
      <c r="AD1107">
        <v>13.5</v>
      </c>
    </row>
    <row r="1108" spans="1:30">
      <c r="A1108" t="s">
        <v>1270</v>
      </c>
      <c r="B1108">
        <v>60</v>
      </c>
      <c r="C1108">
        <v>50.5</v>
      </c>
      <c r="D1108">
        <v>4.5</v>
      </c>
      <c r="E1108">
        <v>1</v>
      </c>
      <c r="F1108" t="s">
        <v>157</v>
      </c>
      <c r="G1108">
        <v>1</v>
      </c>
      <c r="H1108">
        <v>1</v>
      </c>
      <c r="I1108">
        <v>1</v>
      </c>
      <c r="J1108">
        <v>0</v>
      </c>
      <c r="K1108">
        <v>12</v>
      </c>
      <c r="L1108" t="s">
        <v>148</v>
      </c>
      <c r="N1108">
        <v>0.5</v>
      </c>
      <c r="O1108">
        <v>0.38</v>
      </c>
      <c r="P1108">
        <v>3.5</v>
      </c>
      <c r="Q1108">
        <v>0</v>
      </c>
      <c r="R1108">
        <v>3.5</v>
      </c>
      <c r="S1108">
        <v>4</v>
      </c>
      <c r="T1108">
        <v>0.5</v>
      </c>
      <c r="U1108">
        <v>0</v>
      </c>
      <c r="V1108">
        <v>0</v>
      </c>
      <c r="W1108">
        <v>0</v>
      </c>
      <c r="X1108">
        <v>0</v>
      </c>
      <c r="Y1108">
        <v>0.5</v>
      </c>
      <c r="Z1108">
        <v>0.5</v>
      </c>
      <c r="AA1108">
        <v>15.5</v>
      </c>
      <c r="AB1108">
        <v>28.875</v>
      </c>
      <c r="AC1108">
        <v>9</v>
      </c>
      <c r="AD1108">
        <v>13.5</v>
      </c>
    </row>
    <row r="1109" spans="1:30">
      <c r="A1109" t="s">
        <v>1271</v>
      </c>
      <c r="B1109">
        <v>60</v>
      </c>
      <c r="C1109">
        <v>62.125</v>
      </c>
      <c r="D1109">
        <v>4.5</v>
      </c>
      <c r="E1109">
        <v>6.375</v>
      </c>
      <c r="F1109" t="s">
        <v>157</v>
      </c>
      <c r="G1109">
        <v>1</v>
      </c>
      <c r="H1109">
        <v>1</v>
      </c>
      <c r="I1109">
        <v>1</v>
      </c>
      <c r="J1109">
        <v>0</v>
      </c>
      <c r="K1109">
        <v>24</v>
      </c>
      <c r="L1109" t="s">
        <v>145</v>
      </c>
      <c r="N1109">
        <v>0.5</v>
      </c>
      <c r="O1109">
        <v>0.38</v>
      </c>
      <c r="P1109">
        <v>3.5</v>
      </c>
      <c r="Q1109">
        <v>0</v>
      </c>
      <c r="R1109">
        <v>0</v>
      </c>
      <c r="S1109">
        <v>4</v>
      </c>
      <c r="T1109">
        <v>0.5</v>
      </c>
      <c r="U1109">
        <v>0</v>
      </c>
      <c r="V1109">
        <v>0</v>
      </c>
      <c r="W1109">
        <v>0</v>
      </c>
      <c r="X1109">
        <v>0</v>
      </c>
      <c r="Y1109">
        <v>0.5</v>
      </c>
      <c r="Z1109">
        <v>0.5</v>
      </c>
      <c r="AA1109">
        <v>15.5</v>
      </c>
      <c r="AB1109">
        <v>28.875</v>
      </c>
    </row>
    <row r="1110" spans="1:30">
      <c r="A1110" t="s">
        <v>1272</v>
      </c>
      <c r="B1110">
        <v>60</v>
      </c>
      <c r="C1110">
        <v>79.75</v>
      </c>
      <c r="D1110">
        <v>2</v>
      </c>
      <c r="E1110">
        <v>3</v>
      </c>
      <c r="F1110" t="s">
        <v>157</v>
      </c>
      <c r="G1110">
        <v>1</v>
      </c>
      <c r="H1110">
        <v>1</v>
      </c>
      <c r="I1110">
        <v>1</v>
      </c>
      <c r="J1110">
        <v>0</v>
      </c>
      <c r="N1110">
        <v>0.5</v>
      </c>
      <c r="O1110">
        <v>0.38</v>
      </c>
      <c r="P1110">
        <v>3.5</v>
      </c>
      <c r="Q1110">
        <v>2.5</v>
      </c>
      <c r="R1110">
        <v>1.5</v>
      </c>
      <c r="S1110">
        <v>4</v>
      </c>
      <c r="T1110">
        <v>0.5</v>
      </c>
      <c r="U1110">
        <v>1</v>
      </c>
      <c r="V1110">
        <v>1</v>
      </c>
      <c r="W1110">
        <v>0</v>
      </c>
      <c r="X1110">
        <v>0</v>
      </c>
      <c r="Y1110">
        <v>0</v>
      </c>
      <c r="Z1110">
        <v>0</v>
      </c>
    </row>
    <row r="1111" spans="1:30">
      <c r="A1111" t="s">
        <v>1273</v>
      </c>
      <c r="B1111">
        <v>60</v>
      </c>
      <c r="C1111">
        <v>48.9375</v>
      </c>
      <c r="D1111">
        <v>12</v>
      </c>
      <c r="F1111" t="s">
        <v>157</v>
      </c>
      <c r="G1111">
        <v>1</v>
      </c>
      <c r="H1111">
        <v>1</v>
      </c>
      <c r="I1111">
        <v>1</v>
      </c>
      <c r="J1111">
        <v>1</v>
      </c>
      <c r="N1111">
        <v>0.5</v>
      </c>
      <c r="O1111">
        <v>0.38</v>
      </c>
      <c r="P1111">
        <v>3.5</v>
      </c>
      <c r="Q1111">
        <v>-7.5</v>
      </c>
      <c r="R1111">
        <v>4.5</v>
      </c>
      <c r="S1111">
        <v>4</v>
      </c>
      <c r="T1111">
        <v>0.5</v>
      </c>
      <c r="U1111">
        <v>0</v>
      </c>
      <c r="V1111">
        <v>0</v>
      </c>
      <c r="W1111">
        <v>0</v>
      </c>
      <c r="X1111">
        <v>0</v>
      </c>
      <c r="Y1111">
        <v>0.5</v>
      </c>
      <c r="Z1111">
        <v>0.5</v>
      </c>
    </row>
    <row r="1112" spans="1:30">
      <c r="A1112" t="s">
        <v>1274</v>
      </c>
      <c r="B1112">
        <v>88.5625</v>
      </c>
      <c r="C1112">
        <v>50.25</v>
      </c>
      <c r="D1112">
        <v>1</v>
      </c>
      <c r="F1112" t="s">
        <v>21</v>
      </c>
      <c r="G1112">
        <v>0</v>
      </c>
      <c r="I1112">
        <v>0</v>
      </c>
      <c r="L1112" t="s">
        <v>121</v>
      </c>
      <c r="N1112">
        <v>0.5</v>
      </c>
      <c r="O1112">
        <v>0.38</v>
      </c>
      <c r="P1112">
        <v>3.5</v>
      </c>
      <c r="Q1112">
        <v>3.5</v>
      </c>
      <c r="R1112">
        <v>4.5</v>
      </c>
      <c r="S1112">
        <v>4</v>
      </c>
      <c r="T1112">
        <v>0.5</v>
      </c>
      <c r="U1112">
        <v>0</v>
      </c>
      <c r="V1112">
        <v>0</v>
      </c>
      <c r="W1112">
        <v>0</v>
      </c>
      <c r="X1112">
        <v>0</v>
      </c>
      <c r="Y1112">
        <v>0.5</v>
      </c>
      <c r="Z1112">
        <v>0.5</v>
      </c>
      <c r="AA1112">
        <v>11</v>
      </c>
      <c r="AB1112">
        <v>9.375</v>
      </c>
      <c r="AC1112">
        <v>14.5</v>
      </c>
      <c r="AD1112">
        <v>17.75</v>
      </c>
    </row>
    <row r="1113" spans="1:30">
      <c r="A1113" t="s">
        <v>1275</v>
      </c>
      <c r="B1113">
        <v>59.4375</v>
      </c>
      <c r="C1113">
        <v>54.125</v>
      </c>
      <c r="D1113">
        <v>4.5</v>
      </c>
      <c r="E1113">
        <v>1</v>
      </c>
      <c r="F1113" t="s">
        <v>21</v>
      </c>
      <c r="G1113">
        <v>0</v>
      </c>
      <c r="I1113">
        <v>1</v>
      </c>
      <c r="J1113">
        <v>0</v>
      </c>
      <c r="K1113">
        <v>12</v>
      </c>
      <c r="L1113" t="s">
        <v>119</v>
      </c>
      <c r="N1113">
        <v>0.5</v>
      </c>
      <c r="O1113">
        <v>0.38</v>
      </c>
      <c r="P1113">
        <v>3.5</v>
      </c>
      <c r="Q1113">
        <v>0</v>
      </c>
      <c r="R1113">
        <v>3.5</v>
      </c>
      <c r="S1113">
        <v>4</v>
      </c>
      <c r="T1113">
        <v>0.5</v>
      </c>
      <c r="U1113">
        <v>0</v>
      </c>
      <c r="V1113">
        <v>0</v>
      </c>
      <c r="W1113">
        <v>0</v>
      </c>
      <c r="X1113">
        <v>0</v>
      </c>
      <c r="Y1113">
        <v>0.5</v>
      </c>
      <c r="Z1113">
        <v>0.5</v>
      </c>
      <c r="AA1113">
        <v>11</v>
      </c>
      <c r="AB1113">
        <v>15.5</v>
      </c>
    </row>
    <row r="1114" spans="1:30">
      <c r="A1114" t="s">
        <v>1276</v>
      </c>
      <c r="B1114">
        <v>68</v>
      </c>
      <c r="C1114">
        <v>75.125</v>
      </c>
      <c r="D1114">
        <v>1</v>
      </c>
      <c r="E1114">
        <v>7.125</v>
      </c>
      <c r="F1114" t="s">
        <v>21</v>
      </c>
      <c r="G1114">
        <v>0</v>
      </c>
      <c r="I1114">
        <v>1</v>
      </c>
      <c r="J1114">
        <v>0</v>
      </c>
      <c r="K1114">
        <v>24</v>
      </c>
      <c r="N1114">
        <v>0.5</v>
      </c>
      <c r="O1114">
        <v>0.38</v>
      </c>
      <c r="P1114">
        <v>3.5</v>
      </c>
      <c r="Q1114">
        <v>3.5</v>
      </c>
      <c r="R1114">
        <v>0</v>
      </c>
      <c r="S1114">
        <v>4</v>
      </c>
      <c r="T1114">
        <v>0.5</v>
      </c>
      <c r="U1114">
        <v>0</v>
      </c>
      <c r="V1114">
        <v>1</v>
      </c>
      <c r="W1114">
        <v>0</v>
      </c>
      <c r="X1114">
        <v>0</v>
      </c>
      <c r="Y1114">
        <v>0.5</v>
      </c>
      <c r="Z1114">
        <v>0</v>
      </c>
    </row>
    <row r="1115" spans="1:30">
      <c r="A1115" t="s">
        <v>1277</v>
      </c>
      <c r="B1115">
        <v>76.875</v>
      </c>
      <c r="C1115">
        <v>46.5</v>
      </c>
      <c r="D1115">
        <v>11.5</v>
      </c>
      <c r="E1115">
        <v>6.8125</v>
      </c>
      <c r="F1115" t="s">
        <v>21</v>
      </c>
      <c r="G1115">
        <v>0</v>
      </c>
      <c r="I1115">
        <v>1</v>
      </c>
      <c r="J1115">
        <v>0</v>
      </c>
      <c r="N1115">
        <v>0.5</v>
      </c>
      <c r="O1115">
        <v>0.38</v>
      </c>
      <c r="P1115">
        <v>3.5</v>
      </c>
      <c r="Q1115">
        <v>-7</v>
      </c>
      <c r="R1115">
        <v>0</v>
      </c>
      <c r="S1115">
        <v>4</v>
      </c>
      <c r="T1115">
        <v>0.5</v>
      </c>
      <c r="U1115">
        <v>0</v>
      </c>
      <c r="V1115">
        <v>0</v>
      </c>
      <c r="W1115">
        <v>0</v>
      </c>
      <c r="X1115">
        <v>0</v>
      </c>
      <c r="Y1115">
        <v>0.5</v>
      </c>
      <c r="Z1115">
        <v>0.5</v>
      </c>
    </row>
    <row r="1116" spans="1:30">
      <c r="A1116" t="s">
        <v>1278</v>
      </c>
      <c r="B1116">
        <v>96</v>
      </c>
      <c r="C1116">
        <v>49.5625</v>
      </c>
      <c r="D1116">
        <v>3.0625</v>
      </c>
      <c r="E1116">
        <v>7.5625</v>
      </c>
      <c r="F1116" t="s">
        <v>21</v>
      </c>
      <c r="G1116">
        <v>0</v>
      </c>
      <c r="I1116">
        <v>1</v>
      </c>
      <c r="J1116">
        <v>1</v>
      </c>
      <c r="N1116">
        <v>0.5</v>
      </c>
      <c r="O1116">
        <v>0.38</v>
      </c>
      <c r="P1116">
        <v>3.5</v>
      </c>
      <c r="Q1116">
        <v>1.4375</v>
      </c>
      <c r="R1116">
        <v>0</v>
      </c>
      <c r="S1116">
        <v>4</v>
      </c>
      <c r="T1116">
        <v>0.5</v>
      </c>
      <c r="U1116">
        <v>0</v>
      </c>
      <c r="V1116">
        <v>1</v>
      </c>
      <c r="W1116">
        <v>0</v>
      </c>
      <c r="X1116">
        <v>0</v>
      </c>
      <c r="Y1116">
        <v>0.5</v>
      </c>
      <c r="Z1116">
        <v>0</v>
      </c>
    </row>
    <row r="1117" spans="1:30">
      <c r="A1117" t="s">
        <v>1279</v>
      </c>
      <c r="B1117">
        <v>96</v>
      </c>
      <c r="C1117">
        <v>62.75</v>
      </c>
      <c r="D1117">
        <v>4.5</v>
      </c>
      <c r="E1117">
        <v>1.9375</v>
      </c>
      <c r="F1117" t="s">
        <v>21</v>
      </c>
      <c r="G1117">
        <v>1</v>
      </c>
      <c r="H1117">
        <v>0</v>
      </c>
      <c r="I1117">
        <v>0</v>
      </c>
      <c r="L1117" t="s">
        <v>35</v>
      </c>
      <c r="N1117">
        <v>0.5</v>
      </c>
      <c r="O1117">
        <v>0.38</v>
      </c>
      <c r="P1117">
        <v>3.5</v>
      </c>
      <c r="Q1117">
        <v>0</v>
      </c>
      <c r="R1117">
        <v>2.5625</v>
      </c>
      <c r="S1117">
        <v>4</v>
      </c>
      <c r="T1117">
        <v>0.5</v>
      </c>
      <c r="U1117">
        <v>0</v>
      </c>
      <c r="V1117">
        <v>0</v>
      </c>
      <c r="W1117">
        <v>0</v>
      </c>
      <c r="X1117">
        <v>0</v>
      </c>
      <c r="Y1117">
        <v>0.5</v>
      </c>
      <c r="Z1117">
        <v>0.5</v>
      </c>
      <c r="AA1117">
        <v>15.5</v>
      </c>
      <c r="AB1117">
        <v>28.875</v>
      </c>
      <c r="AC1117">
        <v>26</v>
      </c>
      <c r="AD1117">
        <v>25.63</v>
      </c>
    </row>
    <row r="1118" spans="1:30">
      <c r="A1118" t="s">
        <v>1280</v>
      </c>
      <c r="B1118">
        <v>39.3125</v>
      </c>
      <c r="C1118">
        <v>69.625</v>
      </c>
      <c r="D1118">
        <v>2.8125</v>
      </c>
      <c r="F1118" t="s">
        <v>21</v>
      </c>
      <c r="G1118">
        <v>1</v>
      </c>
      <c r="H1118">
        <v>0</v>
      </c>
      <c r="I1118">
        <v>1</v>
      </c>
      <c r="J1118">
        <v>0</v>
      </c>
      <c r="K1118">
        <v>12</v>
      </c>
      <c r="L1118" t="s">
        <v>148</v>
      </c>
      <c r="N1118">
        <v>0.5</v>
      </c>
      <c r="O1118">
        <v>0.38</v>
      </c>
      <c r="P1118">
        <v>3.5</v>
      </c>
      <c r="Q1118">
        <v>1.6875</v>
      </c>
      <c r="R1118">
        <v>4.5</v>
      </c>
      <c r="S1118">
        <v>4</v>
      </c>
      <c r="T1118">
        <v>0.5</v>
      </c>
      <c r="U1118">
        <v>1</v>
      </c>
      <c r="V1118">
        <v>1</v>
      </c>
      <c r="W1118">
        <v>0</v>
      </c>
      <c r="X1118">
        <v>0</v>
      </c>
      <c r="Y1118">
        <v>0</v>
      </c>
      <c r="Z1118">
        <v>0</v>
      </c>
      <c r="AA1118">
        <v>15.5</v>
      </c>
      <c r="AB1118">
        <v>28.875</v>
      </c>
      <c r="AC1118">
        <v>9</v>
      </c>
      <c r="AD1118">
        <v>15.1875</v>
      </c>
    </row>
    <row r="1119" spans="1:30">
      <c r="A1119" t="s">
        <v>1281</v>
      </c>
      <c r="B1119">
        <v>52.0625</v>
      </c>
      <c r="C1119">
        <v>43.0625</v>
      </c>
      <c r="D1119">
        <v>1.5625</v>
      </c>
      <c r="F1119" t="s">
        <v>21</v>
      </c>
      <c r="G1119">
        <v>1</v>
      </c>
      <c r="H1119">
        <v>0</v>
      </c>
      <c r="I1119">
        <v>1</v>
      </c>
      <c r="J1119">
        <v>0</v>
      </c>
      <c r="K1119">
        <v>24</v>
      </c>
      <c r="L1119" t="s">
        <v>120</v>
      </c>
      <c r="N1119">
        <v>0.5</v>
      </c>
      <c r="O1119">
        <v>0.38</v>
      </c>
      <c r="P1119">
        <v>3.5</v>
      </c>
      <c r="Q1119">
        <v>2.9375</v>
      </c>
      <c r="R1119">
        <v>4.5</v>
      </c>
      <c r="S1119">
        <v>4</v>
      </c>
      <c r="T1119">
        <v>0.5</v>
      </c>
      <c r="U1119">
        <v>1</v>
      </c>
      <c r="V1119">
        <v>1</v>
      </c>
      <c r="W1119">
        <v>0</v>
      </c>
      <c r="X1119">
        <v>0</v>
      </c>
      <c r="Y1119">
        <v>0</v>
      </c>
      <c r="Z1119">
        <v>0</v>
      </c>
      <c r="AA1119">
        <v>11.5</v>
      </c>
      <c r="AB1119">
        <v>10.875</v>
      </c>
      <c r="AC1119">
        <v>4.9400000000000004</v>
      </c>
      <c r="AD1119">
        <v>16.4375</v>
      </c>
    </row>
    <row r="1120" spans="1:30">
      <c r="A1120" t="s">
        <v>1282</v>
      </c>
      <c r="B1120">
        <v>96</v>
      </c>
      <c r="C1120">
        <v>43.375</v>
      </c>
      <c r="D1120">
        <v>9.625</v>
      </c>
      <c r="E1120">
        <v>7.75</v>
      </c>
      <c r="F1120" t="s">
        <v>21</v>
      </c>
      <c r="G1120">
        <v>1</v>
      </c>
      <c r="H1120">
        <v>0</v>
      </c>
      <c r="I1120">
        <v>1</v>
      </c>
      <c r="J1120">
        <v>0</v>
      </c>
      <c r="N1120">
        <v>0.5</v>
      </c>
      <c r="O1120">
        <v>0.38</v>
      </c>
      <c r="P1120">
        <v>3.5</v>
      </c>
      <c r="Q1120">
        <v>-5.125</v>
      </c>
      <c r="R1120">
        <v>0</v>
      </c>
      <c r="S1120">
        <v>4</v>
      </c>
      <c r="T1120">
        <v>0.5</v>
      </c>
      <c r="U1120">
        <v>0</v>
      </c>
      <c r="V1120">
        <v>0</v>
      </c>
      <c r="W1120">
        <v>0</v>
      </c>
      <c r="X1120">
        <v>0</v>
      </c>
      <c r="Y1120">
        <v>0.5</v>
      </c>
      <c r="Z1120">
        <v>0.5</v>
      </c>
    </row>
    <row r="1121" spans="1:30">
      <c r="A1121" t="s">
        <v>1283</v>
      </c>
      <c r="B1121">
        <v>72.125</v>
      </c>
      <c r="C1121">
        <v>66.3125</v>
      </c>
      <c r="D1121">
        <v>7.6875</v>
      </c>
      <c r="E1121">
        <v>1</v>
      </c>
      <c r="F1121" t="s">
        <v>21</v>
      </c>
      <c r="G1121">
        <v>1</v>
      </c>
      <c r="H1121">
        <v>0</v>
      </c>
      <c r="I1121">
        <v>1</v>
      </c>
      <c r="J1121">
        <v>1</v>
      </c>
      <c r="N1121">
        <v>0.5</v>
      </c>
      <c r="O1121">
        <v>0.38</v>
      </c>
      <c r="P1121">
        <v>3.5</v>
      </c>
      <c r="Q1121">
        <v>-3.1875</v>
      </c>
      <c r="R1121">
        <v>3.5</v>
      </c>
      <c r="S1121">
        <v>4</v>
      </c>
      <c r="T1121">
        <v>0.5</v>
      </c>
      <c r="U1121">
        <v>0</v>
      </c>
      <c r="V1121">
        <v>0</v>
      </c>
      <c r="W1121">
        <v>0</v>
      </c>
      <c r="X1121">
        <v>1</v>
      </c>
      <c r="Y1121">
        <v>0.5</v>
      </c>
      <c r="Z1121">
        <v>0.5</v>
      </c>
    </row>
    <row r="1122" spans="1:30">
      <c r="A1122" t="s">
        <v>1284</v>
      </c>
      <c r="B1122">
        <v>96</v>
      </c>
      <c r="C1122">
        <v>67</v>
      </c>
      <c r="D1122">
        <v>7.1875</v>
      </c>
      <c r="F1122" t="s">
        <v>21</v>
      </c>
      <c r="G1122">
        <v>1</v>
      </c>
      <c r="H1122">
        <v>1</v>
      </c>
      <c r="I1122">
        <v>0</v>
      </c>
      <c r="L1122" t="s">
        <v>151</v>
      </c>
      <c r="N1122">
        <v>0.5</v>
      </c>
      <c r="O1122">
        <v>0.38</v>
      </c>
      <c r="P1122">
        <v>3.5</v>
      </c>
      <c r="Q1122">
        <v>-2.6875</v>
      </c>
      <c r="R1122">
        <v>4.5</v>
      </c>
      <c r="S1122">
        <v>4</v>
      </c>
      <c r="T1122">
        <v>0.5</v>
      </c>
      <c r="U1122">
        <v>0</v>
      </c>
      <c r="V1122">
        <v>0</v>
      </c>
      <c r="W1122">
        <v>0</v>
      </c>
      <c r="X1122">
        <v>0</v>
      </c>
      <c r="Y1122">
        <v>0.5</v>
      </c>
      <c r="Z1122">
        <v>0.5</v>
      </c>
      <c r="AA1122">
        <v>15.5</v>
      </c>
      <c r="AB1122">
        <v>28.875</v>
      </c>
      <c r="AC1122">
        <v>21</v>
      </c>
      <c r="AD1122">
        <v>10.8125</v>
      </c>
    </row>
    <row r="1123" spans="1:30">
      <c r="A1123" t="s">
        <v>1285</v>
      </c>
      <c r="B1123">
        <v>57.25</v>
      </c>
      <c r="C1123">
        <v>62.25</v>
      </c>
      <c r="D1123">
        <v>1</v>
      </c>
      <c r="E1123">
        <v>1.1875</v>
      </c>
      <c r="F1123" t="s">
        <v>21</v>
      </c>
      <c r="G1123">
        <v>1</v>
      </c>
      <c r="H1123">
        <v>1</v>
      </c>
      <c r="I1123">
        <v>1</v>
      </c>
      <c r="J1123">
        <v>0</v>
      </c>
      <c r="K1123">
        <v>12</v>
      </c>
      <c r="L1123" t="s">
        <v>35</v>
      </c>
      <c r="N1123">
        <v>0.5</v>
      </c>
      <c r="O1123">
        <v>0.38</v>
      </c>
      <c r="P1123">
        <v>3.5</v>
      </c>
      <c r="Q1123">
        <v>3.5</v>
      </c>
      <c r="R1123">
        <v>3.3125</v>
      </c>
      <c r="S1123">
        <v>4</v>
      </c>
      <c r="T1123">
        <v>0.5</v>
      </c>
      <c r="U1123">
        <v>1</v>
      </c>
      <c r="V1123">
        <v>1</v>
      </c>
      <c r="W1123">
        <v>1</v>
      </c>
      <c r="X1123">
        <v>0</v>
      </c>
      <c r="Y1123">
        <v>0</v>
      </c>
      <c r="Z1123">
        <v>0</v>
      </c>
      <c r="AA1123">
        <v>15.5</v>
      </c>
      <c r="AB1123">
        <v>28.875</v>
      </c>
      <c r="AC1123">
        <v>14</v>
      </c>
      <c r="AD1123">
        <v>29.13</v>
      </c>
    </row>
    <row r="1124" spans="1:30">
      <c r="A1124" t="s">
        <v>1286</v>
      </c>
      <c r="B1124">
        <v>87.75</v>
      </c>
      <c r="C1124">
        <v>53.0625</v>
      </c>
      <c r="D1124">
        <v>1</v>
      </c>
      <c r="E1124">
        <v>1.4375</v>
      </c>
      <c r="F1124" t="s">
        <v>21</v>
      </c>
      <c r="G1124">
        <v>1</v>
      </c>
      <c r="H1124">
        <v>1</v>
      </c>
      <c r="I1124">
        <v>1</v>
      </c>
      <c r="J1124">
        <v>0</v>
      </c>
      <c r="K1124">
        <v>24</v>
      </c>
      <c r="L1124" t="s">
        <v>149</v>
      </c>
      <c r="N1124">
        <v>0.5</v>
      </c>
      <c r="O1124">
        <v>0.38</v>
      </c>
      <c r="P1124">
        <v>3.5</v>
      </c>
      <c r="Q1124">
        <v>3.5</v>
      </c>
      <c r="R1124">
        <v>3.0625</v>
      </c>
      <c r="S1124">
        <v>4</v>
      </c>
      <c r="T1124">
        <v>0.5</v>
      </c>
      <c r="U1124">
        <v>1</v>
      </c>
      <c r="V1124">
        <v>1</v>
      </c>
      <c r="W1124">
        <v>1</v>
      </c>
      <c r="X1124">
        <v>0</v>
      </c>
      <c r="Y1124">
        <v>0</v>
      </c>
      <c r="Z1124">
        <v>0</v>
      </c>
      <c r="AA1124">
        <v>15.5</v>
      </c>
      <c r="AB1124">
        <v>28.875</v>
      </c>
    </row>
    <row r="1125" spans="1:30">
      <c r="A1125" t="s">
        <v>1287</v>
      </c>
      <c r="B1125">
        <v>100.5</v>
      </c>
      <c r="C1125">
        <v>48.625</v>
      </c>
      <c r="D1125">
        <v>1</v>
      </c>
      <c r="E1125">
        <v>1.25</v>
      </c>
      <c r="F1125" t="s">
        <v>21</v>
      </c>
      <c r="G1125">
        <v>1</v>
      </c>
      <c r="H1125">
        <v>1</v>
      </c>
      <c r="I1125">
        <v>1</v>
      </c>
      <c r="J1125">
        <v>0</v>
      </c>
      <c r="N1125">
        <v>0.5</v>
      </c>
      <c r="O1125">
        <v>0.38</v>
      </c>
      <c r="P1125">
        <v>3.5</v>
      </c>
      <c r="Q1125">
        <v>3.5</v>
      </c>
      <c r="R1125">
        <v>3.25</v>
      </c>
      <c r="S1125">
        <v>4</v>
      </c>
      <c r="T1125">
        <v>0.5</v>
      </c>
      <c r="U1125">
        <v>1</v>
      </c>
      <c r="V1125">
        <v>1</v>
      </c>
      <c r="W1125">
        <v>1</v>
      </c>
      <c r="X1125">
        <v>0</v>
      </c>
      <c r="Y1125">
        <v>0</v>
      </c>
      <c r="Z1125">
        <v>0</v>
      </c>
    </row>
    <row r="1126" spans="1:30">
      <c r="A1126" t="s">
        <v>1288</v>
      </c>
      <c r="B1126">
        <v>57.25</v>
      </c>
      <c r="C1126">
        <v>8</v>
      </c>
      <c r="D1126">
        <v>4.5</v>
      </c>
      <c r="E1126">
        <v>4.9375</v>
      </c>
      <c r="F1126" t="s">
        <v>21</v>
      </c>
      <c r="G1126">
        <v>1</v>
      </c>
      <c r="H1126">
        <v>1</v>
      </c>
      <c r="I1126">
        <v>1</v>
      </c>
      <c r="J1126">
        <v>1</v>
      </c>
      <c r="N1126">
        <v>0.5</v>
      </c>
      <c r="O1126">
        <v>0.38</v>
      </c>
      <c r="P1126">
        <v>3.5</v>
      </c>
      <c r="Q1126">
        <v>0</v>
      </c>
      <c r="R1126">
        <v>0</v>
      </c>
      <c r="S1126">
        <v>4</v>
      </c>
      <c r="T1126">
        <v>0.5</v>
      </c>
      <c r="U1126">
        <v>0</v>
      </c>
      <c r="V1126">
        <v>0</v>
      </c>
      <c r="W1126">
        <v>0</v>
      </c>
      <c r="X1126">
        <v>0</v>
      </c>
      <c r="Y1126">
        <v>0.5</v>
      </c>
      <c r="Z1126">
        <v>0.5</v>
      </c>
    </row>
    <row r="1127" spans="1:30">
      <c r="A1127" t="s">
        <v>1289</v>
      </c>
      <c r="B1127">
        <v>42.8125</v>
      </c>
      <c r="C1127">
        <v>41.125</v>
      </c>
      <c r="D1127">
        <v>1</v>
      </c>
      <c r="E1127">
        <v>3.5</v>
      </c>
      <c r="F1127" t="s">
        <v>156</v>
      </c>
      <c r="G1127">
        <v>0</v>
      </c>
      <c r="I1127">
        <v>0</v>
      </c>
      <c r="L1127" t="s">
        <v>119</v>
      </c>
      <c r="N1127">
        <v>0.5</v>
      </c>
      <c r="O1127">
        <v>0.38</v>
      </c>
      <c r="P1127">
        <v>3.5</v>
      </c>
      <c r="Q1127">
        <v>3.5</v>
      </c>
      <c r="R1127">
        <v>1</v>
      </c>
      <c r="S1127">
        <v>4</v>
      </c>
      <c r="T1127">
        <v>0.5</v>
      </c>
      <c r="U1127">
        <v>0</v>
      </c>
      <c r="V1127">
        <v>0</v>
      </c>
      <c r="W1127">
        <v>0</v>
      </c>
      <c r="X1127">
        <v>0</v>
      </c>
      <c r="Y1127">
        <v>0.5</v>
      </c>
      <c r="Z1127">
        <v>0.5</v>
      </c>
    </row>
    <row r="1128" spans="1:30">
      <c r="A1128" t="s">
        <v>1290</v>
      </c>
      <c r="B1128">
        <v>41.4375</v>
      </c>
      <c r="C1128">
        <v>68.625</v>
      </c>
      <c r="D1128">
        <v>4.5</v>
      </c>
      <c r="E1128">
        <v>6.875</v>
      </c>
      <c r="F1128" t="s">
        <v>156</v>
      </c>
      <c r="G1128">
        <v>0</v>
      </c>
      <c r="I1128">
        <v>1</v>
      </c>
      <c r="J1128">
        <v>0</v>
      </c>
      <c r="K1128">
        <v>12</v>
      </c>
      <c r="L1128" t="s">
        <v>119</v>
      </c>
      <c r="N1128">
        <v>0.5</v>
      </c>
      <c r="O1128">
        <v>0.38</v>
      </c>
      <c r="P1128">
        <v>3.5</v>
      </c>
      <c r="Q1128">
        <v>0</v>
      </c>
      <c r="R1128">
        <v>0</v>
      </c>
      <c r="S1128">
        <v>4</v>
      </c>
      <c r="T1128">
        <v>0.5</v>
      </c>
      <c r="U1128">
        <v>0</v>
      </c>
      <c r="V1128">
        <v>0</v>
      </c>
      <c r="W1128">
        <v>0</v>
      </c>
      <c r="X1128">
        <v>0</v>
      </c>
      <c r="Y1128">
        <v>0.5</v>
      </c>
      <c r="Z1128">
        <v>0.5</v>
      </c>
    </row>
    <row r="1129" spans="1:30">
      <c r="A1129" t="s">
        <v>1291</v>
      </c>
      <c r="B1129">
        <v>14.5</v>
      </c>
      <c r="C1129">
        <v>49.125</v>
      </c>
      <c r="D1129">
        <v>1.75</v>
      </c>
      <c r="F1129" t="s">
        <v>156</v>
      </c>
      <c r="G1129">
        <v>0</v>
      </c>
      <c r="I1129">
        <v>1</v>
      </c>
      <c r="J1129">
        <v>0</v>
      </c>
      <c r="K1129">
        <v>24</v>
      </c>
      <c r="N1129">
        <v>0.5</v>
      </c>
      <c r="O1129">
        <v>0.38</v>
      </c>
      <c r="P1129">
        <v>3.5</v>
      </c>
      <c r="Q1129">
        <v>2.75</v>
      </c>
      <c r="R1129">
        <v>4.5</v>
      </c>
      <c r="S1129">
        <v>4</v>
      </c>
      <c r="T1129">
        <v>0.5</v>
      </c>
      <c r="U1129">
        <v>0</v>
      </c>
      <c r="V1129">
        <v>0</v>
      </c>
      <c r="W1129">
        <v>0</v>
      </c>
      <c r="X1129">
        <v>0</v>
      </c>
      <c r="Y1129">
        <v>0.5</v>
      </c>
      <c r="Z1129">
        <v>0.5</v>
      </c>
    </row>
    <row r="1130" spans="1:30">
      <c r="A1130" t="s">
        <v>1292</v>
      </c>
      <c r="B1130">
        <v>31.625</v>
      </c>
      <c r="C1130">
        <v>65.5</v>
      </c>
      <c r="D1130">
        <v>4.5</v>
      </c>
      <c r="E1130">
        <v>4.8125</v>
      </c>
      <c r="F1130" t="s">
        <v>156</v>
      </c>
      <c r="G1130">
        <v>0</v>
      </c>
      <c r="I1130">
        <v>1</v>
      </c>
      <c r="J1130">
        <v>0</v>
      </c>
      <c r="N1130">
        <v>0.5</v>
      </c>
      <c r="O1130">
        <v>0.38</v>
      </c>
      <c r="P1130">
        <v>3.5</v>
      </c>
      <c r="Q1130">
        <v>0</v>
      </c>
      <c r="R1130">
        <v>0</v>
      </c>
      <c r="S1130">
        <v>4</v>
      </c>
      <c r="T1130">
        <v>0.5</v>
      </c>
      <c r="U1130">
        <v>0</v>
      </c>
      <c r="V1130">
        <v>0</v>
      </c>
      <c r="W1130">
        <v>0</v>
      </c>
      <c r="X1130">
        <v>0</v>
      </c>
      <c r="Y1130">
        <v>0.5</v>
      </c>
      <c r="Z1130">
        <v>0.5</v>
      </c>
    </row>
    <row r="1131" spans="1:30">
      <c r="A1131" t="s">
        <v>1293</v>
      </c>
      <c r="B1131">
        <v>7</v>
      </c>
      <c r="C1131">
        <v>10.5</v>
      </c>
      <c r="D1131">
        <v>11.75</v>
      </c>
      <c r="E1131">
        <v>3.625</v>
      </c>
      <c r="F1131" t="s">
        <v>156</v>
      </c>
      <c r="G1131">
        <v>0</v>
      </c>
      <c r="I1131">
        <v>1</v>
      </c>
      <c r="J1131">
        <v>1</v>
      </c>
      <c r="N1131">
        <v>0.5</v>
      </c>
      <c r="O1131">
        <v>0.38</v>
      </c>
      <c r="P1131">
        <v>3.5</v>
      </c>
      <c r="Q1131">
        <v>-7.25</v>
      </c>
      <c r="R1131">
        <v>0.875</v>
      </c>
      <c r="S1131">
        <v>4</v>
      </c>
      <c r="T1131">
        <v>0.5</v>
      </c>
      <c r="U1131">
        <v>0</v>
      </c>
      <c r="V1131">
        <v>0</v>
      </c>
      <c r="W1131">
        <v>0</v>
      </c>
      <c r="X1131">
        <v>1</v>
      </c>
      <c r="Y1131">
        <v>0.5</v>
      </c>
      <c r="Z1131">
        <v>0.5</v>
      </c>
    </row>
    <row r="1132" spans="1:30">
      <c r="A1132" t="s">
        <v>1294</v>
      </c>
      <c r="B1132">
        <v>21.0625</v>
      </c>
      <c r="C1132">
        <v>43.875</v>
      </c>
      <c r="D1132">
        <v>4.375</v>
      </c>
      <c r="E1132">
        <v>1</v>
      </c>
      <c r="F1132" t="s">
        <v>156</v>
      </c>
      <c r="G1132">
        <v>1</v>
      </c>
      <c r="H1132">
        <v>0</v>
      </c>
      <c r="I1132">
        <v>0</v>
      </c>
      <c r="L1132" t="s">
        <v>150</v>
      </c>
      <c r="N1132">
        <v>0.5</v>
      </c>
      <c r="O1132">
        <v>0.38</v>
      </c>
      <c r="P1132">
        <v>3.5</v>
      </c>
      <c r="Q1132">
        <v>0.125</v>
      </c>
      <c r="R1132">
        <v>3.5</v>
      </c>
      <c r="S1132">
        <v>4</v>
      </c>
      <c r="T1132">
        <v>0.5</v>
      </c>
      <c r="U1132">
        <v>0</v>
      </c>
      <c r="V1132">
        <v>0</v>
      </c>
      <c r="W1132">
        <v>0</v>
      </c>
      <c r="X1132">
        <v>0</v>
      </c>
      <c r="Y1132">
        <v>0.5</v>
      </c>
      <c r="Z1132">
        <v>0.5</v>
      </c>
    </row>
    <row r="1133" spans="1:30">
      <c r="A1133" t="s">
        <v>1295</v>
      </c>
      <c r="B1133">
        <v>21.6875</v>
      </c>
      <c r="C1133">
        <v>16.375</v>
      </c>
      <c r="D1133">
        <v>1</v>
      </c>
      <c r="E1133">
        <v>1.375</v>
      </c>
      <c r="F1133" t="s">
        <v>156</v>
      </c>
      <c r="G1133">
        <v>1</v>
      </c>
      <c r="H1133">
        <v>0</v>
      </c>
      <c r="I1133">
        <v>1</v>
      </c>
      <c r="J1133">
        <v>0</v>
      </c>
      <c r="K1133">
        <v>12</v>
      </c>
      <c r="N1133">
        <v>0.5</v>
      </c>
      <c r="O1133">
        <v>0.38</v>
      </c>
      <c r="P1133">
        <v>3.5</v>
      </c>
      <c r="Q1133">
        <v>3.5</v>
      </c>
      <c r="R1133">
        <v>3.125</v>
      </c>
      <c r="S1133">
        <v>4</v>
      </c>
      <c r="T1133">
        <v>0.5</v>
      </c>
      <c r="U1133">
        <v>0</v>
      </c>
      <c r="V1133">
        <v>0</v>
      </c>
      <c r="W1133">
        <v>0</v>
      </c>
      <c r="X1133">
        <v>0</v>
      </c>
      <c r="Y1133">
        <v>0.5</v>
      </c>
      <c r="Z1133">
        <v>0.5</v>
      </c>
    </row>
    <row r="1134" spans="1:30">
      <c r="A1134" t="s">
        <v>1296</v>
      </c>
      <c r="B1134">
        <v>40.875</v>
      </c>
      <c r="C1134">
        <v>77.1875</v>
      </c>
      <c r="D1134">
        <v>12</v>
      </c>
      <c r="E1134">
        <v>7.0625</v>
      </c>
      <c r="F1134" t="s">
        <v>156</v>
      </c>
      <c r="G1134">
        <v>1</v>
      </c>
      <c r="H1134">
        <v>0</v>
      </c>
      <c r="I1134">
        <v>1</v>
      </c>
      <c r="J1134">
        <v>0</v>
      </c>
      <c r="K1134">
        <v>24</v>
      </c>
      <c r="L1134" t="s">
        <v>145</v>
      </c>
      <c r="N1134">
        <v>0.5</v>
      </c>
      <c r="O1134">
        <v>0.38</v>
      </c>
      <c r="P1134">
        <v>3.5</v>
      </c>
      <c r="Q1134">
        <v>-7.5</v>
      </c>
      <c r="R1134">
        <v>0</v>
      </c>
      <c r="S1134">
        <v>4</v>
      </c>
      <c r="T1134">
        <v>0.5</v>
      </c>
      <c r="U1134">
        <v>0</v>
      </c>
      <c r="V1134">
        <v>0</v>
      </c>
      <c r="W1134">
        <v>0</v>
      </c>
      <c r="X1134">
        <v>0</v>
      </c>
      <c r="Y1134">
        <v>0.5</v>
      </c>
      <c r="Z1134">
        <v>0.5</v>
      </c>
    </row>
    <row r="1135" spans="1:30">
      <c r="A1135" t="s">
        <v>1297</v>
      </c>
      <c r="B1135">
        <v>39.3125</v>
      </c>
      <c r="C1135">
        <v>68.5</v>
      </c>
      <c r="D1135">
        <v>4.5</v>
      </c>
      <c r="E1135">
        <v>4.5</v>
      </c>
      <c r="F1135" t="s">
        <v>156</v>
      </c>
      <c r="G1135">
        <v>1</v>
      </c>
      <c r="H1135">
        <v>0</v>
      </c>
      <c r="I1135">
        <v>1</v>
      </c>
      <c r="J1135">
        <v>0</v>
      </c>
      <c r="N1135">
        <v>0.5</v>
      </c>
      <c r="O1135">
        <v>0.38</v>
      </c>
      <c r="P1135">
        <v>3.5</v>
      </c>
      <c r="Q1135">
        <v>0</v>
      </c>
      <c r="R1135">
        <v>0</v>
      </c>
      <c r="S1135">
        <v>4</v>
      </c>
      <c r="T1135">
        <v>0.5</v>
      </c>
      <c r="U1135">
        <v>0</v>
      </c>
      <c r="V1135">
        <v>0</v>
      </c>
      <c r="W1135">
        <v>0</v>
      </c>
      <c r="X1135">
        <v>0</v>
      </c>
      <c r="Y1135">
        <v>0.5</v>
      </c>
      <c r="Z1135">
        <v>0.5</v>
      </c>
    </row>
    <row r="1136" spans="1:30">
      <c r="A1136" t="s">
        <v>1298</v>
      </c>
      <c r="B1136">
        <v>39.125</v>
      </c>
      <c r="C1136">
        <v>41.375</v>
      </c>
      <c r="D1136">
        <v>12</v>
      </c>
      <c r="E1136">
        <v>1</v>
      </c>
      <c r="F1136" t="s">
        <v>156</v>
      </c>
      <c r="G1136">
        <v>1</v>
      </c>
      <c r="H1136">
        <v>0</v>
      </c>
      <c r="I1136">
        <v>1</v>
      </c>
      <c r="J1136">
        <v>1</v>
      </c>
      <c r="N1136">
        <v>0.5</v>
      </c>
      <c r="O1136">
        <v>0.38</v>
      </c>
      <c r="P1136">
        <v>3.5</v>
      </c>
      <c r="Q1136">
        <v>-7.5</v>
      </c>
      <c r="R1136">
        <v>3.5</v>
      </c>
      <c r="S1136">
        <v>4</v>
      </c>
      <c r="T1136">
        <v>0.5</v>
      </c>
      <c r="U1136">
        <v>0</v>
      </c>
      <c r="V1136">
        <v>0</v>
      </c>
      <c r="W1136">
        <v>0</v>
      </c>
      <c r="X1136">
        <v>1</v>
      </c>
      <c r="Y1136">
        <v>0.5</v>
      </c>
      <c r="Z1136">
        <v>0.5</v>
      </c>
    </row>
    <row r="1137" spans="1:30">
      <c r="A1137" t="s">
        <v>1299</v>
      </c>
      <c r="B1137">
        <v>6</v>
      </c>
      <c r="C1137">
        <v>68.25</v>
      </c>
      <c r="D1137">
        <v>4.5</v>
      </c>
      <c r="E1137">
        <v>3.375</v>
      </c>
      <c r="F1137" t="s">
        <v>156</v>
      </c>
      <c r="G1137">
        <v>1</v>
      </c>
      <c r="H1137">
        <v>1</v>
      </c>
      <c r="I1137">
        <v>0</v>
      </c>
      <c r="N1137">
        <v>0.5</v>
      </c>
      <c r="O1137">
        <v>0.38</v>
      </c>
      <c r="P1137">
        <v>3.5</v>
      </c>
      <c r="Q1137">
        <v>0</v>
      </c>
      <c r="R1137">
        <v>1.125</v>
      </c>
      <c r="S1137">
        <v>4</v>
      </c>
      <c r="T1137">
        <v>0.5</v>
      </c>
      <c r="U1137">
        <v>0</v>
      </c>
      <c r="V1137">
        <v>0</v>
      </c>
      <c r="W1137">
        <v>1</v>
      </c>
      <c r="X1137">
        <v>0</v>
      </c>
      <c r="Y1137">
        <v>0.5</v>
      </c>
      <c r="Z1137">
        <v>0.5</v>
      </c>
    </row>
    <row r="1138" spans="1:30">
      <c r="A1138" t="s">
        <v>1300</v>
      </c>
      <c r="B1138">
        <v>17.25</v>
      </c>
      <c r="C1138">
        <v>51.9375</v>
      </c>
      <c r="D1138">
        <v>1.375</v>
      </c>
      <c r="F1138" t="s">
        <v>156</v>
      </c>
      <c r="G1138">
        <v>1</v>
      </c>
      <c r="H1138">
        <v>1</v>
      </c>
      <c r="I1138">
        <v>1</v>
      </c>
      <c r="J1138">
        <v>0</v>
      </c>
      <c r="K1138">
        <v>12</v>
      </c>
      <c r="L1138" t="s">
        <v>120</v>
      </c>
      <c r="N1138">
        <v>0.5</v>
      </c>
      <c r="O1138">
        <v>0.38</v>
      </c>
      <c r="P1138">
        <v>3.5</v>
      </c>
      <c r="Q1138">
        <v>3.125</v>
      </c>
      <c r="R1138">
        <v>4.5</v>
      </c>
      <c r="S1138">
        <v>4</v>
      </c>
      <c r="T1138">
        <v>0.5</v>
      </c>
      <c r="U1138">
        <v>0</v>
      </c>
      <c r="V1138">
        <v>0</v>
      </c>
      <c r="W1138">
        <v>0</v>
      </c>
      <c r="X1138">
        <v>0</v>
      </c>
      <c r="Y1138">
        <v>0.5</v>
      </c>
      <c r="Z1138">
        <v>0.5</v>
      </c>
    </row>
    <row r="1139" spans="1:30">
      <c r="A1139" t="s">
        <v>1301</v>
      </c>
      <c r="B1139">
        <v>7.5625</v>
      </c>
      <c r="C1139">
        <v>75.5</v>
      </c>
      <c r="D1139">
        <v>9</v>
      </c>
      <c r="E1139">
        <v>7.75</v>
      </c>
      <c r="F1139" t="s">
        <v>156</v>
      </c>
      <c r="G1139">
        <v>1</v>
      </c>
      <c r="H1139">
        <v>1</v>
      </c>
      <c r="I1139">
        <v>1</v>
      </c>
      <c r="J1139">
        <v>0</v>
      </c>
      <c r="K1139">
        <v>24</v>
      </c>
      <c r="N1139">
        <v>0.5</v>
      </c>
      <c r="O1139">
        <v>0.38</v>
      </c>
      <c r="P1139">
        <v>3.5</v>
      </c>
      <c r="Q1139">
        <v>-4.5</v>
      </c>
      <c r="R1139">
        <v>0</v>
      </c>
      <c r="S1139">
        <v>4</v>
      </c>
      <c r="T1139">
        <v>0.5</v>
      </c>
      <c r="U1139">
        <v>0</v>
      </c>
      <c r="V1139">
        <v>0</v>
      </c>
      <c r="W1139">
        <v>0</v>
      </c>
      <c r="X1139">
        <v>0</v>
      </c>
      <c r="Y1139">
        <v>0.5</v>
      </c>
      <c r="Z1139">
        <v>0.5</v>
      </c>
    </row>
    <row r="1140" spans="1:30">
      <c r="A1140" t="s">
        <v>1302</v>
      </c>
      <c r="B1140">
        <v>10.9375</v>
      </c>
      <c r="C1140">
        <v>71.5625</v>
      </c>
      <c r="D1140">
        <v>4.5</v>
      </c>
      <c r="E1140">
        <v>8.3125</v>
      </c>
      <c r="F1140" t="s">
        <v>156</v>
      </c>
      <c r="G1140">
        <v>1</v>
      </c>
      <c r="H1140">
        <v>1</v>
      </c>
      <c r="I1140">
        <v>1</v>
      </c>
      <c r="J1140">
        <v>0</v>
      </c>
      <c r="N1140">
        <v>0.5</v>
      </c>
      <c r="O1140">
        <v>0.38</v>
      </c>
      <c r="P1140">
        <v>3.5</v>
      </c>
      <c r="Q1140">
        <v>0</v>
      </c>
      <c r="R1140">
        <v>0</v>
      </c>
      <c r="S1140">
        <v>4</v>
      </c>
      <c r="T1140">
        <v>0.5</v>
      </c>
      <c r="U1140">
        <v>0</v>
      </c>
      <c r="V1140">
        <v>0</v>
      </c>
      <c r="W1140">
        <v>0</v>
      </c>
      <c r="X1140">
        <v>0</v>
      </c>
      <c r="Y1140">
        <v>0.5</v>
      </c>
      <c r="Z1140">
        <v>0.5</v>
      </c>
    </row>
    <row r="1141" spans="1:30">
      <c r="A1141" t="s">
        <v>1303</v>
      </c>
      <c r="B1141">
        <v>12.5</v>
      </c>
      <c r="C1141">
        <v>75.3125</v>
      </c>
      <c r="D1141">
        <v>12</v>
      </c>
      <c r="F1141" t="s">
        <v>156</v>
      </c>
      <c r="G1141">
        <v>1</v>
      </c>
      <c r="H1141">
        <v>1</v>
      </c>
      <c r="I1141">
        <v>1</v>
      </c>
      <c r="J1141">
        <v>1</v>
      </c>
      <c r="N1141">
        <v>0.5</v>
      </c>
      <c r="O1141">
        <v>0.38</v>
      </c>
      <c r="P1141">
        <v>3.5</v>
      </c>
      <c r="Q1141">
        <v>-7.5</v>
      </c>
      <c r="R1141">
        <v>4.5</v>
      </c>
      <c r="S1141">
        <v>4</v>
      </c>
      <c r="T1141">
        <v>0.5</v>
      </c>
      <c r="U1141">
        <v>0</v>
      </c>
      <c r="V1141">
        <v>0</v>
      </c>
      <c r="W1141">
        <v>0</v>
      </c>
      <c r="X1141">
        <v>0</v>
      </c>
      <c r="Y1141">
        <v>0.5</v>
      </c>
      <c r="Z1141">
        <v>0.5</v>
      </c>
    </row>
    <row r="1142" spans="1:30">
      <c r="A1142" t="s">
        <v>1304</v>
      </c>
      <c r="B1142">
        <v>60</v>
      </c>
      <c r="C1142">
        <v>76.0625</v>
      </c>
      <c r="D1142">
        <v>12</v>
      </c>
      <c r="E1142">
        <v>7.625</v>
      </c>
      <c r="F1142" t="s">
        <v>157</v>
      </c>
      <c r="G1142">
        <v>0</v>
      </c>
      <c r="I1142">
        <v>0</v>
      </c>
      <c r="L1142" t="s">
        <v>145</v>
      </c>
      <c r="N1142">
        <v>0.5</v>
      </c>
      <c r="O1142">
        <v>0.38</v>
      </c>
      <c r="P1142">
        <v>3.5</v>
      </c>
      <c r="Q1142">
        <v>-7.5</v>
      </c>
      <c r="R1142">
        <v>0</v>
      </c>
      <c r="S1142">
        <v>4</v>
      </c>
      <c r="T1142">
        <v>0.5</v>
      </c>
      <c r="U1142">
        <v>0</v>
      </c>
      <c r="V1142">
        <v>0</v>
      </c>
      <c r="W1142">
        <v>0</v>
      </c>
      <c r="X1142">
        <v>0</v>
      </c>
      <c r="Y1142">
        <v>0.5</v>
      </c>
      <c r="Z1142">
        <v>0.5</v>
      </c>
      <c r="AA1142">
        <v>15.5</v>
      </c>
      <c r="AB1142">
        <v>28.875</v>
      </c>
      <c r="AC1142">
        <v>26</v>
      </c>
      <c r="AD1142">
        <v>18.13</v>
      </c>
    </row>
    <row r="1143" spans="1:30">
      <c r="A1143" t="s">
        <v>1305</v>
      </c>
      <c r="B1143">
        <v>60</v>
      </c>
      <c r="C1143">
        <v>12.375</v>
      </c>
      <c r="D1143">
        <v>9</v>
      </c>
      <c r="F1143" t="s">
        <v>157</v>
      </c>
      <c r="G1143">
        <v>0</v>
      </c>
      <c r="I1143">
        <v>1</v>
      </c>
      <c r="J1143">
        <v>0</v>
      </c>
      <c r="K1143">
        <v>12</v>
      </c>
      <c r="N1143">
        <v>0.5</v>
      </c>
      <c r="O1143">
        <v>0.38</v>
      </c>
      <c r="P1143">
        <v>3.5</v>
      </c>
      <c r="Q1143">
        <v>-4.5</v>
      </c>
      <c r="R1143">
        <v>4.5</v>
      </c>
      <c r="S1143">
        <v>4</v>
      </c>
      <c r="T1143">
        <v>0.5</v>
      </c>
      <c r="U1143">
        <v>0</v>
      </c>
      <c r="V1143">
        <v>0</v>
      </c>
      <c r="W1143">
        <v>0</v>
      </c>
      <c r="X1143">
        <v>0</v>
      </c>
      <c r="Y1143">
        <v>0.5</v>
      </c>
      <c r="Z1143">
        <v>0.5</v>
      </c>
    </row>
    <row r="1144" spans="1:30">
      <c r="A1144" t="s">
        <v>1306</v>
      </c>
      <c r="B1144">
        <v>60</v>
      </c>
      <c r="C1144">
        <v>62.3125</v>
      </c>
      <c r="D1144">
        <v>7.5</v>
      </c>
      <c r="E1144">
        <v>7.9375</v>
      </c>
      <c r="F1144" t="s">
        <v>157</v>
      </c>
      <c r="G1144">
        <v>0</v>
      </c>
      <c r="I1144">
        <v>1</v>
      </c>
      <c r="J1144">
        <v>0</v>
      </c>
      <c r="K1144">
        <v>24</v>
      </c>
      <c r="L1144" t="s">
        <v>149</v>
      </c>
      <c r="N1144">
        <v>0.5</v>
      </c>
      <c r="O1144">
        <v>0.38</v>
      </c>
      <c r="P1144">
        <v>3.5</v>
      </c>
      <c r="Q1144">
        <v>-3</v>
      </c>
      <c r="R1144">
        <v>0</v>
      </c>
      <c r="S1144">
        <v>4</v>
      </c>
      <c r="T1144">
        <v>0.5</v>
      </c>
      <c r="U1144">
        <v>0</v>
      </c>
      <c r="V1144">
        <v>0</v>
      </c>
      <c r="W1144">
        <v>0</v>
      </c>
      <c r="X1144">
        <v>0</v>
      </c>
      <c r="Y1144">
        <v>0.5</v>
      </c>
      <c r="Z1144">
        <v>0.5</v>
      </c>
      <c r="AA1144">
        <v>15.5</v>
      </c>
      <c r="AB1144">
        <v>28.875</v>
      </c>
    </row>
    <row r="1145" spans="1:30">
      <c r="A1145" t="s">
        <v>1307</v>
      </c>
      <c r="B1145">
        <v>60</v>
      </c>
      <c r="C1145">
        <v>50.5</v>
      </c>
      <c r="D1145">
        <v>4.9375</v>
      </c>
      <c r="E1145">
        <v>3.125</v>
      </c>
      <c r="F1145" t="s">
        <v>157</v>
      </c>
      <c r="G1145">
        <v>0</v>
      </c>
      <c r="I1145">
        <v>1</v>
      </c>
      <c r="J1145">
        <v>0</v>
      </c>
      <c r="N1145">
        <v>0.5</v>
      </c>
      <c r="O1145">
        <v>0.38</v>
      </c>
      <c r="P1145">
        <v>3.5</v>
      </c>
      <c r="Q1145">
        <v>-0.4375</v>
      </c>
      <c r="R1145">
        <v>1.375</v>
      </c>
      <c r="S1145">
        <v>4</v>
      </c>
      <c r="T1145">
        <v>0.5</v>
      </c>
      <c r="U1145">
        <v>0</v>
      </c>
      <c r="V1145">
        <v>0</v>
      </c>
      <c r="W1145">
        <v>0</v>
      </c>
      <c r="X1145">
        <v>0</v>
      </c>
      <c r="Y1145">
        <v>0.5</v>
      </c>
      <c r="Z1145">
        <v>0.5</v>
      </c>
    </row>
    <row r="1146" spans="1:30">
      <c r="A1146" t="s">
        <v>1308</v>
      </c>
      <c r="B1146">
        <v>60</v>
      </c>
      <c r="C1146">
        <v>41.0625</v>
      </c>
      <c r="D1146">
        <v>4.5</v>
      </c>
      <c r="E1146">
        <v>6.1875</v>
      </c>
      <c r="F1146" t="s">
        <v>157</v>
      </c>
      <c r="G1146">
        <v>0</v>
      </c>
      <c r="I1146">
        <v>1</v>
      </c>
      <c r="J1146">
        <v>1</v>
      </c>
      <c r="N1146">
        <v>0.5</v>
      </c>
      <c r="O1146">
        <v>0.38</v>
      </c>
      <c r="P1146">
        <v>3.5</v>
      </c>
      <c r="Q1146">
        <v>0</v>
      </c>
      <c r="R1146">
        <v>0</v>
      </c>
      <c r="S1146">
        <v>4</v>
      </c>
      <c r="T1146">
        <v>0.5</v>
      </c>
      <c r="U1146">
        <v>0</v>
      </c>
      <c r="V1146">
        <v>0</v>
      </c>
      <c r="W1146">
        <v>0</v>
      </c>
      <c r="X1146">
        <v>0</v>
      </c>
      <c r="Y1146">
        <v>0.5</v>
      </c>
      <c r="Z1146">
        <v>0.5</v>
      </c>
    </row>
    <row r="1147" spans="1:30">
      <c r="A1147" t="s">
        <v>1309</v>
      </c>
      <c r="B1147">
        <v>60</v>
      </c>
      <c r="C1147">
        <v>66.125</v>
      </c>
      <c r="D1147">
        <v>1</v>
      </c>
      <c r="E1147">
        <v>1</v>
      </c>
      <c r="F1147" t="s">
        <v>157</v>
      </c>
      <c r="G1147">
        <v>1</v>
      </c>
      <c r="H1147">
        <v>0</v>
      </c>
      <c r="I1147">
        <v>0</v>
      </c>
      <c r="L1147" t="s">
        <v>35</v>
      </c>
      <c r="N1147">
        <v>0.5</v>
      </c>
      <c r="O1147">
        <v>0.38</v>
      </c>
      <c r="P1147">
        <v>3.5</v>
      </c>
      <c r="Q1147">
        <v>3.5</v>
      </c>
      <c r="R1147">
        <v>3.5</v>
      </c>
      <c r="S1147">
        <v>4</v>
      </c>
      <c r="T1147">
        <v>0.5</v>
      </c>
      <c r="U1147">
        <v>1</v>
      </c>
      <c r="V1147">
        <v>0</v>
      </c>
      <c r="W1147">
        <v>0</v>
      </c>
      <c r="X1147">
        <v>0</v>
      </c>
      <c r="Y1147">
        <v>0</v>
      </c>
      <c r="Z1147">
        <v>0.5</v>
      </c>
      <c r="AA1147">
        <v>15.5</v>
      </c>
      <c r="AB1147">
        <v>28.875</v>
      </c>
      <c r="AC1147">
        <v>26</v>
      </c>
      <c r="AD1147">
        <v>29.13</v>
      </c>
    </row>
    <row r="1148" spans="1:30">
      <c r="A1148" t="s">
        <v>1310</v>
      </c>
      <c r="B1148">
        <v>60</v>
      </c>
      <c r="C1148">
        <v>48.3125</v>
      </c>
      <c r="D1148">
        <v>12</v>
      </c>
      <c r="E1148">
        <v>1</v>
      </c>
      <c r="F1148" t="s">
        <v>157</v>
      </c>
      <c r="G1148">
        <v>1</v>
      </c>
      <c r="H1148">
        <v>0</v>
      </c>
      <c r="I1148">
        <v>1</v>
      </c>
      <c r="J1148">
        <v>0</v>
      </c>
      <c r="K1148">
        <v>12</v>
      </c>
      <c r="L1148" t="s">
        <v>120</v>
      </c>
      <c r="N1148">
        <v>0.5</v>
      </c>
      <c r="O1148">
        <v>0.38</v>
      </c>
      <c r="P1148">
        <v>3.5</v>
      </c>
      <c r="Q1148">
        <v>-7.5</v>
      </c>
      <c r="R1148">
        <v>3.5</v>
      </c>
      <c r="S1148">
        <v>4</v>
      </c>
      <c r="T1148">
        <v>0.5</v>
      </c>
      <c r="U1148">
        <v>0</v>
      </c>
      <c r="V1148">
        <v>0</v>
      </c>
      <c r="W1148">
        <v>0</v>
      </c>
      <c r="X1148">
        <v>0</v>
      </c>
      <c r="Y1148">
        <v>0.5</v>
      </c>
      <c r="Z1148">
        <v>0.5</v>
      </c>
      <c r="AA1148">
        <v>11.5</v>
      </c>
      <c r="AB1148">
        <v>10.875</v>
      </c>
      <c r="AC1148">
        <v>16.940000000000001</v>
      </c>
      <c r="AD1148">
        <v>6</v>
      </c>
    </row>
    <row r="1149" spans="1:30">
      <c r="A1149" t="s">
        <v>1311</v>
      </c>
      <c r="B1149">
        <v>60</v>
      </c>
      <c r="C1149">
        <v>28.625</v>
      </c>
      <c r="D1149">
        <v>1</v>
      </c>
      <c r="E1149">
        <v>1.6875</v>
      </c>
      <c r="F1149" t="s">
        <v>157</v>
      </c>
      <c r="G1149">
        <v>1</v>
      </c>
      <c r="H1149">
        <v>0</v>
      </c>
      <c r="I1149">
        <v>1</v>
      </c>
      <c r="J1149">
        <v>0</v>
      </c>
      <c r="K1149">
        <v>24</v>
      </c>
      <c r="N1149">
        <v>0.5</v>
      </c>
      <c r="O1149">
        <v>0.38</v>
      </c>
      <c r="P1149">
        <v>3.5</v>
      </c>
      <c r="Q1149">
        <v>3.5</v>
      </c>
      <c r="R1149">
        <v>2.8125</v>
      </c>
      <c r="S1149">
        <v>4</v>
      </c>
      <c r="T1149">
        <v>0.5</v>
      </c>
      <c r="U1149">
        <v>1</v>
      </c>
      <c r="V1149">
        <v>1</v>
      </c>
      <c r="W1149">
        <v>0</v>
      </c>
      <c r="X1149">
        <v>0</v>
      </c>
      <c r="Y1149">
        <v>0</v>
      </c>
      <c r="Z1149">
        <v>0</v>
      </c>
    </row>
    <row r="1150" spans="1:30">
      <c r="A1150" t="s">
        <v>1312</v>
      </c>
      <c r="B1150">
        <v>60</v>
      </c>
      <c r="C1150">
        <v>78.625</v>
      </c>
      <c r="D1150">
        <v>11.375</v>
      </c>
      <c r="F1150" t="s">
        <v>157</v>
      </c>
      <c r="G1150">
        <v>1</v>
      </c>
      <c r="H1150">
        <v>0</v>
      </c>
      <c r="I1150">
        <v>1</v>
      </c>
      <c r="J1150">
        <v>0</v>
      </c>
      <c r="N1150">
        <v>0.5</v>
      </c>
      <c r="O1150">
        <v>0.38</v>
      </c>
      <c r="P1150">
        <v>3.5</v>
      </c>
      <c r="Q1150">
        <v>-6.875</v>
      </c>
      <c r="R1150">
        <v>4.5</v>
      </c>
      <c r="S1150">
        <v>4</v>
      </c>
      <c r="T1150">
        <v>0.5</v>
      </c>
      <c r="U1150">
        <v>0</v>
      </c>
      <c r="V1150">
        <v>0</v>
      </c>
      <c r="W1150">
        <v>0</v>
      </c>
      <c r="X1150">
        <v>0</v>
      </c>
      <c r="Y1150">
        <v>0.5</v>
      </c>
      <c r="Z1150">
        <v>0.5</v>
      </c>
    </row>
    <row r="1151" spans="1:30">
      <c r="A1151" t="s">
        <v>1313</v>
      </c>
      <c r="B1151">
        <v>60</v>
      </c>
      <c r="C1151">
        <v>25.375</v>
      </c>
      <c r="D1151">
        <v>10.4375</v>
      </c>
      <c r="E1151">
        <v>1</v>
      </c>
      <c r="F1151" t="s">
        <v>157</v>
      </c>
      <c r="G1151">
        <v>1</v>
      </c>
      <c r="H1151">
        <v>0</v>
      </c>
      <c r="I1151">
        <v>1</v>
      </c>
      <c r="J1151">
        <v>1</v>
      </c>
      <c r="N1151">
        <v>0.5</v>
      </c>
      <c r="O1151">
        <v>0.38</v>
      </c>
      <c r="P1151">
        <v>3.5</v>
      </c>
      <c r="Q1151">
        <v>-5.9375</v>
      </c>
      <c r="R1151">
        <v>3.5</v>
      </c>
      <c r="S1151">
        <v>4</v>
      </c>
      <c r="T1151">
        <v>0.5</v>
      </c>
      <c r="U1151">
        <v>0</v>
      </c>
      <c r="V1151">
        <v>0</v>
      </c>
      <c r="W1151">
        <v>0</v>
      </c>
      <c r="X1151">
        <v>0</v>
      </c>
      <c r="Y1151">
        <v>0.5</v>
      </c>
      <c r="Z1151">
        <v>0.5</v>
      </c>
    </row>
    <row r="1152" spans="1:30">
      <c r="A1152" t="s">
        <v>1314</v>
      </c>
      <c r="B1152">
        <v>60</v>
      </c>
      <c r="C1152">
        <v>73.6875</v>
      </c>
      <c r="D1152">
        <v>7.75</v>
      </c>
      <c r="F1152" t="s">
        <v>157</v>
      </c>
      <c r="G1152">
        <v>1</v>
      </c>
      <c r="H1152">
        <v>1</v>
      </c>
      <c r="I1152">
        <v>0</v>
      </c>
      <c r="N1152">
        <v>0.5</v>
      </c>
      <c r="O1152">
        <v>0.38</v>
      </c>
      <c r="P1152">
        <v>3.5</v>
      </c>
      <c r="Q1152">
        <v>-3.25</v>
      </c>
      <c r="R1152">
        <v>4.5</v>
      </c>
      <c r="S1152">
        <v>4</v>
      </c>
      <c r="T1152">
        <v>0.5</v>
      </c>
      <c r="U1152">
        <v>0</v>
      </c>
      <c r="V1152">
        <v>0</v>
      </c>
      <c r="W1152">
        <v>0</v>
      </c>
      <c r="X1152">
        <v>0</v>
      </c>
      <c r="Y1152">
        <v>0.5</v>
      </c>
      <c r="Z1152">
        <v>0.5</v>
      </c>
    </row>
    <row r="1153" spans="1:30">
      <c r="A1153" t="s">
        <v>1315</v>
      </c>
      <c r="B1153">
        <v>60</v>
      </c>
      <c r="C1153">
        <v>74.125</v>
      </c>
      <c r="D1153">
        <v>4.5</v>
      </c>
      <c r="E1153">
        <v>5.6875</v>
      </c>
      <c r="F1153" t="s">
        <v>157</v>
      </c>
      <c r="G1153">
        <v>1</v>
      </c>
      <c r="H1153">
        <v>1</v>
      </c>
      <c r="I1153">
        <v>1</v>
      </c>
      <c r="J1153">
        <v>0</v>
      </c>
      <c r="K1153">
        <v>12</v>
      </c>
      <c r="L1153" t="s">
        <v>149</v>
      </c>
      <c r="N1153">
        <v>0.5</v>
      </c>
      <c r="O1153">
        <v>0.38</v>
      </c>
      <c r="P1153">
        <v>3.5</v>
      </c>
      <c r="Q1153">
        <v>0</v>
      </c>
      <c r="R1153">
        <v>0</v>
      </c>
      <c r="S1153">
        <v>4</v>
      </c>
      <c r="T1153">
        <v>0.5</v>
      </c>
      <c r="U1153">
        <v>0</v>
      </c>
      <c r="V1153">
        <v>0</v>
      </c>
      <c r="W1153">
        <v>0</v>
      </c>
      <c r="X1153">
        <v>0</v>
      </c>
      <c r="Y1153">
        <v>0.5</v>
      </c>
      <c r="Z1153">
        <v>0.5</v>
      </c>
      <c r="AA1153">
        <v>15.5</v>
      </c>
      <c r="AB1153">
        <v>28.875</v>
      </c>
      <c r="AC1153">
        <v>9</v>
      </c>
      <c r="AD1153">
        <v>13.5</v>
      </c>
    </row>
    <row r="1154" spans="1:30">
      <c r="A1154" t="s">
        <v>1316</v>
      </c>
      <c r="B1154">
        <v>60</v>
      </c>
      <c r="C1154">
        <v>70.4375</v>
      </c>
      <c r="D1154">
        <v>4.5</v>
      </c>
      <c r="E1154">
        <v>1.875</v>
      </c>
      <c r="F1154" t="s">
        <v>157</v>
      </c>
      <c r="G1154">
        <v>1</v>
      </c>
      <c r="H1154">
        <v>1</v>
      </c>
      <c r="I1154">
        <v>1</v>
      </c>
      <c r="J1154">
        <v>0</v>
      </c>
      <c r="K1154">
        <v>24</v>
      </c>
      <c r="L1154" t="s">
        <v>120</v>
      </c>
      <c r="N1154">
        <v>0.5</v>
      </c>
      <c r="O1154">
        <v>0.38</v>
      </c>
      <c r="P1154">
        <v>3.5</v>
      </c>
      <c r="Q1154">
        <v>0</v>
      </c>
      <c r="R1154">
        <v>2.625</v>
      </c>
      <c r="S1154">
        <v>4</v>
      </c>
      <c r="T1154">
        <v>0.5</v>
      </c>
      <c r="U1154">
        <v>0</v>
      </c>
      <c r="V1154">
        <v>0</v>
      </c>
      <c r="W1154">
        <v>0</v>
      </c>
      <c r="X1154">
        <v>0</v>
      </c>
      <c r="Y1154">
        <v>0.5</v>
      </c>
      <c r="Z1154">
        <v>0.5</v>
      </c>
      <c r="AA1154">
        <v>11.5</v>
      </c>
      <c r="AB1154">
        <v>10.875</v>
      </c>
      <c r="AC1154">
        <v>4.9400000000000004</v>
      </c>
      <c r="AD1154">
        <v>13.5</v>
      </c>
    </row>
    <row r="1155" spans="1:30">
      <c r="A1155" t="s">
        <v>1317</v>
      </c>
      <c r="B1155">
        <v>60</v>
      </c>
      <c r="C1155">
        <v>50.1875</v>
      </c>
      <c r="D1155">
        <v>12</v>
      </c>
      <c r="E1155">
        <v>4.5</v>
      </c>
      <c r="F1155" t="s">
        <v>157</v>
      </c>
      <c r="G1155">
        <v>1</v>
      </c>
      <c r="H1155">
        <v>1</v>
      </c>
      <c r="I1155">
        <v>1</v>
      </c>
      <c r="J1155">
        <v>0</v>
      </c>
      <c r="N1155">
        <v>0.5</v>
      </c>
      <c r="O1155">
        <v>0.38</v>
      </c>
      <c r="P1155">
        <v>3.5</v>
      </c>
      <c r="Q1155">
        <v>-7.5</v>
      </c>
      <c r="R1155">
        <v>0</v>
      </c>
      <c r="S1155">
        <v>4</v>
      </c>
      <c r="T1155">
        <v>0.5</v>
      </c>
      <c r="U1155">
        <v>0</v>
      </c>
      <c r="V1155">
        <v>0</v>
      </c>
      <c r="W1155">
        <v>0</v>
      </c>
      <c r="X1155">
        <v>0</v>
      </c>
      <c r="Y1155">
        <v>0.5</v>
      </c>
      <c r="Z1155">
        <v>0.5</v>
      </c>
    </row>
    <row r="1156" spans="1:30">
      <c r="A1156" t="s">
        <v>1318</v>
      </c>
      <c r="B1156">
        <v>60</v>
      </c>
      <c r="C1156">
        <v>12.1875</v>
      </c>
      <c r="D1156">
        <v>9</v>
      </c>
      <c r="E1156">
        <v>1.1875</v>
      </c>
      <c r="F1156" t="s">
        <v>157</v>
      </c>
      <c r="G1156">
        <v>1</v>
      </c>
      <c r="H1156">
        <v>1</v>
      </c>
      <c r="I1156">
        <v>1</v>
      </c>
      <c r="J1156">
        <v>1</v>
      </c>
      <c r="N1156">
        <v>0.5</v>
      </c>
      <c r="O1156">
        <v>0.38</v>
      </c>
      <c r="P1156">
        <v>3.5</v>
      </c>
      <c r="Q1156">
        <v>-4.5</v>
      </c>
      <c r="R1156">
        <v>3.3125</v>
      </c>
      <c r="S1156">
        <v>4</v>
      </c>
      <c r="T1156">
        <v>0.5</v>
      </c>
      <c r="U1156">
        <v>0</v>
      </c>
      <c r="V1156">
        <v>0</v>
      </c>
      <c r="W1156">
        <v>0</v>
      </c>
      <c r="X1156">
        <v>0</v>
      </c>
      <c r="Y1156">
        <v>0.5</v>
      </c>
      <c r="Z1156">
        <v>0.5</v>
      </c>
    </row>
    <row r="1157" spans="1:30">
      <c r="A1157" t="s">
        <v>1319</v>
      </c>
      <c r="B1157">
        <v>95.875</v>
      </c>
      <c r="C1157">
        <v>66.75</v>
      </c>
      <c r="D1157">
        <v>3.125</v>
      </c>
      <c r="E1157">
        <v>1</v>
      </c>
      <c r="F1157" t="s">
        <v>21</v>
      </c>
      <c r="G1157">
        <v>0</v>
      </c>
      <c r="I1157">
        <v>0</v>
      </c>
      <c r="L1157" t="s">
        <v>121</v>
      </c>
      <c r="N1157">
        <v>0.5</v>
      </c>
      <c r="O1157">
        <v>0.38</v>
      </c>
      <c r="P1157">
        <v>3.5</v>
      </c>
      <c r="Q1157">
        <v>1.375</v>
      </c>
      <c r="R1157">
        <v>3.5</v>
      </c>
      <c r="S1157">
        <v>4</v>
      </c>
      <c r="T1157">
        <v>0.5</v>
      </c>
      <c r="U1157">
        <v>0</v>
      </c>
      <c r="V1157">
        <v>0</v>
      </c>
      <c r="W1157">
        <v>0</v>
      </c>
      <c r="X1157">
        <v>0</v>
      </c>
      <c r="Y1157">
        <v>0.5</v>
      </c>
      <c r="Z1157">
        <v>0.5</v>
      </c>
      <c r="AA1157">
        <v>11</v>
      </c>
      <c r="AB1157">
        <v>9.375</v>
      </c>
      <c r="AC1157">
        <v>14.5</v>
      </c>
      <c r="AD1157">
        <v>15.625</v>
      </c>
    </row>
    <row r="1158" spans="1:30">
      <c r="A1158" t="s">
        <v>1320</v>
      </c>
      <c r="B1158">
        <v>96</v>
      </c>
      <c r="C1158">
        <v>72.4375</v>
      </c>
      <c r="D1158">
        <v>10.5</v>
      </c>
      <c r="E1158">
        <v>1</v>
      </c>
      <c r="F1158" t="s">
        <v>21</v>
      </c>
      <c r="G1158">
        <v>0</v>
      </c>
      <c r="I1158">
        <v>1</v>
      </c>
      <c r="J1158">
        <v>0</v>
      </c>
      <c r="K1158">
        <v>12</v>
      </c>
      <c r="L1158" t="s">
        <v>149</v>
      </c>
      <c r="N1158">
        <v>0.5</v>
      </c>
      <c r="O1158">
        <v>0.38</v>
      </c>
      <c r="P1158">
        <v>3.5</v>
      </c>
      <c r="Q1158">
        <v>-6</v>
      </c>
      <c r="R1158">
        <v>3.5</v>
      </c>
      <c r="S1158">
        <v>4</v>
      </c>
      <c r="T1158">
        <v>0.5</v>
      </c>
      <c r="U1158">
        <v>0</v>
      </c>
      <c r="V1158">
        <v>0</v>
      </c>
      <c r="W1158">
        <v>0</v>
      </c>
      <c r="X1158">
        <v>0</v>
      </c>
      <c r="Y1158">
        <v>0.5</v>
      </c>
      <c r="Z1158">
        <v>0.5</v>
      </c>
      <c r="AA1158">
        <v>15.5</v>
      </c>
      <c r="AB1158">
        <v>28.875</v>
      </c>
      <c r="AC1158">
        <v>9</v>
      </c>
      <c r="AD1158">
        <v>7.5</v>
      </c>
    </row>
    <row r="1159" spans="1:30">
      <c r="A1159" t="s">
        <v>1321</v>
      </c>
      <c r="B1159">
        <v>60.0625</v>
      </c>
      <c r="C1159">
        <v>51.0625</v>
      </c>
      <c r="D1159">
        <v>12</v>
      </c>
      <c r="F1159" t="s">
        <v>21</v>
      </c>
      <c r="G1159">
        <v>0</v>
      </c>
      <c r="I1159">
        <v>1</v>
      </c>
      <c r="J1159">
        <v>0</v>
      </c>
      <c r="K1159">
        <v>24</v>
      </c>
      <c r="L1159" t="s">
        <v>151</v>
      </c>
      <c r="N1159">
        <v>0.5</v>
      </c>
      <c r="O1159">
        <v>0.38</v>
      </c>
      <c r="P1159">
        <v>3.5</v>
      </c>
      <c r="Q1159">
        <v>-7.5</v>
      </c>
      <c r="R1159">
        <v>4.5</v>
      </c>
      <c r="S1159">
        <v>4</v>
      </c>
      <c r="T1159">
        <v>0.5</v>
      </c>
      <c r="U1159">
        <v>0</v>
      </c>
      <c r="V1159">
        <v>0</v>
      </c>
      <c r="W1159">
        <v>0</v>
      </c>
      <c r="X1159">
        <v>0</v>
      </c>
      <c r="Y1159">
        <v>0.5</v>
      </c>
      <c r="Z1159">
        <v>0.5</v>
      </c>
      <c r="AA1159">
        <v>15.5</v>
      </c>
      <c r="AB1159">
        <v>28.875</v>
      </c>
    </row>
    <row r="1160" spans="1:30">
      <c r="A1160" t="s">
        <v>1322</v>
      </c>
      <c r="B1160">
        <v>96</v>
      </c>
      <c r="C1160">
        <v>63.3125</v>
      </c>
      <c r="D1160">
        <v>12</v>
      </c>
      <c r="E1160">
        <v>1</v>
      </c>
      <c r="F1160" t="s">
        <v>21</v>
      </c>
      <c r="G1160">
        <v>0</v>
      </c>
      <c r="I1160">
        <v>1</v>
      </c>
      <c r="J1160">
        <v>0</v>
      </c>
      <c r="N1160">
        <v>0.5</v>
      </c>
      <c r="O1160">
        <v>0.38</v>
      </c>
      <c r="P1160">
        <v>3.5</v>
      </c>
      <c r="Q1160">
        <v>-7.5</v>
      </c>
      <c r="R1160">
        <v>3.5</v>
      </c>
      <c r="S1160">
        <v>4</v>
      </c>
      <c r="T1160">
        <v>0.5</v>
      </c>
      <c r="U1160">
        <v>0</v>
      </c>
      <c r="V1160">
        <v>0</v>
      </c>
      <c r="W1160">
        <v>0</v>
      </c>
      <c r="X1160">
        <v>0</v>
      </c>
      <c r="Y1160">
        <v>0.5</v>
      </c>
      <c r="Z1160">
        <v>0.5</v>
      </c>
    </row>
    <row r="1161" spans="1:30">
      <c r="A1161" t="s">
        <v>1323</v>
      </c>
      <c r="B1161">
        <v>47.875</v>
      </c>
      <c r="C1161">
        <v>61.25</v>
      </c>
      <c r="D1161">
        <v>4.5</v>
      </c>
      <c r="E1161">
        <v>5.75</v>
      </c>
      <c r="F1161" t="s">
        <v>21</v>
      </c>
      <c r="G1161">
        <v>0</v>
      </c>
      <c r="I1161">
        <v>1</v>
      </c>
      <c r="J1161">
        <v>1</v>
      </c>
      <c r="N1161">
        <v>0.5</v>
      </c>
      <c r="O1161">
        <v>0.38</v>
      </c>
      <c r="P1161">
        <v>3.5</v>
      </c>
      <c r="Q1161">
        <v>0</v>
      </c>
      <c r="R1161">
        <v>0</v>
      </c>
      <c r="S1161">
        <v>4</v>
      </c>
      <c r="T1161">
        <v>0.5</v>
      </c>
      <c r="U1161">
        <v>0</v>
      </c>
      <c r="V1161">
        <v>0</v>
      </c>
      <c r="W1161">
        <v>0</v>
      </c>
      <c r="X1161">
        <v>0</v>
      </c>
      <c r="Y1161">
        <v>0.5</v>
      </c>
      <c r="Z1161">
        <v>0.5</v>
      </c>
    </row>
    <row r="1162" spans="1:30">
      <c r="A1162" t="s">
        <v>1324</v>
      </c>
      <c r="B1162">
        <v>82.875</v>
      </c>
      <c r="C1162">
        <v>69.75</v>
      </c>
      <c r="D1162">
        <v>4.5</v>
      </c>
      <c r="E1162">
        <v>7.75</v>
      </c>
      <c r="F1162" t="s">
        <v>21</v>
      </c>
      <c r="G1162">
        <v>1</v>
      </c>
      <c r="H1162">
        <v>0</v>
      </c>
      <c r="I1162">
        <v>0</v>
      </c>
      <c r="L1162" t="s">
        <v>145</v>
      </c>
      <c r="N1162">
        <v>0.5</v>
      </c>
      <c r="O1162">
        <v>0.38</v>
      </c>
      <c r="P1162">
        <v>3.5</v>
      </c>
      <c r="Q1162">
        <v>0</v>
      </c>
      <c r="R1162">
        <v>0</v>
      </c>
      <c r="S1162">
        <v>4</v>
      </c>
      <c r="T1162">
        <v>0.5</v>
      </c>
      <c r="U1162">
        <v>0</v>
      </c>
      <c r="V1162">
        <v>0</v>
      </c>
      <c r="W1162">
        <v>0</v>
      </c>
      <c r="X1162">
        <v>0</v>
      </c>
      <c r="Y1162">
        <v>0.5</v>
      </c>
      <c r="Z1162">
        <v>0.5</v>
      </c>
      <c r="AA1162">
        <v>15.5</v>
      </c>
      <c r="AB1162">
        <v>28.875</v>
      </c>
      <c r="AC1162">
        <v>26</v>
      </c>
      <c r="AD1162">
        <v>25.63</v>
      </c>
    </row>
    <row r="1163" spans="1:30">
      <c r="A1163" t="s">
        <v>1325</v>
      </c>
      <c r="B1163">
        <v>60.4375</v>
      </c>
      <c r="C1163">
        <v>66</v>
      </c>
      <c r="D1163">
        <v>4.5</v>
      </c>
      <c r="E1163">
        <v>5.75</v>
      </c>
      <c r="F1163" t="s">
        <v>21</v>
      </c>
      <c r="G1163">
        <v>1</v>
      </c>
      <c r="H1163">
        <v>0</v>
      </c>
      <c r="I1163">
        <v>1</v>
      </c>
      <c r="J1163">
        <v>0</v>
      </c>
      <c r="K1163">
        <v>12</v>
      </c>
      <c r="L1163" t="s">
        <v>119</v>
      </c>
      <c r="N1163">
        <v>0.5</v>
      </c>
      <c r="O1163">
        <v>0.38</v>
      </c>
      <c r="P1163">
        <v>3.5</v>
      </c>
      <c r="Q1163">
        <v>0</v>
      </c>
      <c r="R1163">
        <v>0</v>
      </c>
      <c r="S1163">
        <v>4</v>
      </c>
      <c r="T1163">
        <v>0.5</v>
      </c>
      <c r="U1163">
        <v>0</v>
      </c>
      <c r="V1163">
        <v>0</v>
      </c>
      <c r="W1163">
        <v>0</v>
      </c>
      <c r="X1163">
        <v>0</v>
      </c>
      <c r="Y1163">
        <v>0.5</v>
      </c>
      <c r="Z1163">
        <v>0.5</v>
      </c>
      <c r="AA1163">
        <v>11</v>
      </c>
      <c r="AB1163">
        <v>15.5</v>
      </c>
    </row>
    <row r="1164" spans="1:30">
      <c r="A1164" t="s">
        <v>1326</v>
      </c>
      <c r="B1164">
        <v>101.8125</v>
      </c>
      <c r="C1164">
        <v>63.125</v>
      </c>
      <c r="D1164">
        <v>1</v>
      </c>
      <c r="E1164">
        <v>1.25</v>
      </c>
      <c r="F1164" t="s">
        <v>21</v>
      </c>
      <c r="G1164">
        <v>1</v>
      </c>
      <c r="H1164">
        <v>0</v>
      </c>
      <c r="I1164">
        <v>1</v>
      </c>
      <c r="J1164">
        <v>0</v>
      </c>
      <c r="K1164">
        <v>24</v>
      </c>
      <c r="L1164" t="s">
        <v>119</v>
      </c>
      <c r="N1164">
        <v>0.5</v>
      </c>
      <c r="O1164">
        <v>0.38</v>
      </c>
      <c r="P1164">
        <v>3.5</v>
      </c>
      <c r="Q1164">
        <v>3.5</v>
      </c>
      <c r="R1164">
        <v>3.25</v>
      </c>
      <c r="S1164">
        <v>4</v>
      </c>
      <c r="T1164">
        <v>0.5</v>
      </c>
      <c r="U1164">
        <v>1</v>
      </c>
      <c r="V1164">
        <v>1</v>
      </c>
      <c r="W1164">
        <v>0</v>
      </c>
      <c r="X1164">
        <v>0</v>
      </c>
      <c r="Y1164">
        <v>0</v>
      </c>
      <c r="Z1164">
        <v>0</v>
      </c>
      <c r="AA1164">
        <v>11</v>
      </c>
      <c r="AB1164">
        <v>15.5</v>
      </c>
    </row>
    <row r="1165" spans="1:30">
      <c r="A1165" t="s">
        <v>1327</v>
      </c>
      <c r="B1165">
        <v>74.875</v>
      </c>
      <c r="C1165">
        <v>63.1875</v>
      </c>
      <c r="D1165">
        <v>9</v>
      </c>
      <c r="E1165">
        <v>1</v>
      </c>
      <c r="F1165" t="s">
        <v>21</v>
      </c>
      <c r="G1165">
        <v>1</v>
      </c>
      <c r="H1165">
        <v>0</v>
      </c>
      <c r="I1165">
        <v>1</v>
      </c>
      <c r="J1165">
        <v>0</v>
      </c>
      <c r="N1165">
        <v>0.5</v>
      </c>
      <c r="O1165">
        <v>0.38</v>
      </c>
      <c r="P1165">
        <v>3.5</v>
      </c>
      <c r="Q1165">
        <v>-4.5</v>
      </c>
      <c r="R1165">
        <v>3.5</v>
      </c>
      <c r="S1165">
        <v>4</v>
      </c>
      <c r="T1165">
        <v>0.5</v>
      </c>
      <c r="U1165">
        <v>0</v>
      </c>
      <c r="V1165">
        <v>0</v>
      </c>
      <c r="W1165">
        <v>0</v>
      </c>
      <c r="X1165">
        <v>0</v>
      </c>
      <c r="Y1165">
        <v>0.5</v>
      </c>
      <c r="Z1165">
        <v>0.5</v>
      </c>
    </row>
    <row r="1166" spans="1:30">
      <c r="A1166" t="s">
        <v>1328</v>
      </c>
      <c r="B1166">
        <v>102.25</v>
      </c>
      <c r="C1166">
        <v>63.375</v>
      </c>
      <c r="D1166">
        <v>9</v>
      </c>
      <c r="E1166">
        <v>6.75</v>
      </c>
      <c r="F1166" t="s">
        <v>21</v>
      </c>
      <c r="G1166">
        <v>1</v>
      </c>
      <c r="H1166">
        <v>0</v>
      </c>
      <c r="I1166">
        <v>1</v>
      </c>
      <c r="J1166">
        <v>1</v>
      </c>
      <c r="N1166">
        <v>0.5</v>
      </c>
      <c r="O1166">
        <v>0.38</v>
      </c>
      <c r="P1166">
        <v>3.5</v>
      </c>
      <c r="Q1166">
        <v>-4.5</v>
      </c>
      <c r="R1166">
        <v>0</v>
      </c>
      <c r="S1166">
        <v>4</v>
      </c>
      <c r="T1166">
        <v>0.5</v>
      </c>
      <c r="U1166">
        <v>0</v>
      </c>
      <c r="V1166">
        <v>0</v>
      </c>
      <c r="W1166">
        <v>0</v>
      </c>
      <c r="X1166">
        <v>0</v>
      </c>
      <c r="Y1166">
        <v>0.5</v>
      </c>
      <c r="Z1166">
        <v>0.5</v>
      </c>
    </row>
    <row r="1167" spans="1:30">
      <c r="A1167" t="s">
        <v>1329</v>
      </c>
      <c r="B1167">
        <v>46.8125</v>
      </c>
      <c r="C1167">
        <v>33.625</v>
      </c>
      <c r="D1167">
        <v>4.375</v>
      </c>
      <c r="E1167">
        <v>1.375</v>
      </c>
      <c r="F1167" t="s">
        <v>21</v>
      </c>
      <c r="G1167">
        <v>1</v>
      </c>
      <c r="H1167">
        <v>1</v>
      </c>
      <c r="I1167">
        <v>0</v>
      </c>
      <c r="N1167">
        <v>0.5</v>
      </c>
      <c r="O1167">
        <v>0.38</v>
      </c>
      <c r="P1167">
        <v>3.5</v>
      </c>
      <c r="Q1167">
        <v>0.125</v>
      </c>
      <c r="R1167">
        <v>3.125</v>
      </c>
      <c r="S1167">
        <v>4</v>
      </c>
      <c r="T1167">
        <v>0.5</v>
      </c>
      <c r="U1167">
        <v>1</v>
      </c>
      <c r="V1167">
        <v>0</v>
      </c>
      <c r="W1167">
        <v>1</v>
      </c>
      <c r="X1167">
        <v>0</v>
      </c>
      <c r="Y1167">
        <v>0</v>
      </c>
      <c r="Z1167">
        <v>0.5</v>
      </c>
    </row>
    <row r="1168" spans="1:30">
      <c r="A1168" t="s">
        <v>1330</v>
      </c>
      <c r="B1168">
        <v>96</v>
      </c>
      <c r="C1168">
        <v>75.5</v>
      </c>
      <c r="D1168">
        <v>1</v>
      </c>
      <c r="E1168">
        <v>1</v>
      </c>
      <c r="F1168" t="s">
        <v>21</v>
      </c>
      <c r="G1168">
        <v>1</v>
      </c>
      <c r="H1168">
        <v>1</v>
      </c>
      <c r="I1168">
        <v>1</v>
      </c>
      <c r="J1168">
        <v>0</v>
      </c>
      <c r="K1168">
        <v>12</v>
      </c>
      <c r="L1168" t="s">
        <v>120</v>
      </c>
      <c r="N1168">
        <v>0.5</v>
      </c>
      <c r="O1168">
        <v>0.38</v>
      </c>
      <c r="P1168">
        <v>3.5</v>
      </c>
      <c r="Q1168">
        <v>3.5</v>
      </c>
      <c r="R1168">
        <v>3.5</v>
      </c>
      <c r="S1168">
        <v>4</v>
      </c>
      <c r="T1168">
        <v>0.5</v>
      </c>
      <c r="U1168">
        <v>1</v>
      </c>
      <c r="V1168">
        <v>1</v>
      </c>
      <c r="W1168">
        <v>1</v>
      </c>
      <c r="X1168">
        <v>0</v>
      </c>
      <c r="Y1168">
        <v>0</v>
      </c>
      <c r="Z1168">
        <v>0</v>
      </c>
      <c r="AA1168">
        <v>11.5</v>
      </c>
      <c r="AB1168">
        <v>10.875</v>
      </c>
      <c r="AC1168">
        <v>16.940000000000001</v>
      </c>
      <c r="AD1168">
        <v>17</v>
      </c>
    </row>
    <row r="1169" spans="1:26">
      <c r="A1169" t="s">
        <v>1331</v>
      </c>
      <c r="B1169">
        <v>92.375</v>
      </c>
      <c r="C1169">
        <v>12.5</v>
      </c>
      <c r="D1169">
        <v>7.875</v>
      </c>
      <c r="E1169">
        <v>1</v>
      </c>
      <c r="F1169" t="s">
        <v>21</v>
      </c>
      <c r="G1169">
        <v>1</v>
      </c>
      <c r="H1169">
        <v>1</v>
      </c>
      <c r="I1169">
        <v>1</v>
      </c>
      <c r="J1169">
        <v>0</v>
      </c>
      <c r="K1169">
        <v>24</v>
      </c>
      <c r="N1169">
        <v>0.5</v>
      </c>
      <c r="O1169">
        <v>0.38</v>
      </c>
      <c r="P1169">
        <v>3.5</v>
      </c>
      <c r="Q1169">
        <v>-3.375</v>
      </c>
      <c r="R1169">
        <v>3.5</v>
      </c>
      <c r="S1169">
        <v>4</v>
      </c>
      <c r="T1169">
        <v>0.5</v>
      </c>
      <c r="U1169">
        <v>0</v>
      </c>
      <c r="V1169">
        <v>0</v>
      </c>
      <c r="W1169">
        <v>1</v>
      </c>
      <c r="X1169">
        <v>0</v>
      </c>
      <c r="Y1169">
        <v>0.5</v>
      </c>
      <c r="Z1169">
        <v>0.5</v>
      </c>
    </row>
    <row r="1170" spans="1:26">
      <c r="A1170" t="s">
        <v>1332</v>
      </c>
      <c r="B1170">
        <v>78</v>
      </c>
      <c r="C1170">
        <v>54.25</v>
      </c>
      <c r="D1170">
        <v>12</v>
      </c>
      <c r="F1170" t="s">
        <v>21</v>
      </c>
      <c r="G1170">
        <v>1</v>
      </c>
      <c r="H1170">
        <v>1</v>
      </c>
      <c r="I1170">
        <v>1</v>
      </c>
      <c r="J1170">
        <v>0</v>
      </c>
      <c r="N1170">
        <v>0.5</v>
      </c>
      <c r="O1170">
        <v>0.38</v>
      </c>
      <c r="P1170">
        <v>3.5</v>
      </c>
      <c r="Q1170">
        <v>-7.5</v>
      </c>
      <c r="R1170">
        <v>4.5</v>
      </c>
      <c r="S1170">
        <v>4</v>
      </c>
      <c r="T1170">
        <v>0.5</v>
      </c>
      <c r="U1170">
        <v>0</v>
      </c>
      <c r="V1170">
        <v>0</v>
      </c>
      <c r="W1170">
        <v>0</v>
      </c>
      <c r="X1170">
        <v>0</v>
      </c>
      <c r="Y1170">
        <v>0.5</v>
      </c>
      <c r="Z1170">
        <v>0.5</v>
      </c>
    </row>
    <row r="1171" spans="1:26">
      <c r="A1171" t="s">
        <v>1333</v>
      </c>
      <c r="B1171">
        <v>108.6875</v>
      </c>
      <c r="C1171">
        <v>57.4375</v>
      </c>
      <c r="D1171">
        <v>4.5</v>
      </c>
      <c r="E1171">
        <v>2.4375</v>
      </c>
      <c r="F1171" t="s">
        <v>21</v>
      </c>
      <c r="G1171">
        <v>1</v>
      </c>
      <c r="H1171">
        <v>1</v>
      </c>
      <c r="I1171">
        <v>1</v>
      </c>
      <c r="J1171">
        <v>1</v>
      </c>
      <c r="N1171">
        <v>0.5</v>
      </c>
      <c r="O1171">
        <v>0.38</v>
      </c>
      <c r="P1171">
        <v>3.5</v>
      </c>
      <c r="Q1171">
        <v>0</v>
      </c>
      <c r="R1171">
        <v>2.0625</v>
      </c>
      <c r="S1171">
        <v>4</v>
      </c>
      <c r="T1171">
        <v>0.5</v>
      </c>
      <c r="U1171">
        <v>0</v>
      </c>
      <c r="V1171">
        <v>0</v>
      </c>
      <c r="W1171">
        <v>1</v>
      </c>
      <c r="X1171">
        <v>1</v>
      </c>
      <c r="Y1171">
        <v>0.5</v>
      </c>
      <c r="Z1171">
        <v>0.5</v>
      </c>
    </row>
    <row r="1172" spans="1:26">
      <c r="A1172" t="s">
        <v>1334</v>
      </c>
      <c r="B1172">
        <v>47.5625</v>
      </c>
      <c r="C1172">
        <v>59.625</v>
      </c>
      <c r="D1172">
        <v>1.6875</v>
      </c>
      <c r="E1172">
        <v>7</v>
      </c>
      <c r="F1172" t="s">
        <v>156</v>
      </c>
      <c r="G1172">
        <v>0</v>
      </c>
      <c r="I1172">
        <v>0</v>
      </c>
      <c r="L1172" t="s">
        <v>121</v>
      </c>
      <c r="N1172">
        <v>0.5</v>
      </c>
      <c r="O1172">
        <v>0.38</v>
      </c>
      <c r="P1172">
        <v>3.5</v>
      </c>
      <c r="Q1172">
        <v>2.8125</v>
      </c>
      <c r="R1172">
        <v>0</v>
      </c>
      <c r="S1172">
        <v>4</v>
      </c>
      <c r="T1172">
        <v>0.5</v>
      </c>
      <c r="U1172">
        <v>0</v>
      </c>
      <c r="V1172">
        <v>0</v>
      </c>
      <c r="W1172">
        <v>0</v>
      </c>
      <c r="X1172">
        <v>0</v>
      </c>
      <c r="Y1172">
        <v>0.5</v>
      </c>
      <c r="Z1172">
        <v>0.5</v>
      </c>
    </row>
    <row r="1173" spans="1:26">
      <c r="A1173" t="s">
        <v>1335</v>
      </c>
      <c r="B1173">
        <v>32.625</v>
      </c>
      <c r="C1173">
        <v>65.1875</v>
      </c>
      <c r="D1173">
        <v>11.4375</v>
      </c>
      <c r="E1173">
        <v>4.6875</v>
      </c>
      <c r="F1173" t="s">
        <v>156</v>
      </c>
      <c r="G1173">
        <v>0</v>
      </c>
      <c r="I1173">
        <v>1</v>
      </c>
      <c r="J1173">
        <v>0</v>
      </c>
      <c r="K1173">
        <v>12</v>
      </c>
      <c r="L1173" t="s">
        <v>35</v>
      </c>
      <c r="N1173">
        <v>0.5</v>
      </c>
      <c r="O1173">
        <v>0.38</v>
      </c>
      <c r="P1173">
        <v>3.5</v>
      </c>
      <c r="Q1173">
        <v>-6.9375</v>
      </c>
      <c r="R1173">
        <v>0</v>
      </c>
      <c r="S1173">
        <v>4</v>
      </c>
      <c r="T1173">
        <v>0.5</v>
      </c>
      <c r="U1173">
        <v>0</v>
      </c>
      <c r="V1173">
        <v>0</v>
      </c>
      <c r="W1173">
        <v>0</v>
      </c>
      <c r="X1173">
        <v>0</v>
      </c>
      <c r="Y1173">
        <v>0.5</v>
      </c>
      <c r="Z1173">
        <v>0.5</v>
      </c>
    </row>
    <row r="1174" spans="1:26">
      <c r="A1174" t="s">
        <v>1336</v>
      </c>
      <c r="B1174">
        <v>49.0625</v>
      </c>
      <c r="C1174">
        <v>56.6875</v>
      </c>
      <c r="D1174">
        <v>9</v>
      </c>
      <c r="E1174">
        <v>1</v>
      </c>
      <c r="F1174" t="s">
        <v>156</v>
      </c>
      <c r="G1174">
        <v>0</v>
      </c>
      <c r="I1174">
        <v>1</v>
      </c>
      <c r="J1174">
        <v>0</v>
      </c>
      <c r="K1174">
        <v>24</v>
      </c>
      <c r="L1174" t="s">
        <v>145</v>
      </c>
      <c r="N1174">
        <v>0.5</v>
      </c>
      <c r="O1174">
        <v>0.38</v>
      </c>
      <c r="P1174">
        <v>3.5</v>
      </c>
      <c r="Q1174">
        <v>-4.5</v>
      </c>
      <c r="R1174">
        <v>3.5</v>
      </c>
      <c r="S1174">
        <v>4</v>
      </c>
      <c r="T1174">
        <v>0.5</v>
      </c>
      <c r="U1174">
        <v>0</v>
      </c>
      <c r="V1174">
        <v>0</v>
      </c>
      <c r="W1174">
        <v>0</v>
      </c>
      <c r="X1174">
        <v>0</v>
      </c>
      <c r="Y1174">
        <v>0.5</v>
      </c>
      <c r="Z1174">
        <v>0.5</v>
      </c>
    </row>
    <row r="1175" spans="1:26">
      <c r="A1175" t="s">
        <v>1337</v>
      </c>
      <c r="B1175">
        <v>43</v>
      </c>
      <c r="C1175">
        <v>61.4375</v>
      </c>
      <c r="D1175">
        <v>4.4375</v>
      </c>
      <c r="E1175">
        <v>1</v>
      </c>
      <c r="F1175" t="s">
        <v>156</v>
      </c>
      <c r="G1175">
        <v>0</v>
      </c>
      <c r="I1175">
        <v>1</v>
      </c>
      <c r="J1175">
        <v>0</v>
      </c>
      <c r="N1175">
        <v>0.5</v>
      </c>
      <c r="O1175">
        <v>0.38</v>
      </c>
      <c r="P1175">
        <v>3.5</v>
      </c>
      <c r="Q1175">
        <v>6.25E-2</v>
      </c>
      <c r="R1175">
        <v>3.5</v>
      </c>
      <c r="S1175">
        <v>4</v>
      </c>
      <c r="T1175">
        <v>0.5</v>
      </c>
      <c r="U1175">
        <v>0</v>
      </c>
      <c r="V1175">
        <v>0</v>
      </c>
      <c r="W1175">
        <v>0</v>
      </c>
      <c r="X1175">
        <v>0</v>
      </c>
      <c r="Y1175">
        <v>0.5</v>
      </c>
      <c r="Z1175">
        <v>0.5</v>
      </c>
    </row>
    <row r="1176" spans="1:26">
      <c r="A1176" t="s">
        <v>1338</v>
      </c>
      <c r="B1176">
        <v>35.9375</v>
      </c>
      <c r="C1176">
        <v>44.9375</v>
      </c>
      <c r="D1176">
        <v>3.8125</v>
      </c>
      <c r="E1176">
        <v>1.5625</v>
      </c>
      <c r="F1176" t="s">
        <v>156</v>
      </c>
      <c r="G1176">
        <v>0</v>
      </c>
      <c r="I1176">
        <v>1</v>
      </c>
      <c r="J1176">
        <v>1</v>
      </c>
      <c r="N1176">
        <v>0.5</v>
      </c>
      <c r="O1176">
        <v>0.38</v>
      </c>
      <c r="P1176">
        <v>3.5</v>
      </c>
      <c r="Q1176">
        <v>0.6875</v>
      </c>
      <c r="R1176">
        <v>2.9375</v>
      </c>
      <c r="S1176">
        <v>4</v>
      </c>
      <c r="T1176">
        <v>0.5</v>
      </c>
      <c r="U1176">
        <v>0</v>
      </c>
      <c r="V1176">
        <v>0</v>
      </c>
      <c r="W1176">
        <v>0</v>
      </c>
      <c r="X1176">
        <v>1</v>
      </c>
      <c r="Y1176">
        <v>0.5</v>
      </c>
      <c r="Z1176">
        <v>0.5</v>
      </c>
    </row>
    <row r="1177" spans="1:26">
      <c r="A1177" t="s">
        <v>1339</v>
      </c>
      <c r="B1177">
        <v>21.125</v>
      </c>
      <c r="C1177">
        <v>75.375</v>
      </c>
      <c r="D1177">
        <v>2.125</v>
      </c>
      <c r="F1177" t="s">
        <v>156</v>
      </c>
      <c r="G1177">
        <v>1</v>
      </c>
      <c r="H1177">
        <v>0</v>
      </c>
      <c r="I1177">
        <v>0</v>
      </c>
      <c r="L1177" t="s">
        <v>149</v>
      </c>
      <c r="N1177">
        <v>0.5</v>
      </c>
      <c r="O1177">
        <v>0.38</v>
      </c>
      <c r="P1177">
        <v>3.5</v>
      </c>
      <c r="Q1177">
        <v>2.375</v>
      </c>
      <c r="R1177">
        <v>4.5</v>
      </c>
      <c r="S1177">
        <v>4</v>
      </c>
      <c r="T1177">
        <v>0.5</v>
      </c>
      <c r="U1177">
        <v>0</v>
      </c>
      <c r="V1177">
        <v>0</v>
      </c>
      <c r="W1177">
        <v>0</v>
      </c>
      <c r="X1177">
        <v>0</v>
      </c>
      <c r="Y1177">
        <v>0.5</v>
      </c>
      <c r="Z1177">
        <v>0.5</v>
      </c>
    </row>
    <row r="1178" spans="1:26">
      <c r="A1178" t="s">
        <v>1340</v>
      </c>
      <c r="B1178">
        <v>28.8125</v>
      </c>
      <c r="C1178">
        <v>77.0625</v>
      </c>
      <c r="D1178">
        <v>12</v>
      </c>
      <c r="E1178">
        <v>1</v>
      </c>
      <c r="F1178" t="s">
        <v>156</v>
      </c>
      <c r="G1178">
        <v>1</v>
      </c>
      <c r="H1178">
        <v>0</v>
      </c>
      <c r="I1178">
        <v>1</v>
      </c>
      <c r="J1178">
        <v>0</v>
      </c>
      <c r="K1178">
        <v>12</v>
      </c>
      <c r="L1178" t="s">
        <v>119</v>
      </c>
      <c r="N1178">
        <v>0.5</v>
      </c>
      <c r="O1178">
        <v>0.38</v>
      </c>
      <c r="P1178">
        <v>3.5</v>
      </c>
      <c r="Q1178">
        <v>-7.5</v>
      </c>
      <c r="R1178">
        <v>3.5</v>
      </c>
      <c r="S1178">
        <v>4</v>
      </c>
      <c r="T1178">
        <v>0.5</v>
      </c>
      <c r="U1178">
        <v>0</v>
      </c>
      <c r="V1178">
        <v>0</v>
      </c>
      <c r="W1178">
        <v>0</v>
      </c>
      <c r="X1178">
        <v>0</v>
      </c>
      <c r="Y1178">
        <v>0.5</v>
      </c>
      <c r="Z1178">
        <v>0.5</v>
      </c>
    </row>
    <row r="1179" spans="1:26">
      <c r="A1179" t="s">
        <v>1341</v>
      </c>
      <c r="B1179">
        <v>31.0625</v>
      </c>
      <c r="C1179">
        <v>50.3125</v>
      </c>
      <c r="D1179">
        <v>12</v>
      </c>
      <c r="E1179">
        <v>2.625</v>
      </c>
      <c r="F1179" t="s">
        <v>156</v>
      </c>
      <c r="G1179">
        <v>1</v>
      </c>
      <c r="H1179">
        <v>0</v>
      </c>
      <c r="I1179">
        <v>1</v>
      </c>
      <c r="J1179">
        <v>0</v>
      </c>
      <c r="K1179">
        <v>24</v>
      </c>
      <c r="L1179" t="s">
        <v>119</v>
      </c>
      <c r="N1179">
        <v>0.5</v>
      </c>
      <c r="O1179">
        <v>0.38</v>
      </c>
      <c r="P1179">
        <v>3.5</v>
      </c>
      <c r="Q1179">
        <v>-7.5</v>
      </c>
      <c r="R1179">
        <v>1.875</v>
      </c>
      <c r="S1179">
        <v>4</v>
      </c>
      <c r="T1179">
        <v>0.5</v>
      </c>
      <c r="U1179">
        <v>0</v>
      </c>
      <c r="V1179">
        <v>0</v>
      </c>
      <c r="W1179">
        <v>0</v>
      </c>
      <c r="X1179">
        <v>0</v>
      </c>
      <c r="Y1179">
        <v>0.5</v>
      </c>
      <c r="Z1179">
        <v>0.5</v>
      </c>
    </row>
    <row r="1180" spans="1:26">
      <c r="A1180" t="s">
        <v>1342</v>
      </c>
      <c r="B1180">
        <v>23.4375</v>
      </c>
      <c r="C1180">
        <v>65.6875</v>
      </c>
      <c r="D1180">
        <v>1</v>
      </c>
      <c r="E1180">
        <v>1</v>
      </c>
      <c r="F1180" t="s">
        <v>156</v>
      </c>
      <c r="G1180">
        <v>1</v>
      </c>
      <c r="H1180">
        <v>0</v>
      </c>
      <c r="I1180">
        <v>1</v>
      </c>
      <c r="J1180">
        <v>0</v>
      </c>
      <c r="N1180">
        <v>0.5</v>
      </c>
      <c r="O1180">
        <v>0.38</v>
      </c>
      <c r="P1180">
        <v>3.5</v>
      </c>
      <c r="Q1180">
        <v>3.5</v>
      </c>
      <c r="R1180">
        <v>3.5</v>
      </c>
      <c r="S1180">
        <v>4</v>
      </c>
      <c r="T1180">
        <v>0.5</v>
      </c>
      <c r="U1180">
        <v>0</v>
      </c>
      <c r="V1180">
        <v>0</v>
      </c>
      <c r="W1180">
        <v>0</v>
      </c>
      <c r="X1180">
        <v>0</v>
      </c>
      <c r="Y1180">
        <v>0.5</v>
      </c>
      <c r="Z1180">
        <v>0.5</v>
      </c>
    </row>
    <row r="1181" spans="1:26">
      <c r="A1181" t="s">
        <v>1343</v>
      </c>
      <c r="B1181">
        <v>46.75</v>
      </c>
      <c r="C1181">
        <v>72.125</v>
      </c>
      <c r="D1181">
        <v>9</v>
      </c>
      <c r="E1181">
        <v>3</v>
      </c>
      <c r="F1181" t="s">
        <v>156</v>
      </c>
      <c r="G1181">
        <v>1</v>
      </c>
      <c r="H1181">
        <v>0</v>
      </c>
      <c r="I1181">
        <v>1</v>
      </c>
      <c r="J1181">
        <v>1</v>
      </c>
      <c r="N1181">
        <v>0.5</v>
      </c>
      <c r="O1181">
        <v>0.38</v>
      </c>
      <c r="P1181">
        <v>3.5</v>
      </c>
      <c r="Q1181">
        <v>-4.5</v>
      </c>
      <c r="R1181">
        <v>1.5</v>
      </c>
      <c r="S1181">
        <v>4</v>
      </c>
      <c r="T1181">
        <v>0.5</v>
      </c>
      <c r="U1181">
        <v>0</v>
      </c>
      <c r="V1181">
        <v>0</v>
      </c>
      <c r="W1181">
        <v>0</v>
      </c>
      <c r="X1181">
        <v>1</v>
      </c>
      <c r="Y1181">
        <v>0.5</v>
      </c>
      <c r="Z1181">
        <v>0.5</v>
      </c>
    </row>
    <row r="1182" spans="1:26">
      <c r="A1182" t="s">
        <v>1344</v>
      </c>
      <c r="B1182">
        <v>26.0625</v>
      </c>
      <c r="C1182">
        <v>74.0625</v>
      </c>
      <c r="D1182">
        <v>9</v>
      </c>
      <c r="E1182">
        <v>1.0625</v>
      </c>
      <c r="F1182" t="s">
        <v>156</v>
      </c>
      <c r="G1182">
        <v>1</v>
      </c>
      <c r="H1182">
        <v>1</v>
      </c>
      <c r="I1182">
        <v>0</v>
      </c>
      <c r="L1182" t="s">
        <v>150</v>
      </c>
      <c r="N1182">
        <v>0.5</v>
      </c>
      <c r="O1182">
        <v>0.38</v>
      </c>
      <c r="P1182">
        <v>3.5</v>
      </c>
      <c r="Q1182">
        <v>-4.5</v>
      </c>
      <c r="R1182">
        <v>3.4375</v>
      </c>
      <c r="S1182">
        <v>4</v>
      </c>
      <c r="T1182">
        <v>0.5</v>
      </c>
      <c r="U1182">
        <v>0</v>
      </c>
      <c r="V1182">
        <v>0</v>
      </c>
      <c r="W1182">
        <v>1</v>
      </c>
      <c r="X1182">
        <v>0</v>
      </c>
      <c r="Y1182">
        <v>0.5</v>
      </c>
      <c r="Z1182">
        <v>0.5</v>
      </c>
    </row>
    <row r="1183" spans="1:26">
      <c r="A1183" t="s">
        <v>1345</v>
      </c>
      <c r="B1183">
        <v>41.5</v>
      </c>
      <c r="C1183">
        <v>48.9375</v>
      </c>
      <c r="D1183">
        <v>4.5</v>
      </c>
      <c r="E1183">
        <v>1</v>
      </c>
      <c r="F1183" t="s">
        <v>156</v>
      </c>
      <c r="G1183">
        <v>1</v>
      </c>
      <c r="H1183">
        <v>1</v>
      </c>
      <c r="I1183">
        <v>1</v>
      </c>
      <c r="J1183">
        <v>0</v>
      </c>
      <c r="K1183">
        <v>12</v>
      </c>
      <c r="L1183" t="s">
        <v>148</v>
      </c>
      <c r="N1183">
        <v>0.5</v>
      </c>
      <c r="O1183">
        <v>0.38</v>
      </c>
      <c r="P1183">
        <v>3.5</v>
      </c>
      <c r="Q1183">
        <v>0</v>
      </c>
      <c r="R1183">
        <v>3.5</v>
      </c>
      <c r="S1183">
        <v>4</v>
      </c>
      <c r="T1183">
        <v>0.5</v>
      </c>
      <c r="U1183">
        <v>0</v>
      </c>
      <c r="V1183">
        <v>0</v>
      </c>
      <c r="W1183">
        <v>1</v>
      </c>
      <c r="X1183">
        <v>0</v>
      </c>
      <c r="Y1183">
        <v>0.5</v>
      </c>
      <c r="Z1183">
        <v>0.5</v>
      </c>
    </row>
    <row r="1184" spans="1:26">
      <c r="A1184" t="s">
        <v>1346</v>
      </c>
      <c r="B1184">
        <v>29.875</v>
      </c>
      <c r="C1184">
        <v>69.3125</v>
      </c>
      <c r="D1184">
        <v>4.1875</v>
      </c>
      <c r="E1184">
        <v>4.5</v>
      </c>
      <c r="F1184" t="s">
        <v>156</v>
      </c>
      <c r="G1184">
        <v>1</v>
      </c>
      <c r="H1184">
        <v>1</v>
      </c>
      <c r="I1184">
        <v>1</v>
      </c>
      <c r="J1184">
        <v>0</v>
      </c>
      <c r="K1184">
        <v>24</v>
      </c>
      <c r="L1184" t="s">
        <v>120</v>
      </c>
      <c r="N1184">
        <v>0.5</v>
      </c>
      <c r="O1184">
        <v>0.38</v>
      </c>
      <c r="P1184">
        <v>3.5</v>
      </c>
      <c r="Q1184">
        <v>0.3125</v>
      </c>
      <c r="R1184">
        <v>0</v>
      </c>
      <c r="S1184">
        <v>4</v>
      </c>
      <c r="T1184">
        <v>0.5</v>
      </c>
      <c r="U1184">
        <v>0</v>
      </c>
      <c r="V1184">
        <v>0</v>
      </c>
      <c r="W1184">
        <v>0</v>
      </c>
      <c r="X1184">
        <v>0</v>
      </c>
      <c r="Y1184">
        <v>0.5</v>
      </c>
      <c r="Z1184">
        <v>0.5</v>
      </c>
    </row>
    <row r="1185" spans="1:30">
      <c r="A1185" t="s">
        <v>1347</v>
      </c>
      <c r="B1185">
        <v>15.8125</v>
      </c>
      <c r="C1185">
        <v>66.125</v>
      </c>
      <c r="D1185">
        <v>3.5</v>
      </c>
      <c r="E1185">
        <v>1</v>
      </c>
      <c r="F1185" t="s">
        <v>156</v>
      </c>
      <c r="G1185">
        <v>1</v>
      </c>
      <c r="H1185">
        <v>1</v>
      </c>
      <c r="I1185">
        <v>1</v>
      </c>
      <c r="J1185">
        <v>0</v>
      </c>
      <c r="N1185">
        <v>0.5</v>
      </c>
      <c r="O1185">
        <v>0.38</v>
      </c>
      <c r="P1185">
        <v>3.5</v>
      </c>
      <c r="Q1185">
        <v>1</v>
      </c>
      <c r="R1185">
        <v>3.5</v>
      </c>
      <c r="S1185">
        <v>4</v>
      </c>
      <c r="T1185">
        <v>0.5</v>
      </c>
      <c r="U1185">
        <v>0</v>
      </c>
      <c r="V1185">
        <v>0</v>
      </c>
      <c r="W1185">
        <v>1</v>
      </c>
      <c r="X1185">
        <v>0</v>
      </c>
      <c r="Y1185">
        <v>0.5</v>
      </c>
      <c r="Z1185">
        <v>0.5</v>
      </c>
    </row>
    <row r="1186" spans="1:30">
      <c r="A1186" t="s">
        <v>1348</v>
      </c>
      <c r="B1186">
        <v>7.9375</v>
      </c>
      <c r="C1186">
        <v>75.25</v>
      </c>
      <c r="D1186">
        <v>2.375</v>
      </c>
      <c r="E1186">
        <v>6.6875</v>
      </c>
      <c r="F1186" t="s">
        <v>156</v>
      </c>
      <c r="G1186">
        <v>1</v>
      </c>
      <c r="H1186">
        <v>1</v>
      </c>
      <c r="I1186">
        <v>1</v>
      </c>
      <c r="J1186">
        <v>1</v>
      </c>
      <c r="N1186">
        <v>0.5</v>
      </c>
      <c r="O1186">
        <v>0.38</v>
      </c>
      <c r="P1186">
        <v>3.5</v>
      </c>
      <c r="Q1186">
        <v>2.125</v>
      </c>
      <c r="R1186">
        <v>0</v>
      </c>
      <c r="S1186">
        <v>4</v>
      </c>
      <c r="T1186">
        <v>0.5</v>
      </c>
      <c r="U1186">
        <v>0</v>
      </c>
      <c r="V1186">
        <v>0</v>
      </c>
      <c r="W1186">
        <v>0</v>
      </c>
      <c r="X1186">
        <v>0</v>
      </c>
      <c r="Y1186">
        <v>0.5</v>
      </c>
      <c r="Z1186">
        <v>0.5</v>
      </c>
    </row>
    <row r="1187" spans="1:30">
      <c r="A1187" t="s">
        <v>1349</v>
      </c>
      <c r="B1187">
        <v>60</v>
      </c>
      <c r="C1187">
        <v>70.625</v>
      </c>
      <c r="D1187">
        <v>1</v>
      </c>
      <c r="E1187">
        <v>4.875</v>
      </c>
      <c r="F1187" t="s">
        <v>157</v>
      </c>
      <c r="G1187">
        <v>0</v>
      </c>
      <c r="I1187">
        <v>0</v>
      </c>
      <c r="L1187" t="s">
        <v>150</v>
      </c>
      <c r="N1187">
        <v>0.5</v>
      </c>
      <c r="O1187">
        <v>0.38</v>
      </c>
      <c r="P1187">
        <v>3.5</v>
      </c>
      <c r="Q1187">
        <v>3.5</v>
      </c>
      <c r="R1187">
        <v>0</v>
      </c>
      <c r="S1187">
        <v>4</v>
      </c>
      <c r="T1187">
        <v>0.5</v>
      </c>
      <c r="U1187">
        <v>0</v>
      </c>
      <c r="V1187">
        <v>0</v>
      </c>
      <c r="W1187">
        <v>0</v>
      </c>
      <c r="X1187">
        <v>0</v>
      </c>
      <c r="Y1187">
        <v>0.5</v>
      </c>
      <c r="Z1187">
        <v>0.5</v>
      </c>
      <c r="AA1187">
        <v>15.5</v>
      </c>
      <c r="AB1187">
        <v>28.875</v>
      </c>
      <c r="AC1187">
        <v>21</v>
      </c>
      <c r="AD1187">
        <v>17</v>
      </c>
    </row>
    <row r="1188" spans="1:30">
      <c r="A1188" t="s">
        <v>1350</v>
      </c>
      <c r="B1188">
        <v>60</v>
      </c>
      <c r="C1188">
        <v>53.75</v>
      </c>
      <c r="D1188">
        <v>5.3125</v>
      </c>
      <c r="E1188">
        <v>2.6875</v>
      </c>
      <c r="F1188" t="s">
        <v>157</v>
      </c>
      <c r="G1188">
        <v>0</v>
      </c>
      <c r="I1188">
        <v>1</v>
      </c>
      <c r="J1188">
        <v>0</v>
      </c>
      <c r="K1188">
        <v>12</v>
      </c>
      <c r="N1188">
        <v>0.5</v>
      </c>
      <c r="O1188">
        <v>0.38</v>
      </c>
      <c r="P1188">
        <v>3.5</v>
      </c>
      <c r="Q1188">
        <v>-0.8125</v>
      </c>
      <c r="R1188">
        <v>1.8125</v>
      </c>
      <c r="S1188">
        <v>4</v>
      </c>
      <c r="T1188">
        <v>0.5</v>
      </c>
      <c r="U1188">
        <v>0</v>
      </c>
      <c r="V1188">
        <v>0</v>
      </c>
      <c r="W1188">
        <v>0</v>
      </c>
      <c r="X1188">
        <v>0</v>
      </c>
      <c r="Y1188">
        <v>0.5</v>
      </c>
      <c r="Z1188">
        <v>0.5</v>
      </c>
    </row>
    <row r="1189" spans="1:30">
      <c r="A1189" t="s">
        <v>1351</v>
      </c>
      <c r="B1189">
        <v>60</v>
      </c>
      <c r="C1189">
        <v>65.125</v>
      </c>
      <c r="D1189">
        <v>9</v>
      </c>
      <c r="E1189">
        <v>2.9375</v>
      </c>
      <c r="F1189" t="s">
        <v>157</v>
      </c>
      <c r="G1189">
        <v>0</v>
      </c>
      <c r="I1189">
        <v>1</v>
      </c>
      <c r="J1189">
        <v>0</v>
      </c>
      <c r="K1189">
        <v>24</v>
      </c>
      <c r="L1189" t="s">
        <v>121</v>
      </c>
      <c r="N1189">
        <v>0.5</v>
      </c>
      <c r="O1189">
        <v>0.38</v>
      </c>
      <c r="P1189">
        <v>3.5</v>
      </c>
      <c r="Q1189">
        <v>-4.5</v>
      </c>
      <c r="R1189">
        <v>1.5625</v>
      </c>
      <c r="S1189">
        <v>4</v>
      </c>
      <c r="T1189">
        <v>0.5</v>
      </c>
      <c r="U1189">
        <v>0</v>
      </c>
      <c r="V1189">
        <v>0</v>
      </c>
      <c r="W1189">
        <v>0</v>
      </c>
      <c r="X1189">
        <v>0</v>
      </c>
      <c r="Y1189">
        <v>0.5</v>
      </c>
      <c r="Z1189">
        <v>0.5</v>
      </c>
      <c r="AA1189">
        <v>11</v>
      </c>
      <c r="AB1189">
        <v>9.375</v>
      </c>
    </row>
    <row r="1190" spans="1:30">
      <c r="A1190" t="s">
        <v>1352</v>
      </c>
      <c r="B1190">
        <v>60</v>
      </c>
      <c r="C1190">
        <v>43.6875</v>
      </c>
      <c r="D1190">
        <v>4.0625</v>
      </c>
      <c r="E1190">
        <v>7</v>
      </c>
      <c r="F1190" t="s">
        <v>157</v>
      </c>
      <c r="G1190">
        <v>0</v>
      </c>
      <c r="I1190">
        <v>1</v>
      </c>
      <c r="J1190">
        <v>0</v>
      </c>
      <c r="N1190">
        <v>0.5</v>
      </c>
      <c r="O1190">
        <v>0.38</v>
      </c>
      <c r="P1190">
        <v>3.5</v>
      </c>
      <c r="Q1190">
        <v>0.4375</v>
      </c>
      <c r="R1190">
        <v>0</v>
      </c>
      <c r="S1190">
        <v>4</v>
      </c>
      <c r="T1190">
        <v>0.5</v>
      </c>
      <c r="U1190">
        <v>0</v>
      </c>
      <c r="V1190">
        <v>1</v>
      </c>
      <c r="W1190">
        <v>0</v>
      </c>
      <c r="X1190">
        <v>0</v>
      </c>
      <c r="Y1190">
        <v>0.5</v>
      </c>
      <c r="Z1190">
        <v>0</v>
      </c>
    </row>
    <row r="1191" spans="1:30">
      <c r="A1191" t="s">
        <v>1353</v>
      </c>
      <c r="B1191">
        <v>60</v>
      </c>
      <c r="C1191">
        <v>59.4375</v>
      </c>
      <c r="D1191">
        <v>12</v>
      </c>
      <c r="E1191">
        <v>3.6875</v>
      </c>
      <c r="F1191" t="s">
        <v>157</v>
      </c>
      <c r="G1191">
        <v>0</v>
      </c>
      <c r="I1191">
        <v>1</v>
      </c>
      <c r="J1191">
        <v>1</v>
      </c>
      <c r="N1191">
        <v>0.5</v>
      </c>
      <c r="O1191">
        <v>0.38</v>
      </c>
      <c r="P1191">
        <v>3.5</v>
      </c>
      <c r="Q1191">
        <v>-7.5</v>
      </c>
      <c r="R1191">
        <v>0.8125</v>
      </c>
      <c r="S1191">
        <v>4</v>
      </c>
      <c r="T1191">
        <v>0.5</v>
      </c>
      <c r="U1191">
        <v>0</v>
      </c>
      <c r="V1191">
        <v>0</v>
      </c>
      <c r="W1191">
        <v>0</v>
      </c>
      <c r="X1191">
        <v>0</v>
      </c>
      <c r="Y1191">
        <v>0.5</v>
      </c>
      <c r="Z1191">
        <v>0.5</v>
      </c>
    </row>
    <row r="1192" spans="1:30">
      <c r="A1192" t="s">
        <v>1354</v>
      </c>
      <c r="B1192">
        <v>60</v>
      </c>
      <c r="C1192">
        <v>52.0625</v>
      </c>
      <c r="D1192">
        <v>1</v>
      </c>
      <c r="E1192">
        <v>7.125</v>
      </c>
      <c r="F1192" t="s">
        <v>157</v>
      </c>
      <c r="G1192">
        <v>1</v>
      </c>
      <c r="H1192">
        <v>0</v>
      </c>
      <c r="I1192">
        <v>0</v>
      </c>
      <c r="L1192" t="s">
        <v>145</v>
      </c>
      <c r="N1192">
        <v>0.5</v>
      </c>
      <c r="O1192">
        <v>0.38</v>
      </c>
      <c r="P1192">
        <v>3.5</v>
      </c>
      <c r="Q1192">
        <v>3.5</v>
      </c>
      <c r="R1192">
        <v>0</v>
      </c>
      <c r="S1192">
        <v>4</v>
      </c>
      <c r="T1192">
        <v>0.5</v>
      </c>
      <c r="U1192">
        <v>1</v>
      </c>
      <c r="V1192">
        <v>0</v>
      </c>
      <c r="W1192">
        <v>0</v>
      </c>
      <c r="X1192">
        <v>0</v>
      </c>
      <c r="Y1192">
        <v>0</v>
      </c>
      <c r="Z1192">
        <v>0.5</v>
      </c>
      <c r="AA1192">
        <v>15.5</v>
      </c>
      <c r="AB1192">
        <v>28.875</v>
      </c>
      <c r="AC1192">
        <v>26</v>
      </c>
      <c r="AD1192">
        <v>29.13</v>
      </c>
    </row>
    <row r="1193" spans="1:30">
      <c r="A1193" t="s">
        <v>1355</v>
      </c>
      <c r="B1193">
        <v>60</v>
      </c>
      <c r="C1193">
        <v>41.3125</v>
      </c>
      <c r="D1193">
        <v>10.1875</v>
      </c>
      <c r="E1193">
        <v>7.3125</v>
      </c>
      <c r="F1193" t="s">
        <v>157</v>
      </c>
      <c r="G1193">
        <v>1</v>
      </c>
      <c r="H1193">
        <v>0</v>
      </c>
      <c r="I1193">
        <v>1</v>
      </c>
      <c r="J1193">
        <v>0</v>
      </c>
      <c r="K1193">
        <v>12</v>
      </c>
      <c r="N1193">
        <v>0.5</v>
      </c>
      <c r="O1193">
        <v>0.38</v>
      </c>
      <c r="P1193">
        <v>3.5</v>
      </c>
      <c r="Q1193">
        <v>-5.6875</v>
      </c>
      <c r="R1193">
        <v>0</v>
      </c>
      <c r="S1193">
        <v>4</v>
      </c>
      <c r="T1193">
        <v>0.5</v>
      </c>
      <c r="U1193">
        <v>0</v>
      </c>
      <c r="V1193">
        <v>0</v>
      </c>
      <c r="W1193">
        <v>0</v>
      </c>
      <c r="X1193">
        <v>0</v>
      </c>
      <c r="Y1193">
        <v>0.5</v>
      </c>
      <c r="Z1193">
        <v>0.5</v>
      </c>
    </row>
    <row r="1194" spans="1:30">
      <c r="A1194" t="s">
        <v>1356</v>
      </c>
      <c r="B1194">
        <v>60</v>
      </c>
      <c r="C1194">
        <v>48.8125</v>
      </c>
      <c r="D1194">
        <v>5.625</v>
      </c>
      <c r="E1194">
        <v>2.0625</v>
      </c>
      <c r="F1194" t="s">
        <v>157</v>
      </c>
      <c r="G1194">
        <v>1</v>
      </c>
      <c r="H1194">
        <v>0</v>
      </c>
      <c r="I1194">
        <v>1</v>
      </c>
      <c r="J1194">
        <v>0</v>
      </c>
      <c r="K1194">
        <v>24</v>
      </c>
      <c r="L1194" t="s">
        <v>120</v>
      </c>
      <c r="N1194">
        <v>0.5</v>
      </c>
      <c r="O1194">
        <v>0.38</v>
      </c>
      <c r="P1194">
        <v>3.5</v>
      </c>
      <c r="Q1194">
        <v>-1.125</v>
      </c>
      <c r="R1194">
        <v>2.4375</v>
      </c>
      <c r="S1194">
        <v>4</v>
      </c>
      <c r="T1194">
        <v>0.5</v>
      </c>
      <c r="U1194">
        <v>0</v>
      </c>
      <c r="V1194">
        <v>0</v>
      </c>
      <c r="W1194">
        <v>0</v>
      </c>
      <c r="X1194">
        <v>0</v>
      </c>
      <c r="Y1194">
        <v>0.5</v>
      </c>
      <c r="Z1194">
        <v>0.5</v>
      </c>
      <c r="AA1194">
        <v>11.5</v>
      </c>
      <c r="AB1194">
        <v>10.875</v>
      </c>
      <c r="AC1194">
        <v>4.9400000000000004</v>
      </c>
      <c r="AD1194">
        <v>12.375</v>
      </c>
    </row>
    <row r="1195" spans="1:30">
      <c r="A1195" t="s">
        <v>1357</v>
      </c>
      <c r="B1195">
        <v>60</v>
      </c>
      <c r="C1195">
        <v>19.125</v>
      </c>
      <c r="D1195">
        <v>3.625</v>
      </c>
      <c r="F1195" t="s">
        <v>157</v>
      </c>
      <c r="G1195">
        <v>1</v>
      </c>
      <c r="H1195">
        <v>0</v>
      </c>
      <c r="I1195">
        <v>1</v>
      </c>
      <c r="J1195">
        <v>0</v>
      </c>
      <c r="N1195">
        <v>0.5</v>
      </c>
      <c r="O1195">
        <v>0.38</v>
      </c>
      <c r="P1195">
        <v>3.5</v>
      </c>
      <c r="Q1195">
        <v>0.875</v>
      </c>
      <c r="R1195">
        <v>4.5</v>
      </c>
      <c r="S1195">
        <v>4</v>
      </c>
      <c r="T1195">
        <v>0.5</v>
      </c>
      <c r="U1195">
        <v>1</v>
      </c>
      <c r="V1195">
        <v>1</v>
      </c>
      <c r="W1195">
        <v>0</v>
      </c>
      <c r="X1195">
        <v>0</v>
      </c>
      <c r="Y1195">
        <v>0</v>
      </c>
      <c r="Z1195">
        <v>0</v>
      </c>
    </row>
    <row r="1196" spans="1:30">
      <c r="A1196" t="s">
        <v>1358</v>
      </c>
      <c r="B1196">
        <v>60</v>
      </c>
      <c r="C1196">
        <v>42.5</v>
      </c>
      <c r="D1196">
        <v>12</v>
      </c>
      <c r="E1196">
        <v>1</v>
      </c>
      <c r="F1196" t="s">
        <v>157</v>
      </c>
      <c r="G1196">
        <v>1</v>
      </c>
      <c r="H1196">
        <v>0</v>
      </c>
      <c r="I1196">
        <v>1</v>
      </c>
      <c r="J1196">
        <v>1</v>
      </c>
      <c r="N1196">
        <v>0.5</v>
      </c>
      <c r="O1196">
        <v>0.38</v>
      </c>
      <c r="P1196">
        <v>3.5</v>
      </c>
      <c r="Q1196">
        <v>-7.5</v>
      </c>
      <c r="R1196">
        <v>3.5</v>
      </c>
      <c r="S1196">
        <v>4</v>
      </c>
      <c r="T1196">
        <v>0.5</v>
      </c>
      <c r="U1196">
        <v>0</v>
      </c>
      <c r="V1196">
        <v>0</v>
      </c>
      <c r="W1196">
        <v>0</v>
      </c>
      <c r="X1196">
        <v>0</v>
      </c>
      <c r="Y1196">
        <v>0.5</v>
      </c>
      <c r="Z1196">
        <v>0.5</v>
      </c>
    </row>
    <row r="1197" spans="1:30">
      <c r="A1197" t="s">
        <v>1359</v>
      </c>
      <c r="B1197">
        <v>60</v>
      </c>
      <c r="C1197">
        <v>61.75</v>
      </c>
      <c r="D1197">
        <v>4.5</v>
      </c>
      <c r="F1197" t="s">
        <v>157</v>
      </c>
      <c r="G1197">
        <v>1</v>
      </c>
      <c r="H1197">
        <v>1</v>
      </c>
      <c r="I1197">
        <v>0</v>
      </c>
      <c r="L1197" t="s">
        <v>120</v>
      </c>
      <c r="N1197">
        <v>0.5</v>
      </c>
      <c r="O1197">
        <v>0.38</v>
      </c>
      <c r="P1197">
        <v>3.5</v>
      </c>
      <c r="Q1197">
        <v>0</v>
      </c>
      <c r="R1197">
        <v>4.5</v>
      </c>
      <c r="S1197">
        <v>4</v>
      </c>
      <c r="T1197">
        <v>0.5</v>
      </c>
      <c r="U1197">
        <v>0</v>
      </c>
      <c r="V1197">
        <v>0</v>
      </c>
      <c r="W1197">
        <v>0</v>
      </c>
      <c r="X1197">
        <v>0</v>
      </c>
      <c r="Y1197">
        <v>0.5</v>
      </c>
      <c r="Z1197">
        <v>0.5</v>
      </c>
      <c r="AA1197">
        <v>11.5</v>
      </c>
      <c r="AB1197">
        <v>10.875</v>
      </c>
      <c r="AC1197">
        <v>28.94</v>
      </c>
      <c r="AD1197">
        <v>13.5</v>
      </c>
    </row>
    <row r="1198" spans="1:30">
      <c r="A1198" t="s">
        <v>1360</v>
      </c>
      <c r="B1198">
        <v>60</v>
      </c>
      <c r="C1198">
        <v>77.4375</v>
      </c>
      <c r="D1198">
        <v>6.5625</v>
      </c>
      <c r="E1198">
        <v>1</v>
      </c>
      <c r="F1198" t="s">
        <v>157</v>
      </c>
      <c r="G1198">
        <v>1</v>
      </c>
      <c r="H1198">
        <v>1</v>
      </c>
      <c r="I1198">
        <v>1</v>
      </c>
      <c r="J1198">
        <v>0</v>
      </c>
      <c r="K1198">
        <v>12</v>
      </c>
      <c r="L1198" t="s">
        <v>120</v>
      </c>
      <c r="N1198">
        <v>0.5</v>
      </c>
      <c r="O1198">
        <v>0.38</v>
      </c>
      <c r="P1198">
        <v>3.5</v>
      </c>
      <c r="Q1198">
        <v>-2.0625</v>
      </c>
      <c r="R1198">
        <v>3.5</v>
      </c>
      <c r="S1198">
        <v>4</v>
      </c>
      <c r="T1198">
        <v>0.5</v>
      </c>
      <c r="U1198">
        <v>0</v>
      </c>
      <c r="V1198">
        <v>0</v>
      </c>
      <c r="W1198">
        <v>0</v>
      </c>
      <c r="X1198">
        <v>0</v>
      </c>
      <c r="Y1198">
        <v>0.5</v>
      </c>
      <c r="Z1198">
        <v>0.5</v>
      </c>
      <c r="AA1198">
        <v>11.5</v>
      </c>
      <c r="AB1198">
        <v>10.875</v>
      </c>
      <c r="AC1198">
        <v>16.940000000000001</v>
      </c>
      <c r="AD1198">
        <v>11.4375</v>
      </c>
    </row>
    <row r="1199" spans="1:30">
      <c r="A1199" t="s">
        <v>1361</v>
      </c>
      <c r="B1199">
        <v>60</v>
      </c>
      <c r="C1199">
        <v>79.0625</v>
      </c>
      <c r="D1199">
        <v>12</v>
      </c>
      <c r="E1199">
        <v>1</v>
      </c>
      <c r="F1199" t="s">
        <v>157</v>
      </c>
      <c r="G1199">
        <v>1</v>
      </c>
      <c r="H1199">
        <v>1</v>
      </c>
      <c r="I1199">
        <v>1</v>
      </c>
      <c r="J1199">
        <v>0</v>
      </c>
      <c r="K1199">
        <v>24</v>
      </c>
      <c r="L1199" t="s">
        <v>120</v>
      </c>
      <c r="N1199">
        <v>0.5</v>
      </c>
      <c r="O1199">
        <v>0.38</v>
      </c>
      <c r="P1199">
        <v>3.5</v>
      </c>
      <c r="Q1199">
        <v>-7.5</v>
      </c>
      <c r="R1199">
        <v>3.5</v>
      </c>
      <c r="S1199">
        <v>4</v>
      </c>
      <c r="T1199">
        <v>0.5</v>
      </c>
      <c r="U1199">
        <v>0</v>
      </c>
      <c r="V1199">
        <v>0</v>
      </c>
      <c r="W1199">
        <v>0</v>
      </c>
      <c r="X1199">
        <v>0</v>
      </c>
      <c r="Y1199">
        <v>0.5</v>
      </c>
      <c r="Z1199">
        <v>0.5</v>
      </c>
      <c r="AA1199">
        <v>11.5</v>
      </c>
      <c r="AB1199">
        <v>10.875</v>
      </c>
      <c r="AC1199">
        <v>4.9400000000000004</v>
      </c>
      <c r="AD1199">
        <v>6</v>
      </c>
    </row>
    <row r="1200" spans="1:30">
      <c r="A1200" t="s">
        <v>1362</v>
      </c>
      <c r="B1200">
        <v>60</v>
      </c>
      <c r="C1200">
        <v>72.6875</v>
      </c>
      <c r="D1200">
        <v>1</v>
      </c>
      <c r="E1200">
        <v>4.5625</v>
      </c>
      <c r="F1200" t="s">
        <v>157</v>
      </c>
      <c r="G1200">
        <v>1</v>
      </c>
      <c r="H1200">
        <v>1</v>
      </c>
      <c r="I1200">
        <v>1</v>
      </c>
      <c r="J1200">
        <v>0</v>
      </c>
      <c r="N1200">
        <v>0.5</v>
      </c>
      <c r="O1200">
        <v>0.38</v>
      </c>
      <c r="P1200">
        <v>3.5</v>
      </c>
      <c r="Q1200">
        <v>3.5</v>
      </c>
      <c r="R1200">
        <v>0</v>
      </c>
      <c r="S1200">
        <v>4</v>
      </c>
      <c r="T1200">
        <v>0.5</v>
      </c>
      <c r="U1200">
        <v>1</v>
      </c>
      <c r="V1200">
        <v>1</v>
      </c>
      <c r="W1200">
        <v>0</v>
      </c>
      <c r="X1200">
        <v>0</v>
      </c>
      <c r="Y1200">
        <v>0</v>
      </c>
      <c r="Z1200">
        <v>0</v>
      </c>
    </row>
    <row r="1201" spans="1:30">
      <c r="A1201" t="s">
        <v>1363</v>
      </c>
      <c r="B1201">
        <v>60</v>
      </c>
      <c r="C1201">
        <v>78.125</v>
      </c>
      <c r="D1201">
        <v>4.5</v>
      </c>
      <c r="E1201">
        <v>2.5625</v>
      </c>
      <c r="F1201" t="s">
        <v>157</v>
      </c>
      <c r="G1201">
        <v>1</v>
      </c>
      <c r="H1201">
        <v>1</v>
      </c>
      <c r="I1201">
        <v>1</v>
      </c>
      <c r="J1201">
        <v>1</v>
      </c>
      <c r="N1201">
        <v>0.5</v>
      </c>
      <c r="O1201">
        <v>0.38</v>
      </c>
      <c r="P1201">
        <v>3.5</v>
      </c>
      <c r="Q1201">
        <v>0</v>
      </c>
      <c r="R1201">
        <v>1.9375</v>
      </c>
      <c r="S1201">
        <v>4</v>
      </c>
      <c r="T1201">
        <v>0.5</v>
      </c>
      <c r="U1201">
        <v>0</v>
      </c>
      <c r="V1201">
        <v>0</v>
      </c>
      <c r="W1201">
        <v>0</v>
      </c>
      <c r="X1201">
        <v>0</v>
      </c>
      <c r="Y1201">
        <v>0.5</v>
      </c>
      <c r="Z1201">
        <v>0.5</v>
      </c>
    </row>
    <row r="1202" spans="1:30">
      <c r="A1202" t="s">
        <v>1364</v>
      </c>
      <c r="B1202">
        <v>96</v>
      </c>
      <c r="C1202">
        <v>60.875</v>
      </c>
      <c r="D1202">
        <v>1</v>
      </c>
      <c r="E1202">
        <v>4.5625</v>
      </c>
      <c r="F1202" t="s">
        <v>21</v>
      </c>
      <c r="G1202">
        <v>0</v>
      </c>
      <c r="I1202">
        <v>0</v>
      </c>
      <c r="L1202" t="s">
        <v>150</v>
      </c>
      <c r="N1202">
        <v>0.5</v>
      </c>
      <c r="O1202">
        <v>0.38</v>
      </c>
      <c r="P1202">
        <v>3.5</v>
      </c>
      <c r="Q1202">
        <v>3.5</v>
      </c>
      <c r="R1202">
        <v>0</v>
      </c>
      <c r="S1202">
        <v>4</v>
      </c>
      <c r="T1202">
        <v>0.5</v>
      </c>
      <c r="U1202">
        <v>0</v>
      </c>
      <c r="V1202">
        <v>0</v>
      </c>
      <c r="W1202">
        <v>0</v>
      </c>
      <c r="X1202">
        <v>0</v>
      </c>
      <c r="Y1202">
        <v>0.5</v>
      </c>
      <c r="Z1202">
        <v>0.5</v>
      </c>
      <c r="AA1202">
        <v>15.5</v>
      </c>
      <c r="AB1202">
        <v>28.875</v>
      </c>
      <c r="AC1202">
        <v>21</v>
      </c>
      <c r="AD1202">
        <v>17</v>
      </c>
    </row>
    <row r="1203" spans="1:30">
      <c r="A1203" t="s">
        <v>1365</v>
      </c>
      <c r="B1203">
        <v>88.875</v>
      </c>
      <c r="C1203">
        <v>67.1875</v>
      </c>
      <c r="D1203">
        <v>6.25</v>
      </c>
      <c r="E1203">
        <v>5.9375</v>
      </c>
      <c r="F1203" t="s">
        <v>21</v>
      </c>
      <c r="G1203">
        <v>0</v>
      </c>
      <c r="I1203">
        <v>1</v>
      </c>
      <c r="J1203">
        <v>0</v>
      </c>
      <c r="K1203">
        <v>12</v>
      </c>
      <c r="L1203" t="s">
        <v>120</v>
      </c>
      <c r="N1203">
        <v>0.5</v>
      </c>
      <c r="O1203">
        <v>0.38</v>
      </c>
      <c r="P1203">
        <v>3.5</v>
      </c>
      <c r="Q1203">
        <v>-1.75</v>
      </c>
      <c r="R1203">
        <v>0</v>
      </c>
      <c r="S1203">
        <v>4</v>
      </c>
      <c r="T1203">
        <v>0.5</v>
      </c>
      <c r="U1203">
        <v>0</v>
      </c>
      <c r="V1203">
        <v>0</v>
      </c>
      <c r="W1203">
        <v>0</v>
      </c>
      <c r="X1203">
        <v>0</v>
      </c>
      <c r="Y1203">
        <v>0.5</v>
      </c>
      <c r="Z1203">
        <v>0.5</v>
      </c>
      <c r="AA1203">
        <v>11.5</v>
      </c>
      <c r="AB1203">
        <v>10.875</v>
      </c>
      <c r="AC1203">
        <v>16.940000000000001</v>
      </c>
      <c r="AD1203">
        <v>11.75</v>
      </c>
    </row>
    <row r="1204" spans="1:30">
      <c r="A1204" t="s">
        <v>1366</v>
      </c>
      <c r="B1204">
        <v>89.25</v>
      </c>
      <c r="C1204">
        <v>42.5625</v>
      </c>
      <c r="D1204">
        <v>12</v>
      </c>
      <c r="E1204">
        <v>1</v>
      </c>
      <c r="F1204" t="s">
        <v>21</v>
      </c>
      <c r="G1204">
        <v>0</v>
      </c>
      <c r="I1204">
        <v>1</v>
      </c>
      <c r="J1204">
        <v>0</v>
      </c>
      <c r="K1204">
        <v>24</v>
      </c>
      <c r="L1204" t="s">
        <v>35</v>
      </c>
      <c r="N1204">
        <v>0.5</v>
      </c>
      <c r="O1204">
        <v>0.38</v>
      </c>
      <c r="P1204">
        <v>3.5</v>
      </c>
      <c r="Q1204">
        <v>-7.5</v>
      </c>
      <c r="R1204">
        <v>3.5</v>
      </c>
      <c r="S1204">
        <v>4</v>
      </c>
      <c r="T1204">
        <v>0.5</v>
      </c>
      <c r="U1204">
        <v>0</v>
      </c>
      <c r="V1204">
        <v>0</v>
      </c>
      <c r="W1204">
        <v>0</v>
      </c>
      <c r="X1204">
        <v>0</v>
      </c>
      <c r="Y1204">
        <v>0.5</v>
      </c>
      <c r="Z1204">
        <v>0.5</v>
      </c>
      <c r="AA1204">
        <v>15.5</v>
      </c>
      <c r="AB1204">
        <v>28.875</v>
      </c>
    </row>
    <row r="1205" spans="1:30">
      <c r="A1205" t="s">
        <v>1367</v>
      </c>
      <c r="B1205">
        <v>100.25</v>
      </c>
      <c r="C1205">
        <v>55.1875</v>
      </c>
      <c r="D1205">
        <v>12</v>
      </c>
      <c r="E1205">
        <v>6.125</v>
      </c>
      <c r="F1205" t="s">
        <v>21</v>
      </c>
      <c r="G1205">
        <v>0</v>
      </c>
      <c r="I1205">
        <v>1</v>
      </c>
      <c r="J1205">
        <v>0</v>
      </c>
      <c r="N1205">
        <v>0.5</v>
      </c>
      <c r="O1205">
        <v>0.38</v>
      </c>
      <c r="P1205">
        <v>3.5</v>
      </c>
      <c r="Q1205">
        <v>-7.5</v>
      </c>
      <c r="R1205">
        <v>0</v>
      </c>
      <c r="S1205">
        <v>4</v>
      </c>
      <c r="T1205">
        <v>0.5</v>
      </c>
      <c r="U1205">
        <v>0</v>
      </c>
      <c r="V1205">
        <v>0</v>
      </c>
      <c r="W1205">
        <v>0</v>
      </c>
      <c r="X1205">
        <v>0</v>
      </c>
      <c r="Y1205">
        <v>0.5</v>
      </c>
      <c r="Z1205">
        <v>0.5</v>
      </c>
    </row>
    <row r="1206" spans="1:30">
      <c r="A1206" t="s">
        <v>1368</v>
      </c>
      <c r="B1206">
        <v>96</v>
      </c>
      <c r="C1206">
        <v>55.6875</v>
      </c>
      <c r="D1206">
        <v>12</v>
      </c>
      <c r="E1206">
        <v>8.375</v>
      </c>
      <c r="F1206" t="s">
        <v>21</v>
      </c>
      <c r="G1206">
        <v>0</v>
      </c>
      <c r="I1206">
        <v>1</v>
      </c>
      <c r="J1206">
        <v>1</v>
      </c>
      <c r="N1206">
        <v>0.5</v>
      </c>
      <c r="O1206">
        <v>0.38</v>
      </c>
      <c r="P1206">
        <v>3.5</v>
      </c>
      <c r="Q1206">
        <v>-7.5</v>
      </c>
      <c r="R1206">
        <v>0</v>
      </c>
      <c r="S1206">
        <v>4</v>
      </c>
      <c r="T1206">
        <v>0.5</v>
      </c>
      <c r="U1206">
        <v>0</v>
      </c>
      <c r="V1206">
        <v>0</v>
      </c>
      <c r="W1206">
        <v>0</v>
      </c>
      <c r="X1206">
        <v>0</v>
      </c>
      <c r="Y1206">
        <v>0.5</v>
      </c>
      <c r="Z1206">
        <v>0.5</v>
      </c>
    </row>
    <row r="1207" spans="1:30">
      <c r="A1207" t="s">
        <v>1369</v>
      </c>
      <c r="B1207">
        <v>83.75</v>
      </c>
      <c r="C1207">
        <v>71.75</v>
      </c>
      <c r="D1207">
        <v>1</v>
      </c>
      <c r="F1207" t="s">
        <v>21</v>
      </c>
      <c r="G1207">
        <v>1</v>
      </c>
      <c r="H1207">
        <v>0</v>
      </c>
      <c r="I1207">
        <v>0</v>
      </c>
      <c r="N1207">
        <v>0.5</v>
      </c>
      <c r="O1207">
        <v>0.38</v>
      </c>
      <c r="P1207">
        <v>3.5</v>
      </c>
      <c r="Q1207">
        <v>3.5</v>
      </c>
      <c r="R1207">
        <v>4.5</v>
      </c>
      <c r="S1207">
        <v>4</v>
      </c>
      <c r="T1207">
        <v>0.5</v>
      </c>
      <c r="U1207">
        <v>1</v>
      </c>
      <c r="V1207">
        <v>0</v>
      </c>
      <c r="W1207">
        <v>0</v>
      </c>
      <c r="X1207">
        <v>0</v>
      </c>
      <c r="Y1207">
        <v>0</v>
      </c>
      <c r="Z1207">
        <v>0.5</v>
      </c>
    </row>
    <row r="1208" spans="1:30">
      <c r="A1208" t="s">
        <v>1370</v>
      </c>
      <c r="B1208">
        <v>96</v>
      </c>
      <c r="C1208">
        <v>52.0625</v>
      </c>
      <c r="D1208">
        <v>7.4375</v>
      </c>
      <c r="E1208">
        <v>1.3125</v>
      </c>
      <c r="F1208" t="s">
        <v>21</v>
      </c>
      <c r="G1208">
        <v>1</v>
      </c>
      <c r="H1208">
        <v>0</v>
      </c>
      <c r="I1208">
        <v>1</v>
      </c>
      <c r="J1208">
        <v>0</v>
      </c>
      <c r="K1208">
        <v>12</v>
      </c>
      <c r="L1208" t="s">
        <v>120</v>
      </c>
      <c r="N1208">
        <v>0.5</v>
      </c>
      <c r="O1208">
        <v>0.38</v>
      </c>
      <c r="P1208">
        <v>3.5</v>
      </c>
      <c r="Q1208">
        <v>-2.9375</v>
      </c>
      <c r="R1208">
        <v>3.1875</v>
      </c>
      <c r="S1208">
        <v>4</v>
      </c>
      <c r="T1208">
        <v>0.5</v>
      </c>
      <c r="U1208">
        <v>0</v>
      </c>
      <c r="V1208">
        <v>0</v>
      </c>
      <c r="W1208">
        <v>0</v>
      </c>
      <c r="X1208">
        <v>0</v>
      </c>
      <c r="Y1208">
        <v>0.5</v>
      </c>
      <c r="Z1208">
        <v>0.5</v>
      </c>
      <c r="AA1208">
        <v>11.5</v>
      </c>
      <c r="AB1208">
        <v>10.875</v>
      </c>
      <c r="AC1208">
        <v>16.940000000000001</v>
      </c>
      <c r="AD1208">
        <v>10.5625</v>
      </c>
    </row>
    <row r="1209" spans="1:30">
      <c r="A1209" t="s">
        <v>1371</v>
      </c>
      <c r="B1209">
        <v>89.3125</v>
      </c>
      <c r="C1209">
        <v>54.5</v>
      </c>
      <c r="D1209">
        <v>5.25</v>
      </c>
      <c r="E1209">
        <v>1</v>
      </c>
      <c r="F1209" t="s">
        <v>21</v>
      </c>
      <c r="G1209">
        <v>1</v>
      </c>
      <c r="H1209">
        <v>0</v>
      </c>
      <c r="I1209">
        <v>1</v>
      </c>
      <c r="J1209">
        <v>0</v>
      </c>
      <c r="K1209">
        <v>24</v>
      </c>
      <c r="L1209" t="s">
        <v>120</v>
      </c>
      <c r="N1209">
        <v>0.5</v>
      </c>
      <c r="O1209">
        <v>0.38</v>
      </c>
      <c r="P1209">
        <v>3.5</v>
      </c>
      <c r="Q1209">
        <v>-0.75</v>
      </c>
      <c r="R1209">
        <v>3.5</v>
      </c>
      <c r="S1209">
        <v>4</v>
      </c>
      <c r="T1209">
        <v>0.5</v>
      </c>
      <c r="U1209">
        <v>0</v>
      </c>
      <c r="V1209">
        <v>0</v>
      </c>
      <c r="W1209">
        <v>0</v>
      </c>
      <c r="X1209">
        <v>0</v>
      </c>
      <c r="Y1209">
        <v>0.5</v>
      </c>
      <c r="Z1209">
        <v>0.5</v>
      </c>
      <c r="AA1209">
        <v>11.5</v>
      </c>
      <c r="AB1209">
        <v>10.875</v>
      </c>
      <c r="AC1209">
        <v>4.9400000000000004</v>
      </c>
      <c r="AD1209">
        <v>12.75</v>
      </c>
    </row>
    <row r="1210" spans="1:30">
      <c r="A1210" t="s">
        <v>1372</v>
      </c>
      <c r="B1210">
        <v>96</v>
      </c>
      <c r="C1210">
        <v>40.75</v>
      </c>
      <c r="D1210">
        <v>9</v>
      </c>
      <c r="E1210">
        <v>1</v>
      </c>
      <c r="F1210" t="s">
        <v>21</v>
      </c>
      <c r="G1210">
        <v>1</v>
      </c>
      <c r="H1210">
        <v>0</v>
      </c>
      <c r="I1210">
        <v>1</v>
      </c>
      <c r="J1210">
        <v>0</v>
      </c>
      <c r="N1210">
        <v>0.5</v>
      </c>
      <c r="O1210">
        <v>0.38</v>
      </c>
      <c r="P1210">
        <v>3.5</v>
      </c>
      <c r="Q1210">
        <v>-4.5</v>
      </c>
      <c r="R1210">
        <v>3.5</v>
      </c>
      <c r="S1210">
        <v>4</v>
      </c>
      <c r="T1210">
        <v>0.5</v>
      </c>
      <c r="U1210">
        <v>0</v>
      </c>
      <c r="V1210">
        <v>0</v>
      </c>
      <c r="W1210">
        <v>0</v>
      </c>
      <c r="X1210">
        <v>0</v>
      </c>
      <c r="Y1210">
        <v>0.5</v>
      </c>
      <c r="Z1210">
        <v>0.5</v>
      </c>
    </row>
    <row r="1211" spans="1:30">
      <c r="A1211" t="s">
        <v>1373</v>
      </c>
      <c r="B1211">
        <v>96</v>
      </c>
      <c r="C1211">
        <v>52.6875</v>
      </c>
      <c r="D1211">
        <v>4.5</v>
      </c>
      <c r="E1211">
        <v>3.125</v>
      </c>
      <c r="F1211" t="s">
        <v>21</v>
      </c>
      <c r="G1211">
        <v>1</v>
      </c>
      <c r="H1211">
        <v>0</v>
      </c>
      <c r="I1211">
        <v>1</v>
      </c>
      <c r="J1211">
        <v>1</v>
      </c>
      <c r="N1211">
        <v>0.5</v>
      </c>
      <c r="O1211">
        <v>0.38</v>
      </c>
      <c r="P1211">
        <v>3.5</v>
      </c>
      <c r="Q1211">
        <v>0</v>
      </c>
      <c r="R1211">
        <v>1.375</v>
      </c>
      <c r="S1211">
        <v>4</v>
      </c>
      <c r="T1211">
        <v>0.5</v>
      </c>
      <c r="U1211">
        <v>0</v>
      </c>
      <c r="V1211">
        <v>0</v>
      </c>
      <c r="W1211">
        <v>0</v>
      </c>
      <c r="X1211">
        <v>1</v>
      </c>
      <c r="Y1211">
        <v>0.5</v>
      </c>
      <c r="Z1211">
        <v>0.5</v>
      </c>
    </row>
    <row r="1212" spans="1:30">
      <c r="A1212" t="s">
        <v>1374</v>
      </c>
      <c r="B1212">
        <v>82.125</v>
      </c>
      <c r="C1212">
        <v>52.9375</v>
      </c>
      <c r="D1212">
        <v>9</v>
      </c>
      <c r="E1212">
        <v>7.75</v>
      </c>
      <c r="F1212" t="s">
        <v>21</v>
      </c>
      <c r="G1212">
        <v>1</v>
      </c>
      <c r="H1212">
        <v>1</v>
      </c>
      <c r="I1212">
        <v>0</v>
      </c>
      <c r="L1212" t="s">
        <v>145</v>
      </c>
      <c r="N1212">
        <v>0.5</v>
      </c>
      <c r="O1212">
        <v>0.38</v>
      </c>
      <c r="P1212">
        <v>3.5</v>
      </c>
      <c r="Q1212">
        <v>-4.5</v>
      </c>
      <c r="R1212">
        <v>0</v>
      </c>
      <c r="S1212">
        <v>4</v>
      </c>
      <c r="T1212">
        <v>0.5</v>
      </c>
      <c r="U1212">
        <v>0</v>
      </c>
      <c r="V1212">
        <v>0</v>
      </c>
      <c r="W1212">
        <v>0</v>
      </c>
      <c r="X1212">
        <v>0</v>
      </c>
      <c r="Y1212">
        <v>0.5</v>
      </c>
      <c r="Z1212">
        <v>0.5</v>
      </c>
      <c r="AA1212">
        <v>15.5</v>
      </c>
      <c r="AB1212">
        <v>28.875</v>
      </c>
      <c r="AC1212">
        <v>26</v>
      </c>
      <c r="AD1212">
        <v>21.13</v>
      </c>
    </row>
    <row r="1213" spans="1:30">
      <c r="A1213" t="s">
        <v>1375</v>
      </c>
      <c r="B1213">
        <v>96</v>
      </c>
      <c r="C1213">
        <v>51.25</v>
      </c>
      <c r="D1213">
        <v>1</v>
      </c>
      <c r="F1213" t="s">
        <v>21</v>
      </c>
      <c r="G1213">
        <v>1</v>
      </c>
      <c r="H1213">
        <v>1</v>
      </c>
      <c r="I1213">
        <v>1</v>
      </c>
      <c r="J1213">
        <v>0</v>
      </c>
      <c r="K1213">
        <v>12</v>
      </c>
      <c r="L1213" t="s">
        <v>120</v>
      </c>
      <c r="N1213">
        <v>0.5</v>
      </c>
      <c r="O1213">
        <v>0.38</v>
      </c>
      <c r="P1213">
        <v>3.5</v>
      </c>
      <c r="Q1213">
        <v>3.5</v>
      </c>
      <c r="R1213">
        <v>4.5</v>
      </c>
      <c r="S1213">
        <v>4</v>
      </c>
      <c r="T1213">
        <v>0.5</v>
      </c>
      <c r="U1213">
        <v>1</v>
      </c>
      <c r="V1213">
        <v>1</v>
      </c>
      <c r="W1213">
        <v>0</v>
      </c>
      <c r="X1213">
        <v>0</v>
      </c>
      <c r="Y1213">
        <v>0</v>
      </c>
      <c r="Z1213">
        <v>0</v>
      </c>
      <c r="AA1213">
        <v>11.5</v>
      </c>
      <c r="AB1213">
        <v>10.875</v>
      </c>
      <c r="AC1213">
        <v>16.940000000000001</v>
      </c>
      <c r="AD1213">
        <v>17</v>
      </c>
    </row>
    <row r="1214" spans="1:30">
      <c r="A1214" t="s">
        <v>1376</v>
      </c>
      <c r="B1214">
        <v>96</v>
      </c>
      <c r="C1214">
        <v>63.125</v>
      </c>
      <c r="D1214">
        <v>12</v>
      </c>
      <c r="E1214">
        <v>1</v>
      </c>
      <c r="F1214" t="s">
        <v>21</v>
      </c>
      <c r="G1214">
        <v>1</v>
      </c>
      <c r="H1214">
        <v>1</v>
      </c>
      <c r="I1214">
        <v>1</v>
      </c>
      <c r="J1214">
        <v>0</v>
      </c>
      <c r="K1214">
        <v>24</v>
      </c>
      <c r="L1214" t="s">
        <v>148</v>
      </c>
      <c r="N1214">
        <v>0.5</v>
      </c>
      <c r="O1214">
        <v>0.38</v>
      </c>
      <c r="P1214">
        <v>3.5</v>
      </c>
      <c r="Q1214">
        <v>-7.5</v>
      </c>
      <c r="R1214">
        <v>3.5</v>
      </c>
      <c r="S1214">
        <v>4</v>
      </c>
      <c r="T1214">
        <v>0.5</v>
      </c>
      <c r="U1214">
        <v>0</v>
      </c>
      <c r="V1214">
        <v>0</v>
      </c>
      <c r="W1214">
        <v>1</v>
      </c>
      <c r="X1214">
        <v>0</v>
      </c>
      <c r="Y1214">
        <v>0.5</v>
      </c>
      <c r="Z1214">
        <v>0.5</v>
      </c>
      <c r="AA1214">
        <v>15.5</v>
      </c>
      <c r="AB1214">
        <v>28.875</v>
      </c>
    </row>
    <row r="1215" spans="1:30">
      <c r="A1215" t="s">
        <v>1377</v>
      </c>
      <c r="B1215">
        <v>75.4375</v>
      </c>
      <c r="C1215">
        <v>61.5625</v>
      </c>
      <c r="D1215">
        <v>12</v>
      </c>
      <c r="E1215">
        <v>1</v>
      </c>
      <c r="F1215" t="s">
        <v>21</v>
      </c>
      <c r="G1215">
        <v>1</v>
      </c>
      <c r="H1215">
        <v>1</v>
      </c>
      <c r="I1215">
        <v>1</v>
      </c>
      <c r="J1215">
        <v>0</v>
      </c>
      <c r="N1215">
        <v>0.5</v>
      </c>
      <c r="O1215">
        <v>0.38</v>
      </c>
      <c r="P1215">
        <v>3.5</v>
      </c>
      <c r="Q1215">
        <v>-7.5</v>
      </c>
      <c r="R1215">
        <v>3.5</v>
      </c>
      <c r="S1215">
        <v>4</v>
      </c>
      <c r="T1215">
        <v>0.5</v>
      </c>
      <c r="U1215">
        <v>0</v>
      </c>
      <c r="V1215">
        <v>0</v>
      </c>
      <c r="W1215">
        <v>1</v>
      </c>
      <c r="X1215">
        <v>0</v>
      </c>
      <c r="Y1215">
        <v>0.5</v>
      </c>
      <c r="Z1215">
        <v>0.5</v>
      </c>
    </row>
    <row r="1216" spans="1:30">
      <c r="A1216" t="s">
        <v>1378</v>
      </c>
      <c r="B1216">
        <v>103</v>
      </c>
      <c r="C1216">
        <v>79.25</v>
      </c>
      <c r="D1216">
        <v>12</v>
      </c>
      <c r="E1216">
        <v>7.4375</v>
      </c>
      <c r="F1216" t="s">
        <v>21</v>
      </c>
      <c r="G1216">
        <v>1</v>
      </c>
      <c r="H1216">
        <v>1</v>
      </c>
      <c r="I1216">
        <v>1</v>
      </c>
      <c r="J1216">
        <v>1</v>
      </c>
      <c r="N1216">
        <v>0.5</v>
      </c>
      <c r="O1216">
        <v>0.38</v>
      </c>
      <c r="P1216">
        <v>3.5</v>
      </c>
      <c r="Q1216">
        <v>-7.5</v>
      </c>
      <c r="R1216">
        <v>0</v>
      </c>
      <c r="S1216">
        <v>4</v>
      </c>
      <c r="T1216">
        <v>0.5</v>
      </c>
      <c r="U1216">
        <v>0</v>
      </c>
      <c r="V1216">
        <v>0</v>
      </c>
      <c r="W1216">
        <v>0</v>
      </c>
      <c r="X1216">
        <v>0</v>
      </c>
      <c r="Y1216">
        <v>0.5</v>
      </c>
      <c r="Z1216">
        <v>0.5</v>
      </c>
    </row>
    <row r="1217" spans="1:30">
      <c r="A1217" t="s">
        <v>1379</v>
      </c>
      <c r="B1217">
        <v>38.25</v>
      </c>
      <c r="C1217">
        <v>47.25</v>
      </c>
      <c r="D1217">
        <v>11.5625</v>
      </c>
      <c r="F1217" t="s">
        <v>156</v>
      </c>
      <c r="G1217">
        <v>0</v>
      </c>
      <c r="I1217">
        <v>0</v>
      </c>
      <c r="L1217" t="s">
        <v>148</v>
      </c>
      <c r="N1217">
        <v>0.5</v>
      </c>
      <c r="O1217">
        <v>0.38</v>
      </c>
      <c r="P1217">
        <v>3.5</v>
      </c>
      <c r="Q1217">
        <v>-7.0625</v>
      </c>
      <c r="R1217">
        <v>4.5</v>
      </c>
      <c r="S1217">
        <v>4</v>
      </c>
      <c r="T1217">
        <v>0.5</v>
      </c>
      <c r="U1217">
        <v>0</v>
      </c>
      <c r="V1217">
        <v>0</v>
      </c>
      <c r="W1217">
        <v>0</v>
      </c>
      <c r="X1217">
        <v>0</v>
      </c>
      <c r="Y1217">
        <v>0.5</v>
      </c>
      <c r="Z1217">
        <v>0.5</v>
      </c>
    </row>
    <row r="1218" spans="1:30">
      <c r="A1218" t="s">
        <v>1380</v>
      </c>
      <c r="B1218">
        <v>49.125</v>
      </c>
      <c r="C1218">
        <v>67.1875</v>
      </c>
      <c r="D1218">
        <v>3.625</v>
      </c>
      <c r="E1218">
        <v>1</v>
      </c>
      <c r="F1218" t="s">
        <v>156</v>
      </c>
      <c r="G1218">
        <v>0</v>
      </c>
      <c r="I1218">
        <v>1</v>
      </c>
      <c r="J1218">
        <v>0</v>
      </c>
      <c r="K1218">
        <v>12</v>
      </c>
      <c r="L1218" t="s">
        <v>120</v>
      </c>
      <c r="N1218">
        <v>0.5</v>
      </c>
      <c r="O1218">
        <v>0.38</v>
      </c>
      <c r="P1218">
        <v>3.5</v>
      </c>
      <c r="Q1218">
        <v>0.875</v>
      </c>
      <c r="R1218">
        <v>3.5</v>
      </c>
      <c r="S1218">
        <v>4</v>
      </c>
      <c r="T1218">
        <v>0.5</v>
      </c>
      <c r="U1218">
        <v>0</v>
      </c>
      <c r="V1218">
        <v>0</v>
      </c>
      <c r="W1218">
        <v>0</v>
      </c>
      <c r="X1218">
        <v>0</v>
      </c>
      <c r="Y1218">
        <v>0.5</v>
      </c>
      <c r="Z1218">
        <v>0.5</v>
      </c>
    </row>
    <row r="1219" spans="1:30">
      <c r="A1219" t="s">
        <v>1381</v>
      </c>
      <c r="B1219">
        <v>44</v>
      </c>
      <c r="C1219">
        <v>46.375</v>
      </c>
      <c r="D1219">
        <v>4.625</v>
      </c>
      <c r="E1219">
        <v>1.3125</v>
      </c>
      <c r="F1219" t="s">
        <v>156</v>
      </c>
      <c r="G1219">
        <v>0</v>
      </c>
      <c r="I1219">
        <v>1</v>
      </c>
      <c r="J1219">
        <v>0</v>
      </c>
      <c r="K1219">
        <v>24</v>
      </c>
      <c r="L1219" t="s">
        <v>149</v>
      </c>
      <c r="N1219">
        <v>0.5</v>
      </c>
      <c r="O1219">
        <v>0.38</v>
      </c>
      <c r="P1219">
        <v>3.5</v>
      </c>
      <c r="Q1219">
        <v>-0.125</v>
      </c>
      <c r="R1219">
        <v>3.1875</v>
      </c>
      <c r="S1219">
        <v>4</v>
      </c>
      <c r="T1219">
        <v>0.5</v>
      </c>
      <c r="U1219">
        <v>0</v>
      </c>
      <c r="V1219">
        <v>0</v>
      </c>
      <c r="W1219">
        <v>0</v>
      </c>
      <c r="X1219">
        <v>0</v>
      </c>
      <c r="Y1219">
        <v>0.5</v>
      </c>
      <c r="Z1219">
        <v>0.5</v>
      </c>
    </row>
    <row r="1220" spans="1:30">
      <c r="A1220" t="s">
        <v>1382</v>
      </c>
      <c r="B1220">
        <v>33.4375</v>
      </c>
      <c r="C1220">
        <v>53.75</v>
      </c>
      <c r="D1220">
        <v>1</v>
      </c>
      <c r="E1220">
        <v>6.9375</v>
      </c>
      <c r="F1220" t="s">
        <v>156</v>
      </c>
      <c r="G1220">
        <v>0</v>
      </c>
      <c r="I1220">
        <v>1</v>
      </c>
      <c r="J1220">
        <v>0</v>
      </c>
      <c r="N1220">
        <v>0.5</v>
      </c>
      <c r="O1220">
        <v>0.38</v>
      </c>
      <c r="P1220">
        <v>3.5</v>
      </c>
      <c r="Q1220">
        <v>3.5</v>
      </c>
      <c r="R1220">
        <v>0</v>
      </c>
      <c r="S1220">
        <v>4</v>
      </c>
      <c r="T1220">
        <v>0.5</v>
      </c>
      <c r="U1220">
        <v>0</v>
      </c>
      <c r="V1220">
        <v>0</v>
      </c>
      <c r="W1220">
        <v>0</v>
      </c>
      <c r="X1220">
        <v>0</v>
      </c>
      <c r="Y1220">
        <v>0.5</v>
      </c>
      <c r="Z1220">
        <v>0.5</v>
      </c>
    </row>
    <row r="1221" spans="1:30">
      <c r="A1221" t="s">
        <v>1383</v>
      </c>
      <c r="B1221">
        <v>19.6875</v>
      </c>
      <c r="C1221">
        <v>61.6875</v>
      </c>
      <c r="D1221">
        <v>9</v>
      </c>
      <c r="E1221">
        <v>1</v>
      </c>
      <c r="F1221" t="s">
        <v>156</v>
      </c>
      <c r="G1221">
        <v>0</v>
      </c>
      <c r="I1221">
        <v>1</v>
      </c>
      <c r="J1221">
        <v>1</v>
      </c>
      <c r="N1221">
        <v>0.5</v>
      </c>
      <c r="O1221">
        <v>0.38</v>
      </c>
      <c r="P1221">
        <v>3.5</v>
      </c>
      <c r="Q1221">
        <v>-4.5</v>
      </c>
      <c r="R1221">
        <v>3.5</v>
      </c>
      <c r="S1221">
        <v>4</v>
      </c>
      <c r="T1221">
        <v>0.5</v>
      </c>
      <c r="U1221">
        <v>0</v>
      </c>
      <c r="V1221">
        <v>0</v>
      </c>
      <c r="W1221">
        <v>0</v>
      </c>
      <c r="X1221">
        <v>1</v>
      </c>
      <c r="Y1221">
        <v>0.5</v>
      </c>
      <c r="Z1221">
        <v>0.5</v>
      </c>
    </row>
    <row r="1222" spans="1:30">
      <c r="A1222" t="s">
        <v>1384</v>
      </c>
      <c r="B1222">
        <v>34.0625</v>
      </c>
      <c r="C1222">
        <v>72.25</v>
      </c>
      <c r="D1222">
        <v>7.75</v>
      </c>
      <c r="F1222" t="s">
        <v>156</v>
      </c>
      <c r="G1222">
        <v>1</v>
      </c>
      <c r="H1222">
        <v>0</v>
      </c>
      <c r="I1222">
        <v>0</v>
      </c>
      <c r="L1222" t="s">
        <v>145</v>
      </c>
      <c r="N1222">
        <v>0.5</v>
      </c>
      <c r="O1222">
        <v>0.38</v>
      </c>
      <c r="P1222">
        <v>3.5</v>
      </c>
      <c r="Q1222">
        <v>-3.25</v>
      </c>
      <c r="R1222">
        <v>4.5</v>
      </c>
      <c r="S1222">
        <v>4</v>
      </c>
      <c r="T1222">
        <v>0.5</v>
      </c>
      <c r="U1222">
        <v>0</v>
      </c>
      <c r="V1222">
        <v>0</v>
      </c>
      <c r="W1222">
        <v>0</v>
      </c>
      <c r="X1222">
        <v>0</v>
      </c>
      <c r="Y1222">
        <v>0.5</v>
      </c>
      <c r="Z1222">
        <v>0.5</v>
      </c>
    </row>
    <row r="1223" spans="1:30">
      <c r="A1223" t="s">
        <v>1385</v>
      </c>
      <c r="B1223">
        <v>40.875</v>
      </c>
      <c r="C1223">
        <v>33.5625</v>
      </c>
      <c r="D1223">
        <v>4.9375</v>
      </c>
      <c r="E1223">
        <v>1.8125</v>
      </c>
      <c r="F1223" t="s">
        <v>156</v>
      </c>
      <c r="G1223">
        <v>1</v>
      </c>
      <c r="H1223">
        <v>0</v>
      </c>
      <c r="I1223">
        <v>1</v>
      </c>
      <c r="J1223">
        <v>0</v>
      </c>
      <c r="K1223">
        <v>12</v>
      </c>
      <c r="N1223">
        <v>0.5</v>
      </c>
      <c r="O1223">
        <v>0.38</v>
      </c>
      <c r="P1223">
        <v>3.5</v>
      </c>
      <c r="Q1223">
        <v>-0.4375</v>
      </c>
      <c r="R1223">
        <v>2.6875</v>
      </c>
      <c r="S1223">
        <v>4</v>
      </c>
      <c r="T1223">
        <v>0.5</v>
      </c>
      <c r="U1223">
        <v>0</v>
      </c>
      <c r="V1223">
        <v>0</v>
      </c>
      <c r="W1223">
        <v>0</v>
      </c>
      <c r="X1223">
        <v>0</v>
      </c>
      <c r="Y1223">
        <v>0.5</v>
      </c>
      <c r="Z1223">
        <v>0.5</v>
      </c>
    </row>
    <row r="1224" spans="1:30">
      <c r="A1224" t="s">
        <v>1386</v>
      </c>
      <c r="B1224">
        <v>37.125</v>
      </c>
      <c r="C1224">
        <v>73.25</v>
      </c>
      <c r="D1224">
        <v>1</v>
      </c>
      <c r="E1224">
        <v>4.9375</v>
      </c>
      <c r="F1224" t="s">
        <v>156</v>
      </c>
      <c r="G1224">
        <v>1</v>
      </c>
      <c r="H1224">
        <v>0</v>
      </c>
      <c r="I1224">
        <v>1</v>
      </c>
      <c r="J1224">
        <v>0</v>
      </c>
      <c r="K1224">
        <v>24</v>
      </c>
      <c r="L1224" t="s">
        <v>119</v>
      </c>
      <c r="N1224">
        <v>0.5</v>
      </c>
      <c r="O1224">
        <v>0.38</v>
      </c>
      <c r="P1224">
        <v>3.5</v>
      </c>
      <c r="Q1224">
        <v>3.5</v>
      </c>
      <c r="R1224">
        <v>0</v>
      </c>
      <c r="S1224">
        <v>4</v>
      </c>
      <c r="T1224">
        <v>0.5</v>
      </c>
      <c r="U1224">
        <v>0</v>
      </c>
      <c r="V1224">
        <v>0</v>
      </c>
      <c r="W1224">
        <v>0</v>
      </c>
      <c r="X1224">
        <v>0</v>
      </c>
      <c r="Y1224">
        <v>0.5</v>
      </c>
      <c r="Z1224">
        <v>0.5</v>
      </c>
    </row>
    <row r="1225" spans="1:30">
      <c r="A1225" t="s">
        <v>1387</v>
      </c>
      <c r="B1225">
        <v>17.875</v>
      </c>
      <c r="C1225">
        <v>78.375</v>
      </c>
      <c r="D1225">
        <v>4.5</v>
      </c>
      <c r="E1225">
        <v>1.125</v>
      </c>
      <c r="F1225" t="s">
        <v>156</v>
      </c>
      <c r="G1225">
        <v>1</v>
      </c>
      <c r="H1225">
        <v>0</v>
      </c>
      <c r="I1225">
        <v>1</v>
      </c>
      <c r="J1225">
        <v>0</v>
      </c>
      <c r="N1225">
        <v>0.5</v>
      </c>
      <c r="O1225">
        <v>0.38</v>
      </c>
      <c r="P1225">
        <v>3.5</v>
      </c>
      <c r="Q1225">
        <v>0</v>
      </c>
      <c r="R1225">
        <v>3.375</v>
      </c>
      <c r="S1225">
        <v>4</v>
      </c>
      <c r="T1225">
        <v>0.5</v>
      </c>
      <c r="U1225">
        <v>0</v>
      </c>
      <c r="V1225">
        <v>0</v>
      </c>
      <c r="W1225">
        <v>0</v>
      </c>
      <c r="X1225">
        <v>0</v>
      </c>
      <c r="Y1225">
        <v>0.5</v>
      </c>
      <c r="Z1225">
        <v>0.5</v>
      </c>
    </row>
    <row r="1226" spans="1:30">
      <c r="A1226" t="s">
        <v>1388</v>
      </c>
      <c r="B1226">
        <v>30</v>
      </c>
      <c r="C1226">
        <v>40.8125</v>
      </c>
      <c r="D1226">
        <v>4.5</v>
      </c>
      <c r="E1226">
        <v>7</v>
      </c>
      <c r="F1226" t="s">
        <v>156</v>
      </c>
      <c r="G1226">
        <v>1</v>
      </c>
      <c r="H1226">
        <v>0</v>
      </c>
      <c r="I1226">
        <v>1</v>
      </c>
      <c r="J1226">
        <v>1</v>
      </c>
      <c r="N1226">
        <v>0.5</v>
      </c>
      <c r="O1226">
        <v>0.38</v>
      </c>
      <c r="P1226">
        <v>3.5</v>
      </c>
      <c r="Q1226">
        <v>0</v>
      </c>
      <c r="R1226">
        <v>0</v>
      </c>
      <c r="S1226">
        <v>4</v>
      </c>
      <c r="T1226">
        <v>0.5</v>
      </c>
      <c r="U1226">
        <v>0</v>
      </c>
      <c r="V1226">
        <v>0</v>
      </c>
      <c r="W1226">
        <v>0</v>
      </c>
      <c r="X1226">
        <v>0</v>
      </c>
      <c r="Y1226">
        <v>0.5</v>
      </c>
      <c r="Z1226">
        <v>0.5</v>
      </c>
    </row>
    <row r="1227" spans="1:30">
      <c r="A1227" t="s">
        <v>1389</v>
      </c>
      <c r="B1227">
        <v>41.375</v>
      </c>
      <c r="C1227">
        <v>34.3125</v>
      </c>
      <c r="D1227">
        <v>4.5</v>
      </c>
      <c r="E1227">
        <v>5.1875</v>
      </c>
      <c r="F1227" t="s">
        <v>156</v>
      </c>
      <c r="G1227">
        <v>1</v>
      </c>
      <c r="H1227">
        <v>1</v>
      </c>
      <c r="I1227">
        <v>0</v>
      </c>
      <c r="N1227">
        <v>0.5</v>
      </c>
      <c r="O1227">
        <v>0.38</v>
      </c>
      <c r="P1227">
        <v>3.5</v>
      </c>
      <c r="Q1227">
        <v>0</v>
      </c>
      <c r="R1227">
        <v>0</v>
      </c>
      <c r="S1227">
        <v>4</v>
      </c>
      <c r="T1227">
        <v>0.5</v>
      </c>
      <c r="U1227">
        <v>0</v>
      </c>
      <c r="V1227">
        <v>0</v>
      </c>
      <c r="W1227">
        <v>0</v>
      </c>
      <c r="X1227">
        <v>0</v>
      </c>
      <c r="Y1227">
        <v>0.5</v>
      </c>
      <c r="Z1227">
        <v>0.5</v>
      </c>
    </row>
    <row r="1228" spans="1:30">
      <c r="A1228" t="s">
        <v>1390</v>
      </c>
      <c r="B1228">
        <v>38.875</v>
      </c>
      <c r="C1228">
        <v>64.9375</v>
      </c>
      <c r="D1228">
        <v>12</v>
      </c>
      <c r="E1228">
        <v>1</v>
      </c>
      <c r="F1228" t="s">
        <v>156</v>
      </c>
      <c r="G1228">
        <v>1</v>
      </c>
      <c r="H1228">
        <v>1</v>
      </c>
      <c r="I1228">
        <v>1</v>
      </c>
      <c r="J1228">
        <v>0</v>
      </c>
      <c r="K1228">
        <v>12</v>
      </c>
      <c r="L1228" t="s">
        <v>35</v>
      </c>
      <c r="N1228">
        <v>0.5</v>
      </c>
      <c r="O1228">
        <v>0.38</v>
      </c>
      <c r="P1228">
        <v>3.5</v>
      </c>
      <c r="Q1228">
        <v>-7.5</v>
      </c>
      <c r="R1228">
        <v>3.5</v>
      </c>
      <c r="S1228">
        <v>4</v>
      </c>
      <c r="T1228">
        <v>0.5</v>
      </c>
      <c r="U1228">
        <v>0</v>
      </c>
      <c r="V1228">
        <v>0</v>
      </c>
      <c r="W1228">
        <v>1</v>
      </c>
      <c r="X1228">
        <v>0</v>
      </c>
      <c r="Y1228">
        <v>0.5</v>
      </c>
      <c r="Z1228">
        <v>0.5</v>
      </c>
    </row>
    <row r="1229" spans="1:30">
      <c r="A1229" t="s">
        <v>1391</v>
      </c>
      <c r="B1229">
        <v>19.4375</v>
      </c>
      <c r="C1229">
        <v>45.125</v>
      </c>
      <c r="D1229">
        <v>3.5</v>
      </c>
      <c r="F1229" t="s">
        <v>156</v>
      </c>
      <c r="G1229">
        <v>1</v>
      </c>
      <c r="H1229">
        <v>1</v>
      </c>
      <c r="I1229">
        <v>1</v>
      </c>
      <c r="J1229">
        <v>0</v>
      </c>
      <c r="K1229">
        <v>24</v>
      </c>
      <c r="L1229" t="s">
        <v>120</v>
      </c>
      <c r="N1229">
        <v>0.5</v>
      </c>
      <c r="O1229">
        <v>0.38</v>
      </c>
      <c r="P1229">
        <v>3.5</v>
      </c>
      <c r="Q1229">
        <v>1</v>
      </c>
      <c r="R1229">
        <v>4.5</v>
      </c>
      <c r="S1229">
        <v>4</v>
      </c>
      <c r="T1229">
        <v>0.5</v>
      </c>
      <c r="U1229">
        <v>0</v>
      </c>
      <c r="V1229">
        <v>0</v>
      </c>
      <c r="W1229">
        <v>0</v>
      </c>
      <c r="X1229">
        <v>0</v>
      </c>
      <c r="Y1229">
        <v>0.5</v>
      </c>
      <c r="Z1229">
        <v>0.5</v>
      </c>
    </row>
    <row r="1230" spans="1:30">
      <c r="A1230" t="s">
        <v>1392</v>
      </c>
      <c r="B1230">
        <v>6.25</v>
      </c>
      <c r="C1230">
        <v>75.375</v>
      </c>
      <c r="D1230">
        <v>1</v>
      </c>
      <c r="F1230" t="s">
        <v>156</v>
      </c>
      <c r="G1230">
        <v>1</v>
      </c>
      <c r="H1230">
        <v>1</v>
      </c>
      <c r="I1230">
        <v>1</v>
      </c>
      <c r="J1230">
        <v>0</v>
      </c>
      <c r="N1230">
        <v>0.5</v>
      </c>
      <c r="O1230">
        <v>0.38</v>
      </c>
      <c r="P1230">
        <v>3.5</v>
      </c>
      <c r="Q1230">
        <v>3.5</v>
      </c>
      <c r="R1230">
        <v>4.5</v>
      </c>
      <c r="S1230">
        <v>4</v>
      </c>
      <c r="T1230">
        <v>0.5</v>
      </c>
      <c r="U1230">
        <v>0</v>
      </c>
      <c r="V1230">
        <v>0</v>
      </c>
      <c r="W1230">
        <v>0</v>
      </c>
      <c r="X1230">
        <v>0</v>
      </c>
      <c r="Y1230">
        <v>0.5</v>
      </c>
      <c r="Z1230">
        <v>0.5</v>
      </c>
    </row>
    <row r="1231" spans="1:30">
      <c r="A1231" t="s">
        <v>1393</v>
      </c>
      <c r="B1231">
        <v>22.9375</v>
      </c>
      <c r="C1231">
        <v>54.3125</v>
      </c>
      <c r="D1231">
        <v>9</v>
      </c>
      <c r="E1231">
        <v>1</v>
      </c>
      <c r="F1231" t="s">
        <v>156</v>
      </c>
      <c r="G1231">
        <v>1</v>
      </c>
      <c r="H1231">
        <v>1</v>
      </c>
      <c r="I1231">
        <v>1</v>
      </c>
      <c r="J1231">
        <v>1</v>
      </c>
      <c r="N1231">
        <v>0.5</v>
      </c>
      <c r="O1231">
        <v>0.38</v>
      </c>
      <c r="P1231">
        <v>3.5</v>
      </c>
      <c r="Q1231">
        <v>-4.5</v>
      </c>
      <c r="R1231">
        <v>3.5</v>
      </c>
      <c r="S1231">
        <v>4</v>
      </c>
      <c r="T1231">
        <v>0.5</v>
      </c>
      <c r="U1231">
        <v>0</v>
      </c>
      <c r="V1231">
        <v>0</v>
      </c>
      <c r="W1231">
        <v>1</v>
      </c>
      <c r="X1231">
        <v>1</v>
      </c>
      <c r="Y1231">
        <v>0.5</v>
      </c>
      <c r="Z1231">
        <v>0.5</v>
      </c>
    </row>
    <row r="1232" spans="1:30">
      <c r="A1232" t="s">
        <v>1394</v>
      </c>
      <c r="B1232">
        <v>60</v>
      </c>
      <c r="C1232">
        <v>64.75</v>
      </c>
      <c r="D1232">
        <v>3.625</v>
      </c>
      <c r="E1232">
        <v>4.25</v>
      </c>
      <c r="F1232" t="s">
        <v>157</v>
      </c>
      <c r="G1232">
        <v>0</v>
      </c>
      <c r="I1232">
        <v>0</v>
      </c>
      <c r="L1232" t="s">
        <v>119</v>
      </c>
      <c r="N1232">
        <v>0.5</v>
      </c>
      <c r="O1232">
        <v>0.38</v>
      </c>
      <c r="P1232">
        <v>3.5</v>
      </c>
      <c r="Q1232">
        <v>0.875</v>
      </c>
      <c r="R1232">
        <v>0.25</v>
      </c>
      <c r="S1232">
        <v>4</v>
      </c>
      <c r="T1232">
        <v>0.5</v>
      </c>
      <c r="U1232">
        <v>0</v>
      </c>
      <c r="V1232">
        <v>0</v>
      </c>
      <c r="W1232">
        <v>0</v>
      </c>
      <c r="X1232">
        <v>0</v>
      </c>
      <c r="Y1232">
        <v>0.5</v>
      </c>
      <c r="Z1232">
        <v>0.5</v>
      </c>
      <c r="AA1232">
        <v>11</v>
      </c>
      <c r="AB1232">
        <v>15.5</v>
      </c>
      <c r="AC1232">
        <v>14.5</v>
      </c>
      <c r="AD1232">
        <v>11.125</v>
      </c>
    </row>
    <row r="1233" spans="1:30">
      <c r="A1233" t="s">
        <v>1395</v>
      </c>
      <c r="B1233">
        <v>60</v>
      </c>
      <c r="C1233">
        <v>14.625</v>
      </c>
      <c r="D1233">
        <v>9</v>
      </c>
      <c r="E1233">
        <v>1</v>
      </c>
      <c r="F1233" t="s">
        <v>157</v>
      </c>
      <c r="G1233">
        <v>0</v>
      </c>
      <c r="I1233">
        <v>1</v>
      </c>
      <c r="J1233">
        <v>0</v>
      </c>
      <c r="K1233">
        <v>12</v>
      </c>
      <c r="N1233">
        <v>0.5</v>
      </c>
      <c r="O1233">
        <v>0.38</v>
      </c>
      <c r="P1233">
        <v>3.5</v>
      </c>
      <c r="Q1233">
        <v>-4.5</v>
      </c>
      <c r="R1233">
        <v>3.5</v>
      </c>
      <c r="S1233">
        <v>4</v>
      </c>
      <c r="T1233">
        <v>0.5</v>
      </c>
      <c r="U1233">
        <v>0</v>
      </c>
      <c r="V1233">
        <v>0</v>
      </c>
      <c r="W1233">
        <v>0</v>
      </c>
      <c r="X1233">
        <v>0</v>
      </c>
      <c r="Y1233">
        <v>0.5</v>
      </c>
      <c r="Z1233">
        <v>0.5</v>
      </c>
    </row>
    <row r="1234" spans="1:30">
      <c r="A1234" t="s">
        <v>1396</v>
      </c>
      <c r="B1234">
        <v>60</v>
      </c>
      <c r="C1234">
        <v>62.8125</v>
      </c>
      <c r="D1234">
        <v>4.5</v>
      </c>
      <c r="E1234">
        <v>1</v>
      </c>
      <c r="F1234" t="s">
        <v>157</v>
      </c>
      <c r="G1234">
        <v>0</v>
      </c>
      <c r="I1234">
        <v>1</v>
      </c>
      <c r="J1234">
        <v>0</v>
      </c>
      <c r="K1234">
        <v>24</v>
      </c>
      <c r="L1234" t="s">
        <v>148</v>
      </c>
      <c r="N1234">
        <v>0.5</v>
      </c>
      <c r="O1234">
        <v>0.38</v>
      </c>
      <c r="P1234">
        <v>3.5</v>
      </c>
      <c r="Q1234">
        <v>0</v>
      </c>
      <c r="R1234">
        <v>3.5</v>
      </c>
      <c r="S1234">
        <v>4</v>
      </c>
      <c r="T1234">
        <v>0.5</v>
      </c>
      <c r="U1234">
        <v>0</v>
      </c>
      <c r="V1234">
        <v>0</v>
      </c>
      <c r="W1234">
        <v>0</v>
      </c>
      <c r="X1234">
        <v>0</v>
      </c>
      <c r="Y1234">
        <v>0.5</v>
      </c>
      <c r="Z1234">
        <v>0.5</v>
      </c>
      <c r="AA1234">
        <v>15.5</v>
      </c>
      <c r="AB1234">
        <v>28.875</v>
      </c>
    </row>
    <row r="1235" spans="1:30">
      <c r="A1235" t="s">
        <v>1397</v>
      </c>
      <c r="B1235">
        <v>60</v>
      </c>
      <c r="C1235">
        <v>66.6875</v>
      </c>
      <c r="D1235">
        <v>3</v>
      </c>
      <c r="E1235">
        <v>5.9375</v>
      </c>
      <c r="F1235" t="s">
        <v>157</v>
      </c>
      <c r="G1235">
        <v>0</v>
      </c>
      <c r="I1235">
        <v>1</v>
      </c>
      <c r="J1235">
        <v>0</v>
      </c>
      <c r="N1235">
        <v>0.5</v>
      </c>
      <c r="O1235">
        <v>0.38</v>
      </c>
      <c r="P1235">
        <v>3.5</v>
      </c>
      <c r="Q1235">
        <v>1.5</v>
      </c>
      <c r="R1235">
        <v>0</v>
      </c>
      <c r="S1235">
        <v>4</v>
      </c>
      <c r="T1235">
        <v>0.5</v>
      </c>
      <c r="U1235">
        <v>0</v>
      </c>
      <c r="V1235">
        <v>1</v>
      </c>
      <c r="W1235">
        <v>0</v>
      </c>
      <c r="X1235">
        <v>0</v>
      </c>
      <c r="Y1235">
        <v>0.5</v>
      </c>
      <c r="Z1235">
        <v>0</v>
      </c>
    </row>
    <row r="1236" spans="1:30">
      <c r="A1236" t="s">
        <v>1398</v>
      </c>
      <c r="B1236">
        <v>60</v>
      </c>
      <c r="C1236">
        <v>59.5</v>
      </c>
      <c r="D1236">
        <v>10.9375</v>
      </c>
      <c r="E1236">
        <v>2.4375</v>
      </c>
      <c r="F1236" t="s">
        <v>157</v>
      </c>
      <c r="G1236">
        <v>0</v>
      </c>
      <c r="I1236">
        <v>1</v>
      </c>
      <c r="J1236">
        <v>1</v>
      </c>
      <c r="N1236">
        <v>0.5</v>
      </c>
      <c r="O1236">
        <v>0.38</v>
      </c>
      <c r="P1236">
        <v>3.5</v>
      </c>
      <c r="Q1236">
        <v>-6.4375</v>
      </c>
      <c r="R1236">
        <v>2.0625</v>
      </c>
      <c r="S1236">
        <v>4</v>
      </c>
      <c r="T1236">
        <v>0.5</v>
      </c>
      <c r="U1236">
        <v>0</v>
      </c>
      <c r="V1236">
        <v>0</v>
      </c>
      <c r="W1236">
        <v>0</v>
      </c>
      <c r="X1236">
        <v>0</v>
      </c>
      <c r="Y1236">
        <v>0.5</v>
      </c>
      <c r="Z1236">
        <v>0.5</v>
      </c>
    </row>
    <row r="1237" spans="1:30">
      <c r="A1237" t="s">
        <v>1399</v>
      </c>
      <c r="B1237">
        <v>60</v>
      </c>
      <c r="C1237">
        <v>57.375</v>
      </c>
      <c r="D1237">
        <v>9</v>
      </c>
      <c r="E1237">
        <v>2.625</v>
      </c>
      <c r="F1237" t="s">
        <v>157</v>
      </c>
      <c r="G1237">
        <v>1</v>
      </c>
      <c r="H1237">
        <v>0</v>
      </c>
      <c r="I1237">
        <v>0</v>
      </c>
      <c r="N1237">
        <v>0.5</v>
      </c>
      <c r="O1237">
        <v>0.38</v>
      </c>
      <c r="P1237">
        <v>3.5</v>
      </c>
      <c r="Q1237">
        <v>-4.5</v>
      </c>
      <c r="R1237">
        <v>1.875</v>
      </c>
      <c r="S1237">
        <v>4</v>
      </c>
      <c r="T1237">
        <v>0.5</v>
      </c>
      <c r="U1237">
        <v>0</v>
      </c>
      <c r="V1237">
        <v>0</v>
      </c>
      <c r="W1237">
        <v>0</v>
      </c>
      <c r="X1237">
        <v>0</v>
      </c>
      <c r="Y1237">
        <v>0.5</v>
      </c>
      <c r="Z1237">
        <v>0.5</v>
      </c>
    </row>
    <row r="1238" spans="1:30">
      <c r="A1238" t="s">
        <v>1400</v>
      </c>
      <c r="B1238">
        <v>60</v>
      </c>
      <c r="C1238">
        <v>47.875</v>
      </c>
      <c r="D1238">
        <v>9</v>
      </c>
      <c r="F1238" t="s">
        <v>157</v>
      </c>
      <c r="G1238">
        <v>1</v>
      </c>
      <c r="H1238">
        <v>0</v>
      </c>
      <c r="I1238">
        <v>1</v>
      </c>
      <c r="J1238">
        <v>0</v>
      </c>
      <c r="K1238">
        <v>12</v>
      </c>
      <c r="L1238" t="s">
        <v>121</v>
      </c>
      <c r="N1238">
        <v>0.5</v>
      </c>
      <c r="O1238">
        <v>0.38</v>
      </c>
      <c r="P1238">
        <v>3.5</v>
      </c>
      <c r="Q1238">
        <v>-4.5</v>
      </c>
      <c r="R1238">
        <v>4.5</v>
      </c>
      <c r="S1238">
        <v>4</v>
      </c>
      <c r="T1238">
        <v>0.5</v>
      </c>
      <c r="U1238">
        <v>0</v>
      </c>
      <c r="V1238">
        <v>0</v>
      </c>
      <c r="W1238">
        <v>0</v>
      </c>
      <c r="X1238">
        <v>0</v>
      </c>
      <c r="Y1238">
        <v>0.5</v>
      </c>
      <c r="Z1238">
        <v>0.5</v>
      </c>
      <c r="AA1238">
        <v>11</v>
      </c>
      <c r="AB1238">
        <v>9.375</v>
      </c>
    </row>
    <row r="1239" spans="1:30">
      <c r="A1239" t="s">
        <v>1401</v>
      </c>
      <c r="B1239">
        <v>60</v>
      </c>
      <c r="C1239">
        <v>70.25</v>
      </c>
      <c r="D1239">
        <v>12</v>
      </c>
      <c r="F1239" t="s">
        <v>157</v>
      </c>
      <c r="G1239">
        <v>1</v>
      </c>
      <c r="H1239">
        <v>0</v>
      </c>
      <c r="I1239">
        <v>1</v>
      </c>
      <c r="J1239">
        <v>0</v>
      </c>
      <c r="K1239">
        <v>24</v>
      </c>
      <c r="N1239">
        <v>0.5</v>
      </c>
      <c r="O1239">
        <v>0.38</v>
      </c>
      <c r="P1239">
        <v>3.5</v>
      </c>
      <c r="Q1239">
        <v>-7.5</v>
      </c>
      <c r="R1239">
        <v>4.5</v>
      </c>
      <c r="S1239">
        <v>4</v>
      </c>
      <c r="T1239">
        <v>0.5</v>
      </c>
      <c r="U1239">
        <v>0</v>
      </c>
      <c r="V1239">
        <v>0</v>
      </c>
      <c r="W1239">
        <v>0</v>
      </c>
      <c r="X1239">
        <v>0</v>
      </c>
      <c r="Y1239">
        <v>0.5</v>
      </c>
      <c r="Z1239">
        <v>0.5</v>
      </c>
    </row>
    <row r="1240" spans="1:30">
      <c r="A1240" t="s">
        <v>1402</v>
      </c>
      <c r="B1240">
        <v>60</v>
      </c>
      <c r="C1240">
        <v>31.8125</v>
      </c>
      <c r="D1240">
        <v>9</v>
      </c>
      <c r="E1240">
        <v>1</v>
      </c>
      <c r="F1240" t="s">
        <v>157</v>
      </c>
      <c r="G1240">
        <v>1</v>
      </c>
      <c r="H1240">
        <v>0</v>
      </c>
      <c r="I1240">
        <v>1</v>
      </c>
      <c r="J1240">
        <v>0</v>
      </c>
      <c r="N1240">
        <v>0.5</v>
      </c>
      <c r="O1240">
        <v>0.38</v>
      </c>
      <c r="P1240">
        <v>3.5</v>
      </c>
      <c r="Q1240">
        <v>-4.5</v>
      </c>
      <c r="R1240">
        <v>3.5</v>
      </c>
      <c r="S1240">
        <v>4</v>
      </c>
      <c r="T1240">
        <v>0.5</v>
      </c>
      <c r="U1240">
        <v>0</v>
      </c>
      <c r="V1240">
        <v>0</v>
      </c>
      <c r="W1240">
        <v>0</v>
      </c>
      <c r="X1240">
        <v>0</v>
      </c>
      <c r="Y1240">
        <v>0.5</v>
      </c>
      <c r="Z1240">
        <v>0.5</v>
      </c>
    </row>
    <row r="1241" spans="1:30">
      <c r="A1241" t="s">
        <v>1403</v>
      </c>
      <c r="B1241">
        <v>60</v>
      </c>
      <c r="C1241">
        <v>76.6875</v>
      </c>
      <c r="D1241">
        <v>4</v>
      </c>
      <c r="E1241">
        <v>5.875</v>
      </c>
      <c r="F1241" t="s">
        <v>157</v>
      </c>
      <c r="G1241">
        <v>1</v>
      </c>
      <c r="H1241">
        <v>0</v>
      </c>
      <c r="I1241">
        <v>1</v>
      </c>
      <c r="J1241">
        <v>1</v>
      </c>
      <c r="N1241">
        <v>0.5</v>
      </c>
      <c r="O1241">
        <v>0.38</v>
      </c>
      <c r="P1241">
        <v>3.5</v>
      </c>
      <c r="Q1241">
        <v>0.5</v>
      </c>
      <c r="R1241">
        <v>0</v>
      </c>
      <c r="S1241">
        <v>4</v>
      </c>
      <c r="T1241">
        <v>0.5</v>
      </c>
      <c r="U1241">
        <v>1</v>
      </c>
      <c r="V1241">
        <v>1</v>
      </c>
      <c r="W1241">
        <v>0</v>
      </c>
      <c r="X1241">
        <v>0</v>
      </c>
      <c r="Y1241">
        <v>0</v>
      </c>
      <c r="Z1241">
        <v>0</v>
      </c>
    </row>
    <row r="1242" spans="1:30">
      <c r="A1242" t="s">
        <v>1404</v>
      </c>
      <c r="B1242">
        <v>60</v>
      </c>
      <c r="C1242">
        <v>50.375</v>
      </c>
      <c r="D1242">
        <v>4.5</v>
      </c>
      <c r="E1242">
        <v>1.8125</v>
      </c>
      <c r="F1242" t="s">
        <v>157</v>
      </c>
      <c r="G1242">
        <v>1</v>
      </c>
      <c r="H1242">
        <v>1</v>
      </c>
      <c r="I1242">
        <v>0</v>
      </c>
      <c r="N1242">
        <v>0.5</v>
      </c>
      <c r="O1242">
        <v>0.38</v>
      </c>
      <c r="P1242">
        <v>3.5</v>
      </c>
      <c r="Q1242">
        <v>0</v>
      </c>
      <c r="R1242">
        <v>2.6875</v>
      </c>
      <c r="S1242">
        <v>4</v>
      </c>
      <c r="T1242">
        <v>0.5</v>
      </c>
      <c r="U1242">
        <v>0</v>
      </c>
      <c r="V1242">
        <v>0</v>
      </c>
      <c r="W1242">
        <v>0</v>
      </c>
      <c r="X1242">
        <v>0</v>
      </c>
      <c r="Y1242">
        <v>0.5</v>
      </c>
      <c r="Z1242">
        <v>0.5</v>
      </c>
    </row>
    <row r="1243" spans="1:30">
      <c r="A1243" t="s">
        <v>1405</v>
      </c>
      <c r="B1243">
        <v>60</v>
      </c>
      <c r="C1243">
        <v>65.75</v>
      </c>
      <c r="D1243">
        <v>12</v>
      </c>
      <c r="E1243">
        <v>8.4375</v>
      </c>
      <c r="F1243" t="s">
        <v>157</v>
      </c>
      <c r="G1243">
        <v>1</v>
      </c>
      <c r="H1243">
        <v>1</v>
      </c>
      <c r="I1243">
        <v>1</v>
      </c>
      <c r="J1243">
        <v>0</v>
      </c>
      <c r="K1243">
        <v>12</v>
      </c>
      <c r="L1243" t="s">
        <v>148</v>
      </c>
      <c r="N1243">
        <v>0.5</v>
      </c>
      <c r="O1243">
        <v>0.38</v>
      </c>
      <c r="P1243">
        <v>3.5</v>
      </c>
      <c r="Q1243">
        <v>-7.5</v>
      </c>
      <c r="R1243">
        <v>0</v>
      </c>
      <c r="S1243">
        <v>4</v>
      </c>
      <c r="T1243">
        <v>0.5</v>
      </c>
      <c r="U1243">
        <v>0</v>
      </c>
      <c r="V1243">
        <v>0</v>
      </c>
      <c r="W1243">
        <v>0</v>
      </c>
      <c r="X1243">
        <v>0</v>
      </c>
      <c r="Y1243">
        <v>0.5</v>
      </c>
      <c r="Z1243">
        <v>0.5</v>
      </c>
      <c r="AA1243">
        <v>15.5</v>
      </c>
      <c r="AB1243">
        <v>28.875</v>
      </c>
      <c r="AC1243">
        <v>9</v>
      </c>
      <c r="AD1243">
        <v>6</v>
      </c>
    </row>
    <row r="1244" spans="1:30">
      <c r="A1244" t="s">
        <v>1406</v>
      </c>
      <c r="B1244">
        <v>60</v>
      </c>
      <c r="C1244">
        <v>70.0625</v>
      </c>
      <c r="D1244">
        <v>1</v>
      </c>
      <c r="E1244">
        <v>7.8125</v>
      </c>
      <c r="F1244" t="s">
        <v>157</v>
      </c>
      <c r="G1244">
        <v>1</v>
      </c>
      <c r="H1244">
        <v>1</v>
      </c>
      <c r="I1244">
        <v>1</v>
      </c>
      <c r="J1244">
        <v>0</v>
      </c>
      <c r="K1244">
        <v>24</v>
      </c>
      <c r="L1244" t="s">
        <v>151</v>
      </c>
      <c r="N1244">
        <v>0.5</v>
      </c>
      <c r="O1244">
        <v>0.38</v>
      </c>
      <c r="P1244">
        <v>3.5</v>
      </c>
      <c r="Q1244">
        <v>3.5</v>
      </c>
      <c r="R1244">
        <v>0</v>
      </c>
      <c r="S1244">
        <v>4</v>
      </c>
      <c r="T1244">
        <v>0.5</v>
      </c>
      <c r="U1244">
        <v>1</v>
      </c>
      <c r="V1244">
        <v>1</v>
      </c>
      <c r="W1244">
        <v>0</v>
      </c>
      <c r="X1244">
        <v>0</v>
      </c>
      <c r="Y1244">
        <v>0</v>
      </c>
      <c r="Z1244">
        <v>0</v>
      </c>
      <c r="AA1244">
        <v>15.5</v>
      </c>
      <c r="AB1244">
        <v>28.875</v>
      </c>
    </row>
    <row r="1245" spans="1:30">
      <c r="A1245" t="s">
        <v>1407</v>
      </c>
      <c r="B1245">
        <v>60</v>
      </c>
      <c r="C1245">
        <v>39.25</v>
      </c>
      <c r="D1245">
        <v>12</v>
      </c>
      <c r="F1245" t="s">
        <v>157</v>
      </c>
      <c r="G1245">
        <v>1</v>
      </c>
      <c r="H1245">
        <v>1</v>
      </c>
      <c r="I1245">
        <v>1</v>
      </c>
      <c r="J1245">
        <v>0</v>
      </c>
      <c r="N1245">
        <v>0.5</v>
      </c>
      <c r="O1245">
        <v>0.38</v>
      </c>
      <c r="P1245">
        <v>3.5</v>
      </c>
      <c r="Q1245">
        <v>-7.5</v>
      </c>
      <c r="R1245">
        <v>4.5</v>
      </c>
      <c r="S1245">
        <v>4</v>
      </c>
      <c r="T1245">
        <v>0.5</v>
      </c>
      <c r="U1245">
        <v>0</v>
      </c>
      <c r="V1245">
        <v>0</v>
      </c>
      <c r="W1245">
        <v>0</v>
      </c>
      <c r="X1245">
        <v>0</v>
      </c>
      <c r="Y1245">
        <v>0.5</v>
      </c>
      <c r="Z1245">
        <v>0.5</v>
      </c>
    </row>
    <row r="1246" spans="1:30">
      <c r="A1246" t="s">
        <v>1408</v>
      </c>
      <c r="B1246">
        <v>60</v>
      </c>
      <c r="C1246">
        <v>5.25</v>
      </c>
      <c r="D1246">
        <v>7.3125</v>
      </c>
      <c r="E1246">
        <v>6.4375</v>
      </c>
      <c r="F1246" t="s">
        <v>157</v>
      </c>
      <c r="G1246">
        <v>1</v>
      </c>
      <c r="H1246">
        <v>1</v>
      </c>
      <c r="I1246">
        <v>1</v>
      </c>
      <c r="J1246">
        <v>1</v>
      </c>
      <c r="N1246">
        <v>0.5</v>
      </c>
      <c r="O1246">
        <v>0.38</v>
      </c>
      <c r="P1246">
        <v>3.5</v>
      </c>
      <c r="Q1246">
        <v>-2.8125</v>
      </c>
      <c r="R1246">
        <v>0</v>
      </c>
      <c r="S1246">
        <v>4</v>
      </c>
      <c r="T1246">
        <v>0.5</v>
      </c>
      <c r="U1246">
        <v>0</v>
      </c>
      <c r="V1246">
        <v>0</v>
      </c>
      <c r="W1246">
        <v>0</v>
      </c>
      <c r="X1246">
        <v>0</v>
      </c>
      <c r="Y1246">
        <v>0.5</v>
      </c>
      <c r="Z1246">
        <v>0.5</v>
      </c>
    </row>
    <row r="1247" spans="1:30">
      <c r="A1247" t="s">
        <v>1409</v>
      </c>
      <c r="B1247">
        <v>108.875</v>
      </c>
      <c r="C1247">
        <v>41.9375</v>
      </c>
      <c r="D1247">
        <v>4.25</v>
      </c>
      <c r="E1247">
        <v>3.4375</v>
      </c>
      <c r="F1247" t="s">
        <v>21</v>
      </c>
      <c r="G1247">
        <v>0</v>
      </c>
      <c r="I1247">
        <v>0</v>
      </c>
      <c r="L1247" t="s">
        <v>120</v>
      </c>
      <c r="N1247">
        <v>0.5</v>
      </c>
      <c r="O1247">
        <v>0.38</v>
      </c>
      <c r="P1247">
        <v>3.5</v>
      </c>
      <c r="Q1247">
        <v>0.25</v>
      </c>
      <c r="R1247">
        <v>1.0625</v>
      </c>
      <c r="S1247">
        <v>4</v>
      </c>
      <c r="T1247">
        <v>0.5</v>
      </c>
      <c r="U1247">
        <v>0</v>
      </c>
      <c r="V1247">
        <v>0</v>
      </c>
      <c r="W1247">
        <v>0</v>
      </c>
      <c r="X1247">
        <v>0</v>
      </c>
      <c r="Y1247">
        <v>0.5</v>
      </c>
      <c r="Z1247">
        <v>0.5</v>
      </c>
      <c r="AA1247">
        <v>11.5</v>
      </c>
      <c r="AB1247">
        <v>10.875</v>
      </c>
      <c r="AC1247">
        <v>28.94</v>
      </c>
      <c r="AD1247">
        <v>13.75</v>
      </c>
    </row>
    <row r="1248" spans="1:30">
      <c r="A1248" t="s">
        <v>1410</v>
      </c>
      <c r="B1248">
        <v>96</v>
      </c>
      <c r="C1248">
        <v>62.0625</v>
      </c>
      <c r="D1248">
        <v>4</v>
      </c>
      <c r="E1248">
        <v>5.1875</v>
      </c>
      <c r="F1248" t="s">
        <v>21</v>
      </c>
      <c r="G1248">
        <v>0</v>
      </c>
      <c r="I1248">
        <v>1</v>
      </c>
      <c r="J1248">
        <v>0</v>
      </c>
      <c r="K1248">
        <v>12</v>
      </c>
      <c r="L1248" t="s">
        <v>150</v>
      </c>
      <c r="N1248">
        <v>0.5</v>
      </c>
      <c r="O1248">
        <v>0.38</v>
      </c>
      <c r="P1248">
        <v>3.5</v>
      </c>
      <c r="Q1248">
        <v>0.5</v>
      </c>
      <c r="R1248">
        <v>0</v>
      </c>
      <c r="S1248">
        <v>4</v>
      </c>
      <c r="T1248">
        <v>0.5</v>
      </c>
      <c r="U1248">
        <v>0</v>
      </c>
      <c r="V1248">
        <v>1</v>
      </c>
      <c r="W1248">
        <v>0</v>
      </c>
      <c r="X1248">
        <v>0</v>
      </c>
      <c r="Y1248">
        <v>0.5</v>
      </c>
      <c r="Z1248">
        <v>0</v>
      </c>
      <c r="AA1248">
        <v>15.5</v>
      </c>
      <c r="AB1248">
        <v>28.875</v>
      </c>
      <c r="AC1248">
        <v>9</v>
      </c>
      <c r="AD1248">
        <v>14</v>
      </c>
    </row>
    <row r="1249" spans="1:30">
      <c r="A1249" t="s">
        <v>1411</v>
      </c>
      <c r="B1249">
        <v>37.5</v>
      </c>
      <c r="C1249">
        <v>5.125</v>
      </c>
      <c r="D1249">
        <v>9</v>
      </c>
      <c r="E1249">
        <v>1</v>
      </c>
      <c r="F1249" t="s">
        <v>21</v>
      </c>
      <c r="G1249">
        <v>0</v>
      </c>
      <c r="I1249">
        <v>1</v>
      </c>
      <c r="J1249">
        <v>0</v>
      </c>
      <c r="K1249">
        <v>24</v>
      </c>
      <c r="N1249">
        <v>0.5</v>
      </c>
      <c r="O1249">
        <v>0.38</v>
      </c>
      <c r="P1249">
        <v>3.5</v>
      </c>
      <c r="Q1249">
        <v>-4.5</v>
      </c>
      <c r="R1249">
        <v>3.5</v>
      </c>
      <c r="S1249">
        <v>4</v>
      </c>
      <c r="T1249">
        <v>0.5</v>
      </c>
      <c r="U1249">
        <v>0</v>
      </c>
      <c r="V1249">
        <v>0</v>
      </c>
      <c r="W1249">
        <v>0</v>
      </c>
      <c r="X1249">
        <v>0</v>
      </c>
      <c r="Y1249">
        <v>0.5</v>
      </c>
      <c r="Z1249">
        <v>0.5</v>
      </c>
    </row>
    <row r="1250" spans="1:30">
      <c r="A1250" t="s">
        <v>1412</v>
      </c>
      <c r="B1250">
        <v>96</v>
      </c>
      <c r="C1250">
        <v>66.9375</v>
      </c>
      <c r="D1250">
        <v>4.125</v>
      </c>
      <c r="E1250">
        <v>5.625</v>
      </c>
      <c r="F1250" t="s">
        <v>21</v>
      </c>
      <c r="G1250">
        <v>0</v>
      </c>
      <c r="I1250">
        <v>1</v>
      </c>
      <c r="J1250">
        <v>0</v>
      </c>
      <c r="N1250">
        <v>0.5</v>
      </c>
      <c r="O1250">
        <v>0.38</v>
      </c>
      <c r="P1250">
        <v>3.5</v>
      </c>
      <c r="Q1250">
        <v>0.375</v>
      </c>
      <c r="R1250">
        <v>0</v>
      </c>
      <c r="S1250">
        <v>4</v>
      </c>
      <c r="T1250">
        <v>0.5</v>
      </c>
      <c r="U1250">
        <v>0</v>
      </c>
      <c r="V1250">
        <v>1</v>
      </c>
      <c r="W1250">
        <v>0</v>
      </c>
      <c r="X1250">
        <v>0</v>
      </c>
      <c r="Y1250">
        <v>0.5</v>
      </c>
      <c r="Z1250">
        <v>0</v>
      </c>
    </row>
    <row r="1251" spans="1:30">
      <c r="A1251" t="s">
        <v>1413</v>
      </c>
      <c r="B1251">
        <v>96</v>
      </c>
      <c r="C1251">
        <v>45.5</v>
      </c>
      <c r="D1251">
        <v>12</v>
      </c>
      <c r="F1251" t="s">
        <v>21</v>
      </c>
      <c r="G1251">
        <v>0</v>
      </c>
      <c r="I1251">
        <v>1</v>
      </c>
      <c r="J1251">
        <v>1</v>
      </c>
      <c r="N1251">
        <v>0.5</v>
      </c>
      <c r="O1251">
        <v>0.38</v>
      </c>
      <c r="P1251">
        <v>3.5</v>
      </c>
      <c r="Q1251">
        <v>-7.5</v>
      </c>
      <c r="R1251">
        <v>4.5</v>
      </c>
      <c r="S1251">
        <v>4</v>
      </c>
      <c r="T1251">
        <v>0.5</v>
      </c>
      <c r="U1251">
        <v>0</v>
      </c>
      <c r="V1251">
        <v>0</v>
      </c>
      <c r="W1251">
        <v>0</v>
      </c>
      <c r="X1251">
        <v>0</v>
      </c>
      <c r="Y1251">
        <v>0.5</v>
      </c>
      <c r="Z1251">
        <v>0.5</v>
      </c>
    </row>
    <row r="1252" spans="1:30">
      <c r="A1252" t="s">
        <v>1414</v>
      </c>
      <c r="B1252">
        <v>74.375</v>
      </c>
      <c r="C1252">
        <v>48.1875</v>
      </c>
      <c r="D1252">
        <v>1.1875</v>
      </c>
      <c r="E1252">
        <v>5.1875</v>
      </c>
      <c r="F1252" t="s">
        <v>21</v>
      </c>
      <c r="G1252">
        <v>1</v>
      </c>
      <c r="H1252">
        <v>0</v>
      </c>
      <c r="I1252">
        <v>0</v>
      </c>
      <c r="L1252" t="s">
        <v>119</v>
      </c>
      <c r="N1252">
        <v>0.5</v>
      </c>
      <c r="O1252">
        <v>0.38</v>
      </c>
      <c r="P1252">
        <v>3.5</v>
      </c>
      <c r="Q1252">
        <v>3.3125</v>
      </c>
      <c r="R1252">
        <v>0</v>
      </c>
      <c r="S1252">
        <v>4</v>
      </c>
      <c r="T1252">
        <v>0.5</v>
      </c>
      <c r="U1252">
        <v>1</v>
      </c>
      <c r="V1252">
        <v>0</v>
      </c>
      <c r="W1252">
        <v>0</v>
      </c>
      <c r="X1252">
        <v>0</v>
      </c>
      <c r="Y1252">
        <v>0</v>
      </c>
      <c r="Z1252">
        <v>0.5</v>
      </c>
      <c r="AA1252">
        <v>11</v>
      </c>
      <c r="AB1252">
        <v>15.5</v>
      </c>
      <c r="AC1252">
        <v>14.5</v>
      </c>
      <c r="AD1252">
        <v>13.5625</v>
      </c>
    </row>
    <row r="1253" spans="1:30">
      <c r="A1253" t="s">
        <v>1415</v>
      </c>
      <c r="B1253">
        <v>84.75</v>
      </c>
      <c r="C1253">
        <v>61</v>
      </c>
      <c r="D1253">
        <v>7.25</v>
      </c>
      <c r="E1253">
        <v>6</v>
      </c>
      <c r="F1253" t="s">
        <v>21</v>
      </c>
      <c r="G1253">
        <v>1</v>
      </c>
      <c r="H1253">
        <v>0</v>
      </c>
      <c r="I1253">
        <v>1</v>
      </c>
      <c r="J1253">
        <v>0</v>
      </c>
      <c r="K1253">
        <v>12</v>
      </c>
      <c r="L1253" t="s">
        <v>148</v>
      </c>
      <c r="N1253">
        <v>0.5</v>
      </c>
      <c r="O1253">
        <v>0.38</v>
      </c>
      <c r="P1253">
        <v>3.5</v>
      </c>
      <c r="Q1253">
        <v>-2.75</v>
      </c>
      <c r="R1253">
        <v>0</v>
      </c>
      <c r="S1253">
        <v>4</v>
      </c>
      <c r="T1253">
        <v>0.5</v>
      </c>
      <c r="U1253">
        <v>0</v>
      </c>
      <c r="V1253">
        <v>0</v>
      </c>
      <c r="W1253">
        <v>0</v>
      </c>
      <c r="X1253">
        <v>0</v>
      </c>
      <c r="Y1253">
        <v>0.5</v>
      </c>
      <c r="Z1253">
        <v>0.5</v>
      </c>
      <c r="AA1253">
        <v>15.5</v>
      </c>
      <c r="AB1253">
        <v>28.875</v>
      </c>
      <c r="AC1253">
        <v>9</v>
      </c>
      <c r="AD1253">
        <v>10.75</v>
      </c>
    </row>
    <row r="1254" spans="1:30">
      <c r="A1254" t="s">
        <v>1416</v>
      </c>
      <c r="B1254">
        <v>106.875</v>
      </c>
      <c r="C1254">
        <v>46.4375</v>
      </c>
      <c r="D1254">
        <v>9</v>
      </c>
      <c r="F1254" t="s">
        <v>21</v>
      </c>
      <c r="G1254">
        <v>1</v>
      </c>
      <c r="H1254">
        <v>0</v>
      </c>
      <c r="I1254">
        <v>1</v>
      </c>
      <c r="J1254">
        <v>0</v>
      </c>
      <c r="K1254">
        <v>24</v>
      </c>
      <c r="L1254" t="s">
        <v>119</v>
      </c>
      <c r="N1254">
        <v>0.5</v>
      </c>
      <c r="O1254">
        <v>0.38</v>
      </c>
      <c r="P1254">
        <v>3.5</v>
      </c>
      <c r="Q1254">
        <v>-4.5</v>
      </c>
      <c r="R1254">
        <v>4.5</v>
      </c>
      <c r="S1254">
        <v>4</v>
      </c>
      <c r="T1254">
        <v>0.5</v>
      </c>
      <c r="U1254">
        <v>0</v>
      </c>
      <c r="V1254">
        <v>0</v>
      </c>
      <c r="W1254">
        <v>0</v>
      </c>
      <c r="X1254">
        <v>0</v>
      </c>
      <c r="Y1254">
        <v>0.5</v>
      </c>
      <c r="Z1254">
        <v>0.5</v>
      </c>
      <c r="AA1254">
        <v>11</v>
      </c>
      <c r="AB1254">
        <v>15.5</v>
      </c>
    </row>
    <row r="1255" spans="1:30">
      <c r="A1255" t="s">
        <v>1417</v>
      </c>
      <c r="B1255">
        <v>96</v>
      </c>
      <c r="C1255">
        <v>48.8125</v>
      </c>
      <c r="D1255">
        <v>2.8125</v>
      </c>
      <c r="F1255" t="s">
        <v>21</v>
      </c>
      <c r="G1255">
        <v>1</v>
      </c>
      <c r="H1255">
        <v>0</v>
      </c>
      <c r="I1255">
        <v>1</v>
      </c>
      <c r="J1255">
        <v>0</v>
      </c>
      <c r="N1255">
        <v>0.5</v>
      </c>
      <c r="O1255">
        <v>0.38</v>
      </c>
      <c r="P1255">
        <v>3.5</v>
      </c>
      <c r="Q1255">
        <v>1.6875</v>
      </c>
      <c r="R1255">
        <v>4.5</v>
      </c>
      <c r="S1255">
        <v>4</v>
      </c>
      <c r="T1255">
        <v>0.5</v>
      </c>
      <c r="U1255">
        <v>1</v>
      </c>
      <c r="V1255">
        <v>1</v>
      </c>
      <c r="W1255">
        <v>0</v>
      </c>
      <c r="X1255">
        <v>0</v>
      </c>
      <c r="Y1255">
        <v>0</v>
      </c>
      <c r="Z1255">
        <v>0</v>
      </c>
    </row>
    <row r="1256" spans="1:30">
      <c r="A1256" t="s">
        <v>1418</v>
      </c>
      <c r="B1256">
        <v>78.3125</v>
      </c>
      <c r="C1256">
        <v>64.3125</v>
      </c>
      <c r="D1256">
        <v>1</v>
      </c>
      <c r="F1256" t="s">
        <v>21</v>
      </c>
      <c r="G1256">
        <v>1</v>
      </c>
      <c r="H1256">
        <v>0</v>
      </c>
      <c r="I1256">
        <v>1</v>
      </c>
      <c r="J1256">
        <v>1</v>
      </c>
      <c r="N1256">
        <v>0.5</v>
      </c>
      <c r="O1256">
        <v>0.38</v>
      </c>
      <c r="P1256">
        <v>3.5</v>
      </c>
      <c r="Q1256">
        <v>3.5</v>
      </c>
      <c r="R1256">
        <v>4.5</v>
      </c>
      <c r="S1256">
        <v>4</v>
      </c>
      <c r="T1256">
        <v>0.5</v>
      </c>
      <c r="U1256">
        <v>1</v>
      </c>
      <c r="V1256">
        <v>1</v>
      </c>
      <c r="W1256">
        <v>0</v>
      </c>
      <c r="X1256">
        <v>0</v>
      </c>
      <c r="Y1256">
        <v>0</v>
      </c>
      <c r="Z1256">
        <v>0</v>
      </c>
    </row>
    <row r="1257" spans="1:30">
      <c r="A1257" t="s">
        <v>1419</v>
      </c>
      <c r="B1257">
        <v>50.3125</v>
      </c>
      <c r="C1257">
        <v>35.125</v>
      </c>
      <c r="D1257">
        <v>4.5</v>
      </c>
      <c r="F1257" t="s">
        <v>21</v>
      </c>
      <c r="G1257">
        <v>1</v>
      </c>
      <c r="H1257">
        <v>1</v>
      </c>
      <c r="I1257">
        <v>0</v>
      </c>
      <c r="N1257">
        <v>0.5</v>
      </c>
      <c r="O1257">
        <v>0.38</v>
      </c>
      <c r="P1257">
        <v>3.5</v>
      </c>
      <c r="Q1257">
        <v>0</v>
      </c>
      <c r="R1257">
        <v>4.5</v>
      </c>
      <c r="S1257">
        <v>4</v>
      </c>
      <c r="T1257">
        <v>0.5</v>
      </c>
      <c r="U1257">
        <v>0</v>
      </c>
      <c r="V1257">
        <v>0</v>
      </c>
      <c r="W1257">
        <v>0</v>
      </c>
      <c r="X1257">
        <v>0</v>
      </c>
      <c r="Y1257">
        <v>0.5</v>
      </c>
      <c r="Z1257">
        <v>0.5</v>
      </c>
    </row>
    <row r="1258" spans="1:30">
      <c r="A1258" t="s">
        <v>1420</v>
      </c>
      <c r="B1258">
        <v>96</v>
      </c>
      <c r="C1258">
        <v>75.625</v>
      </c>
      <c r="D1258">
        <v>3.375</v>
      </c>
      <c r="E1258">
        <v>7.25</v>
      </c>
      <c r="F1258" t="s">
        <v>21</v>
      </c>
      <c r="G1258">
        <v>1</v>
      </c>
      <c r="H1258">
        <v>1</v>
      </c>
      <c r="I1258">
        <v>1</v>
      </c>
      <c r="J1258">
        <v>0</v>
      </c>
      <c r="K1258">
        <v>12</v>
      </c>
      <c r="L1258" t="s">
        <v>35</v>
      </c>
      <c r="N1258">
        <v>0.5</v>
      </c>
      <c r="O1258">
        <v>0.38</v>
      </c>
      <c r="P1258">
        <v>3.5</v>
      </c>
      <c r="Q1258">
        <v>1.125</v>
      </c>
      <c r="R1258">
        <v>0</v>
      </c>
      <c r="S1258">
        <v>4</v>
      </c>
      <c r="T1258">
        <v>0.5</v>
      </c>
      <c r="U1258">
        <v>1</v>
      </c>
      <c r="V1258">
        <v>1</v>
      </c>
      <c r="W1258">
        <v>0</v>
      </c>
      <c r="X1258">
        <v>0</v>
      </c>
      <c r="Y1258">
        <v>0</v>
      </c>
      <c r="Z1258">
        <v>0</v>
      </c>
      <c r="AA1258">
        <v>15.5</v>
      </c>
      <c r="AB1258">
        <v>28.875</v>
      </c>
      <c r="AC1258">
        <v>14</v>
      </c>
      <c r="AD1258">
        <v>26.754999999999999</v>
      </c>
    </row>
    <row r="1259" spans="1:30">
      <c r="A1259" t="s">
        <v>1421</v>
      </c>
      <c r="B1259">
        <v>87.875</v>
      </c>
      <c r="C1259">
        <v>69.1875</v>
      </c>
      <c r="D1259">
        <v>2.875</v>
      </c>
      <c r="F1259" t="s">
        <v>21</v>
      </c>
      <c r="G1259">
        <v>1</v>
      </c>
      <c r="H1259">
        <v>1</v>
      </c>
      <c r="I1259">
        <v>1</v>
      </c>
      <c r="J1259">
        <v>0</v>
      </c>
      <c r="K1259">
        <v>24</v>
      </c>
      <c r="N1259">
        <v>0.5</v>
      </c>
      <c r="O1259">
        <v>0.38</v>
      </c>
      <c r="P1259">
        <v>3.5</v>
      </c>
      <c r="Q1259">
        <v>1.625</v>
      </c>
      <c r="R1259">
        <v>4.5</v>
      </c>
      <c r="S1259">
        <v>4</v>
      </c>
      <c r="T1259">
        <v>0.5</v>
      </c>
      <c r="U1259">
        <v>1</v>
      </c>
      <c r="V1259">
        <v>1</v>
      </c>
      <c r="W1259">
        <v>0</v>
      </c>
      <c r="X1259">
        <v>0</v>
      </c>
      <c r="Y1259">
        <v>0</v>
      </c>
      <c r="Z1259">
        <v>0</v>
      </c>
    </row>
    <row r="1260" spans="1:30">
      <c r="A1260" t="s">
        <v>1422</v>
      </c>
      <c r="B1260">
        <v>48.625</v>
      </c>
      <c r="C1260">
        <v>56.5625</v>
      </c>
      <c r="D1260">
        <v>9</v>
      </c>
      <c r="F1260" t="s">
        <v>21</v>
      </c>
      <c r="G1260">
        <v>1</v>
      </c>
      <c r="H1260">
        <v>1</v>
      </c>
      <c r="I1260">
        <v>1</v>
      </c>
      <c r="J1260">
        <v>0</v>
      </c>
      <c r="N1260">
        <v>0.5</v>
      </c>
      <c r="O1260">
        <v>0.38</v>
      </c>
      <c r="P1260">
        <v>3.5</v>
      </c>
      <c r="Q1260">
        <v>-4.5</v>
      </c>
      <c r="R1260">
        <v>4.5</v>
      </c>
      <c r="S1260">
        <v>4</v>
      </c>
      <c r="T1260">
        <v>0.5</v>
      </c>
      <c r="U1260">
        <v>0</v>
      </c>
      <c r="V1260">
        <v>0</v>
      </c>
      <c r="W1260">
        <v>0</v>
      </c>
      <c r="X1260">
        <v>0</v>
      </c>
      <c r="Y1260">
        <v>0.5</v>
      </c>
      <c r="Z1260">
        <v>0.5</v>
      </c>
    </row>
    <row r="1261" spans="1:30">
      <c r="A1261" t="s">
        <v>1423</v>
      </c>
      <c r="B1261">
        <v>94.1875</v>
      </c>
      <c r="C1261">
        <v>70.125</v>
      </c>
      <c r="D1261">
        <v>9</v>
      </c>
      <c r="E1261">
        <v>3.4375</v>
      </c>
      <c r="F1261" t="s">
        <v>21</v>
      </c>
      <c r="G1261">
        <v>1</v>
      </c>
      <c r="H1261">
        <v>1</v>
      </c>
      <c r="I1261">
        <v>1</v>
      </c>
      <c r="J1261">
        <v>1</v>
      </c>
      <c r="N1261">
        <v>0.5</v>
      </c>
      <c r="O1261">
        <v>0.38</v>
      </c>
      <c r="P1261">
        <v>3.5</v>
      </c>
      <c r="Q1261">
        <v>-4.5</v>
      </c>
      <c r="R1261">
        <v>1.0625</v>
      </c>
      <c r="S1261">
        <v>4</v>
      </c>
      <c r="T1261">
        <v>0.5</v>
      </c>
      <c r="U1261">
        <v>0</v>
      </c>
      <c r="V1261">
        <v>0</v>
      </c>
      <c r="W1261">
        <v>1</v>
      </c>
      <c r="X1261">
        <v>1</v>
      </c>
      <c r="Y1261">
        <v>0.5</v>
      </c>
      <c r="Z1261">
        <v>0.5</v>
      </c>
    </row>
    <row r="1262" spans="1:30">
      <c r="A1262" t="s">
        <v>1424</v>
      </c>
      <c r="B1262">
        <v>24.125</v>
      </c>
      <c r="C1262">
        <v>40.8125</v>
      </c>
      <c r="D1262">
        <v>1</v>
      </c>
      <c r="E1262">
        <v>3.375</v>
      </c>
      <c r="F1262" t="s">
        <v>156</v>
      </c>
      <c r="G1262">
        <v>0</v>
      </c>
      <c r="I1262">
        <v>0</v>
      </c>
      <c r="L1262" t="s">
        <v>121</v>
      </c>
      <c r="N1262">
        <v>0.5</v>
      </c>
      <c r="O1262">
        <v>0.38</v>
      </c>
      <c r="P1262">
        <v>3.5</v>
      </c>
      <c r="Q1262">
        <v>3.5</v>
      </c>
      <c r="R1262">
        <v>1.125</v>
      </c>
      <c r="S1262">
        <v>4</v>
      </c>
      <c r="T1262">
        <v>0.5</v>
      </c>
      <c r="U1262">
        <v>0</v>
      </c>
      <c r="V1262">
        <v>0</v>
      </c>
      <c r="W1262">
        <v>0</v>
      </c>
      <c r="X1262">
        <v>0</v>
      </c>
      <c r="Y1262">
        <v>0.5</v>
      </c>
      <c r="Z1262">
        <v>0.5</v>
      </c>
    </row>
    <row r="1263" spans="1:30">
      <c r="A1263" t="s">
        <v>1425</v>
      </c>
      <c r="B1263">
        <v>44.625</v>
      </c>
      <c r="C1263">
        <v>43</v>
      </c>
      <c r="D1263">
        <v>1</v>
      </c>
      <c r="E1263">
        <v>1</v>
      </c>
      <c r="F1263" t="s">
        <v>156</v>
      </c>
      <c r="G1263">
        <v>0</v>
      </c>
      <c r="I1263">
        <v>1</v>
      </c>
      <c r="J1263">
        <v>0</v>
      </c>
      <c r="K1263">
        <v>12</v>
      </c>
      <c r="L1263" t="s">
        <v>120</v>
      </c>
      <c r="N1263">
        <v>0.5</v>
      </c>
      <c r="O1263">
        <v>0.38</v>
      </c>
      <c r="P1263">
        <v>3.5</v>
      </c>
      <c r="Q1263">
        <v>3.5</v>
      </c>
      <c r="R1263">
        <v>3.5</v>
      </c>
      <c r="S1263">
        <v>4</v>
      </c>
      <c r="T1263">
        <v>0.5</v>
      </c>
      <c r="U1263">
        <v>0</v>
      </c>
      <c r="V1263">
        <v>0</v>
      </c>
      <c r="W1263">
        <v>0</v>
      </c>
      <c r="X1263">
        <v>0</v>
      </c>
      <c r="Y1263">
        <v>0.5</v>
      </c>
      <c r="Z1263">
        <v>0.5</v>
      </c>
    </row>
    <row r="1264" spans="1:30">
      <c r="A1264" t="s">
        <v>1426</v>
      </c>
      <c r="B1264">
        <v>31.625</v>
      </c>
      <c r="C1264">
        <v>44.875</v>
      </c>
      <c r="D1264">
        <v>9</v>
      </c>
      <c r="E1264">
        <v>1</v>
      </c>
      <c r="F1264" t="s">
        <v>156</v>
      </c>
      <c r="G1264">
        <v>0</v>
      </c>
      <c r="I1264">
        <v>1</v>
      </c>
      <c r="J1264">
        <v>0</v>
      </c>
      <c r="K1264">
        <v>24</v>
      </c>
      <c r="L1264" t="s">
        <v>119</v>
      </c>
      <c r="N1264">
        <v>0.5</v>
      </c>
      <c r="O1264">
        <v>0.38</v>
      </c>
      <c r="P1264">
        <v>3.5</v>
      </c>
      <c r="Q1264">
        <v>-4.5</v>
      </c>
      <c r="R1264">
        <v>3.5</v>
      </c>
      <c r="S1264">
        <v>4</v>
      </c>
      <c r="T1264">
        <v>0.5</v>
      </c>
      <c r="U1264">
        <v>0</v>
      </c>
      <c r="V1264">
        <v>0</v>
      </c>
      <c r="W1264">
        <v>0</v>
      </c>
      <c r="X1264">
        <v>0</v>
      </c>
      <c r="Y1264">
        <v>0.5</v>
      </c>
      <c r="Z1264">
        <v>0.5</v>
      </c>
    </row>
    <row r="1265" spans="1:30">
      <c r="A1265" t="s">
        <v>1427</v>
      </c>
      <c r="B1265">
        <v>37.4375</v>
      </c>
      <c r="C1265">
        <v>44.3125</v>
      </c>
      <c r="D1265">
        <v>9</v>
      </c>
      <c r="E1265">
        <v>3.5</v>
      </c>
      <c r="F1265" t="s">
        <v>156</v>
      </c>
      <c r="G1265">
        <v>0</v>
      </c>
      <c r="I1265">
        <v>1</v>
      </c>
      <c r="J1265">
        <v>0</v>
      </c>
      <c r="N1265">
        <v>0.5</v>
      </c>
      <c r="O1265">
        <v>0.38</v>
      </c>
      <c r="P1265">
        <v>3.5</v>
      </c>
      <c r="Q1265">
        <v>-4.5</v>
      </c>
      <c r="R1265">
        <v>1</v>
      </c>
      <c r="S1265">
        <v>4</v>
      </c>
      <c r="T1265">
        <v>0.5</v>
      </c>
      <c r="U1265">
        <v>0</v>
      </c>
      <c r="V1265">
        <v>0</v>
      </c>
      <c r="W1265">
        <v>0</v>
      </c>
      <c r="X1265">
        <v>0</v>
      </c>
      <c r="Y1265">
        <v>0.5</v>
      </c>
      <c r="Z1265">
        <v>0.5</v>
      </c>
    </row>
    <row r="1266" spans="1:30">
      <c r="A1266" t="s">
        <v>1428</v>
      </c>
      <c r="B1266">
        <v>20.9375</v>
      </c>
      <c r="C1266">
        <v>57.75</v>
      </c>
      <c r="D1266">
        <v>3.125</v>
      </c>
      <c r="E1266">
        <v>1</v>
      </c>
      <c r="F1266" t="s">
        <v>156</v>
      </c>
      <c r="G1266">
        <v>0</v>
      </c>
      <c r="I1266">
        <v>1</v>
      </c>
      <c r="J1266">
        <v>1</v>
      </c>
      <c r="N1266">
        <v>0.5</v>
      </c>
      <c r="O1266">
        <v>0.38</v>
      </c>
      <c r="P1266">
        <v>3.5</v>
      </c>
      <c r="Q1266">
        <v>1.375</v>
      </c>
      <c r="R1266">
        <v>3.5</v>
      </c>
      <c r="S1266">
        <v>4</v>
      </c>
      <c r="T1266">
        <v>0.5</v>
      </c>
      <c r="U1266">
        <v>0</v>
      </c>
      <c r="V1266">
        <v>0</v>
      </c>
      <c r="W1266">
        <v>0</v>
      </c>
      <c r="X1266">
        <v>1</v>
      </c>
      <c r="Y1266">
        <v>0.5</v>
      </c>
      <c r="Z1266">
        <v>0.5</v>
      </c>
    </row>
    <row r="1267" spans="1:30">
      <c r="A1267" t="s">
        <v>1429</v>
      </c>
      <c r="B1267">
        <v>6.25</v>
      </c>
      <c r="C1267">
        <v>53</v>
      </c>
      <c r="D1267">
        <v>9</v>
      </c>
      <c r="E1267">
        <v>1</v>
      </c>
      <c r="F1267" t="s">
        <v>156</v>
      </c>
      <c r="G1267">
        <v>1</v>
      </c>
      <c r="H1267">
        <v>0</v>
      </c>
      <c r="I1267">
        <v>0</v>
      </c>
      <c r="L1267" t="s">
        <v>145</v>
      </c>
      <c r="N1267">
        <v>0.5</v>
      </c>
      <c r="O1267">
        <v>0.38</v>
      </c>
      <c r="P1267">
        <v>3.5</v>
      </c>
      <c r="Q1267">
        <v>-4.5</v>
      </c>
      <c r="R1267">
        <v>3.5</v>
      </c>
      <c r="S1267">
        <v>4</v>
      </c>
      <c r="T1267">
        <v>0.5</v>
      </c>
      <c r="U1267">
        <v>0</v>
      </c>
      <c r="V1267">
        <v>0</v>
      </c>
      <c r="W1267">
        <v>0</v>
      </c>
      <c r="X1267">
        <v>0</v>
      </c>
      <c r="Y1267">
        <v>0.5</v>
      </c>
      <c r="Z1267">
        <v>0.5</v>
      </c>
    </row>
    <row r="1268" spans="1:30">
      <c r="A1268" t="s">
        <v>1430</v>
      </c>
      <c r="B1268">
        <v>33.4375</v>
      </c>
      <c r="C1268">
        <v>66.625</v>
      </c>
      <c r="D1268">
        <v>4.5</v>
      </c>
      <c r="E1268">
        <v>3.4375</v>
      </c>
      <c r="F1268" t="s">
        <v>156</v>
      </c>
      <c r="G1268">
        <v>1</v>
      </c>
      <c r="H1268">
        <v>0</v>
      </c>
      <c r="I1268">
        <v>1</v>
      </c>
      <c r="J1268">
        <v>0</v>
      </c>
      <c r="K1268">
        <v>12</v>
      </c>
      <c r="N1268">
        <v>0.5</v>
      </c>
      <c r="O1268">
        <v>0.38</v>
      </c>
      <c r="P1268">
        <v>3.5</v>
      </c>
      <c r="Q1268">
        <v>0</v>
      </c>
      <c r="R1268">
        <v>1.0625</v>
      </c>
      <c r="S1268">
        <v>4</v>
      </c>
      <c r="T1268">
        <v>0.5</v>
      </c>
      <c r="U1268">
        <v>0</v>
      </c>
      <c r="V1268">
        <v>0</v>
      </c>
      <c r="W1268">
        <v>0</v>
      </c>
      <c r="X1268">
        <v>0</v>
      </c>
      <c r="Y1268">
        <v>0.5</v>
      </c>
      <c r="Z1268">
        <v>0.5</v>
      </c>
    </row>
    <row r="1269" spans="1:30">
      <c r="A1269" t="s">
        <v>1431</v>
      </c>
      <c r="B1269">
        <v>47.5625</v>
      </c>
      <c r="C1269">
        <v>65.4375</v>
      </c>
      <c r="D1269">
        <v>1</v>
      </c>
      <c r="E1269">
        <v>1</v>
      </c>
      <c r="F1269" t="s">
        <v>156</v>
      </c>
      <c r="G1269">
        <v>1</v>
      </c>
      <c r="H1269">
        <v>0</v>
      </c>
      <c r="I1269">
        <v>1</v>
      </c>
      <c r="J1269">
        <v>0</v>
      </c>
      <c r="K1269">
        <v>24</v>
      </c>
      <c r="L1269" t="s">
        <v>121</v>
      </c>
      <c r="N1269">
        <v>0.5</v>
      </c>
      <c r="O1269">
        <v>0.38</v>
      </c>
      <c r="P1269">
        <v>3.5</v>
      </c>
      <c r="Q1269">
        <v>3.5</v>
      </c>
      <c r="R1269">
        <v>3.5</v>
      </c>
      <c r="S1269">
        <v>4</v>
      </c>
      <c r="T1269">
        <v>0.5</v>
      </c>
      <c r="U1269">
        <v>0</v>
      </c>
      <c r="V1269">
        <v>0</v>
      </c>
      <c r="W1269">
        <v>0</v>
      </c>
      <c r="X1269">
        <v>0</v>
      </c>
      <c r="Y1269">
        <v>0.5</v>
      </c>
      <c r="Z1269">
        <v>0.5</v>
      </c>
    </row>
    <row r="1270" spans="1:30">
      <c r="A1270" t="s">
        <v>1432</v>
      </c>
      <c r="B1270">
        <v>33.9375</v>
      </c>
      <c r="C1270">
        <v>61.8125</v>
      </c>
      <c r="D1270">
        <v>9.75</v>
      </c>
      <c r="E1270">
        <v>2.75</v>
      </c>
      <c r="F1270" t="s">
        <v>156</v>
      </c>
      <c r="G1270">
        <v>1</v>
      </c>
      <c r="H1270">
        <v>0</v>
      </c>
      <c r="I1270">
        <v>1</v>
      </c>
      <c r="J1270">
        <v>0</v>
      </c>
      <c r="N1270">
        <v>0.5</v>
      </c>
      <c r="O1270">
        <v>0.38</v>
      </c>
      <c r="P1270">
        <v>3.5</v>
      </c>
      <c r="Q1270">
        <v>-5.25</v>
      </c>
      <c r="R1270">
        <v>1.75</v>
      </c>
      <c r="S1270">
        <v>4</v>
      </c>
      <c r="T1270">
        <v>0.5</v>
      </c>
      <c r="U1270">
        <v>0</v>
      </c>
      <c r="V1270">
        <v>0</v>
      </c>
      <c r="W1270">
        <v>0</v>
      </c>
      <c r="X1270">
        <v>0</v>
      </c>
      <c r="Y1270">
        <v>0.5</v>
      </c>
      <c r="Z1270">
        <v>0.5</v>
      </c>
    </row>
    <row r="1271" spans="1:30">
      <c r="A1271" t="s">
        <v>1433</v>
      </c>
      <c r="B1271">
        <v>46.25</v>
      </c>
      <c r="C1271">
        <v>71.25</v>
      </c>
      <c r="D1271">
        <v>4.5</v>
      </c>
      <c r="E1271">
        <v>1</v>
      </c>
      <c r="F1271" t="s">
        <v>156</v>
      </c>
      <c r="G1271">
        <v>1</v>
      </c>
      <c r="H1271">
        <v>0</v>
      </c>
      <c r="I1271">
        <v>1</v>
      </c>
      <c r="J1271">
        <v>1</v>
      </c>
      <c r="N1271">
        <v>0.5</v>
      </c>
      <c r="O1271">
        <v>0.38</v>
      </c>
      <c r="P1271">
        <v>3.5</v>
      </c>
      <c r="Q1271">
        <v>0</v>
      </c>
      <c r="R1271">
        <v>3.5</v>
      </c>
      <c r="S1271">
        <v>4</v>
      </c>
      <c r="T1271">
        <v>0.5</v>
      </c>
      <c r="U1271">
        <v>0</v>
      </c>
      <c r="V1271">
        <v>0</v>
      </c>
      <c r="W1271">
        <v>0</v>
      </c>
      <c r="X1271">
        <v>1</v>
      </c>
      <c r="Y1271">
        <v>0.5</v>
      </c>
      <c r="Z1271">
        <v>0.5</v>
      </c>
    </row>
    <row r="1272" spans="1:30">
      <c r="A1272" t="s">
        <v>1434</v>
      </c>
      <c r="B1272">
        <v>16.8125</v>
      </c>
      <c r="C1272">
        <v>70.125</v>
      </c>
      <c r="D1272">
        <v>4.5</v>
      </c>
      <c r="E1272">
        <v>7.25</v>
      </c>
      <c r="F1272" t="s">
        <v>156</v>
      </c>
      <c r="G1272">
        <v>1</v>
      </c>
      <c r="H1272">
        <v>1</v>
      </c>
      <c r="I1272">
        <v>0</v>
      </c>
      <c r="L1272" t="s">
        <v>120</v>
      </c>
      <c r="N1272">
        <v>0.5</v>
      </c>
      <c r="O1272">
        <v>0.38</v>
      </c>
      <c r="P1272">
        <v>3.5</v>
      </c>
      <c r="Q1272">
        <v>0</v>
      </c>
      <c r="R1272">
        <v>0</v>
      </c>
      <c r="S1272">
        <v>4</v>
      </c>
      <c r="T1272">
        <v>0.5</v>
      </c>
      <c r="U1272">
        <v>0</v>
      </c>
      <c r="V1272">
        <v>0</v>
      </c>
      <c r="W1272">
        <v>0</v>
      </c>
      <c r="X1272">
        <v>0</v>
      </c>
      <c r="Y1272">
        <v>0.5</v>
      </c>
      <c r="Z1272">
        <v>0.5</v>
      </c>
    </row>
    <row r="1273" spans="1:30">
      <c r="A1273" t="s">
        <v>1435</v>
      </c>
      <c r="B1273">
        <v>39.75</v>
      </c>
      <c r="C1273">
        <v>55.875</v>
      </c>
      <c r="D1273">
        <v>2.75</v>
      </c>
      <c r="E1273">
        <v>5.6875</v>
      </c>
      <c r="F1273" t="s">
        <v>156</v>
      </c>
      <c r="G1273">
        <v>1</v>
      </c>
      <c r="H1273">
        <v>1</v>
      </c>
      <c r="I1273">
        <v>1</v>
      </c>
      <c r="J1273">
        <v>0</v>
      </c>
      <c r="K1273">
        <v>12</v>
      </c>
      <c r="L1273" t="s">
        <v>151</v>
      </c>
      <c r="N1273">
        <v>0.5</v>
      </c>
      <c r="O1273">
        <v>0.38</v>
      </c>
      <c r="P1273">
        <v>3.5</v>
      </c>
      <c r="Q1273">
        <v>1.75</v>
      </c>
      <c r="R1273">
        <v>0</v>
      </c>
      <c r="S1273">
        <v>4</v>
      </c>
      <c r="T1273">
        <v>0.5</v>
      </c>
      <c r="U1273">
        <v>0</v>
      </c>
      <c r="V1273">
        <v>0</v>
      </c>
      <c r="W1273">
        <v>0</v>
      </c>
      <c r="X1273">
        <v>0</v>
      </c>
      <c r="Y1273">
        <v>0.5</v>
      </c>
      <c r="Z1273">
        <v>0.5</v>
      </c>
    </row>
    <row r="1274" spans="1:30">
      <c r="A1274" t="s">
        <v>1436</v>
      </c>
      <c r="B1274">
        <v>34.125</v>
      </c>
      <c r="C1274">
        <v>46.3125</v>
      </c>
      <c r="D1274">
        <v>4.5</v>
      </c>
      <c r="E1274">
        <v>3.6875</v>
      </c>
      <c r="F1274" t="s">
        <v>156</v>
      </c>
      <c r="G1274">
        <v>1</v>
      </c>
      <c r="H1274">
        <v>1</v>
      </c>
      <c r="I1274">
        <v>1</v>
      </c>
      <c r="J1274">
        <v>0</v>
      </c>
      <c r="K1274">
        <v>24</v>
      </c>
      <c r="L1274" t="s">
        <v>151</v>
      </c>
      <c r="N1274">
        <v>0.5</v>
      </c>
      <c r="O1274">
        <v>0.38</v>
      </c>
      <c r="P1274">
        <v>3.5</v>
      </c>
      <c r="Q1274">
        <v>0</v>
      </c>
      <c r="R1274">
        <v>0.8125</v>
      </c>
      <c r="S1274">
        <v>4</v>
      </c>
      <c r="T1274">
        <v>0.5</v>
      </c>
      <c r="U1274">
        <v>0</v>
      </c>
      <c r="V1274">
        <v>0</v>
      </c>
      <c r="W1274">
        <v>1</v>
      </c>
      <c r="X1274">
        <v>0</v>
      </c>
      <c r="Y1274">
        <v>0.5</v>
      </c>
      <c r="Z1274">
        <v>0.5</v>
      </c>
    </row>
    <row r="1275" spans="1:30">
      <c r="A1275" t="s">
        <v>1437</v>
      </c>
      <c r="B1275">
        <v>27</v>
      </c>
      <c r="C1275">
        <v>53.25</v>
      </c>
      <c r="D1275">
        <v>9.75</v>
      </c>
      <c r="F1275" t="s">
        <v>156</v>
      </c>
      <c r="G1275">
        <v>1</v>
      </c>
      <c r="H1275">
        <v>1</v>
      </c>
      <c r="I1275">
        <v>1</v>
      </c>
      <c r="J1275">
        <v>0</v>
      </c>
      <c r="N1275">
        <v>0.5</v>
      </c>
      <c r="O1275">
        <v>0.38</v>
      </c>
      <c r="P1275">
        <v>3.5</v>
      </c>
      <c r="Q1275">
        <v>-5.25</v>
      </c>
      <c r="R1275">
        <v>4.5</v>
      </c>
      <c r="S1275">
        <v>4</v>
      </c>
      <c r="T1275">
        <v>0.5</v>
      </c>
      <c r="U1275">
        <v>0</v>
      </c>
      <c r="V1275">
        <v>0</v>
      </c>
      <c r="W1275">
        <v>0</v>
      </c>
      <c r="X1275">
        <v>0</v>
      </c>
      <c r="Y1275">
        <v>0.5</v>
      </c>
      <c r="Z1275">
        <v>0.5</v>
      </c>
    </row>
    <row r="1276" spans="1:30">
      <c r="A1276" t="s">
        <v>1438</v>
      </c>
      <c r="B1276">
        <v>39.3125</v>
      </c>
      <c r="C1276">
        <v>69.625</v>
      </c>
      <c r="D1276">
        <v>4.5</v>
      </c>
      <c r="F1276" t="s">
        <v>156</v>
      </c>
      <c r="G1276">
        <v>1</v>
      </c>
      <c r="H1276">
        <v>1</v>
      </c>
      <c r="I1276">
        <v>1</v>
      </c>
      <c r="J1276">
        <v>1</v>
      </c>
      <c r="N1276">
        <v>0.5</v>
      </c>
      <c r="O1276">
        <v>0.38</v>
      </c>
      <c r="P1276">
        <v>3.5</v>
      </c>
      <c r="Q1276">
        <v>0</v>
      </c>
      <c r="R1276">
        <v>4.5</v>
      </c>
      <c r="S1276">
        <v>4</v>
      </c>
      <c r="T1276">
        <v>0.5</v>
      </c>
      <c r="U1276">
        <v>0</v>
      </c>
      <c r="V1276">
        <v>0</v>
      </c>
      <c r="W1276">
        <v>0</v>
      </c>
      <c r="X1276">
        <v>0</v>
      </c>
      <c r="Y1276">
        <v>0.5</v>
      </c>
      <c r="Z1276">
        <v>0.5</v>
      </c>
    </row>
    <row r="1277" spans="1:30">
      <c r="A1277" t="s">
        <v>1439</v>
      </c>
      <c r="B1277">
        <v>60</v>
      </c>
      <c r="C1277">
        <v>60.5625</v>
      </c>
      <c r="D1277">
        <v>9</v>
      </c>
      <c r="E1277">
        <v>4.25</v>
      </c>
      <c r="F1277" t="s">
        <v>157</v>
      </c>
      <c r="G1277">
        <v>0</v>
      </c>
      <c r="I1277">
        <v>0</v>
      </c>
      <c r="L1277" t="s">
        <v>148</v>
      </c>
      <c r="N1277">
        <v>0.5</v>
      </c>
      <c r="O1277">
        <v>0.38</v>
      </c>
      <c r="P1277">
        <v>3.5</v>
      </c>
      <c r="Q1277">
        <v>-4.5</v>
      </c>
      <c r="R1277">
        <v>0.25</v>
      </c>
      <c r="S1277">
        <v>4</v>
      </c>
      <c r="T1277">
        <v>0.5</v>
      </c>
      <c r="U1277">
        <v>0</v>
      </c>
      <c r="V1277">
        <v>0</v>
      </c>
      <c r="W1277">
        <v>0</v>
      </c>
      <c r="X1277">
        <v>0</v>
      </c>
      <c r="Y1277">
        <v>0.5</v>
      </c>
      <c r="Z1277">
        <v>0.5</v>
      </c>
      <c r="AA1277">
        <v>15.5</v>
      </c>
      <c r="AB1277">
        <v>28.875</v>
      </c>
      <c r="AC1277">
        <v>21</v>
      </c>
      <c r="AD1277">
        <v>9</v>
      </c>
    </row>
    <row r="1278" spans="1:30">
      <c r="A1278" t="s">
        <v>1440</v>
      </c>
      <c r="B1278">
        <v>60</v>
      </c>
      <c r="C1278">
        <v>44.6875</v>
      </c>
      <c r="D1278">
        <v>2.0625</v>
      </c>
      <c r="F1278" t="s">
        <v>157</v>
      </c>
      <c r="G1278">
        <v>0</v>
      </c>
      <c r="I1278">
        <v>1</v>
      </c>
      <c r="J1278">
        <v>0</v>
      </c>
      <c r="K1278">
        <v>12</v>
      </c>
      <c r="L1278" t="s">
        <v>121</v>
      </c>
      <c r="N1278">
        <v>0.5</v>
      </c>
      <c r="O1278">
        <v>0.38</v>
      </c>
      <c r="P1278">
        <v>3.5</v>
      </c>
      <c r="Q1278">
        <v>2.4375</v>
      </c>
      <c r="R1278">
        <v>4.5</v>
      </c>
      <c r="S1278">
        <v>4</v>
      </c>
      <c r="T1278">
        <v>0.5</v>
      </c>
      <c r="U1278">
        <v>0</v>
      </c>
      <c r="V1278">
        <v>1</v>
      </c>
      <c r="W1278">
        <v>0</v>
      </c>
      <c r="X1278">
        <v>0</v>
      </c>
      <c r="Y1278">
        <v>0.5</v>
      </c>
      <c r="Z1278">
        <v>0</v>
      </c>
      <c r="AA1278">
        <v>11</v>
      </c>
      <c r="AB1278">
        <v>9.375</v>
      </c>
    </row>
    <row r="1279" spans="1:30">
      <c r="A1279" t="s">
        <v>1441</v>
      </c>
      <c r="B1279">
        <v>60</v>
      </c>
      <c r="C1279">
        <v>44.4375</v>
      </c>
      <c r="D1279">
        <v>4.0625</v>
      </c>
      <c r="E1279">
        <v>1.8125</v>
      </c>
      <c r="F1279" t="s">
        <v>157</v>
      </c>
      <c r="G1279">
        <v>0</v>
      </c>
      <c r="I1279">
        <v>1</v>
      </c>
      <c r="J1279">
        <v>0</v>
      </c>
      <c r="K1279">
        <v>24</v>
      </c>
      <c r="L1279" t="s">
        <v>119</v>
      </c>
      <c r="N1279">
        <v>0.5</v>
      </c>
      <c r="O1279">
        <v>0.38</v>
      </c>
      <c r="P1279">
        <v>3.5</v>
      </c>
      <c r="Q1279">
        <v>0.4375</v>
      </c>
      <c r="R1279">
        <v>2.6875</v>
      </c>
      <c r="S1279">
        <v>4</v>
      </c>
      <c r="T1279">
        <v>0.5</v>
      </c>
      <c r="U1279">
        <v>0</v>
      </c>
      <c r="V1279">
        <v>1</v>
      </c>
      <c r="W1279">
        <v>0</v>
      </c>
      <c r="X1279">
        <v>0</v>
      </c>
      <c r="Y1279">
        <v>0.5</v>
      </c>
      <c r="Z1279">
        <v>0</v>
      </c>
      <c r="AA1279">
        <v>11</v>
      </c>
      <c r="AB1279">
        <v>15.5</v>
      </c>
    </row>
    <row r="1280" spans="1:30">
      <c r="A1280" t="s">
        <v>1442</v>
      </c>
      <c r="B1280">
        <v>60</v>
      </c>
      <c r="C1280">
        <v>61.5625</v>
      </c>
      <c r="D1280">
        <v>4.5</v>
      </c>
      <c r="E1280">
        <v>1</v>
      </c>
      <c r="F1280" t="s">
        <v>157</v>
      </c>
      <c r="G1280">
        <v>0</v>
      </c>
      <c r="I1280">
        <v>1</v>
      </c>
      <c r="J1280">
        <v>0</v>
      </c>
      <c r="N1280">
        <v>0.5</v>
      </c>
      <c r="O1280">
        <v>0.38</v>
      </c>
      <c r="P1280">
        <v>3.5</v>
      </c>
      <c r="Q1280">
        <v>0</v>
      </c>
      <c r="R1280">
        <v>3.5</v>
      </c>
      <c r="S1280">
        <v>4</v>
      </c>
      <c r="T1280">
        <v>0.5</v>
      </c>
      <c r="U1280">
        <v>0</v>
      </c>
      <c r="V1280">
        <v>0</v>
      </c>
      <c r="W1280">
        <v>0</v>
      </c>
      <c r="X1280">
        <v>0</v>
      </c>
      <c r="Y1280">
        <v>0.5</v>
      </c>
      <c r="Z1280">
        <v>0.5</v>
      </c>
    </row>
    <row r="1281" spans="1:30">
      <c r="A1281" t="s">
        <v>1443</v>
      </c>
      <c r="B1281">
        <v>60</v>
      </c>
      <c r="C1281">
        <v>72.4375</v>
      </c>
      <c r="D1281">
        <v>9</v>
      </c>
      <c r="E1281">
        <v>7.6875</v>
      </c>
      <c r="F1281" t="s">
        <v>157</v>
      </c>
      <c r="G1281">
        <v>0</v>
      </c>
      <c r="I1281">
        <v>1</v>
      </c>
      <c r="J1281">
        <v>1</v>
      </c>
      <c r="N1281">
        <v>0.5</v>
      </c>
      <c r="O1281">
        <v>0.38</v>
      </c>
      <c r="P1281">
        <v>3.5</v>
      </c>
      <c r="Q1281">
        <v>-4.5</v>
      </c>
      <c r="R1281">
        <v>0</v>
      </c>
      <c r="S1281">
        <v>4</v>
      </c>
      <c r="T1281">
        <v>0.5</v>
      </c>
      <c r="U1281">
        <v>0</v>
      </c>
      <c r="V1281">
        <v>0</v>
      </c>
      <c r="W1281">
        <v>0</v>
      </c>
      <c r="X1281">
        <v>0</v>
      </c>
      <c r="Y1281">
        <v>0.5</v>
      </c>
      <c r="Z1281">
        <v>0.5</v>
      </c>
    </row>
    <row r="1282" spans="1:30">
      <c r="A1282" t="s">
        <v>1444</v>
      </c>
      <c r="B1282">
        <v>60</v>
      </c>
      <c r="C1282">
        <v>52.375</v>
      </c>
      <c r="D1282">
        <v>2.625</v>
      </c>
      <c r="E1282">
        <v>1</v>
      </c>
      <c r="F1282" t="s">
        <v>157</v>
      </c>
      <c r="G1282">
        <v>1</v>
      </c>
      <c r="H1282">
        <v>0</v>
      </c>
      <c r="I1282">
        <v>0</v>
      </c>
      <c r="L1282" t="s">
        <v>121</v>
      </c>
      <c r="N1282">
        <v>0.5</v>
      </c>
      <c r="O1282">
        <v>0.38</v>
      </c>
      <c r="P1282">
        <v>3.5</v>
      </c>
      <c r="Q1282">
        <v>1.875</v>
      </c>
      <c r="R1282">
        <v>3.5</v>
      </c>
      <c r="S1282">
        <v>4</v>
      </c>
      <c r="T1282">
        <v>0.5</v>
      </c>
      <c r="U1282">
        <v>1</v>
      </c>
      <c r="V1282">
        <v>0</v>
      </c>
      <c r="W1282">
        <v>0</v>
      </c>
      <c r="X1282">
        <v>0</v>
      </c>
      <c r="Y1282">
        <v>0</v>
      </c>
      <c r="Z1282">
        <v>0.5</v>
      </c>
      <c r="AA1282">
        <v>11</v>
      </c>
      <c r="AB1282">
        <v>9.375</v>
      </c>
      <c r="AC1282">
        <v>14.5</v>
      </c>
      <c r="AD1282">
        <v>16.125</v>
      </c>
    </row>
    <row r="1283" spans="1:30">
      <c r="A1283" t="s">
        <v>1445</v>
      </c>
      <c r="B1283">
        <v>60</v>
      </c>
      <c r="C1283">
        <v>61.375</v>
      </c>
      <c r="D1283">
        <v>4.5</v>
      </c>
      <c r="F1283" t="s">
        <v>157</v>
      </c>
      <c r="G1283">
        <v>1</v>
      </c>
      <c r="H1283">
        <v>0</v>
      </c>
      <c r="I1283">
        <v>1</v>
      </c>
      <c r="J1283">
        <v>0</v>
      </c>
      <c r="K1283">
        <v>12</v>
      </c>
      <c r="N1283">
        <v>0.5</v>
      </c>
      <c r="O1283">
        <v>0.38</v>
      </c>
      <c r="P1283">
        <v>3.5</v>
      </c>
      <c r="Q1283">
        <v>0</v>
      </c>
      <c r="R1283">
        <v>4.5</v>
      </c>
      <c r="S1283">
        <v>4</v>
      </c>
      <c r="T1283">
        <v>0.5</v>
      </c>
      <c r="U1283">
        <v>0</v>
      </c>
      <c r="V1283">
        <v>0</v>
      </c>
      <c r="W1283">
        <v>0</v>
      </c>
      <c r="X1283">
        <v>0</v>
      </c>
      <c r="Y1283">
        <v>0.5</v>
      </c>
      <c r="Z1283">
        <v>0.5</v>
      </c>
    </row>
    <row r="1284" spans="1:30">
      <c r="A1284" t="s">
        <v>1446</v>
      </c>
      <c r="B1284">
        <v>60</v>
      </c>
      <c r="C1284">
        <v>36.125</v>
      </c>
      <c r="D1284">
        <v>4.875</v>
      </c>
      <c r="E1284">
        <v>6.75</v>
      </c>
      <c r="F1284" t="s">
        <v>157</v>
      </c>
      <c r="G1284">
        <v>1</v>
      </c>
      <c r="H1284">
        <v>0</v>
      </c>
      <c r="I1284">
        <v>1</v>
      </c>
      <c r="J1284">
        <v>0</v>
      </c>
      <c r="K1284">
        <v>24</v>
      </c>
      <c r="N1284">
        <v>0.5</v>
      </c>
      <c r="O1284">
        <v>0.38</v>
      </c>
      <c r="P1284">
        <v>3.5</v>
      </c>
      <c r="Q1284">
        <v>-0.375</v>
      </c>
      <c r="R1284">
        <v>0</v>
      </c>
      <c r="S1284">
        <v>4</v>
      </c>
      <c r="T1284">
        <v>0.5</v>
      </c>
      <c r="U1284">
        <v>0</v>
      </c>
      <c r="V1284">
        <v>0</v>
      </c>
      <c r="W1284">
        <v>0</v>
      </c>
      <c r="X1284">
        <v>0</v>
      </c>
      <c r="Y1284">
        <v>0.5</v>
      </c>
      <c r="Z1284">
        <v>0.5</v>
      </c>
    </row>
    <row r="1285" spans="1:30">
      <c r="A1285" t="s">
        <v>1447</v>
      </c>
      <c r="B1285">
        <v>60</v>
      </c>
      <c r="C1285">
        <v>62.25</v>
      </c>
      <c r="D1285">
        <v>9</v>
      </c>
      <c r="F1285" t="s">
        <v>157</v>
      </c>
      <c r="G1285">
        <v>1</v>
      </c>
      <c r="H1285">
        <v>0</v>
      </c>
      <c r="I1285">
        <v>1</v>
      </c>
      <c r="J1285">
        <v>0</v>
      </c>
      <c r="N1285">
        <v>0.5</v>
      </c>
      <c r="O1285">
        <v>0.38</v>
      </c>
      <c r="P1285">
        <v>3.5</v>
      </c>
      <c r="Q1285">
        <v>-4.5</v>
      </c>
      <c r="R1285">
        <v>4.5</v>
      </c>
      <c r="S1285">
        <v>4</v>
      </c>
      <c r="T1285">
        <v>0.5</v>
      </c>
      <c r="U1285">
        <v>0</v>
      </c>
      <c r="V1285">
        <v>0</v>
      </c>
      <c r="W1285">
        <v>0</v>
      </c>
      <c r="X1285">
        <v>0</v>
      </c>
      <c r="Y1285">
        <v>0.5</v>
      </c>
      <c r="Z1285">
        <v>0.5</v>
      </c>
    </row>
    <row r="1286" spans="1:30">
      <c r="A1286" t="s">
        <v>1448</v>
      </c>
      <c r="B1286">
        <v>60</v>
      </c>
      <c r="C1286">
        <v>30.875</v>
      </c>
      <c r="D1286">
        <v>1</v>
      </c>
      <c r="E1286">
        <v>4.5</v>
      </c>
      <c r="F1286" t="s">
        <v>157</v>
      </c>
      <c r="G1286">
        <v>1</v>
      </c>
      <c r="H1286">
        <v>0</v>
      </c>
      <c r="I1286">
        <v>1</v>
      </c>
      <c r="J1286">
        <v>1</v>
      </c>
      <c r="N1286">
        <v>0.5</v>
      </c>
      <c r="O1286">
        <v>0.38</v>
      </c>
      <c r="P1286">
        <v>3.5</v>
      </c>
      <c r="Q1286">
        <v>3.5</v>
      </c>
      <c r="R1286">
        <v>0</v>
      </c>
      <c r="S1286">
        <v>4</v>
      </c>
      <c r="T1286">
        <v>0.5</v>
      </c>
      <c r="U1286">
        <v>1</v>
      </c>
      <c r="V1286">
        <v>1</v>
      </c>
      <c r="W1286">
        <v>0</v>
      </c>
      <c r="X1286">
        <v>0</v>
      </c>
      <c r="Y1286">
        <v>0</v>
      </c>
      <c r="Z1286">
        <v>0</v>
      </c>
    </row>
    <row r="1287" spans="1:30">
      <c r="A1287" t="s">
        <v>1449</v>
      </c>
      <c r="B1287">
        <v>60</v>
      </c>
      <c r="C1287">
        <v>20.125</v>
      </c>
      <c r="D1287">
        <v>11.125</v>
      </c>
      <c r="F1287" t="s">
        <v>157</v>
      </c>
      <c r="G1287">
        <v>1</v>
      </c>
      <c r="H1287">
        <v>1</v>
      </c>
      <c r="I1287">
        <v>0</v>
      </c>
      <c r="N1287">
        <v>0.5</v>
      </c>
      <c r="O1287">
        <v>0.38</v>
      </c>
      <c r="P1287">
        <v>3.5</v>
      </c>
      <c r="Q1287">
        <v>-6.625</v>
      </c>
      <c r="R1287">
        <v>4.5</v>
      </c>
      <c r="S1287">
        <v>4</v>
      </c>
      <c r="T1287">
        <v>0.5</v>
      </c>
      <c r="U1287">
        <v>0</v>
      </c>
      <c r="V1287">
        <v>0</v>
      </c>
      <c r="W1287">
        <v>0</v>
      </c>
      <c r="X1287">
        <v>0</v>
      </c>
      <c r="Y1287">
        <v>0.5</v>
      </c>
      <c r="Z1287">
        <v>0.5</v>
      </c>
    </row>
    <row r="1288" spans="1:30">
      <c r="A1288" t="s">
        <v>1450</v>
      </c>
      <c r="B1288">
        <v>60</v>
      </c>
      <c r="C1288">
        <v>47.9375</v>
      </c>
      <c r="D1288">
        <v>1</v>
      </c>
      <c r="E1288">
        <v>5.125</v>
      </c>
      <c r="F1288" t="s">
        <v>157</v>
      </c>
      <c r="G1288">
        <v>1</v>
      </c>
      <c r="H1288">
        <v>1</v>
      </c>
      <c r="I1288">
        <v>1</v>
      </c>
      <c r="J1288">
        <v>0</v>
      </c>
      <c r="K1288">
        <v>12</v>
      </c>
      <c r="L1288" t="s">
        <v>35</v>
      </c>
      <c r="N1288">
        <v>0.5</v>
      </c>
      <c r="O1288">
        <v>0.38</v>
      </c>
      <c r="P1288">
        <v>3.5</v>
      </c>
      <c r="Q1288">
        <v>3.5</v>
      </c>
      <c r="R1288">
        <v>0</v>
      </c>
      <c r="S1288">
        <v>4</v>
      </c>
      <c r="T1288">
        <v>0.5</v>
      </c>
      <c r="U1288">
        <v>1</v>
      </c>
      <c r="V1288">
        <v>1</v>
      </c>
      <c r="W1288">
        <v>0</v>
      </c>
      <c r="X1288">
        <v>0</v>
      </c>
      <c r="Y1288">
        <v>0</v>
      </c>
      <c r="Z1288">
        <v>0</v>
      </c>
      <c r="AA1288">
        <v>15.5</v>
      </c>
      <c r="AB1288">
        <v>28.875</v>
      </c>
      <c r="AC1288">
        <v>14</v>
      </c>
      <c r="AD1288">
        <v>29.13</v>
      </c>
    </row>
    <row r="1289" spans="1:30">
      <c r="A1289" t="s">
        <v>1451</v>
      </c>
      <c r="B1289">
        <v>60</v>
      </c>
      <c r="C1289">
        <v>52.875</v>
      </c>
      <c r="D1289">
        <v>9</v>
      </c>
      <c r="E1289">
        <v>1</v>
      </c>
      <c r="F1289" t="s">
        <v>157</v>
      </c>
      <c r="G1289">
        <v>1</v>
      </c>
      <c r="H1289">
        <v>1</v>
      </c>
      <c r="I1289">
        <v>1</v>
      </c>
      <c r="J1289">
        <v>0</v>
      </c>
      <c r="K1289">
        <v>24</v>
      </c>
      <c r="L1289" t="s">
        <v>151</v>
      </c>
      <c r="N1289">
        <v>0.5</v>
      </c>
      <c r="O1289">
        <v>0.38</v>
      </c>
      <c r="P1289">
        <v>3.5</v>
      </c>
      <c r="Q1289">
        <v>-4.5</v>
      </c>
      <c r="R1289">
        <v>3.5</v>
      </c>
      <c r="S1289">
        <v>4</v>
      </c>
      <c r="T1289">
        <v>0.5</v>
      </c>
      <c r="U1289">
        <v>0</v>
      </c>
      <c r="V1289">
        <v>0</v>
      </c>
      <c r="W1289">
        <v>0</v>
      </c>
      <c r="X1289">
        <v>0</v>
      </c>
      <c r="Y1289">
        <v>0.5</v>
      </c>
      <c r="Z1289">
        <v>0.5</v>
      </c>
      <c r="AA1289">
        <v>15.5</v>
      </c>
      <c r="AB1289">
        <v>28.875</v>
      </c>
    </row>
    <row r="1290" spans="1:30">
      <c r="A1290" t="s">
        <v>1452</v>
      </c>
      <c r="B1290">
        <v>60</v>
      </c>
      <c r="C1290">
        <v>55</v>
      </c>
      <c r="D1290">
        <v>2.5625</v>
      </c>
      <c r="E1290">
        <v>7.25</v>
      </c>
      <c r="F1290" t="s">
        <v>157</v>
      </c>
      <c r="G1290">
        <v>1</v>
      </c>
      <c r="H1290">
        <v>1</v>
      </c>
      <c r="I1290">
        <v>1</v>
      </c>
      <c r="J1290">
        <v>0</v>
      </c>
      <c r="N1290">
        <v>0.5</v>
      </c>
      <c r="O1290">
        <v>0.38</v>
      </c>
      <c r="P1290">
        <v>3.5</v>
      </c>
      <c r="Q1290">
        <v>1.9375</v>
      </c>
      <c r="R1290">
        <v>0</v>
      </c>
      <c r="S1290">
        <v>4</v>
      </c>
      <c r="T1290">
        <v>0.5</v>
      </c>
      <c r="U1290">
        <v>1</v>
      </c>
      <c r="V1290">
        <v>1</v>
      </c>
      <c r="W1290">
        <v>0</v>
      </c>
      <c r="X1290">
        <v>0</v>
      </c>
      <c r="Y1290">
        <v>0</v>
      </c>
      <c r="Z1290">
        <v>0</v>
      </c>
    </row>
    <row r="1291" spans="1:30">
      <c r="A1291" t="s">
        <v>1453</v>
      </c>
      <c r="B1291">
        <v>60</v>
      </c>
      <c r="C1291">
        <v>65.625</v>
      </c>
      <c r="D1291">
        <v>5.375</v>
      </c>
      <c r="E1291">
        <v>1</v>
      </c>
      <c r="F1291" t="s">
        <v>157</v>
      </c>
      <c r="G1291">
        <v>1</v>
      </c>
      <c r="H1291">
        <v>1</v>
      </c>
      <c r="I1291">
        <v>1</v>
      </c>
      <c r="J1291">
        <v>1</v>
      </c>
      <c r="N1291">
        <v>0.5</v>
      </c>
      <c r="O1291">
        <v>0.38</v>
      </c>
      <c r="P1291">
        <v>3.5</v>
      </c>
      <c r="Q1291">
        <v>-0.875</v>
      </c>
      <c r="R1291">
        <v>3.5</v>
      </c>
      <c r="S1291">
        <v>4</v>
      </c>
      <c r="T1291">
        <v>0.5</v>
      </c>
      <c r="U1291">
        <v>0</v>
      </c>
      <c r="V1291">
        <v>0</v>
      </c>
      <c r="W1291">
        <v>0</v>
      </c>
      <c r="X1291">
        <v>0</v>
      </c>
      <c r="Y1291">
        <v>0.5</v>
      </c>
      <c r="Z1291">
        <v>0.5</v>
      </c>
    </row>
    <row r="1292" spans="1:30">
      <c r="A1292" t="s">
        <v>1454</v>
      </c>
      <c r="B1292">
        <v>93.0625</v>
      </c>
      <c r="C1292">
        <v>47.375</v>
      </c>
      <c r="D1292">
        <v>4.5</v>
      </c>
      <c r="E1292">
        <v>5.0625</v>
      </c>
      <c r="F1292" t="s">
        <v>21</v>
      </c>
      <c r="G1292">
        <v>0</v>
      </c>
      <c r="I1292">
        <v>0</v>
      </c>
      <c r="L1292" t="s">
        <v>151</v>
      </c>
      <c r="N1292">
        <v>0.5</v>
      </c>
      <c r="O1292">
        <v>0.38</v>
      </c>
      <c r="P1292">
        <v>3.5</v>
      </c>
      <c r="Q1292">
        <v>0</v>
      </c>
      <c r="R1292">
        <v>0</v>
      </c>
      <c r="S1292">
        <v>4</v>
      </c>
      <c r="T1292">
        <v>0.5</v>
      </c>
      <c r="U1292">
        <v>0</v>
      </c>
      <c r="V1292">
        <v>0</v>
      </c>
      <c r="W1292">
        <v>0</v>
      </c>
      <c r="X1292">
        <v>0</v>
      </c>
      <c r="Y1292">
        <v>0.5</v>
      </c>
      <c r="Z1292">
        <v>0.5</v>
      </c>
      <c r="AA1292">
        <v>15.5</v>
      </c>
      <c r="AB1292">
        <v>28.875</v>
      </c>
      <c r="AC1292">
        <v>21</v>
      </c>
      <c r="AD1292">
        <v>13.5</v>
      </c>
    </row>
    <row r="1293" spans="1:30">
      <c r="A1293" t="s">
        <v>1455</v>
      </c>
      <c r="B1293">
        <v>99.6875</v>
      </c>
      <c r="C1293">
        <v>48.375</v>
      </c>
      <c r="D1293">
        <v>4.5</v>
      </c>
      <c r="E1293">
        <v>7</v>
      </c>
      <c r="F1293" t="s">
        <v>21</v>
      </c>
      <c r="G1293">
        <v>0</v>
      </c>
      <c r="I1293">
        <v>1</v>
      </c>
      <c r="J1293">
        <v>0</v>
      </c>
      <c r="K1293">
        <v>12</v>
      </c>
      <c r="L1293" t="s">
        <v>121</v>
      </c>
      <c r="N1293">
        <v>0.5</v>
      </c>
      <c r="O1293">
        <v>0.38</v>
      </c>
      <c r="P1293">
        <v>3.5</v>
      </c>
      <c r="Q1293">
        <v>0</v>
      </c>
      <c r="R1293">
        <v>0</v>
      </c>
      <c r="S1293">
        <v>4</v>
      </c>
      <c r="T1293">
        <v>0.5</v>
      </c>
      <c r="U1293">
        <v>0</v>
      </c>
      <c r="V1293">
        <v>0</v>
      </c>
      <c r="W1293">
        <v>0</v>
      </c>
      <c r="X1293">
        <v>0</v>
      </c>
      <c r="Y1293">
        <v>0.5</v>
      </c>
      <c r="Z1293">
        <v>0.5</v>
      </c>
      <c r="AA1293">
        <v>11</v>
      </c>
      <c r="AB1293">
        <v>9.375</v>
      </c>
    </row>
    <row r="1294" spans="1:30">
      <c r="A1294" t="s">
        <v>1456</v>
      </c>
      <c r="B1294">
        <v>81.4375</v>
      </c>
      <c r="C1294">
        <v>79.6875</v>
      </c>
      <c r="D1294">
        <v>12</v>
      </c>
      <c r="E1294">
        <v>4.6875</v>
      </c>
      <c r="F1294" t="s">
        <v>21</v>
      </c>
      <c r="G1294">
        <v>0</v>
      </c>
      <c r="I1294">
        <v>1</v>
      </c>
      <c r="J1294">
        <v>0</v>
      </c>
      <c r="K1294">
        <v>24</v>
      </c>
      <c r="L1294" t="s">
        <v>148</v>
      </c>
      <c r="N1294">
        <v>0.5</v>
      </c>
      <c r="O1294">
        <v>0.38</v>
      </c>
      <c r="P1294">
        <v>3.5</v>
      </c>
      <c r="Q1294">
        <v>-7.5</v>
      </c>
      <c r="R1294">
        <v>0</v>
      </c>
      <c r="S1294">
        <v>4</v>
      </c>
      <c r="T1294">
        <v>0.5</v>
      </c>
      <c r="U1294">
        <v>0</v>
      </c>
      <c r="V1294">
        <v>0</v>
      </c>
      <c r="W1294">
        <v>0</v>
      </c>
      <c r="X1294">
        <v>0</v>
      </c>
      <c r="Y1294">
        <v>0.5</v>
      </c>
      <c r="Z1294">
        <v>0.5</v>
      </c>
      <c r="AA1294">
        <v>15.5</v>
      </c>
      <c r="AB1294">
        <v>28.875</v>
      </c>
    </row>
    <row r="1295" spans="1:30">
      <c r="A1295" t="s">
        <v>1457</v>
      </c>
      <c r="B1295">
        <v>54.125</v>
      </c>
      <c r="C1295">
        <v>44.3125</v>
      </c>
      <c r="D1295">
        <v>1</v>
      </c>
      <c r="E1295">
        <v>6.625</v>
      </c>
      <c r="F1295" t="s">
        <v>21</v>
      </c>
      <c r="G1295">
        <v>0</v>
      </c>
      <c r="I1295">
        <v>1</v>
      </c>
      <c r="J1295">
        <v>0</v>
      </c>
      <c r="N1295">
        <v>0.5</v>
      </c>
      <c r="O1295">
        <v>0.38</v>
      </c>
      <c r="P1295">
        <v>3.5</v>
      </c>
      <c r="Q1295">
        <v>3.5</v>
      </c>
      <c r="R1295">
        <v>0</v>
      </c>
      <c r="S1295">
        <v>4</v>
      </c>
      <c r="T1295">
        <v>0.5</v>
      </c>
      <c r="U1295">
        <v>0</v>
      </c>
      <c r="V1295">
        <v>1</v>
      </c>
      <c r="W1295">
        <v>0</v>
      </c>
      <c r="X1295">
        <v>0</v>
      </c>
      <c r="Y1295">
        <v>0.5</v>
      </c>
      <c r="Z1295">
        <v>0</v>
      </c>
    </row>
    <row r="1296" spans="1:30">
      <c r="A1296" t="s">
        <v>1458</v>
      </c>
      <c r="B1296">
        <v>86.0625</v>
      </c>
      <c r="C1296">
        <v>63.4375</v>
      </c>
      <c r="D1296">
        <v>4.5</v>
      </c>
      <c r="E1296">
        <v>4.9375</v>
      </c>
      <c r="F1296" t="s">
        <v>21</v>
      </c>
      <c r="G1296">
        <v>0</v>
      </c>
      <c r="I1296">
        <v>1</v>
      </c>
      <c r="J1296">
        <v>1</v>
      </c>
      <c r="N1296">
        <v>0.5</v>
      </c>
      <c r="O1296">
        <v>0.38</v>
      </c>
      <c r="P1296">
        <v>3.5</v>
      </c>
      <c r="Q1296">
        <v>0</v>
      </c>
      <c r="R1296">
        <v>0</v>
      </c>
      <c r="S1296">
        <v>4</v>
      </c>
      <c r="T1296">
        <v>0.5</v>
      </c>
      <c r="U1296">
        <v>0</v>
      </c>
      <c r="V1296">
        <v>0</v>
      </c>
      <c r="W1296">
        <v>0</v>
      </c>
      <c r="X1296">
        <v>0</v>
      </c>
      <c r="Y1296">
        <v>0.5</v>
      </c>
      <c r="Z1296">
        <v>0.5</v>
      </c>
    </row>
    <row r="1297" spans="1:30">
      <c r="A1297" t="s">
        <v>1459</v>
      </c>
      <c r="B1297">
        <v>81.6875</v>
      </c>
      <c r="C1297">
        <v>5.9375</v>
      </c>
      <c r="D1297">
        <v>1</v>
      </c>
      <c r="E1297">
        <v>8.5</v>
      </c>
      <c r="F1297" t="s">
        <v>21</v>
      </c>
      <c r="G1297">
        <v>1</v>
      </c>
      <c r="H1297">
        <v>0</v>
      </c>
      <c r="I1297">
        <v>0</v>
      </c>
      <c r="N1297">
        <v>0.5</v>
      </c>
      <c r="O1297">
        <v>0.38</v>
      </c>
      <c r="P1297">
        <v>3.5</v>
      </c>
      <c r="Q1297">
        <v>3.5</v>
      </c>
      <c r="R1297">
        <v>0</v>
      </c>
      <c r="S1297">
        <v>4</v>
      </c>
      <c r="T1297">
        <v>0.5</v>
      </c>
      <c r="U1297">
        <v>1</v>
      </c>
      <c r="V1297">
        <v>0</v>
      </c>
      <c r="W1297">
        <v>0</v>
      </c>
      <c r="X1297">
        <v>0</v>
      </c>
      <c r="Y1297">
        <v>0</v>
      </c>
      <c r="Z1297">
        <v>0.5</v>
      </c>
    </row>
    <row r="1298" spans="1:30">
      <c r="A1298" t="s">
        <v>1460</v>
      </c>
      <c r="B1298">
        <v>86.0625</v>
      </c>
      <c r="C1298">
        <v>43.6875</v>
      </c>
      <c r="D1298">
        <v>1</v>
      </c>
      <c r="E1298">
        <v>4.9375</v>
      </c>
      <c r="F1298" t="s">
        <v>21</v>
      </c>
      <c r="G1298">
        <v>1</v>
      </c>
      <c r="H1298">
        <v>0</v>
      </c>
      <c r="I1298">
        <v>1</v>
      </c>
      <c r="J1298">
        <v>0</v>
      </c>
      <c r="K1298">
        <v>12</v>
      </c>
      <c r="L1298" t="s">
        <v>121</v>
      </c>
      <c r="N1298">
        <v>0.5</v>
      </c>
      <c r="O1298">
        <v>0.38</v>
      </c>
      <c r="P1298">
        <v>3.5</v>
      </c>
      <c r="Q1298">
        <v>3.5</v>
      </c>
      <c r="R1298">
        <v>0</v>
      </c>
      <c r="S1298">
        <v>4</v>
      </c>
      <c r="T1298">
        <v>0.5</v>
      </c>
      <c r="U1298">
        <v>1</v>
      </c>
      <c r="V1298">
        <v>1</v>
      </c>
      <c r="W1298">
        <v>0</v>
      </c>
      <c r="X1298">
        <v>0</v>
      </c>
      <c r="Y1298">
        <v>0</v>
      </c>
      <c r="Z1298">
        <v>0</v>
      </c>
      <c r="AA1298">
        <v>11</v>
      </c>
      <c r="AB1298">
        <v>9.375</v>
      </c>
    </row>
    <row r="1299" spans="1:30">
      <c r="A1299" t="s">
        <v>1461</v>
      </c>
      <c r="B1299">
        <v>96</v>
      </c>
      <c r="C1299">
        <v>45.6875</v>
      </c>
      <c r="D1299">
        <v>1</v>
      </c>
      <c r="E1299">
        <v>4.375</v>
      </c>
      <c r="F1299" t="s">
        <v>21</v>
      </c>
      <c r="G1299">
        <v>1</v>
      </c>
      <c r="H1299">
        <v>0</v>
      </c>
      <c r="I1299">
        <v>1</v>
      </c>
      <c r="J1299">
        <v>0</v>
      </c>
      <c r="K1299">
        <v>24</v>
      </c>
      <c r="L1299" t="s">
        <v>149</v>
      </c>
      <c r="N1299">
        <v>0.5</v>
      </c>
      <c r="O1299">
        <v>0.38</v>
      </c>
      <c r="P1299">
        <v>3.5</v>
      </c>
      <c r="Q1299">
        <v>3.5</v>
      </c>
      <c r="R1299">
        <v>0.125</v>
      </c>
      <c r="S1299">
        <v>4</v>
      </c>
      <c r="T1299">
        <v>0.5</v>
      </c>
      <c r="U1299">
        <v>1</v>
      </c>
      <c r="V1299">
        <v>1</v>
      </c>
      <c r="W1299">
        <v>0</v>
      </c>
      <c r="X1299">
        <v>0</v>
      </c>
      <c r="Y1299">
        <v>0</v>
      </c>
      <c r="Z1299">
        <v>0</v>
      </c>
      <c r="AA1299">
        <v>15.5</v>
      </c>
      <c r="AB1299">
        <v>28.875</v>
      </c>
    </row>
    <row r="1300" spans="1:30">
      <c r="A1300" t="s">
        <v>1462</v>
      </c>
      <c r="B1300">
        <v>74.625</v>
      </c>
      <c r="C1300">
        <v>76.375</v>
      </c>
      <c r="D1300">
        <v>12</v>
      </c>
      <c r="E1300">
        <v>5</v>
      </c>
      <c r="F1300" t="s">
        <v>21</v>
      </c>
      <c r="G1300">
        <v>1</v>
      </c>
      <c r="H1300">
        <v>0</v>
      </c>
      <c r="I1300">
        <v>1</v>
      </c>
      <c r="J1300">
        <v>0</v>
      </c>
      <c r="N1300">
        <v>0.5</v>
      </c>
      <c r="O1300">
        <v>0.38</v>
      </c>
      <c r="P1300">
        <v>3.5</v>
      </c>
      <c r="Q1300">
        <v>-7.5</v>
      </c>
      <c r="R1300">
        <v>0</v>
      </c>
      <c r="S1300">
        <v>4</v>
      </c>
      <c r="T1300">
        <v>0.5</v>
      </c>
      <c r="U1300">
        <v>0</v>
      </c>
      <c r="V1300">
        <v>0</v>
      </c>
      <c r="W1300">
        <v>0</v>
      </c>
      <c r="X1300">
        <v>0</v>
      </c>
      <c r="Y1300">
        <v>0.5</v>
      </c>
      <c r="Z1300">
        <v>0.5</v>
      </c>
    </row>
    <row r="1301" spans="1:30">
      <c r="A1301" t="s">
        <v>1463</v>
      </c>
      <c r="B1301">
        <v>61.5625</v>
      </c>
      <c r="C1301">
        <v>5.0625</v>
      </c>
      <c r="D1301">
        <v>4.5</v>
      </c>
      <c r="E1301">
        <v>7.6875</v>
      </c>
      <c r="F1301" t="s">
        <v>21</v>
      </c>
      <c r="G1301">
        <v>1</v>
      </c>
      <c r="H1301">
        <v>0</v>
      </c>
      <c r="I1301">
        <v>1</v>
      </c>
      <c r="J1301">
        <v>1</v>
      </c>
      <c r="N1301">
        <v>0.5</v>
      </c>
      <c r="O1301">
        <v>0.38</v>
      </c>
      <c r="P1301">
        <v>3.5</v>
      </c>
      <c r="Q1301">
        <v>0</v>
      </c>
      <c r="R1301">
        <v>0</v>
      </c>
      <c r="S1301">
        <v>4</v>
      </c>
      <c r="T1301">
        <v>0.5</v>
      </c>
      <c r="U1301">
        <v>0</v>
      </c>
      <c r="V1301">
        <v>0</v>
      </c>
      <c r="W1301">
        <v>0</v>
      </c>
      <c r="X1301">
        <v>0</v>
      </c>
      <c r="Y1301">
        <v>0.5</v>
      </c>
      <c r="Z1301">
        <v>0.5</v>
      </c>
    </row>
    <row r="1302" spans="1:30">
      <c r="A1302" t="s">
        <v>1464</v>
      </c>
      <c r="B1302">
        <v>87.75</v>
      </c>
      <c r="C1302">
        <v>57.625</v>
      </c>
      <c r="D1302">
        <v>10.9375</v>
      </c>
      <c r="E1302">
        <v>5.8125</v>
      </c>
      <c r="F1302" t="s">
        <v>21</v>
      </c>
      <c r="G1302">
        <v>1</v>
      </c>
      <c r="H1302">
        <v>1</v>
      </c>
      <c r="I1302">
        <v>0</v>
      </c>
      <c r="L1302" t="s">
        <v>120</v>
      </c>
      <c r="N1302">
        <v>0.5</v>
      </c>
      <c r="O1302">
        <v>0.38</v>
      </c>
      <c r="P1302">
        <v>3.5</v>
      </c>
      <c r="Q1302">
        <v>-6.4375</v>
      </c>
      <c r="R1302">
        <v>0</v>
      </c>
      <c r="S1302">
        <v>4</v>
      </c>
      <c r="T1302">
        <v>0.5</v>
      </c>
      <c r="U1302">
        <v>0</v>
      </c>
      <c r="V1302">
        <v>0</v>
      </c>
      <c r="W1302">
        <v>0</v>
      </c>
      <c r="X1302">
        <v>0</v>
      </c>
      <c r="Y1302">
        <v>0.5</v>
      </c>
      <c r="Z1302">
        <v>0.5</v>
      </c>
      <c r="AA1302">
        <v>11.5</v>
      </c>
      <c r="AB1302">
        <v>10.875</v>
      </c>
      <c r="AC1302">
        <v>28.94</v>
      </c>
      <c r="AD1302">
        <v>7.0625</v>
      </c>
    </row>
    <row r="1303" spans="1:30">
      <c r="A1303" t="s">
        <v>1465</v>
      </c>
      <c r="B1303">
        <v>96</v>
      </c>
      <c r="C1303">
        <v>71.6875</v>
      </c>
      <c r="D1303">
        <v>4.5</v>
      </c>
      <c r="E1303">
        <v>8.25</v>
      </c>
      <c r="F1303" t="s">
        <v>21</v>
      </c>
      <c r="G1303">
        <v>1</v>
      </c>
      <c r="H1303">
        <v>1</v>
      </c>
      <c r="I1303">
        <v>1</v>
      </c>
      <c r="J1303">
        <v>0</v>
      </c>
      <c r="K1303">
        <v>12</v>
      </c>
      <c r="L1303" t="s">
        <v>35</v>
      </c>
      <c r="N1303">
        <v>0.5</v>
      </c>
      <c r="O1303">
        <v>0.38</v>
      </c>
      <c r="P1303">
        <v>3.5</v>
      </c>
      <c r="Q1303">
        <v>0</v>
      </c>
      <c r="R1303">
        <v>0</v>
      </c>
      <c r="S1303">
        <v>4</v>
      </c>
      <c r="T1303">
        <v>0.5</v>
      </c>
      <c r="U1303">
        <v>0</v>
      </c>
      <c r="V1303">
        <v>0</v>
      </c>
      <c r="W1303">
        <v>0</v>
      </c>
      <c r="X1303">
        <v>0</v>
      </c>
      <c r="Y1303">
        <v>0.5</v>
      </c>
      <c r="Z1303">
        <v>0.5</v>
      </c>
      <c r="AA1303">
        <v>15.5</v>
      </c>
      <c r="AB1303">
        <v>28.875</v>
      </c>
      <c r="AC1303">
        <v>14</v>
      </c>
      <c r="AD1303">
        <v>25.63</v>
      </c>
    </row>
    <row r="1304" spans="1:30">
      <c r="A1304" t="s">
        <v>1466</v>
      </c>
      <c r="B1304">
        <v>55.1875</v>
      </c>
      <c r="C1304">
        <v>70.5625</v>
      </c>
      <c r="D1304">
        <v>1</v>
      </c>
      <c r="F1304" t="s">
        <v>21</v>
      </c>
      <c r="G1304">
        <v>1</v>
      </c>
      <c r="H1304">
        <v>1</v>
      </c>
      <c r="I1304">
        <v>1</v>
      </c>
      <c r="J1304">
        <v>0</v>
      </c>
      <c r="K1304">
        <v>24</v>
      </c>
      <c r="L1304" t="s">
        <v>35</v>
      </c>
      <c r="N1304">
        <v>0.5</v>
      </c>
      <c r="O1304">
        <v>0.38</v>
      </c>
      <c r="P1304">
        <v>3.5</v>
      </c>
      <c r="Q1304">
        <v>3.5</v>
      </c>
      <c r="R1304">
        <v>4.5</v>
      </c>
      <c r="S1304">
        <v>4</v>
      </c>
      <c r="T1304">
        <v>0.5</v>
      </c>
      <c r="U1304">
        <v>1</v>
      </c>
      <c r="V1304">
        <v>1</v>
      </c>
      <c r="W1304">
        <v>0</v>
      </c>
      <c r="X1304">
        <v>0</v>
      </c>
      <c r="Y1304">
        <v>0</v>
      </c>
      <c r="Z1304">
        <v>0</v>
      </c>
      <c r="AA1304">
        <v>15.5</v>
      </c>
      <c r="AB1304">
        <v>28.875</v>
      </c>
    </row>
    <row r="1305" spans="1:30">
      <c r="A1305" t="s">
        <v>1467</v>
      </c>
      <c r="B1305">
        <v>78.5</v>
      </c>
      <c r="C1305">
        <v>41.6875</v>
      </c>
      <c r="D1305">
        <v>1</v>
      </c>
      <c r="E1305">
        <v>1</v>
      </c>
      <c r="F1305" t="s">
        <v>21</v>
      </c>
      <c r="G1305">
        <v>1</v>
      </c>
      <c r="H1305">
        <v>1</v>
      </c>
      <c r="I1305">
        <v>1</v>
      </c>
      <c r="J1305">
        <v>0</v>
      </c>
      <c r="N1305">
        <v>0.5</v>
      </c>
      <c r="O1305">
        <v>0.38</v>
      </c>
      <c r="P1305">
        <v>3.5</v>
      </c>
      <c r="Q1305">
        <v>3.5</v>
      </c>
      <c r="R1305">
        <v>3.5</v>
      </c>
      <c r="S1305">
        <v>4</v>
      </c>
      <c r="T1305">
        <v>0.5</v>
      </c>
      <c r="U1305">
        <v>1</v>
      </c>
      <c r="V1305">
        <v>1</v>
      </c>
      <c r="W1305">
        <v>1</v>
      </c>
      <c r="X1305">
        <v>0</v>
      </c>
      <c r="Y1305">
        <v>0</v>
      </c>
      <c r="Z1305">
        <v>0</v>
      </c>
    </row>
    <row r="1306" spans="1:30">
      <c r="A1306" t="s">
        <v>1468</v>
      </c>
      <c r="B1306">
        <v>39.5625</v>
      </c>
      <c r="C1306">
        <v>68</v>
      </c>
      <c r="D1306">
        <v>12</v>
      </c>
      <c r="E1306">
        <v>1.25</v>
      </c>
      <c r="F1306" t="s">
        <v>21</v>
      </c>
      <c r="G1306">
        <v>1</v>
      </c>
      <c r="H1306">
        <v>1</v>
      </c>
      <c r="I1306">
        <v>1</v>
      </c>
      <c r="J1306">
        <v>1</v>
      </c>
      <c r="N1306">
        <v>0.5</v>
      </c>
      <c r="O1306">
        <v>0.38</v>
      </c>
      <c r="P1306">
        <v>3.5</v>
      </c>
      <c r="Q1306">
        <v>-7.5</v>
      </c>
      <c r="R1306">
        <v>3.25</v>
      </c>
      <c r="S1306">
        <v>4</v>
      </c>
      <c r="T1306">
        <v>0.5</v>
      </c>
      <c r="U1306">
        <v>0</v>
      </c>
      <c r="V1306">
        <v>0</v>
      </c>
      <c r="W1306">
        <v>1</v>
      </c>
      <c r="X1306">
        <v>1</v>
      </c>
      <c r="Y1306">
        <v>0.5</v>
      </c>
      <c r="Z1306">
        <v>0.5</v>
      </c>
    </row>
    <row r="1307" spans="1:30">
      <c r="A1307" t="s">
        <v>1469</v>
      </c>
      <c r="B1307">
        <v>34.6875</v>
      </c>
      <c r="C1307">
        <v>47.125</v>
      </c>
      <c r="D1307">
        <v>4.5</v>
      </c>
      <c r="F1307" t="s">
        <v>156</v>
      </c>
      <c r="G1307">
        <v>0</v>
      </c>
      <c r="I1307">
        <v>0</v>
      </c>
      <c r="L1307" t="s">
        <v>35</v>
      </c>
      <c r="N1307">
        <v>0.5</v>
      </c>
      <c r="O1307">
        <v>0.38</v>
      </c>
      <c r="P1307">
        <v>3.5</v>
      </c>
      <c r="Q1307">
        <v>0</v>
      </c>
      <c r="R1307">
        <v>4.5</v>
      </c>
      <c r="S1307">
        <v>4</v>
      </c>
      <c r="T1307">
        <v>0.5</v>
      </c>
      <c r="U1307">
        <v>0</v>
      </c>
      <c r="V1307">
        <v>0</v>
      </c>
      <c r="W1307">
        <v>0</v>
      </c>
      <c r="X1307">
        <v>0</v>
      </c>
      <c r="Y1307">
        <v>0.5</v>
      </c>
      <c r="Z1307">
        <v>0.5</v>
      </c>
    </row>
    <row r="1308" spans="1:30">
      <c r="A1308" t="s">
        <v>1470</v>
      </c>
      <c r="B1308">
        <v>48.5</v>
      </c>
      <c r="C1308">
        <v>51.1875</v>
      </c>
      <c r="D1308">
        <v>12</v>
      </c>
      <c r="E1308">
        <v>7.6875</v>
      </c>
      <c r="F1308" t="s">
        <v>156</v>
      </c>
      <c r="G1308">
        <v>0</v>
      </c>
      <c r="I1308">
        <v>1</v>
      </c>
      <c r="J1308">
        <v>0</v>
      </c>
      <c r="K1308">
        <v>12</v>
      </c>
      <c r="L1308" t="s">
        <v>145</v>
      </c>
      <c r="N1308">
        <v>0.5</v>
      </c>
      <c r="O1308">
        <v>0.38</v>
      </c>
      <c r="P1308">
        <v>3.5</v>
      </c>
      <c r="Q1308">
        <v>-7.5</v>
      </c>
      <c r="R1308">
        <v>0</v>
      </c>
      <c r="S1308">
        <v>4</v>
      </c>
      <c r="T1308">
        <v>0.5</v>
      </c>
      <c r="U1308">
        <v>0</v>
      </c>
      <c r="V1308">
        <v>0</v>
      </c>
      <c r="W1308">
        <v>0</v>
      </c>
      <c r="X1308">
        <v>0</v>
      </c>
      <c r="Y1308">
        <v>0.5</v>
      </c>
      <c r="Z1308">
        <v>0.5</v>
      </c>
    </row>
    <row r="1309" spans="1:30">
      <c r="A1309" t="s">
        <v>1471</v>
      </c>
      <c r="B1309">
        <v>23</v>
      </c>
      <c r="C1309">
        <v>53.5</v>
      </c>
      <c r="D1309">
        <v>1</v>
      </c>
      <c r="F1309" t="s">
        <v>156</v>
      </c>
      <c r="G1309">
        <v>0</v>
      </c>
      <c r="I1309">
        <v>1</v>
      </c>
      <c r="J1309">
        <v>0</v>
      </c>
      <c r="K1309">
        <v>24</v>
      </c>
      <c r="L1309" t="s">
        <v>121</v>
      </c>
      <c r="N1309">
        <v>0.5</v>
      </c>
      <c r="O1309">
        <v>0.38</v>
      </c>
      <c r="P1309">
        <v>3.5</v>
      </c>
      <c r="Q1309">
        <v>3.5</v>
      </c>
      <c r="R1309">
        <v>4.5</v>
      </c>
      <c r="S1309">
        <v>4</v>
      </c>
      <c r="T1309">
        <v>0.5</v>
      </c>
      <c r="U1309">
        <v>0</v>
      </c>
      <c r="V1309">
        <v>0</v>
      </c>
      <c r="W1309">
        <v>0</v>
      </c>
      <c r="X1309">
        <v>0</v>
      </c>
      <c r="Y1309">
        <v>0.5</v>
      </c>
      <c r="Z1309">
        <v>0.5</v>
      </c>
    </row>
    <row r="1310" spans="1:30">
      <c r="A1310" t="s">
        <v>1472</v>
      </c>
      <c r="B1310">
        <v>36.0625</v>
      </c>
      <c r="C1310">
        <v>55.8125</v>
      </c>
      <c r="D1310">
        <v>12</v>
      </c>
      <c r="E1310">
        <v>1</v>
      </c>
      <c r="F1310" t="s">
        <v>156</v>
      </c>
      <c r="G1310">
        <v>0</v>
      </c>
      <c r="I1310">
        <v>1</v>
      </c>
      <c r="J1310">
        <v>0</v>
      </c>
      <c r="N1310">
        <v>0.5</v>
      </c>
      <c r="O1310">
        <v>0.38</v>
      </c>
      <c r="P1310">
        <v>3.5</v>
      </c>
      <c r="Q1310">
        <v>-7.5</v>
      </c>
      <c r="R1310">
        <v>3.5</v>
      </c>
      <c r="S1310">
        <v>4</v>
      </c>
      <c r="T1310">
        <v>0.5</v>
      </c>
      <c r="U1310">
        <v>0</v>
      </c>
      <c r="V1310">
        <v>0</v>
      </c>
      <c r="W1310">
        <v>0</v>
      </c>
      <c r="X1310">
        <v>0</v>
      </c>
      <c r="Y1310">
        <v>0.5</v>
      </c>
      <c r="Z1310">
        <v>0.5</v>
      </c>
    </row>
    <row r="1311" spans="1:30">
      <c r="A1311" t="s">
        <v>1473</v>
      </c>
      <c r="B1311">
        <v>46</v>
      </c>
      <c r="C1311">
        <v>70.0625</v>
      </c>
      <c r="D1311">
        <v>7.375</v>
      </c>
      <c r="F1311" t="s">
        <v>156</v>
      </c>
      <c r="G1311">
        <v>0</v>
      </c>
      <c r="I1311">
        <v>1</v>
      </c>
      <c r="J1311">
        <v>1</v>
      </c>
      <c r="N1311">
        <v>0.5</v>
      </c>
      <c r="O1311">
        <v>0.38</v>
      </c>
      <c r="P1311">
        <v>3.5</v>
      </c>
      <c r="Q1311">
        <v>-2.875</v>
      </c>
      <c r="R1311">
        <v>4.5</v>
      </c>
      <c r="S1311">
        <v>4</v>
      </c>
      <c r="T1311">
        <v>0.5</v>
      </c>
      <c r="U1311">
        <v>0</v>
      </c>
      <c r="V1311">
        <v>0</v>
      </c>
      <c r="W1311">
        <v>0</v>
      </c>
      <c r="X1311">
        <v>0</v>
      </c>
      <c r="Y1311">
        <v>0.5</v>
      </c>
      <c r="Z1311">
        <v>0.5</v>
      </c>
    </row>
    <row r="1312" spans="1:30">
      <c r="A1312" t="s">
        <v>1474</v>
      </c>
      <c r="B1312">
        <v>7.5625</v>
      </c>
      <c r="C1312">
        <v>69.125</v>
      </c>
      <c r="D1312">
        <v>9</v>
      </c>
      <c r="E1312">
        <v>1.875</v>
      </c>
      <c r="F1312" t="s">
        <v>156</v>
      </c>
      <c r="G1312">
        <v>1</v>
      </c>
      <c r="H1312">
        <v>0</v>
      </c>
      <c r="I1312">
        <v>0</v>
      </c>
      <c r="L1312" t="s">
        <v>121</v>
      </c>
      <c r="N1312">
        <v>0.5</v>
      </c>
      <c r="O1312">
        <v>0.38</v>
      </c>
      <c r="P1312">
        <v>3.5</v>
      </c>
      <c r="Q1312">
        <v>-4.5</v>
      </c>
      <c r="R1312">
        <v>2.625</v>
      </c>
      <c r="S1312">
        <v>4</v>
      </c>
      <c r="T1312">
        <v>0.5</v>
      </c>
      <c r="U1312">
        <v>0</v>
      </c>
      <c r="V1312">
        <v>0</v>
      </c>
      <c r="W1312">
        <v>0</v>
      </c>
      <c r="X1312">
        <v>0</v>
      </c>
      <c r="Y1312">
        <v>0.5</v>
      </c>
      <c r="Z1312">
        <v>0.5</v>
      </c>
    </row>
    <row r="1313" spans="1:30">
      <c r="A1313" t="s">
        <v>1475</v>
      </c>
      <c r="B1313">
        <v>25.6875</v>
      </c>
      <c r="C1313">
        <v>41.5</v>
      </c>
      <c r="D1313">
        <v>9</v>
      </c>
      <c r="E1313">
        <v>5</v>
      </c>
      <c r="F1313" t="s">
        <v>156</v>
      </c>
      <c r="G1313">
        <v>1</v>
      </c>
      <c r="H1313">
        <v>0</v>
      </c>
      <c r="I1313">
        <v>1</v>
      </c>
      <c r="J1313">
        <v>0</v>
      </c>
      <c r="K1313">
        <v>12</v>
      </c>
      <c r="L1313" t="s">
        <v>121</v>
      </c>
      <c r="N1313">
        <v>0.5</v>
      </c>
      <c r="O1313">
        <v>0.38</v>
      </c>
      <c r="P1313">
        <v>3.5</v>
      </c>
      <c r="Q1313">
        <v>-4.5</v>
      </c>
      <c r="R1313">
        <v>0</v>
      </c>
      <c r="S1313">
        <v>4</v>
      </c>
      <c r="T1313">
        <v>0.5</v>
      </c>
      <c r="U1313">
        <v>0</v>
      </c>
      <c r="V1313">
        <v>0</v>
      </c>
      <c r="W1313">
        <v>0</v>
      </c>
      <c r="X1313">
        <v>0</v>
      </c>
      <c r="Y1313">
        <v>0.5</v>
      </c>
      <c r="Z1313">
        <v>0.5</v>
      </c>
    </row>
    <row r="1314" spans="1:30">
      <c r="A1314" t="s">
        <v>1476</v>
      </c>
      <c r="B1314">
        <v>8.5</v>
      </c>
      <c r="C1314">
        <v>58.5</v>
      </c>
      <c r="D1314">
        <v>4.5</v>
      </c>
      <c r="E1314">
        <v>6.4375</v>
      </c>
      <c r="F1314" t="s">
        <v>156</v>
      </c>
      <c r="G1314">
        <v>1</v>
      </c>
      <c r="H1314">
        <v>0</v>
      </c>
      <c r="I1314">
        <v>1</v>
      </c>
      <c r="J1314">
        <v>0</v>
      </c>
      <c r="K1314">
        <v>24</v>
      </c>
      <c r="L1314" t="s">
        <v>120</v>
      </c>
      <c r="N1314">
        <v>0.5</v>
      </c>
      <c r="O1314">
        <v>0.38</v>
      </c>
      <c r="P1314">
        <v>3.5</v>
      </c>
      <c r="Q1314">
        <v>0</v>
      </c>
      <c r="R1314">
        <v>0</v>
      </c>
      <c r="S1314">
        <v>4</v>
      </c>
      <c r="T1314">
        <v>0.5</v>
      </c>
      <c r="U1314">
        <v>0</v>
      </c>
      <c r="V1314">
        <v>0</v>
      </c>
      <c r="W1314">
        <v>0</v>
      </c>
      <c r="X1314">
        <v>0</v>
      </c>
      <c r="Y1314">
        <v>0.5</v>
      </c>
      <c r="Z1314">
        <v>0.5</v>
      </c>
    </row>
    <row r="1315" spans="1:30">
      <c r="A1315" t="s">
        <v>1477</v>
      </c>
      <c r="B1315">
        <v>10.0625</v>
      </c>
      <c r="C1315">
        <v>54</v>
      </c>
      <c r="D1315">
        <v>6.3125</v>
      </c>
      <c r="E1315">
        <v>6.1875</v>
      </c>
      <c r="F1315" t="s">
        <v>156</v>
      </c>
      <c r="G1315">
        <v>1</v>
      </c>
      <c r="H1315">
        <v>0</v>
      </c>
      <c r="I1315">
        <v>1</v>
      </c>
      <c r="J1315">
        <v>0</v>
      </c>
      <c r="N1315">
        <v>0.5</v>
      </c>
      <c r="O1315">
        <v>0.38</v>
      </c>
      <c r="P1315">
        <v>3.5</v>
      </c>
      <c r="Q1315">
        <v>-1.8125</v>
      </c>
      <c r="R1315">
        <v>0</v>
      </c>
      <c r="S1315">
        <v>4</v>
      </c>
      <c r="T1315">
        <v>0.5</v>
      </c>
      <c r="U1315">
        <v>0</v>
      </c>
      <c r="V1315">
        <v>0</v>
      </c>
      <c r="W1315">
        <v>0</v>
      </c>
      <c r="X1315">
        <v>0</v>
      </c>
      <c r="Y1315">
        <v>0.5</v>
      </c>
      <c r="Z1315">
        <v>0.5</v>
      </c>
    </row>
    <row r="1316" spans="1:30">
      <c r="A1316" t="s">
        <v>1478</v>
      </c>
      <c r="B1316">
        <v>12.0625</v>
      </c>
      <c r="C1316">
        <v>50.4375</v>
      </c>
      <c r="D1316">
        <v>4.125</v>
      </c>
      <c r="F1316" t="s">
        <v>156</v>
      </c>
      <c r="G1316">
        <v>1</v>
      </c>
      <c r="H1316">
        <v>0</v>
      </c>
      <c r="I1316">
        <v>1</v>
      </c>
      <c r="J1316">
        <v>1</v>
      </c>
      <c r="N1316">
        <v>0.5</v>
      </c>
      <c r="O1316">
        <v>0.38</v>
      </c>
      <c r="P1316">
        <v>3.5</v>
      </c>
      <c r="Q1316">
        <v>0.375</v>
      </c>
      <c r="R1316">
        <v>4.5</v>
      </c>
      <c r="S1316">
        <v>4</v>
      </c>
      <c r="T1316">
        <v>0.5</v>
      </c>
      <c r="U1316">
        <v>0</v>
      </c>
      <c r="V1316">
        <v>0</v>
      </c>
      <c r="W1316">
        <v>0</v>
      </c>
      <c r="X1316">
        <v>0</v>
      </c>
      <c r="Y1316">
        <v>0.5</v>
      </c>
      <c r="Z1316">
        <v>0.5</v>
      </c>
    </row>
    <row r="1317" spans="1:30">
      <c r="A1317" t="s">
        <v>1479</v>
      </c>
      <c r="B1317">
        <v>22.5</v>
      </c>
      <c r="C1317">
        <v>56.9375</v>
      </c>
      <c r="D1317">
        <v>4.5</v>
      </c>
      <c r="F1317" t="s">
        <v>156</v>
      </c>
      <c r="G1317">
        <v>1</v>
      </c>
      <c r="H1317">
        <v>1</v>
      </c>
      <c r="I1317">
        <v>0</v>
      </c>
      <c r="L1317" t="s">
        <v>120</v>
      </c>
      <c r="N1317">
        <v>0.5</v>
      </c>
      <c r="O1317">
        <v>0.38</v>
      </c>
      <c r="P1317">
        <v>3.5</v>
      </c>
      <c r="Q1317">
        <v>0</v>
      </c>
      <c r="R1317">
        <v>4.5</v>
      </c>
      <c r="S1317">
        <v>4</v>
      </c>
      <c r="T1317">
        <v>0.5</v>
      </c>
      <c r="U1317">
        <v>0</v>
      </c>
      <c r="V1317">
        <v>0</v>
      </c>
      <c r="W1317">
        <v>0</v>
      </c>
      <c r="X1317">
        <v>0</v>
      </c>
      <c r="Y1317">
        <v>0.5</v>
      </c>
      <c r="Z1317">
        <v>0.5</v>
      </c>
    </row>
    <row r="1318" spans="1:30">
      <c r="A1318" t="s">
        <v>1480</v>
      </c>
      <c r="B1318">
        <v>11.4375</v>
      </c>
      <c r="C1318">
        <v>79.8125</v>
      </c>
      <c r="D1318">
        <v>1</v>
      </c>
      <c r="E1318">
        <v>1</v>
      </c>
      <c r="F1318" t="s">
        <v>156</v>
      </c>
      <c r="G1318">
        <v>1</v>
      </c>
      <c r="H1318">
        <v>1</v>
      </c>
      <c r="I1318">
        <v>1</v>
      </c>
      <c r="J1318">
        <v>0</v>
      </c>
      <c r="K1318">
        <v>12</v>
      </c>
      <c r="L1318" t="s">
        <v>145</v>
      </c>
      <c r="N1318">
        <v>0.5</v>
      </c>
      <c r="O1318">
        <v>0.38</v>
      </c>
      <c r="P1318">
        <v>3.5</v>
      </c>
      <c r="Q1318">
        <v>3.5</v>
      </c>
      <c r="R1318">
        <v>3.5</v>
      </c>
      <c r="S1318">
        <v>4</v>
      </c>
      <c r="T1318">
        <v>0.5</v>
      </c>
      <c r="U1318">
        <v>0</v>
      </c>
      <c r="V1318">
        <v>0</v>
      </c>
      <c r="W1318">
        <v>1</v>
      </c>
      <c r="X1318">
        <v>0</v>
      </c>
      <c r="Y1318">
        <v>0.5</v>
      </c>
      <c r="Z1318">
        <v>0.5</v>
      </c>
    </row>
    <row r="1319" spans="1:30">
      <c r="A1319" t="s">
        <v>1481</v>
      </c>
      <c r="B1319">
        <v>9.75</v>
      </c>
      <c r="C1319">
        <v>50.9375</v>
      </c>
      <c r="D1319">
        <v>12</v>
      </c>
      <c r="E1319">
        <v>1</v>
      </c>
      <c r="F1319" t="s">
        <v>156</v>
      </c>
      <c r="G1319">
        <v>1</v>
      </c>
      <c r="H1319">
        <v>1</v>
      </c>
      <c r="I1319">
        <v>1</v>
      </c>
      <c r="J1319">
        <v>0</v>
      </c>
      <c r="K1319">
        <v>24</v>
      </c>
      <c r="L1319" t="s">
        <v>148</v>
      </c>
      <c r="N1319">
        <v>0.5</v>
      </c>
      <c r="O1319">
        <v>0.38</v>
      </c>
      <c r="P1319">
        <v>3.5</v>
      </c>
      <c r="Q1319">
        <v>-7.5</v>
      </c>
      <c r="R1319">
        <v>3.5</v>
      </c>
      <c r="S1319">
        <v>4</v>
      </c>
      <c r="T1319">
        <v>0.5</v>
      </c>
      <c r="U1319">
        <v>0</v>
      </c>
      <c r="V1319">
        <v>0</v>
      </c>
      <c r="W1319">
        <v>1</v>
      </c>
      <c r="X1319">
        <v>0</v>
      </c>
      <c r="Y1319">
        <v>0.5</v>
      </c>
      <c r="Z1319">
        <v>0.5</v>
      </c>
    </row>
    <row r="1320" spans="1:30">
      <c r="A1320" t="s">
        <v>1482</v>
      </c>
      <c r="B1320">
        <v>20.875</v>
      </c>
      <c r="C1320">
        <v>66.25</v>
      </c>
      <c r="D1320">
        <v>12</v>
      </c>
      <c r="E1320">
        <v>1</v>
      </c>
      <c r="F1320" t="s">
        <v>156</v>
      </c>
      <c r="G1320">
        <v>1</v>
      </c>
      <c r="H1320">
        <v>1</v>
      </c>
      <c r="I1320">
        <v>1</v>
      </c>
      <c r="J1320">
        <v>0</v>
      </c>
      <c r="N1320">
        <v>0.5</v>
      </c>
      <c r="O1320">
        <v>0.38</v>
      </c>
      <c r="P1320">
        <v>3.5</v>
      </c>
      <c r="Q1320">
        <v>-7.5</v>
      </c>
      <c r="R1320">
        <v>3.5</v>
      </c>
      <c r="S1320">
        <v>4</v>
      </c>
      <c r="T1320">
        <v>0.5</v>
      </c>
      <c r="U1320">
        <v>0</v>
      </c>
      <c r="V1320">
        <v>0</v>
      </c>
      <c r="W1320">
        <v>1</v>
      </c>
      <c r="X1320">
        <v>0</v>
      </c>
      <c r="Y1320">
        <v>0.5</v>
      </c>
      <c r="Z1320">
        <v>0.5</v>
      </c>
    </row>
    <row r="1321" spans="1:30">
      <c r="A1321" t="s">
        <v>1483</v>
      </c>
      <c r="B1321">
        <v>20.0625</v>
      </c>
      <c r="C1321">
        <v>53.6875</v>
      </c>
      <c r="D1321">
        <v>9</v>
      </c>
      <c r="E1321">
        <v>4.9375</v>
      </c>
      <c r="F1321" t="s">
        <v>156</v>
      </c>
      <c r="G1321">
        <v>1</v>
      </c>
      <c r="H1321">
        <v>1</v>
      </c>
      <c r="I1321">
        <v>1</v>
      </c>
      <c r="J1321">
        <v>1</v>
      </c>
      <c r="N1321">
        <v>0.5</v>
      </c>
      <c r="O1321">
        <v>0.38</v>
      </c>
      <c r="P1321">
        <v>3.5</v>
      </c>
      <c r="Q1321">
        <v>-4.5</v>
      </c>
      <c r="R1321">
        <v>0</v>
      </c>
      <c r="S1321">
        <v>4</v>
      </c>
      <c r="T1321">
        <v>0.5</v>
      </c>
      <c r="U1321">
        <v>0</v>
      </c>
      <c r="V1321">
        <v>0</v>
      </c>
      <c r="W1321">
        <v>0</v>
      </c>
      <c r="X1321">
        <v>0</v>
      </c>
      <c r="Y1321">
        <v>0.5</v>
      </c>
      <c r="Z1321">
        <v>0.5</v>
      </c>
    </row>
    <row r="1322" spans="1:30">
      <c r="A1322" t="s">
        <v>1484</v>
      </c>
      <c r="B1322">
        <v>60</v>
      </c>
      <c r="C1322">
        <v>71.6875</v>
      </c>
      <c r="D1322">
        <v>1</v>
      </c>
      <c r="E1322">
        <v>1</v>
      </c>
      <c r="F1322" t="s">
        <v>157</v>
      </c>
      <c r="G1322">
        <v>0</v>
      </c>
      <c r="I1322">
        <v>0</v>
      </c>
      <c r="L1322" t="s">
        <v>120</v>
      </c>
      <c r="N1322">
        <v>0.5</v>
      </c>
      <c r="O1322">
        <v>0.38</v>
      </c>
      <c r="P1322">
        <v>3.5</v>
      </c>
      <c r="Q1322">
        <v>3.5</v>
      </c>
      <c r="R1322">
        <v>3.5</v>
      </c>
      <c r="S1322">
        <v>4</v>
      </c>
      <c r="T1322">
        <v>0.5</v>
      </c>
      <c r="U1322">
        <v>0</v>
      </c>
      <c r="V1322">
        <v>0</v>
      </c>
      <c r="W1322">
        <v>0</v>
      </c>
      <c r="X1322">
        <v>0</v>
      </c>
      <c r="Y1322">
        <v>0.5</v>
      </c>
      <c r="Z1322">
        <v>0.5</v>
      </c>
      <c r="AA1322">
        <v>11.5</v>
      </c>
      <c r="AB1322">
        <v>10.875</v>
      </c>
      <c r="AC1322">
        <v>28.94</v>
      </c>
      <c r="AD1322">
        <v>17</v>
      </c>
    </row>
    <row r="1323" spans="1:30">
      <c r="A1323" t="s">
        <v>1485</v>
      </c>
      <c r="B1323">
        <v>60</v>
      </c>
      <c r="C1323">
        <v>60.5</v>
      </c>
      <c r="D1323">
        <v>4.5</v>
      </c>
      <c r="F1323" t="s">
        <v>157</v>
      </c>
      <c r="G1323">
        <v>0</v>
      </c>
      <c r="I1323">
        <v>1</v>
      </c>
      <c r="J1323">
        <v>0</v>
      </c>
      <c r="K1323">
        <v>12</v>
      </c>
      <c r="L1323" t="s">
        <v>35</v>
      </c>
      <c r="N1323">
        <v>0.5</v>
      </c>
      <c r="O1323">
        <v>0.38</v>
      </c>
      <c r="P1323">
        <v>3.5</v>
      </c>
      <c r="Q1323">
        <v>0</v>
      </c>
      <c r="R1323">
        <v>4.5</v>
      </c>
      <c r="S1323">
        <v>4</v>
      </c>
      <c r="T1323">
        <v>0.5</v>
      </c>
      <c r="U1323">
        <v>0</v>
      </c>
      <c r="V1323">
        <v>0</v>
      </c>
      <c r="W1323">
        <v>0</v>
      </c>
      <c r="X1323">
        <v>0</v>
      </c>
      <c r="Y1323">
        <v>0.5</v>
      </c>
      <c r="Z1323">
        <v>0.5</v>
      </c>
      <c r="AA1323">
        <v>15.5</v>
      </c>
      <c r="AB1323">
        <v>28.875</v>
      </c>
      <c r="AC1323">
        <v>14</v>
      </c>
      <c r="AD1323">
        <v>25.63</v>
      </c>
    </row>
    <row r="1324" spans="1:30">
      <c r="A1324" t="s">
        <v>1486</v>
      </c>
      <c r="B1324">
        <v>60</v>
      </c>
      <c r="C1324">
        <v>52.125</v>
      </c>
      <c r="D1324">
        <v>4.5</v>
      </c>
      <c r="E1324">
        <v>1</v>
      </c>
      <c r="F1324" t="s">
        <v>157</v>
      </c>
      <c r="G1324">
        <v>0</v>
      </c>
      <c r="I1324">
        <v>1</v>
      </c>
      <c r="J1324">
        <v>0</v>
      </c>
      <c r="K1324">
        <v>24</v>
      </c>
      <c r="L1324" t="s">
        <v>121</v>
      </c>
      <c r="N1324">
        <v>0.5</v>
      </c>
      <c r="O1324">
        <v>0.38</v>
      </c>
      <c r="P1324">
        <v>3.5</v>
      </c>
      <c r="Q1324">
        <v>0</v>
      </c>
      <c r="R1324">
        <v>3.5</v>
      </c>
      <c r="S1324">
        <v>4</v>
      </c>
      <c r="T1324">
        <v>0.5</v>
      </c>
      <c r="U1324">
        <v>0</v>
      </c>
      <c r="V1324">
        <v>0</v>
      </c>
      <c r="W1324">
        <v>0</v>
      </c>
      <c r="X1324">
        <v>0</v>
      </c>
      <c r="Y1324">
        <v>0.5</v>
      </c>
      <c r="Z1324">
        <v>0.5</v>
      </c>
      <c r="AA1324">
        <v>11</v>
      </c>
      <c r="AB1324">
        <v>9.375</v>
      </c>
    </row>
    <row r="1325" spans="1:30">
      <c r="A1325" t="s">
        <v>1487</v>
      </c>
      <c r="B1325">
        <v>60</v>
      </c>
      <c r="C1325">
        <v>41.25</v>
      </c>
      <c r="D1325">
        <v>4.3125</v>
      </c>
      <c r="F1325" t="s">
        <v>157</v>
      </c>
      <c r="G1325">
        <v>0</v>
      </c>
      <c r="I1325">
        <v>1</v>
      </c>
      <c r="J1325">
        <v>0</v>
      </c>
      <c r="N1325">
        <v>0.5</v>
      </c>
      <c r="O1325">
        <v>0.38</v>
      </c>
      <c r="P1325">
        <v>3.5</v>
      </c>
      <c r="Q1325">
        <v>0.1875</v>
      </c>
      <c r="R1325">
        <v>4.5</v>
      </c>
      <c r="S1325">
        <v>4</v>
      </c>
      <c r="T1325">
        <v>0.5</v>
      </c>
      <c r="U1325">
        <v>0</v>
      </c>
      <c r="V1325">
        <v>1</v>
      </c>
      <c r="W1325">
        <v>0</v>
      </c>
      <c r="X1325">
        <v>0</v>
      </c>
      <c r="Y1325">
        <v>0.5</v>
      </c>
      <c r="Z1325">
        <v>0</v>
      </c>
    </row>
    <row r="1326" spans="1:30">
      <c r="A1326" t="s">
        <v>1488</v>
      </c>
      <c r="B1326">
        <v>60</v>
      </c>
      <c r="C1326">
        <v>39.8125</v>
      </c>
      <c r="D1326">
        <v>9</v>
      </c>
      <c r="E1326">
        <v>1</v>
      </c>
      <c r="F1326" t="s">
        <v>157</v>
      </c>
      <c r="G1326">
        <v>0</v>
      </c>
      <c r="I1326">
        <v>1</v>
      </c>
      <c r="J1326">
        <v>1</v>
      </c>
      <c r="N1326">
        <v>0.5</v>
      </c>
      <c r="O1326">
        <v>0.38</v>
      </c>
      <c r="P1326">
        <v>3.5</v>
      </c>
      <c r="Q1326">
        <v>-4.5</v>
      </c>
      <c r="R1326">
        <v>3.5</v>
      </c>
      <c r="S1326">
        <v>4</v>
      </c>
      <c r="T1326">
        <v>0.5</v>
      </c>
      <c r="U1326">
        <v>0</v>
      </c>
      <c r="V1326">
        <v>0</v>
      </c>
      <c r="W1326">
        <v>0</v>
      </c>
      <c r="X1326">
        <v>0</v>
      </c>
      <c r="Y1326">
        <v>0.5</v>
      </c>
      <c r="Z1326">
        <v>0.5</v>
      </c>
    </row>
    <row r="1327" spans="1:30">
      <c r="A1327" t="s">
        <v>1489</v>
      </c>
      <c r="B1327">
        <v>60</v>
      </c>
      <c r="C1327">
        <v>45.6875</v>
      </c>
      <c r="D1327">
        <v>1</v>
      </c>
      <c r="F1327" t="s">
        <v>157</v>
      </c>
      <c r="G1327">
        <v>1</v>
      </c>
      <c r="H1327">
        <v>0</v>
      </c>
      <c r="I1327">
        <v>0</v>
      </c>
      <c r="L1327" t="s">
        <v>121</v>
      </c>
      <c r="N1327">
        <v>0.5</v>
      </c>
      <c r="O1327">
        <v>0.38</v>
      </c>
      <c r="P1327">
        <v>3.5</v>
      </c>
      <c r="Q1327">
        <v>3.5</v>
      </c>
      <c r="R1327">
        <v>4.5</v>
      </c>
      <c r="S1327">
        <v>4</v>
      </c>
      <c r="T1327">
        <v>0.5</v>
      </c>
      <c r="U1327">
        <v>1</v>
      </c>
      <c r="V1327">
        <v>0</v>
      </c>
      <c r="W1327">
        <v>0</v>
      </c>
      <c r="X1327">
        <v>0</v>
      </c>
      <c r="Y1327">
        <v>0</v>
      </c>
      <c r="Z1327">
        <v>0.5</v>
      </c>
      <c r="AA1327">
        <v>11</v>
      </c>
      <c r="AB1327">
        <v>9.375</v>
      </c>
      <c r="AC1327">
        <v>14.5</v>
      </c>
      <c r="AD1327">
        <v>17.75</v>
      </c>
    </row>
    <row r="1328" spans="1:30">
      <c r="A1328" t="s">
        <v>1490</v>
      </c>
      <c r="B1328">
        <v>60</v>
      </c>
      <c r="C1328">
        <v>64</v>
      </c>
      <c r="D1328">
        <v>4.5</v>
      </c>
      <c r="E1328">
        <v>2.4375</v>
      </c>
      <c r="F1328" t="s">
        <v>157</v>
      </c>
      <c r="G1328">
        <v>1</v>
      </c>
      <c r="H1328">
        <v>0</v>
      </c>
      <c r="I1328">
        <v>1</v>
      </c>
      <c r="J1328">
        <v>0</v>
      </c>
      <c r="K1328">
        <v>12</v>
      </c>
      <c r="L1328" t="s">
        <v>145</v>
      </c>
      <c r="N1328">
        <v>0.5</v>
      </c>
      <c r="O1328">
        <v>0.38</v>
      </c>
      <c r="P1328">
        <v>3.5</v>
      </c>
      <c r="Q1328">
        <v>0</v>
      </c>
      <c r="R1328">
        <v>2.0625</v>
      </c>
      <c r="S1328">
        <v>4</v>
      </c>
      <c r="T1328">
        <v>0.5</v>
      </c>
      <c r="U1328">
        <v>0</v>
      </c>
      <c r="V1328">
        <v>0</v>
      </c>
      <c r="W1328">
        <v>0</v>
      </c>
      <c r="X1328">
        <v>0</v>
      </c>
      <c r="Y1328">
        <v>0.5</v>
      </c>
      <c r="Z1328">
        <v>0.5</v>
      </c>
      <c r="AA1328">
        <v>15.5</v>
      </c>
      <c r="AB1328">
        <v>28.875</v>
      </c>
      <c r="AC1328">
        <v>14</v>
      </c>
      <c r="AD1328">
        <v>25.63</v>
      </c>
    </row>
    <row r="1329" spans="1:30">
      <c r="A1329" t="s">
        <v>1491</v>
      </c>
      <c r="B1329">
        <v>60</v>
      </c>
      <c r="C1329">
        <v>43.25</v>
      </c>
      <c r="D1329">
        <v>4.5</v>
      </c>
      <c r="F1329" t="s">
        <v>157</v>
      </c>
      <c r="G1329">
        <v>1</v>
      </c>
      <c r="H1329">
        <v>0</v>
      </c>
      <c r="I1329">
        <v>1</v>
      </c>
      <c r="J1329">
        <v>0</v>
      </c>
      <c r="K1329">
        <v>24</v>
      </c>
      <c r="L1329" t="s">
        <v>145</v>
      </c>
      <c r="N1329">
        <v>0.5</v>
      </c>
      <c r="O1329">
        <v>0.38</v>
      </c>
      <c r="P1329">
        <v>3.5</v>
      </c>
      <c r="Q1329">
        <v>0</v>
      </c>
      <c r="R1329">
        <v>4.5</v>
      </c>
      <c r="S1329">
        <v>4</v>
      </c>
      <c r="T1329">
        <v>0.5</v>
      </c>
      <c r="U1329">
        <v>0</v>
      </c>
      <c r="V1329">
        <v>0</v>
      </c>
      <c r="W1329">
        <v>0</v>
      </c>
      <c r="X1329">
        <v>0</v>
      </c>
      <c r="Y1329">
        <v>0.5</v>
      </c>
      <c r="Z1329">
        <v>0.5</v>
      </c>
      <c r="AA1329">
        <v>15.5</v>
      </c>
      <c r="AB1329">
        <v>28.875</v>
      </c>
    </row>
    <row r="1330" spans="1:30">
      <c r="A1330" t="s">
        <v>1492</v>
      </c>
      <c r="B1330">
        <v>60</v>
      </c>
      <c r="C1330">
        <v>49.9375</v>
      </c>
      <c r="D1330">
        <v>4.5</v>
      </c>
      <c r="E1330">
        <v>5.1875</v>
      </c>
      <c r="F1330" t="s">
        <v>157</v>
      </c>
      <c r="G1330">
        <v>1</v>
      </c>
      <c r="H1330">
        <v>0</v>
      </c>
      <c r="I1330">
        <v>1</v>
      </c>
      <c r="J1330">
        <v>0</v>
      </c>
      <c r="N1330">
        <v>0.5</v>
      </c>
      <c r="O1330">
        <v>0.38</v>
      </c>
      <c r="P1330">
        <v>3.5</v>
      </c>
      <c r="Q1330">
        <v>0</v>
      </c>
      <c r="R1330">
        <v>0</v>
      </c>
      <c r="S1330">
        <v>4</v>
      </c>
      <c r="T1330">
        <v>0.5</v>
      </c>
      <c r="U1330">
        <v>0</v>
      </c>
      <c r="V1330">
        <v>0</v>
      </c>
      <c r="W1330">
        <v>0</v>
      </c>
      <c r="X1330">
        <v>0</v>
      </c>
      <c r="Y1330">
        <v>0.5</v>
      </c>
      <c r="Z1330">
        <v>0.5</v>
      </c>
    </row>
    <row r="1331" spans="1:30">
      <c r="A1331" t="s">
        <v>1493</v>
      </c>
      <c r="B1331">
        <v>60</v>
      </c>
      <c r="C1331">
        <v>27.5625</v>
      </c>
      <c r="D1331">
        <v>12</v>
      </c>
      <c r="E1331">
        <v>1</v>
      </c>
      <c r="F1331" t="s">
        <v>157</v>
      </c>
      <c r="G1331">
        <v>1</v>
      </c>
      <c r="H1331">
        <v>0</v>
      </c>
      <c r="I1331">
        <v>1</v>
      </c>
      <c r="J1331">
        <v>1</v>
      </c>
      <c r="N1331">
        <v>0.5</v>
      </c>
      <c r="O1331">
        <v>0.38</v>
      </c>
      <c r="P1331">
        <v>3.5</v>
      </c>
      <c r="Q1331">
        <v>-7.5</v>
      </c>
      <c r="R1331">
        <v>3.5</v>
      </c>
      <c r="S1331">
        <v>4</v>
      </c>
      <c r="T1331">
        <v>0.5</v>
      </c>
      <c r="U1331">
        <v>0</v>
      </c>
      <c r="V1331">
        <v>0</v>
      </c>
      <c r="W1331">
        <v>0</v>
      </c>
      <c r="X1331">
        <v>0</v>
      </c>
      <c r="Y1331">
        <v>0.5</v>
      </c>
      <c r="Z1331">
        <v>0.5</v>
      </c>
    </row>
    <row r="1332" spans="1:30">
      <c r="A1332" t="s">
        <v>1494</v>
      </c>
      <c r="B1332">
        <v>60</v>
      </c>
      <c r="C1332">
        <v>69.125</v>
      </c>
      <c r="D1332">
        <v>4.5</v>
      </c>
      <c r="E1332">
        <v>5.25</v>
      </c>
      <c r="F1332" t="s">
        <v>157</v>
      </c>
      <c r="G1332">
        <v>1</v>
      </c>
      <c r="H1332">
        <v>1</v>
      </c>
      <c r="I1332">
        <v>0</v>
      </c>
      <c r="L1332" t="s">
        <v>120</v>
      </c>
      <c r="N1332">
        <v>0.5</v>
      </c>
      <c r="O1332">
        <v>0.38</v>
      </c>
      <c r="P1332">
        <v>3.5</v>
      </c>
      <c r="Q1332">
        <v>0</v>
      </c>
      <c r="R1332">
        <v>0</v>
      </c>
      <c r="S1332">
        <v>4</v>
      </c>
      <c r="T1332">
        <v>0.5</v>
      </c>
      <c r="U1332">
        <v>0</v>
      </c>
      <c r="V1332">
        <v>0</v>
      </c>
      <c r="W1332">
        <v>0</v>
      </c>
      <c r="X1332">
        <v>0</v>
      </c>
      <c r="Y1332">
        <v>0.5</v>
      </c>
      <c r="Z1332">
        <v>0.5</v>
      </c>
      <c r="AA1332">
        <v>11.5</v>
      </c>
      <c r="AB1332">
        <v>10.875</v>
      </c>
      <c r="AC1332">
        <v>28.94</v>
      </c>
      <c r="AD1332">
        <v>13.5</v>
      </c>
    </row>
    <row r="1333" spans="1:30">
      <c r="A1333" t="s">
        <v>1495</v>
      </c>
      <c r="B1333">
        <v>60</v>
      </c>
      <c r="C1333">
        <v>42.375</v>
      </c>
      <c r="D1333">
        <v>12</v>
      </c>
      <c r="E1333">
        <v>1</v>
      </c>
      <c r="F1333" t="s">
        <v>157</v>
      </c>
      <c r="G1333">
        <v>1</v>
      </c>
      <c r="H1333">
        <v>1</v>
      </c>
      <c r="I1333">
        <v>1</v>
      </c>
      <c r="J1333">
        <v>0</v>
      </c>
      <c r="K1333">
        <v>12</v>
      </c>
      <c r="L1333" t="s">
        <v>145</v>
      </c>
      <c r="N1333">
        <v>0.5</v>
      </c>
      <c r="O1333">
        <v>0.38</v>
      </c>
      <c r="P1333">
        <v>3.5</v>
      </c>
      <c r="Q1333">
        <v>-7.5</v>
      </c>
      <c r="R1333">
        <v>3.5</v>
      </c>
      <c r="S1333">
        <v>4</v>
      </c>
      <c r="T1333">
        <v>0.5</v>
      </c>
      <c r="U1333">
        <v>0</v>
      </c>
      <c r="V1333">
        <v>0</v>
      </c>
      <c r="W1333">
        <v>0</v>
      </c>
      <c r="X1333">
        <v>0</v>
      </c>
      <c r="Y1333">
        <v>0.5</v>
      </c>
      <c r="Z1333">
        <v>0.5</v>
      </c>
      <c r="AA1333">
        <v>15.5</v>
      </c>
      <c r="AB1333">
        <v>28.875</v>
      </c>
      <c r="AC1333">
        <v>14</v>
      </c>
      <c r="AD1333">
        <v>18.13</v>
      </c>
    </row>
    <row r="1334" spans="1:30">
      <c r="A1334" t="s">
        <v>1496</v>
      </c>
      <c r="B1334">
        <v>60</v>
      </c>
      <c r="C1334">
        <v>59.3125</v>
      </c>
      <c r="D1334">
        <v>9</v>
      </c>
      <c r="E1334">
        <v>1.8125</v>
      </c>
      <c r="F1334" t="s">
        <v>157</v>
      </c>
      <c r="G1334">
        <v>1</v>
      </c>
      <c r="H1334">
        <v>1</v>
      </c>
      <c r="I1334">
        <v>1</v>
      </c>
      <c r="J1334">
        <v>0</v>
      </c>
      <c r="K1334">
        <v>24</v>
      </c>
      <c r="L1334" t="s">
        <v>145</v>
      </c>
      <c r="N1334">
        <v>0.5</v>
      </c>
      <c r="O1334">
        <v>0.38</v>
      </c>
      <c r="P1334">
        <v>3.5</v>
      </c>
      <c r="Q1334">
        <v>-4.5</v>
      </c>
      <c r="R1334">
        <v>2.6875</v>
      </c>
      <c r="S1334">
        <v>4</v>
      </c>
      <c r="T1334">
        <v>0.5</v>
      </c>
      <c r="U1334">
        <v>0</v>
      </c>
      <c r="V1334">
        <v>0</v>
      </c>
      <c r="W1334">
        <v>0</v>
      </c>
      <c r="X1334">
        <v>0</v>
      </c>
      <c r="Y1334">
        <v>0.5</v>
      </c>
      <c r="Z1334">
        <v>0.5</v>
      </c>
      <c r="AA1334">
        <v>15.5</v>
      </c>
      <c r="AB1334">
        <v>28.875</v>
      </c>
    </row>
    <row r="1335" spans="1:30">
      <c r="A1335" t="s">
        <v>1497</v>
      </c>
      <c r="B1335">
        <v>60</v>
      </c>
      <c r="C1335">
        <v>53.3125</v>
      </c>
      <c r="D1335">
        <v>9.6875</v>
      </c>
      <c r="F1335" t="s">
        <v>157</v>
      </c>
      <c r="G1335">
        <v>1</v>
      </c>
      <c r="H1335">
        <v>1</v>
      </c>
      <c r="I1335">
        <v>1</v>
      </c>
      <c r="J1335">
        <v>0</v>
      </c>
      <c r="N1335">
        <v>0.5</v>
      </c>
      <c r="O1335">
        <v>0.38</v>
      </c>
      <c r="P1335">
        <v>3.5</v>
      </c>
      <c r="Q1335">
        <v>-5.1875</v>
      </c>
      <c r="R1335">
        <v>4.5</v>
      </c>
      <c r="S1335">
        <v>4</v>
      </c>
      <c r="T1335">
        <v>0.5</v>
      </c>
      <c r="U1335">
        <v>0</v>
      </c>
      <c r="V1335">
        <v>0</v>
      </c>
      <c r="W1335">
        <v>0</v>
      </c>
      <c r="X1335">
        <v>0</v>
      </c>
      <c r="Y1335">
        <v>0.5</v>
      </c>
      <c r="Z1335">
        <v>0.5</v>
      </c>
    </row>
    <row r="1336" spans="1:30">
      <c r="A1336" t="s">
        <v>1498</v>
      </c>
      <c r="B1336">
        <v>60</v>
      </c>
      <c r="C1336">
        <v>44.75</v>
      </c>
      <c r="D1336">
        <v>3.75</v>
      </c>
      <c r="F1336" t="s">
        <v>157</v>
      </c>
      <c r="G1336">
        <v>1</v>
      </c>
      <c r="H1336">
        <v>1</v>
      </c>
      <c r="I1336">
        <v>1</v>
      </c>
      <c r="J1336">
        <v>1</v>
      </c>
      <c r="N1336">
        <v>0.5</v>
      </c>
      <c r="O1336">
        <v>0.38</v>
      </c>
      <c r="P1336">
        <v>3.5</v>
      </c>
      <c r="Q1336">
        <v>0.75</v>
      </c>
      <c r="R1336">
        <v>4.5</v>
      </c>
      <c r="S1336">
        <v>4</v>
      </c>
      <c r="T1336">
        <v>0.5</v>
      </c>
      <c r="U1336">
        <v>1</v>
      </c>
      <c r="V1336">
        <v>1</v>
      </c>
      <c r="W1336">
        <v>0</v>
      </c>
      <c r="X1336">
        <v>0</v>
      </c>
      <c r="Y1336">
        <v>0</v>
      </c>
      <c r="Z1336">
        <v>0</v>
      </c>
    </row>
    <row r="1337" spans="1:30">
      <c r="A1337" t="s">
        <v>1499</v>
      </c>
      <c r="B1337">
        <v>61.1875</v>
      </c>
      <c r="C1337">
        <v>41.1875</v>
      </c>
      <c r="D1337">
        <v>1</v>
      </c>
      <c r="E1337">
        <v>6.125</v>
      </c>
      <c r="F1337" t="s">
        <v>21</v>
      </c>
      <c r="G1337">
        <v>0</v>
      </c>
      <c r="I1337">
        <v>0</v>
      </c>
      <c r="L1337" t="s">
        <v>35</v>
      </c>
      <c r="N1337">
        <v>0.5</v>
      </c>
      <c r="O1337">
        <v>0.38</v>
      </c>
      <c r="P1337">
        <v>3.5</v>
      </c>
      <c r="Q1337">
        <v>3.5</v>
      </c>
      <c r="R1337">
        <v>0</v>
      </c>
      <c r="S1337">
        <v>4</v>
      </c>
      <c r="T1337">
        <v>0.5</v>
      </c>
      <c r="U1337">
        <v>0</v>
      </c>
      <c r="V1337">
        <v>0</v>
      </c>
      <c r="W1337">
        <v>0</v>
      </c>
      <c r="X1337">
        <v>0</v>
      </c>
      <c r="Y1337">
        <v>0.5</v>
      </c>
      <c r="Z1337">
        <v>0.5</v>
      </c>
      <c r="AA1337">
        <v>15.5</v>
      </c>
      <c r="AB1337">
        <v>28.875</v>
      </c>
      <c r="AC1337">
        <v>26</v>
      </c>
      <c r="AD1337">
        <v>29.13</v>
      </c>
    </row>
    <row r="1338" spans="1:30">
      <c r="A1338" t="s">
        <v>1500</v>
      </c>
      <c r="B1338">
        <v>50.125</v>
      </c>
      <c r="C1338">
        <v>71.25</v>
      </c>
      <c r="D1338">
        <v>8.5625</v>
      </c>
      <c r="E1338">
        <v>1</v>
      </c>
      <c r="F1338" t="s">
        <v>21</v>
      </c>
      <c r="G1338">
        <v>0</v>
      </c>
      <c r="I1338">
        <v>1</v>
      </c>
      <c r="J1338">
        <v>0</v>
      </c>
      <c r="K1338">
        <v>12</v>
      </c>
      <c r="L1338" t="s">
        <v>121</v>
      </c>
      <c r="N1338">
        <v>0.5</v>
      </c>
      <c r="O1338">
        <v>0.38</v>
      </c>
      <c r="P1338">
        <v>3.5</v>
      </c>
      <c r="Q1338">
        <v>-4.0625</v>
      </c>
      <c r="R1338">
        <v>3.5</v>
      </c>
      <c r="S1338">
        <v>4</v>
      </c>
      <c r="T1338">
        <v>0.5</v>
      </c>
      <c r="U1338">
        <v>0</v>
      </c>
      <c r="V1338">
        <v>0</v>
      </c>
      <c r="W1338">
        <v>0</v>
      </c>
      <c r="X1338">
        <v>0</v>
      </c>
      <c r="Y1338">
        <v>0.5</v>
      </c>
      <c r="Z1338">
        <v>0.5</v>
      </c>
      <c r="AA1338">
        <v>11</v>
      </c>
      <c r="AB1338">
        <v>9.375</v>
      </c>
    </row>
    <row r="1339" spans="1:30">
      <c r="A1339" t="s">
        <v>1501</v>
      </c>
      <c r="B1339">
        <v>57.5625</v>
      </c>
      <c r="C1339">
        <v>75.125</v>
      </c>
      <c r="D1339">
        <v>1</v>
      </c>
      <c r="F1339" t="s">
        <v>21</v>
      </c>
      <c r="G1339">
        <v>0</v>
      </c>
      <c r="I1339">
        <v>1</v>
      </c>
      <c r="J1339">
        <v>0</v>
      </c>
      <c r="K1339">
        <v>24</v>
      </c>
      <c r="L1339" t="s">
        <v>121</v>
      </c>
      <c r="N1339">
        <v>0.5</v>
      </c>
      <c r="O1339">
        <v>0.38</v>
      </c>
      <c r="P1339">
        <v>3.5</v>
      </c>
      <c r="Q1339">
        <v>3.5</v>
      </c>
      <c r="R1339">
        <v>4.5</v>
      </c>
      <c r="S1339">
        <v>4</v>
      </c>
      <c r="T1339">
        <v>0.5</v>
      </c>
      <c r="U1339">
        <v>0</v>
      </c>
      <c r="V1339">
        <v>1</v>
      </c>
      <c r="W1339">
        <v>0</v>
      </c>
      <c r="X1339">
        <v>0</v>
      </c>
      <c r="Y1339">
        <v>0.5</v>
      </c>
      <c r="Z1339">
        <v>0</v>
      </c>
      <c r="AA1339">
        <v>11</v>
      </c>
      <c r="AB1339">
        <v>9.375</v>
      </c>
    </row>
    <row r="1340" spans="1:30">
      <c r="A1340" t="s">
        <v>1502</v>
      </c>
      <c r="B1340">
        <v>37.1875</v>
      </c>
      <c r="C1340">
        <v>77.3125</v>
      </c>
      <c r="D1340">
        <v>12</v>
      </c>
      <c r="F1340" t="s">
        <v>21</v>
      </c>
      <c r="G1340">
        <v>0</v>
      </c>
      <c r="I1340">
        <v>1</v>
      </c>
      <c r="J1340">
        <v>0</v>
      </c>
      <c r="N1340">
        <v>0.5</v>
      </c>
      <c r="O1340">
        <v>0.38</v>
      </c>
      <c r="P1340">
        <v>3.5</v>
      </c>
      <c r="Q1340">
        <v>-7.5</v>
      </c>
      <c r="R1340">
        <v>4.5</v>
      </c>
      <c r="S1340">
        <v>4</v>
      </c>
      <c r="T1340">
        <v>0.5</v>
      </c>
      <c r="U1340">
        <v>0</v>
      </c>
      <c r="V1340">
        <v>0</v>
      </c>
      <c r="W1340">
        <v>0</v>
      </c>
      <c r="X1340">
        <v>0</v>
      </c>
      <c r="Y1340">
        <v>0.5</v>
      </c>
      <c r="Z1340">
        <v>0.5</v>
      </c>
    </row>
    <row r="1341" spans="1:30">
      <c r="A1341" t="s">
        <v>1503</v>
      </c>
      <c r="B1341">
        <v>96</v>
      </c>
      <c r="C1341">
        <v>19.9375</v>
      </c>
      <c r="D1341">
        <v>9</v>
      </c>
      <c r="E1341">
        <v>4.8125</v>
      </c>
      <c r="F1341" t="s">
        <v>21</v>
      </c>
      <c r="G1341">
        <v>0</v>
      </c>
      <c r="I1341">
        <v>1</v>
      </c>
      <c r="J1341">
        <v>1</v>
      </c>
      <c r="N1341">
        <v>0.5</v>
      </c>
      <c r="O1341">
        <v>0.38</v>
      </c>
      <c r="P1341">
        <v>3.5</v>
      </c>
      <c r="Q1341">
        <v>-4.5</v>
      </c>
      <c r="R1341">
        <v>0</v>
      </c>
      <c r="S1341">
        <v>4</v>
      </c>
      <c r="T1341">
        <v>0.5</v>
      </c>
      <c r="U1341">
        <v>0</v>
      </c>
      <c r="V1341">
        <v>0</v>
      </c>
      <c r="W1341">
        <v>0</v>
      </c>
      <c r="X1341">
        <v>0</v>
      </c>
      <c r="Y1341">
        <v>0.5</v>
      </c>
      <c r="Z1341">
        <v>0.5</v>
      </c>
    </row>
    <row r="1342" spans="1:30">
      <c r="A1342" t="s">
        <v>1504</v>
      </c>
      <c r="B1342">
        <v>73.3125</v>
      </c>
      <c r="C1342">
        <v>73.4375</v>
      </c>
      <c r="D1342">
        <v>1</v>
      </c>
      <c r="E1342">
        <v>1</v>
      </c>
      <c r="F1342" t="s">
        <v>21</v>
      </c>
      <c r="G1342">
        <v>1</v>
      </c>
      <c r="H1342">
        <v>0</v>
      </c>
      <c r="I1342">
        <v>0</v>
      </c>
      <c r="N1342">
        <v>0.5</v>
      </c>
      <c r="O1342">
        <v>0.38</v>
      </c>
      <c r="P1342">
        <v>3.5</v>
      </c>
      <c r="Q1342">
        <v>3.5</v>
      </c>
      <c r="R1342">
        <v>3.5</v>
      </c>
      <c r="S1342">
        <v>4</v>
      </c>
      <c r="T1342">
        <v>0.5</v>
      </c>
      <c r="U1342">
        <v>1</v>
      </c>
      <c r="V1342">
        <v>0</v>
      </c>
      <c r="W1342">
        <v>0</v>
      </c>
      <c r="X1342">
        <v>0</v>
      </c>
      <c r="Y1342">
        <v>0</v>
      </c>
      <c r="Z1342">
        <v>0.5</v>
      </c>
    </row>
    <row r="1343" spans="1:30">
      <c r="A1343" t="s">
        <v>1505</v>
      </c>
      <c r="B1343">
        <v>78.9375</v>
      </c>
      <c r="C1343">
        <v>77.0625</v>
      </c>
      <c r="D1343">
        <v>5.3125</v>
      </c>
      <c r="E1343">
        <v>5.125</v>
      </c>
      <c r="F1343" t="s">
        <v>21</v>
      </c>
      <c r="G1343">
        <v>1</v>
      </c>
      <c r="H1343">
        <v>0</v>
      </c>
      <c r="I1343">
        <v>1</v>
      </c>
      <c r="J1343">
        <v>0</v>
      </c>
      <c r="K1343">
        <v>12</v>
      </c>
      <c r="L1343" t="s">
        <v>120</v>
      </c>
      <c r="N1343">
        <v>0.5</v>
      </c>
      <c r="O1343">
        <v>0.38</v>
      </c>
      <c r="P1343">
        <v>3.5</v>
      </c>
      <c r="Q1343">
        <v>-0.8125</v>
      </c>
      <c r="R1343">
        <v>0</v>
      </c>
      <c r="S1343">
        <v>4</v>
      </c>
      <c r="T1343">
        <v>0.5</v>
      </c>
      <c r="U1343">
        <v>0</v>
      </c>
      <c r="V1343">
        <v>0</v>
      </c>
      <c r="W1343">
        <v>0</v>
      </c>
      <c r="X1343">
        <v>0</v>
      </c>
      <c r="Y1343">
        <v>0.5</v>
      </c>
      <c r="Z1343">
        <v>0.5</v>
      </c>
      <c r="AA1343">
        <v>11.5</v>
      </c>
      <c r="AB1343">
        <v>10.875</v>
      </c>
      <c r="AC1343">
        <v>16.940000000000001</v>
      </c>
      <c r="AD1343">
        <v>12.6875</v>
      </c>
    </row>
    <row r="1344" spans="1:30">
      <c r="A1344" t="s">
        <v>1506</v>
      </c>
      <c r="B1344">
        <v>55.5625</v>
      </c>
      <c r="C1344">
        <v>71.3125</v>
      </c>
      <c r="D1344">
        <v>12</v>
      </c>
      <c r="E1344">
        <v>1</v>
      </c>
      <c r="F1344" t="s">
        <v>21</v>
      </c>
      <c r="G1344">
        <v>1</v>
      </c>
      <c r="H1344">
        <v>0</v>
      </c>
      <c r="I1344">
        <v>1</v>
      </c>
      <c r="J1344">
        <v>0</v>
      </c>
      <c r="K1344">
        <v>24</v>
      </c>
      <c r="L1344" t="s">
        <v>121</v>
      </c>
      <c r="N1344">
        <v>0.5</v>
      </c>
      <c r="O1344">
        <v>0.38</v>
      </c>
      <c r="P1344">
        <v>3.5</v>
      </c>
      <c r="Q1344">
        <v>-7.5</v>
      </c>
      <c r="R1344">
        <v>3.5</v>
      </c>
      <c r="S1344">
        <v>4</v>
      </c>
      <c r="T1344">
        <v>0.5</v>
      </c>
      <c r="U1344">
        <v>0</v>
      </c>
      <c r="V1344">
        <v>0</v>
      </c>
      <c r="W1344">
        <v>0</v>
      </c>
      <c r="X1344">
        <v>0</v>
      </c>
      <c r="Y1344">
        <v>0.5</v>
      </c>
      <c r="Z1344">
        <v>0.5</v>
      </c>
      <c r="AA1344">
        <v>11</v>
      </c>
      <c r="AB1344">
        <v>9.375</v>
      </c>
    </row>
    <row r="1345" spans="1:30">
      <c r="A1345" t="s">
        <v>1507</v>
      </c>
      <c r="B1345">
        <v>96</v>
      </c>
      <c r="C1345">
        <v>54.9375</v>
      </c>
      <c r="D1345">
        <v>9</v>
      </c>
      <c r="E1345">
        <v>1.0625</v>
      </c>
      <c r="F1345" t="s">
        <v>21</v>
      </c>
      <c r="G1345">
        <v>1</v>
      </c>
      <c r="H1345">
        <v>0</v>
      </c>
      <c r="I1345">
        <v>1</v>
      </c>
      <c r="J1345">
        <v>0</v>
      </c>
      <c r="N1345">
        <v>0.5</v>
      </c>
      <c r="O1345">
        <v>0.38</v>
      </c>
      <c r="P1345">
        <v>3.5</v>
      </c>
      <c r="Q1345">
        <v>-4.5</v>
      </c>
      <c r="R1345">
        <v>3.4375</v>
      </c>
      <c r="S1345">
        <v>4</v>
      </c>
      <c r="T1345">
        <v>0.5</v>
      </c>
      <c r="U1345">
        <v>0</v>
      </c>
      <c r="V1345">
        <v>0</v>
      </c>
      <c r="W1345">
        <v>0</v>
      </c>
      <c r="X1345">
        <v>0</v>
      </c>
      <c r="Y1345">
        <v>0.5</v>
      </c>
      <c r="Z1345">
        <v>0.5</v>
      </c>
    </row>
    <row r="1346" spans="1:30">
      <c r="A1346" t="s">
        <v>1508</v>
      </c>
      <c r="B1346">
        <v>68.6875</v>
      </c>
      <c r="C1346">
        <v>50.8125</v>
      </c>
      <c r="D1346">
        <v>4.5</v>
      </c>
      <c r="E1346">
        <v>1</v>
      </c>
      <c r="F1346" t="s">
        <v>21</v>
      </c>
      <c r="G1346">
        <v>1</v>
      </c>
      <c r="H1346">
        <v>0</v>
      </c>
      <c r="I1346">
        <v>1</v>
      </c>
      <c r="J1346">
        <v>1</v>
      </c>
      <c r="N1346">
        <v>0.5</v>
      </c>
      <c r="O1346">
        <v>0.38</v>
      </c>
      <c r="P1346">
        <v>3.5</v>
      </c>
      <c r="Q1346">
        <v>0</v>
      </c>
      <c r="R1346">
        <v>3.5</v>
      </c>
      <c r="S1346">
        <v>4</v>
      </c>
      <c r="T1346">
        <v>0.5</v>
      </c>
      <c r="U1346">
        <v>0</v>
      </c>
      <c r="V1346">
        <v>0</v>
      </c>
      <c r="W1346">
        <v>0</v>
      </c>
      <c r="X1346">
        <v>1</v>
      </c>
      <c r="Y1346">
        <v>0.5</v>
      </c>
      <c r="Z1346">
        <v>0.5</v>
      </c>
    </row>
    <row r="1347" spans="1:30">
      <c r="A1347" t="s">
        <v>1509</v>
      </c>
      <c r="B1347">
        <v>95.625</v>
      </c>
      <c r="C1347">
        <v>40.5</v>
      </c>
      <c r="D1347">
        <v>1.3125</v>
      </c>
      <c r="E1347">
        <v>1</v>
      </c>
      <c r="F1347" t="s">
        <v>21</v>
      </c>
      <c r="G1347">
        <v>1</v>
      </c>
      <c r="H1347">
        <v>1</v>
      </c>
      <c r="I1347">
        <v>0</v>
      </c>
      <c r="L1347" t="s">
        <v>120</v>
      </c>
      <c r="N1347">
        <v>0.5</v>
      </c>
      <c r="O1347">
        <v>0.38</v>
      </c>
      <c r="P1347">
        <v>3.5</v>
      </c>
      <c r="Q1347">
        <v>3.1875</v>
      </c>
      <c r="R1347">
        <v>3.5</v>
      </c>
      <c r="S1347">
        <v>4</v>
      </c>
      <c r="T1347">
        <v>0.5</v>
      </c>
      <c r="U1347">
        <v>1</v>
      </c>
      <c r="V1347">
        <v>0</v>
      </c>
      <c r="W1347">
        <v>1</v>
      </c>
      <c r="X1347">
        <v>0</v>
      </c>
      <c r="Y1347">
        <v>0</v>
      </c>
      <c r="Z1347">
        <v>0.5</v>
      </c>
      <c r="AA1347">
        <v>11.5</v>
      </c>
      <c r="AB1347">
        <v>10.875</v>
      </c>
      <c r="AC1347">
        <v>28.94</v>
      </c>
      <c r="AD1347">
        <v>16.6875</v>
      </c>
    </row>
    <row r="1348" spans="1:30">
      <c r="A1348" t="s">
        <v>1510</v>
      </c>
      <c r="B1348">
        <v>79.9375</v>
      </c>
      <c r="C1348">
        <v>48.0625</v>
      </c>
      <c r="D1348">
        <v>3.9375</v>
      </c>
      <c r="E1348">
        <v>1</v>
      </c>
      <c r="F1348" t="s">
        <v>21</v>
      </c>
      <c r="G1348">
        <v>1</v>
      </c>
      <c r="H1348">
        <v>1</v>
      </c>
      <c r="I1348">
        <v>1</v>
      </c>
      <c r="J1348">
        <v>0</v>
      </c>
      <c r="K1348">
        <v>12</v>
      </c>
      <c r="L1348" t="s">
        <v>145</v>
      </c>
      <c r="N1348">
        <v>0.5</v>
      </c>
      <c r="O1348">
        <v>0.38</v>
      </c>
      <c r="P1348">
        <v>3.5</v>
      </c>
      <c r="Q1348">
        <v>0.5625</v>
      </c>
      <c r="R1348">
        <v>3.5</v>
      </c>
      <c r="S1348">
        <v>4</v>
      </c>
      <c r="T1348">
        <v>0.5</v>
      </c>
      <c r="U1348">
        <v>1</v>
      </c>
      <c r="V1348">
        <v>1</v>
      </c>
      <c r="W1348">
        <v>1</v>
      </c>
      <c r="X1348">
        <v>0</v>
      </c>
      <c r="Y1348">
        <v>0</v>
      </c>
      <c r="Z1348">
        <v>0</v>
      </c>
      <c r="AA1348">
        <v>15.5</v>
      </c>
      <c r="AB1348">
        <v>28.875</v>
      </c>
      <c r="AC1348">
        <v>14</v>
      </c>
      <c r="AD1348">
        <v>26.192499999999999</v>
      </c>
    </row>
    <row r="1349" spans="1:30">
      <c r="A1349" t="s">
        <v>1511</v>
      </c>
      <c r="B1349">
        <v>109.375</v>
      </c>
      <c r="C1349">
        <v>75.375</v>
      </c>
      <c r="D1349">
        <v>1.9375</v>
      </c>
      <c r="F1349" t="s">
        <v>21</v>
      </c>
      <c r="G1349">
        <v>1</v>
      </c>
      <c r="H1349">
        <v>1</v>
      </c>
      <c r="I1349">
        <v>1</v>
      </c>
      <c r="J1349">
        <v>0</v>
      </c>
      <c r="K1349">
        <v>24</v>
      </c>
      <c r="L1349" t="s">
        <v>150</v>
      </c>
      <c r="N1349">
        <v>0.5</v>
      </c>
      <c r="O1349">
        <v>0.38</v>
      </c>
      <c r="P1349">
        <v>3.5</v>
      </c>
      <c r="Q1349">
        <v>2.5625</v>
      </c>
      <c r="R1349">
        <v>4.5</v>
      </c>
      <c r="S1349">
        <v>4</v>
      </c>
      <c r="T1349">
        <v>0.5</v>
      </c>
      <c r="U1349">
        <v>1</v>
      </c>
      <c r="V1349">
        <v>1</v>
      </c>
      <c r="W1349">
        <v>0</v>
      </c>
      <c r="X1349">
        <v>0</v>
      </c>
      <c r="Y1349">
        <v>0</v>
      </c>
      <c r="Z1349">
        <v>0</v>
      </c>
      <c r="AA1349">
        <v>15.5</v>
      </c>
      <c r="AB1349">
        <v>28.875</v>
      </c>
    </row>
    <row r="1350" spans="1:30">
      <c r="A1350" t="s">
        <v>1512</v>
      </c>
      <c r="B1350">
        <v>85.625</v>
      </c>
      <c r="C1350">
        <v>22.375</v>
      </c>
      <c r="D1350">
        <v>12</v>
      </c>
      <c r="E1350">
        <v>1.125</v>
      </c>
      <c r="F1350" t="s">
        <v>21</v>
      </c>
      <c r="G1350">
        <v>1</v>
      </c>
      <c r="H1350">
        <v>1</v>
      </c>
      <c r="I1350">
        <v>1</v>
      </c>
      <c r="J1350">
        <v>0</v>
      </c>
      <c r="N1350">
        <v>0.5</v>
      </c>
      <c r="O1350">
        <v>0.38</v>
      </c>
      <c r="P1350">
        <v>3.5</v>
      </c>
      <c r="Q1350">
        <v>-7.5</v>
      </c>
      <c r="R1350">
        <v>3.375</v>
      </c>
      <c r="S1350">
        <v>4</v>
      </c>
      <c r="T1350">
        <v>0.5</v>
      </c>
      <c r="U1350">
        <v>0</v>
      </c>
      <c r="V1350">
        <v>0</v>
      </c>
      <c r="W1350">
        <v>1</v>
      </c>
      <c r="X1350">
        <v>0</v>
      </c>
      <c r="Y1350">
        <v>0.5</v>
      </c>
      <c r="Z1350">
        <v>0.5</v>
      </c>
    </row>
    <row r="1351" spans="1:30">
      <c r="A1351" t="s">
        <v>1513</v>
      </c>
      <c r="B1351">
        <v>41.625</v>
      </c>
      <c r="C1351">
        <v>8.375</v>
      </c>
      <c r="D1351">
        <v>3.125</v>
      </c>
      <c r="E1351">
        <v>1</v>
      </c>
      <c r="F1351" t="s">
        <v>21</v>
      </c>
      <c r="G1351">
        <v>1</v>
      </c>
      <c r="H1351">
        <v>1</v>
      </c>
      <c r="I1351">
        <v>1</v>
      </c>
      <c r="J1351">
        <v>1</v>
      </c>
      <c r="N1351">
        <v>0.5</v>
      </c>
      <c r="O1351">
        <v>0.38</v>
      </c>
      <c r="P1351">
        <v>3.5</v>
      </c>
      <c r="Q1351">
        <v>1.375</v>
      </c>
      <c r="R1351">
        <v>3.5</v>
      </c>
      <c r="S1351">
        <v>4</v>
      </c>
      <c r="T1351">
        <v>0.5</v>
      </c>
      <c r="U1351">
        <v>1</v>
      </c>
      <c r="V1351">
        <v>1</v>
      </c>
      <c r="W1351">
        <v>1</v>
      </c>
      <c r="X1351">
        <v>1</v>
      </c>
      <c r="Y1351">
        <v>0</v>
      </c>
      <c r="Z1351">
        <v>0</v>
      </c>
    </row>
    <row r="1352" spans="1:30">
      <c r="A1352" t="s">
        <v>1514</v>
      </c>
      <c r="B1352">
        <v>7.4375</v>
      </c>
      <c r="C1352">
        <v>51</v>
      </c>
      <c r="D1352">
        <v>7</v>
      </c>
      <c r="E1352">
        <v>4.5</v>
      </c>
      <c r="F1352" t="s">
        <v>156</v>
      </c>
      <c r="G1352">
        <v>0</v>
      </c>
      <c r="I1352">
        <v>0</v>
      </c>
      <c r="L1352" t="s">
        <v>119</v>
      </c>
      <c r="N1352">
        <v>0.5</v>
      </c>
      <c r="O1352">
        <v>0.38</v>
      </c>
      <c r="P1352">
        <v>3.5</v>
      </c>
      <c r="Q1352">
        <v>-2.5</v>
      </c>
      <c r="R1352">
        <v>0</v>
      </c>
      <c r="S1352">
        <v>4</v>
      </c>
      <c r="T1352">
        <v>0.5</v>
      </c>
      <c r="U1352">
        <v>0</v>
      </c>
      <c r="V1352">
        <v>0</v>
      </c>
      <c r="W1352">
        <v>0</v>
      </c>
      <c r="X1352">
        <v>0</v>
      </c>
      <c r="Y1352">
        <v>0.5</v>
      </c>
      <c r="Z1352">
        <v>0.5</v>
      </c>
    </row>
    <row r="1353" spans="1:30">
      <c r="A1353" t="s">
        <v>1515</v>
      </c>
      <c r="B1353">
        <v>12.125</v>
      </c>
      <c r="C1353">
        <v>78.5625</v>
      </c>
      <c r="D1353">
        <v>1</v>
      </c>
      <c r="E1353">
        <v>5.375</v>
      </c>
      <c r="F1353" t="s">
        <v>156</v>
      </c>
      <c r="G1353">
        <v>0</v>
      </c>
      <c r="I1353">
        <v>1</v>
      </c>
      <c r="J1353">
        <v>0</v>
      </c>
      <c r="K1353">
        <v>12</v>
      </c>
      <c r="L1353" t="s">
        <v>149</v>
      </c>
      <c r="N1353">
        <v>0.5</v>
      </c>
      <c r="O1353">
        <v>0.38</v>
      </c>
      <c r="P1353">
        <v>3.5</v>
      </c>
      <c r="Q1353">
        <v>3.5</v>
      </c>
      <c r="R1353">
        <v>0</v>
      </c>
      <c r="S1353">
        <v>4</v>
      </c>
      <c r="T1353">
        <v>0.5</v>
      </c>
      <c r="U1353">
        <v>0</v>
      </c>
      <c r="V1353">
        <v>0</v>
      </c>
      <c r="W1353">
        <v>0</v>
      </c>
      <c r="X1353">
        <v>0</v>
      </c>
      <c r="Y1353">
        <v>0.5</v>
      </c>
      <c r="Z1353">
        <v>0.5</v>
      </c>
    </row>
    <row r="1354" spans="1:30">
      <c r="A1354" t="s">
        <v>1516</v>
      </c>
      <c r="B1354">
        <v>9.0625</v>
      </c>
      <c r="C1354">
        <v>57.1875</v>
      </c>
      <c r="D1354">
        <v>12</v>
      </c>
      <c r="E1354">
        <v>4.5625</v>
      </c>
      <c r="F1354" t="s">
        <v>156</v>
      </c>
      <c r="G1354">
        <v>0</v>
      </c>
      <c r="I1354">
        <v>1</v>
      </c>
      <c r="J1354">
        <v>0</v>
      </c>
      <c r="K1354">
        <v>24</v>
      </c>
      <c r="L1354" t="s">
        <v>120</v>
      </c>
      <c r="N1354">
        <v>0.5</v>
      </c>
      <c r="O1354">
        <v>0.38</v>
      </c>
      <c r="P1354">
        <v>3.5</v>
      </c>
      <c r="Q1354">
        <v>-7.5</v>
      </c>
      <c r="R1354">
        <v>0</v>
      </c>
      <c r="S1354">
        <v>4</v>
      </c>
      <c r="T1354">
        <v>0.5</v>
      </c>
      <c r="U1354">
        <v>0</v>
      </c>
      <c r="V1354">
        <v>0</v>
      </c>
      <c r="W1354">
        <v>0</v>
      </c>
      <c r="X1354">
        <v>0</v>
      </c>
      <c r="Y1354">
        <v>0.5</v>
      </c>
      <c r="Z1354">
        <v>0.5</v>
      </c>
    </row>
    <row r="1355" spans="1:30">
      <c r="A1355" t="s">
        <v>1517</v>
      </c>
      <c r="B1355">
        <v>15.5625</v>
      </c>
      <c r="C1355">
        <v>70.375</v>
      </c>
      <c r="D1355">
        <v>9.1875</v>
      </c>
      <c r="E1355">
        <v>1</v>
      </c>
      <c r="F1355" t="s">
        <v>156</v>
      </c>
      <c r="G1355">
        <v>0</v>
      </c>
      <c r="I1355">
        <v>1</v>
      </c>
      <c r="J1355">
        <v>0</v>
      </c>
      <c r="N1355">
        <v>0.5</v>
      </c>
      <c r="O1355">
        <v>0.38</v>
      </c>
      <c r="P1355">
        <v>3.5</v>
      </c>
      <c r="Q1355">
        <v>-4.6875</v>
      </c>
      <c r="R1355">
        <v>3.5</v>
      </c>
      <c r="S1355">
        <v>4</v>
      </c>
      <c r="T1355">
        <v>0.5</v>
      </c>
      <c r="U1355">
        <v>0</v>
      </c>
      <c r="V1355">
        <v>0</v>
      </c>
      <c r="W1355">
        <v>0</v>
      </c>
      <c r="X1355">
        <v>0</v>
      </c>
      <c r="Y1355">
        <v>0.5</v>
      </c>
      <c r="Z1355">
        <v>0.5</v>
      </c>
    </row>
    <row r="1356" spans="1:30">
      <c r="A1356" t="s">
        <v>1518</v>
      </c>
      <c r="B1356">
        <v>11.25</v>
      </c>
      <c r="C1356">
        <v>42</v>
      </c>
      <c r="D1356">
        <v>9</v>
      </c>
      <c r="F1356" t="s">
        <v>156</v>
      </c>
      <c r="G1356">
        <v>0</v>
      </c>
      <c r="I1356">
        <v>1</v>
      </c>
      <c r="J1356">
        <v>1</v>
      </c>
      <c r="N1356">
        <v>0.5</v>
      </c>
      <c r="O1356">
        <v>0.38</v>
      </c>
      <c r="P1356">
        <v>3.5</v>
      </c>
      <c r="Q1356">
        <v>-4.5</v>
      </c>
      <c r="R1356">
        <v>4.5</v>
      </c>
      <c r="S1356">
        <v>4</v>
      </c>
      <c r="T1356">
        <v>0.5</v>
      </c>
      <c r="U1356">
        <v>0</v>
      </c>
      <c r="V1356">
        <v>0</v>
      </c>
      <c r="W1356">
        <v>0</v>
      </c>
      <c r="X1356">
        <v>0</v>
      </c>
      <c r="Y1356">
        <v>0.5</v>
      </c>
      <c r="Z1356">
        <v>0.5</v>
      </c>
    </row>
    <row r="1357" spans="1:30">
      <c r="A1357" t="s">
        <v>1519</v>
      </c>
      <c r="B1357">
        <v>41.5625</v>
      </c>
      <c r="C1357">
        <v>78.9375</v>
      </c>
      <c r="D1357">
        <v>2.5625</v>
      </c>
      <c r="F1357" t="s">
        <v>156</v>
      </c>
      <c r="G1357">
        <v>1</v>
      </c>
      <c r="H1357">
        <v>0</v>
      </c>
      <c r="I1357">
        <v>0</v>
      </c>
      <c r="L1357" t="s">
        <v>119</v>
      </c>
      <c r="N1357">
        <v>0.5</v>
      </c>
      <c r="O1357">
        <v>0.38</v>
      </c>
      <c r="P1357">
        <v>3.5</v>
      </c>
      <c r="Q1357">
        <v>1.9375</v>
      </c>
      <c r="R1357">
        <v>4.5</v>
      </c>
      <c r="S1357">
        <v>4</v>
      </c>
      <c r="T1357">
        <v>0.5</v>
      </c>
      <c r="U1357">
        <v>0</v>
      </c>
      <c r="V1357">
        <v>0</v>
      </c>
      <c r="W1357">
        <v>0</v>
      </c>
      <c r="X1357">
        <v>0</v>
      </c>
      <c r="Y1357">
        <v>0.5</v>
      </c>
      <c r="Z1357">
        <v>0.5</v>
      </c>
    </row>
    <row r="1358" spans="1:30">
      <c r="A1358" t="s">
        <v>1520</v>
      </c>
      <c r="B1358">
        <v>27.3125</v>
      </c>
      <c r="C1358">
        <v>53.75</v>
      </c>
      <c r="D1358">
        <v>11.4375</v>
      </c>
      <c r="E1358">
        <v>5.9375</v>
      </c>
      <c r="F1358" t="s">
        <v>156</v>
      </c>
      <c r="G1358">
        <v>1</v>
      </c>
      <c r="H1358">
        <v>0</v>
      </c>
      <c r="I1358">
        <v>1</v>
      </c>
      <c r="J1358">
        <v>0</v>
      </c>
      <c r="K1358">
        <v>12</v>
      </c>
      <c r="L1358" t="s">
        <v>121</v>
      </c>
      <c r="N1358">
        <v>0.5</v>
      </c>
      <c r="O1358">
        <v>0.38</v>
      </c>
      <c r="P1358">
        <v>3.5</v>
      </c>
      <c r="Q1358">
        <v>-6.9375</v>
      </c>
      <c r="R1358">
        <v>0</v>
      </c>
      <c r="S1358">
        <v>4</v>
      </c>
      <c r="T1358">
        <v>0.5</v>
      </c>
      <c r="U1358">
        <v>0</v>
      </c>
      <c r="V1358">
        <v>0</v>
      </c>
      <c r="W1358">
        <v>0</v>
      </c>
      <c r="X1358">
        <v>0</v>
      </c>
      <c r="Y1358">
        <v>0.5</v>
      </c>
      <c r="Z1358">
        <v>0.5</v>
      </c>
    </row>
    <row r="1359" spans="1:30">
      <c r="A1359" t="s">
        <v>1521</v>
      </c>
      <c r="B1359">
        <v>19.3125</v>
      </c>
      <c r="C1359">
        <v>51.8125</v>
      </c>
      <c r="D1359">
        <v>4.5</v>
      </c>
      <c r="E1359">
        <v>7</v>
      </c>
      <c r="F1359" t="s">
        <v>156</v>
      </c>
      <c r="G1359">
        <v>1</v>
      </c>
      <c r="H1359">
        <v>0</v>
      </c>
      <c r="I1359">
        <v>1</v>
      </c>
      <c r="J1359">
        <v>0</v>
      </c>
      <c r="K1359">
        <v>24</v>
      </c>
      <c r="L1359" t="s">
        <v>148</v>
      </c>
      <c r="N1359">
        <v>0.5</v>
      </c>
      <c r="O1359">
        <v>0.38</v>
      </c>
      <c r="P1359">
        <v>3.5</v>
      </c>
      <c r="Q1359">
        <v>0</v>
      </c>
      <c r="R1359">
        <v>0</v>
      </c>
      <c r="S1359">
        <v>4</v>
      </c>
      <c r="T1359">
        <v>0.5</v>
      </c>
      <c r="U1359">
        <v>0</v>
      </c>
      <c r="V1359">
        <v>0</v>
      </c>
      <c r="W1359">
        <v>0</v>
      </c>
      <c r="X1359">
        <v>0</v>
      </c>
      <c r="Y1359">
        <v>0.5</v>
      </c>
      <c r="Z1359">
        <v>0.5</v>
      </c>
    </row>
    <row r="1360" spans="1:30">
      <c r="A1360" t="s">
        <v>1522</v>
      </c>
      <c r="B1360">
        <v>15.125</v>
      </c>
      <c r="C1360">
        <v>58.375</v>
      </c>
      <c r="D1360">
        <v>1</v>
      </c>
      <c r="E1360">
        <v>6.25</v>
      </c>
      <c r="F1360" t="s">
        <v>156</v>
      </c>
      <c r="G1360">
        <v>1</v>
      </c>
      <c r="H1360">
        <v>0</v>
      </c>
      <c r="I1360">
        <v>1</v>
      </c>
      <c r="J1360">
        <v>0</v>
      </c>
      <c r="N1360">
        <v>0.5</v>
      </c>
      <c r="O1360">
        <v>0.38</v>
      </c>
      <c r="P1360">
        <v>3.5</v>
      </c>
      <c r="Q1360">
        <v>3.5</v>
      </c>
      <c r="R1360">
        <v>0</v>
      </c>
      <c r="S1360">
        <v>4</v>
      </c>
      <c r="T1360">
        <v>0.5</v>
      </c>
      <c r="U1360">
        <v>0</v>
      </c>
      <c r="V1360">
        <v>0</v>
      </c>
      <c r="W1360">
        <v>0</v>
      </c>
      <c r="X1360">
        <v>0</v>
      </c>
      <c r="Y1360">
        <v>0.5</v>
      </c>
      <c r="Z1360">
        <v>0.5</v>
      </c>
    </row>
    <row r="1361" spans="1:30">
      <c r="A1361" t="s">
        <v>1523</v>
      </c>
      <c r="B1361">
        <v>48.6875</v>
      </c>
      <c r="C1361">
        <v>45</v>
      </c>
      <c r="D1361">
        <v>9</v>
      </c>
      <c r="E1361">
        <v>1</v>
      </c>
      <c r="F1361" t="s">
        <v>156</v>
      </c>
      <c r="G1361">
        <v>1</v>
      </c>
      <c r="H1361">
        <v>0</v>
      </c>
      <c r="I1361">
        <v>1</v>
      </c>
      <c r="J1361">
        <v>1</v>
      </c>
      <c r="N1361">
        <v>0.5</v>
      </c>
      <c r="O1361">
        <v>0.38</v>
      </c>
      <c r="P1361">
        <v>3.5</v>
      </c>
      <c r="Q1361">
        <v>-4.5</v>
      </c>
      <c r="R1361">
        <v>3.5</v>
      </c>
      <c r="S1361">
        <v>4</v>
      </c>
      <c r="T1361">
        <v>0.5</v>
      </c>
      <c r="U1361">
        <v>0</v>
      </c>
      <c r="V1361">
        <v>0</v>
      </c>
      <c r="W1361">
        <v>0</v>
      </c>
      <c r="X1361">
        <v>1</v>
      </c>
      <c r="Y1361">
        <v>0.5</v>
      </c>
      <c r="Z1361">
        <v>0.5</v>
      </c>
    </row>
    <row r="1362" spans="1:30">
      <c r="A1362" t="s">
        <v>1524</v>
      </c>
      <c r="B1362">
        <v>23.3125</v>
      </c>
      <c r="C1362">
        <v>42.4375</v>
      </c>
      <c r="D1362">
        <v>4.5</v>
      </c>
      <c r="E1362">
        <v>4.8125</v>
      </c>
      <c r="F1362" t="s">
        <v>156</v>
      </c>
      <c r="G1362">
        <v>1</v>
      </c>
      <c r="H1362">
        <v>1</v>
      </c>
      <c r="I1362">
        <v>0</v>
      </c>
      <c r="L1362" t="s">
        <v>145</v>
      </c>
      <c r="N1362">
        <v>0.5</v>
      </c>
      <c r="O1362">
        <v>0.38</v>
      </c>
      <c r="P1362">
        <v>3.5</v>
      </c>
      <c r="Q1362">
        <v>0</v>
      </c>
      <c r="R1362">
        <v>0</v>
      </c>
      <c r="S1362">
        <v>4</v>
      </c>
      <c r="T1362">
        <v>0.5</v>
      </c>
      <c r="U1362">
        <v>0</v>
      </c>
      <c r="V1362">
        <v>0</v>
      </c>
      <c r="W1362">
        <v>0</v>
      </c>
      <c r="X1362">
        <v>0</v>
      </c>
      <c r="Y1362">
        <v>0.5</v>
      </c>
      <c r="Z1362">
        <v>0.5</v>
      </c>
    </row>
    <row r="1363" spans="1:30">
      <c r="A1363" t="s">
        <v>1525</v>
      </c>
      <c r="B1363">
        <v>29.5625</v>
      </c>
      <c r="C1363">
        <v>50.9375</v>
      </c>
      <c r="D1363">
        <v>11.4375</v>
      </c>
      <c r="E1363">
        <v>1.4375</v>
      </c>
      <c r="F1363" t="s">
        <v>156</v>
      </c>
      <c r="G1363">
        <v>1</v>
      </c>
      <c r="H1363">
        <v>1</v>
      </c>
      <c r="I1363">
        <v>1</v>
      </c>
      <c r="J1363">
        <v>0</v>
      </c>
      <c r="K1363">
        <v>12</v>
      </c>
      <c r="L1363" t="s">
        <v>35</v>
      </c>
      <c r="N1363">
        <v>0.5</v>
      </c>
      <c r="O1363">
        <v>0.38</v>
      </c>
      <c r="P1363">
        <v>3.5</v>
      </c>
      <c r="Q1363">
        <v>-6.9375</v>
      </c>
      <c r="R1363">
        <v>3.0625</v>
      </c>
      <c r="S1363">
        <v>4</v>
      </c>
      <c r="T1363">
        <v>0.5</v>
      </c>
      <c r="U1363">
        <v>0</v>
      </c>
      <c r="V1363">
        <v>0</v>
      </c>
      <c r="W1363">
        <v>1</v>
      </c>
      <c r="X1363">
        <v>0</v>
      </c>
      <c r="Y1363">
        <v>0.5</v>
      </c>
      <c r="Z1363">
        <v>0.5</v>
      </c>
    </row>
    <row r="1364" spans="1:30">
      <c r="A1364" t="s">
        <v>1526</v>
      </c>
      <c r="B1364">
        <v>24</v>
      </c>
      <c r="C1364">
        <v>31.375</v>
      </c>
      <c r="D1364">
        <v>4.5</v>
      </c>
      <c r="E1364">
        <v>1.6875</v>
      </c>
      <c r="F1364" t="s">
        <v>156</v>
      </c>
      <c r="G1364">
        <v>1</v>
      </c>
      <c r="H1364">
        <v>1</v>
      </c>
      <c r="I1364">
        <v>1</v>
      </c>
      <c r="J1364">
        <v>0</v>
      </c>
      <c r="K1364">
        <v>24</v>
      </c>
      <c r="N1364">
        <v>0.5</v>
      </c>
      <c r="O1364">
        <v>0.38</v>
      </c>
      <c r="P1364">
        <v>3.5</v>
      </c>
      <c r="Q1364">
        <v>0</v>
      </c>
      <c r="R1364">
        <v>2.8125</v>
      </c>
      <c r="S1364">
        <v>4</v>
      </c>
      <c r="T1364">
        <v>0.5</v>
      </c>
      <c r="U1364">
        <v>0</v>
      </c>
      <c r="V1364">
        <v>0</v>
      </c>
      <c r="W1364">
        <v>1</v>
      </c>
      <c r="X1364">
        <v>0</v>
      </c>
      <c r="Y1364">
        <v>0.5</v>
      </c>
      <c r="Z1364">
        <v>0.5</v>
      </c>
    </row>
    <row r="1365" spans="1:30">
      <c r="A1365" t="s">
        <v>1527</v>
      </c>
      <c r="B1365">
        <v>47.75</v>
      </c>
      <c r="C1365">
        <v>50.8125</v>
      </c>
      <c r="D1365">
        <v>12</v>
      </c>
      <c r="F1365" t="s">
        <v>156</v>
      </c>
      <c r="G1365">
        <v>1</v>
      </c>
      <c r="H1365">
        <v>1</v>
      </c>
      <c r="I1365">
        <v>1</v>
      </c>
      <c r="J1365">
        <v>0</v>
      </c>
      <c r="N1365">
        <v>0.5</v>
      </c>
      <c r="O1365">
        <v>0.38</v>
      </c>
      <c r="P1365">
        <v>3.5</v>
      </c>
      <c r="Q1365">
        <v>-7.5</v>
      </c>
      <c r="R1365">
        <v>4.5</v>
      </c>
      <c r="S1365">
        <v>4</v>
      </c>
      <c r="T1365">
        <v>0.5</v>
      </c>
      <c r="U1365">
        <v>0</v>
      </c>
      <c r="V1365">
        <v>0</v>
      </c>
      <c r="W1365">
        <v>0</v>
      </c>
      <c r="X1365">
        <v>0</v>
      </c>
      <c r="Y1365">
        <v>0.5</v>
      </c>
      <c r="Z1365">
        <v>0.5</v>
      </c>
    </row>
    <row r="1366" spans="1:30">
      <c r="A1366" t="s">
        <v>1528</v>
      </c>
      <c r="B1366">
        <v>37.0625</v>
      </c>
      <c r="C1366">
        <v>77.6875</v>
      </c>
      <c r="D1366">
        <v>4.5</v>
      </c>
      <c r="E1366">
        <v>2.8125</v>
      </c>
      <c r="F1366" t="s">
        <v>156</v>
      </c>
      <c r="G1366">
        <v>1</v>
      </c>
      <c r="H1366">
        <v>1</v>
      </c>
      <c r="I1366">
        <v>1</v>
      </c>
      <c r="J1366">
        <v>1</v>
      </c>
      <c r="N1366">
        <v>0.5</v>
      </c>
      <c r="O1366">
        <v>0.38</v>
      </c>
      <c r="P1366">
        <v>3.5</v>
      </c>
      <c r="Q1366">
        <v>0</v>
      </c>
      <c r="R1366">
        <v>1.6875</v>
      </c>
      <c r="S1366">
        <v>4</v>
      </c>
      <c r="T1366">
        <v>0.5</v>
      </c>
      <c r="U1366">
        <v>0</v>
      </c>
      <c r="V1366">
        <v>0</v>
      </c>
      <c r="W1366">
        <v>1</v>
      </c>
      <c r="X1366">
        <v>1</v>
      </c>
      <c r="Y1366">
        <v>0.5</v>
      </c>
      <c r="Z1366">
        <v>0.5</v>
      </c>
    </row>
    <row r="1367" spans="1:30">
      <c r="A1367" t="s">
        <v>1529</v>
      </c>
      <c r="B1367">
        <v>60</v>
      </c>
      <c r="C1367">
        <v>46.5</v>
      </c>
      <c r="D1367">
        <v>2.9375</v>
      </c>
      <c r="E1367">
        <v>3.875</v>
      </c>
      <c r="F1367" t="s">
        <v>157</v>
      </c>
      <c r="G1367">
        <v>0</v>
      </c>
      <c r="I1367">
        <v>0</v>
      </c>
      <c r="L1367" t="s">
        <v>120</v>
      </c>
      <c r="N1367">
        <v>0.5</v>
      </c>
      <c r="O1367">
        <v>0.38</v>
      </c>
      <c r="P1367">
        <v>3.5</v>
      </c>
      <c r="Q1367">
        <v>1.5625</v>
      </c>
      <c r="R1367">
        <v>0.625</v>
      </c>
      <c r="S1367">
        <v>4</v>
      </c>
      <c r="T1367">
        <v>0.5</v>
      </c>
      <c r="U1367">
        <v>0</v>
      </c>
      <c r="V1367">
        <v>0</v>
      </c>
      <c r="W1367">
        <v>0</v>
      </c>
      <c r="X1367">
        <v>0</v>
      </c>
      <c r="Y1367">
        <v>0.5</v>
      </c>
      <c r="Z1367">
        <v>0.5</v>
      </c>
      <c r="AA1367">
        <v>11.5</v>
      </c>
      <c r="AB1367">
        <v>10.875</v>
      </c>
      <c r="AC1367">
        <v>28.94</v>
      </c>
      <c r="AD1367">
        <v>15.0625</v>
      </c>
    </row>
    <row r="1368" spans="1:30">
      <c r="A1368" t="s">
        <v>1530</v>
      </c>
      <c r="B1368">
        <v>60</v>
      </c>
      <c r="C1368">
        <v>26.5</v>
      </c>
      <c r="D1368">
        <v>1</v>
      </c>
      <c r="E1368">
        <v>3.4375</v>
      </c>
      <c r="F1368" t="s">
        <v>157</v>
      </c>
      <c r="G1368">
        <v>0</v>
      </c>
      <c r="I1368">
        <v>1</v>
      </c>
      <c r="J1368">
        <v>0</v>
      </c>
      <c r="K1368">
        <v>12</v>
      </c>
      <c r="N1368">
        <v>0.5</v>
      </c>
      <c r="O1368">
        <v>0.38</v>
      </c>
      <c r="P1368">
        <v>3.5</v>
      </c>
      <c r="Q1368">
        <v>3.5</v>
      </c>
      <c r="R1368">
        <v>1.0625</v>
      </c>
      <c r="S1368">
        <v>4</v>
      </c>
      <c r="T1368">
        <v>0.5</v>
      </c>
      <c r="U1368">
        <v>0</v>
      </c>
      <c r="V1368">
        <v>1</v>
      </c>
      <c r="W1368">
        <v>0</v>
      </c>
      <c r="X1368">
        <v>0</v>
      </c>
      <c r="Y1368">
        <v>0.5</v>
      </c>
      <c r="Z1368">
        <v>0</v>
      </c>
    </row>
    <row r="1369" spans="1:30">
      <c r="A1369" t="s">
        <v>1531</v>
      </c>
      <c r="B1369">
        <v>60</v>
      </c>
      <c r="C1369">
        <v>76.375</v>
      </c>
      <c r="D1369">
        <v>1.375</v>
      </c>
      <c r="E1369">
        <v>7.6875</v>
      </c>
      <c r="F1369" t="s">
        <v>157</v>
      </c>
      <c r="G1369">
        <v>0</v>
      </c>
      <c r="I1369">
        <v>1</v>
      </c>
      <c r="J1369">
        <v>0</v>
      </c>
      <c r="K1369">
        <v>24</v>
      </c>
      <c r="L1369" t="s">
        <v>149</v>
      </c>
      <c r="N1369">
        <v>0.5</v>
      </c>
      <c r="O1369">
        <v>0.38</v>
      </c>
      <c r="P1369">
        <v>3.5</v>
      </c>
      <c r="Q1369">
        <v>3.125</v>
      </c>
      <c r="R1369">
        <v>0</v>
      </c>
      <c r="S1369">
        <v>4</v>
      </c>
      <c r="T1369">
        <v>0.5</v>
      </c>
      <c r="U1369">
        <v>0</v>
      </c>
      <c r="V1369">
        <v>1</v>
      </c>
      <c r="W1369">
        <v>0</v>
      </c>
      <c r="X1369">
        <v>0</v>
      </c>
      <c r="Y1369">
        <v>0.5</v>
      </c>
      <c r="Z1369">
        <v>0</v>
      </c>
      <c r="AA1369">
        <v>15.5</v>
      </c>
      <c r="AB1369">
        <v>28.875</v>
      </c>
    </row>
    <row r="1370" spans="1:30">
      <c r="A1370" t="s">
        <v>1532</v>
      </c>
      <c r="B1370">
        <v>60</v>
      </c>
      <c r="C1370">
        <v>58</v>
      </c>
      <c r="D1370">
        <v>4.5</v>
      </c>
      <c r="E1370">
        <v>1</v>
      </c>
      <c r="F1370" t="s">
        <v>157</v>
      </c>
      <c r="G1370">
        <v>0</v>
      </c>
      <c r="I1370">
        <v>1</v>
      </c>
      <c r="J1370">
        <v>0</v>
      </c>
      <c r="N1370">
        <v>0.5</v>
      </c>
      <c r="O1370">
        <v>0.38</v>
      </c>
      <c r="P1370">
        <v>3.5</v>
      </c>
      <c r="Q1370">
        <v>0</v>
      </c>
      <c r="R1370">
        <v>3.5</v>
      </c>
      <c r="S1370">
        <v>4</v>
      </c>
      <c r="T1370">
        <v>0.5</v>
      </c>
      <c r="U1370">
        <v>0</v>
      </c>
      <c r="V1370">
        <v>0</v>
      </c>
      <c r="W1370">
        <v>0</v>
      </c>
      <c r="X1370">
        <v>0</v>
      </c>
      <c r="Y1370">
        <v>0.5</v>
      </c>
      <c r="Z1370">
        <v>0.5</v>
      </c>
    </row>
    <row r="1371" spans="1:30">
      <c r="A1371" t="s">
        <v>1533</v>
      </c>
      <c r="B1371">
        <v>60</v>
      </c>
      <c r="C1371">
        <v>66.1875</v>
      </c>
      <c r="D1371">
        <v>9</v>
      </c>
      <c r="F1371" t="s">
        <v>157</v>
      </c>
      <c r="G1371">
        <v>0</v>
      </c>
      <c r="I1371">
        <v>1</v>
      </c>
      <c r="J1371">
        <v>1</v>
      </c>
      <c r="N1371">
        <v>0.5</v>
      </c>
      <c r="O1371">
        <v>0.38</v>
      </c>
      <c r="P1371">
        <v>3.5</v>
      </c>
      <c r="Q1371">
        <v>-4.5</v>
      </c>
      <c r="R1371">
        <v>4.5</v>
      </c>
      <c r="S1371">
        <v>4</v>
      </c>
      <c r="T1371">
        <v>0.5</v>
      </c>
      <c r="U1371">
        <v>0</v>
      </c>
      <c r="V1371">
        <v>0</v>
      </c>
      <c r="W1371">
        <v>0</v>
      </c>
      <c r="X1371">
        <v>0</v>
      </c>
      <c r="Y1371">
        <v>0.5</v>
      </c>
      <c r="Z1371">
        <v>0.5</v>
      </c>
    </row>
    <row r="1372" spans="1:30">
      <c r="A1372" t="s">
        <v>1534</v>
      </c>
      <c r="B1372">
        <v>60</v>
      </c>
      <c r="C1372">
        <v>70.3125</v>
      </c>
      <c r="D1372">
        <v>9</v>
      </c>
      <c r="E1372">
        <v>8.4375</v>
      </c>
      <c r="F1372" t="s">
        <v>157</v>
      </c>
      <c r="G1372">
        <v>1</v>
      </c>
      <c r="H1372">
        <v>0</v>
      </c>
      <c r="I1372">
        <v>0</v>
      </c>
      <c r="L1372" t="s">
        <v>149</v>
      </c>
      <c r="N1372">
        <v>0.5</v>
      </c>
      <c r="O1372">
        <v>0.38</v>
      </c>
      <c r="P1372">
        <v>3.5</v>
      </c>
      <c r="Q1372">
        <v>-4.5</v>
      </c>
      <c r="R1372">
        <v>0</v>
      </c>
      <c r="S1372">
        <v>4</v>
      </c>
      <c r="T1372">
        <v>0.5</v>
      </c>
      <c r="U1372">
        <v>0</v>
      </c>
      <c r="V1372">
        <v>0</v>
      </c>
      <c r="W1372">
        <v>0</v>
      </c>
      <c r="X1372">
        <v>0</v>
      </c>
      <c r="Y1372">
        <v>0.5</v>
      </c>
      <c r="Z1372">
        <v>0.5</v>
      </c>
      <c r="AA1372">
        <v>15.5</v>
      </c>
      <c r="AB1372">
        <v>28.875</v>
      </c>
      <c r="AC1372">
        <v>21</v>
      </c>
      <c r="AD1372">
        <v>9</v>
      </c>
    </row>
    <row r="1373" spans="1:30">
      <c r="A1373" t="s">
        <v>1535</v>
      </c>
      <c r="B1373">
        <v>60</v>
      </c>
      <c r="C1373">
        <v>50.625</v>
      </c>
      <c r="D1373">
        <v>7.75</v>
      </c>
      <c r="E1373">
        <v>1</v>
      </c>
      <c r="F1373" t="s">
        <v>157</v>
      </c>
      <c r="G1373">
        <v>1</v>
      </c>
      <c r="H1373">
        <v>0</v>
      </c>
      <c r="I1373">
        <v>1</v>
      </c>
      <c r="J1373">
        <v>0</v>
      </c>
      <c r="K1373">
        <v>12</v>
      </c>
      <c r="L1373" t="s">
        <v>121</v>
      </c>
      <c r="N1373">
        <v>0.5</v>
      </c>
      <c r="O1373">
        <v>0.38</v>
      </c>
      <c r="P1373">
        <v>3.5</v>
      </c>
      <c r="Q1373">
        <v>-3.25</v>
      </c>
      <c r="R1373">
        <v>3.5</v>
      </c>
      <c r="S1373">
        <v>4</v>
      </c>
      <c r="T1373">
        <v>0.5</v>
      </c>
      <c r="U1373">
        <v>0</v>
      </c>
      <c r="V1373">
        <v>0</v>
      </c>
      <c r="W1373">
        <v>0</v>
      </c>
      <c r="X1373">
        <v>0</v>
      </c>
      <c r="Y1373">
        <v>0.5</v>
      </c>
      <c r="Z1373">
        <v>0.5</v>
      </c>
      <c r="AA1373">
        <v>11</v>
      </c>
      <c r="AB1373">
        <v>9.375</v>
      </c>
    </row>
    <row r="1374" spans="1:30">
      <c r="A1374" t="s">
        <v>1536</v>
      </c>
      <c r="B1374">
        <v>60</v>
      </c>
      <c r="C1374">
        <v>73</v>
      </c>
      <c r="D1374">
        <v>1</v>
      </c>
      <c r="E1374">
        <v>7.3125</v>
      </c>
      <c r="F1374" t="s">
        <v>157</v>
      </c>
      <c r="G1374">
        <v>1</v>
      </c>
      <c r="H1374">
        <v>0</v>
      </c>
      <c r="I1374">
        <v>1</v>
      </c>
      <c r="J1374">
        <v>0</v>
      </c>
      <c r="K1374">
        <v>24</v>
      </c>
      <c r="N1374">
        <v>0.5</v>
      </c>
      <c r="O1374">
        <v>0.38</v>
      </c>
      <c r="P1374">
        <v>3.5</v>
      </c>
      <c r="Q1374">
        <v>3.5</v>
      </c>
      <c r="R1374">
        <v>0</v>
      </c>
      <c r="S1374">
        <v>4</v>
      </c>
      <c r="T1374">
        <v>0.5</v>
      </c>
      <c r="U1374">
        <v>1</v>
      </c>
      <c r="V1374">
        <v>1</v>
      </c>
      <c r="W1374">
        <v>0</v>
      </c>
      <c r="X1374">
        <v>0</v>
      </c>
      <c r="Y1374">
        <v>0</v>
      </c>
      <c r="Z1374">
        <v>0</v>
      </c>
    </row>
    <row r="1375" spans="1:30">
      <c r="A1375" t="s">
        <v>1537</v>
      </c>
      <c r="B1375">
        <v>60</v>
      </c>
      <c r="C1375">
        <v>10.75</v>
      </c>
      <c r="D1375">
        <v>4.5</v>
      </c>
      <c r="E1375">
        <v>7.4375</v>
      </c>
      <c r="F1375" t="s">
        <v>157</v>
      </c>
      <c r="G1375">
        <v>1</v>
      </c>
      <c r="H1375">
        <v>0</v>
      </c>
      <c r="I1375">
        <v>1</v>
      </c>
      <c r="J1375">
        <v>0</v>
      </c>
      <c r="N1375">
        <v>0.5</v>
      </c>
      <c r="O1375">
        <v>0.38</v>
      </c>
      <c r="P1375">
        <v>3.5</v>
      </c>
      <c r="Q1375">
        <v>0</v>
      </c>
      <c r="R1375">
        <v>0</v>
      </c>
      <c r="S1375">
        <v>4</v>
      </c>
      <c r="T1375">
        <v>0.5</v>
      </c>
      <c r="U1375">
        <v>0</v>
      </c>
      <c r="V1375">
        <v>0</v>
      </c>
      <c r="W1375">
        <v>0</v>
      </c>
      <c r="X1375">
        <v>0</v>
      </c>
      <c r="Y1375">
        <v>0.5</v>
      </c>
      <c r="Z1375">
        <v>0.5</v>
      </c>
    </row>
    <row r="1376" spans="1:30">
      <c r="A1376" t="s">
        <v>1538</v>
      </c>
      <c r="B1376">
        <v>60</v>
      </c>
      <c r="C1376">
        <v>70</v>
      </c>
      <c r="D1376">
        <v>10.75</v>
      </c>
      <c r="E1376">
        <v>1</v>
      </c>
      <c r="F1376" t="s">
        <v>157</v>
      </c>
      <c r="G1376">
        <v>1</v>
      </c>
      <c r="H1376">
        <v>0</v>
      </c>
      <c r="I1376">
        <v>1</v>
      </c>
      <c r="J1376">
        <v>1</v>
      </c>
      <c r="N1376">
        <v>0.5</v>
      </c>
      <c r="O1376">
        <v>0.38</v>
      </c>
      <c r="P1376">
        <v>3.5</v>
      </c>
      <c r="Q1376">
        <v>-6.25</v>
      </c>
      <c r="R1376">
        <v>3.5</v>
      </c>
      <c r="S1376">
        <v>4</v>
      </c>
      <c r="T1376">
        <v>0.5</v>
      </c>
      <c r="U1376">
        <v>0</v>
      </c>
      <c r="V1376">
        <v>0</v>
      </c>
      <c r="W1376">
        <v>0</v>
      </c>
      <c r="X1376">
        <v>0</v>
      </c>
      <c r="Y1376">
        <v>0.5</v>
      </c>
      <c r="Z1376">
        <v>0.5</v>
      </c>
    </row>
    <row r="1377" spans="1:30">
      <c r="A1377" t="s">
        <v>1539</v>
      </c>
      <c r="B1377">
        <v>60</v>
      </c>
      <c r="C1377">
        <v>31.25</v>
      </c>
      <c r="D1377">
        <v>9</v>
      </c>
      <c r="F1377" t="s">
        <v>157</v>
      </c>
      <c r="G1377">
        <v>1</v>
      </c>
      <c r="H1377">
        <v>1</v>
      </c>
      <c r="I1377">
        <v>0</v>
      </c>
      <c r="N1377">
        <v>0.5</v>
      </c>
      <c r="O1377">
        <v>0.38</v>
      </c>
      <c r="P1377">
        <v>3.5</v>
      </c>
      <c r="Q1377">
        <v>-4.5</v>
      </c>
      <c r="R1377">
        <v>4.5</v>
      </c>
      <c r="S1377">
        <v>4</v>
      </c>
      <c r="T1377">
        <v>0.5</v>
      </c>
      <c r="U1377">
        <v>0</v>
      </c>
      <c r="V1377">
        <v>0</v>
      </c>
      <c r="W1377">
        <v>0</v>
      </c>
      <c r="X1377">
        <v>0</v>
      </c>
      <c r="Y1377">
        <v>0.5</v>
      </c>
      <c r="Z1377">
        <v>0.5</v>
      </c>
    </row>
    <row r="1378" spans="1:30">
      <c r="A1378" t="s">
        <v>1540</v>
      </c>
      <c r="B1378">
        <v>60</v>
      </c>
      <c r="C1378">
        <v>53.0625</v>
      </c>
      <c r="D1378">
        <v>1.75</v>
      </c>
      <c r="E1378">
        <v>4</v>
      </c>
      <c r="F1378" t="s">
        <v>157</v>
      </c>
      <c r="G1378">
        <v>1</v>
      </c>
      <c r="H1378">
        <v>1</v>
      </c>
      <c r="I1378">
        <v>1</v>
      </c>
      <c r="J1378">
        <v>0</v>
      </c>
      <c r="K1378">
        <v>12</v>
      </c>
      <c r="L1378" t="s">
        <v>145</v>
      </c>
      <c r="N1378">
        <v>0.5</v>
      </c>
      <c r="O1378">
        <v>0.38</v>
      </c>
      <c r="P1378">
        <v>3.5</v>
      </c>
      <c r="Q1378">
        <v>2.75</v>
      </c>
      <c r="R1378">
        <v>0.5</v>
      </c>
      <c r="S1378">
        <v>4</v>
      </c>
      <c r="T1378">
        <v>0.5</v>
      </c>
      <c r="U1378">
        <v>1</v>
      </c>
      <c r="V1378">
        <v>1</v>
      </c>
      <c r="W1378">
        <v>0</v>
      </c>
      <c r="X1378">
        <v>0</v>
      </c>
      <c r="Y1378">
        <v>0</v>
      </c>
      <c r="Z1378">
        <v>0</v>
      </c>
      <c r="AA1378">
        <v>15.5</v>
      </c>
      <c r="AB1378">
        <v>28.875</v>
      </c>
      <c r="AC1378">
        <v>14</v>
      </c>
      <c r="AD1378">
        <v>28.38</v>
      </c>
    </row>
    <row r="1379" spans="1:30">
      <c r="A1379" t="s">
        <v>1541</v>
      </c>
      <c r="B1379">
        <v>60</v>
      </c>
      <c r="C1379">
        <v>46.5</v>
      </c>
      <c r="D1379">
        <v>9</v>
      </c>
      <c r="E1379">
        <v>1</v>
      </c>
      <c r="F1379" t="s">
        <v>157</v>
      </c>
      <c r="G1379">
        <v>1</v>
      </c>
      <c r="H1379">
        <v>1</v>
      </c>
      <c r="I1379">
        <v>1</v>
      </c>
      <c r="J1379">
        <v>0</v>
      </c>
      <c r="K1379">
        <v>24</v>
      </c>
      <c r="N1379">
        <v>0.5</v>
      </c>
      <c r="O1379">
        <v>0.38</v>
      </c>
      <c r="P1379">
        <v>3.5</v>
      </c>
      <c r="Q1379">
        <v>-4.5</v>
      </c>
      <c r="R1379">
        <v>3.5</v>
      </c>
      <c r="S1379">
        <v>4</v>
      </c>
      <c r="T1379">
        <v>0.5</v>
      </c>
      <c r="U1379">
        <v>0</v>
      </c>
      <c r="V1379">
        <v>0</v>
      </c>
      <c r="W1379">
        <v>0</v>
      </c>
      <c r="X1379">
        <v>0</v>
      </c>
      <c r="Y1379">
        <v>0.5</v>
      </c>
      <c r="Z1379">
        <v>0.5</v>
      </c>
    </row>
    <row r="1380" spans="1:30">
      <c r="A1380" t="s">
        <v>1542</v>
      </c>
      <c r="B1380">
        <v>60</v>
      </c>
      <c r="C1380">
        <v>47.6875</v>
      </c>
      <c r="D1380">
        <v>12</v>
      </c>
      <c r="E1380">
        <v>4.9375</v>
      </c>
      <c r="F1380" t="s">
        <v>157</v>
      </c>
      <c r="G1380">
        <v>1</v>
      </c>
      <c r="H1380">
        <v>1</v>
      </c>
      <c r="I1380">
        <v>1</v>
      </c>
      <c r="J1380">
        <v>0</v>
      </c>
      <c r="N1380">
        <v>0.5</v>
      </c>
      <c r="O1380">
        <v>0.38</v>
      </c>
      <c r="P1380">
        <v>3.5</v>
      </c>
      <c r="Q1380">
        <v>-7.5</v>
      </c>
      <c r="R1380">
        <v>0</v>
      </c>
      <c r="S1380">
        <v>4</v>
      </c>
      <c r="T1380">
        <v>0.5</v>
      </c>
      <c r="U1380">
        <v>0</v>
      </c>
      <c r="V1380">
        <v>0</v>
      </c>
      <c r="W1380">
        <v>0</v>
      </c>
      <c r="X1380">
        <v>0</v>
      </c>
      <c r="Y1380">
        <v>0.5</v>
      </c>
      <c r="Z1380">
        <v>0.5</v>
      </c>
    </row>
    <row r="1381" spans="1:30">
      <c r="A1381" t="s">
        <v>1543</v>
      </c>
      <c r="B1381">
        <v>60</v>
      </c>
      <c r="C1381">
        <v>73.75</v>
      </c>
      <c r="D1381">
        <v>4.5</v>
      </c>
      <c r="E1381">
        <v>4.375</v>
      </c>
      <c r="F1381" t="s">
        <v>157</v>
      </c>
      <c r="G1381">
        <v>1</v>
      </c>
      <c r="H1381">
        <v>1</v>
      </c>
      <c r="I1381">
        <v>1</v>
      </c>
      <c r="J1381">
        <v>1</v>
      </c>
      <c r="N1381">
        <v>0.5</v>
      </c>
      <c r="O1381">
        <v>0.38</v>
      </c>
      <c r="P1381">
        <v>3.5</v>
      </c>
      <c r="Q1381">
        <v>0</v>
      </c>
      <c r="R1381">
        <v>0.125</v>
      </c>
      <c r="S1381">
        <v>4</v>
      </c>
      <c r="T1381">
        <v>0.5</v>
      </c>
      <c r="U1381">
        <v>0</v>
      </c>
      <c r="V1381">
        <v>0</v>
      </c>
      <c r="W1381">
        <v>0</v>
      </c>
      <c r="X1381">
        <v>0</v>
      </c>
      <c r="Y1381">
        <v>0.5</v>
      </c>
      <c r="Z1381">
        <v>0.5</v>
      </c>
    </row>
    <row r="1382" spans="1:30">
      <c r="A1382" t="s">
        <v>1544</v>
      </c>
      <c r="B1382">
        <v>51.1875</v>
      </c>
      <c r="C1382">
        <v>57.875</v>
      </c>
      <c r="D1382">
        <v>8.0625</v>
      </c>
      <c r="E1382">
        <v>1</v>
      </c>
      <c r="F1382" t="s">
        <v>21</v>
      </c>
      <c r="G1382">
        <v>0</v>
      </c>
      <c r="I1382">
        <v>0</v>
      </c>
      <c r="N1382">
        <v>0.5</v>
      </c>
      <c r="O1382">
        <v>0.38</v>
      </c>
      <c r="P1382">
        <v>3.5</v>
      </c>
      <c r="Q1382">
        <v>-3.5625</v>
      </c>
      <c r="R1382">
        <v>3.5</v>
      </c>
      <c r="S1382">
        <v>4</v>
      </c>
      <c r="T1382">
        <v>0.5</v>
      </c>
      <c r="U1382">
        <v>0</v>
      </c>
      <c r="V1382">
        <v>0</v>
      </c>
      <c r="W1382">
        <v>0</v>
      </c>
      <c r="X1382">
        <v>0</v>
      </c>
      <c r="Y1382">
        <v>0.5</v>
      </c>
      <c r="Z1382">
        <v>0.5</v>
      </c>
    </row>
    <row r="1383" spans="1:30">
      <c r="A1383" t="s">
        <v>1545</v>
      </c>
      <c r="B1383">
        <v>93.25</v>
      </c>
      <c r="C1383">
        <v>70</v>
      </c>
      <c r="D1383">
        <v>4.5</v>
      </c>
      <c r="E1383">
        <v>7.125</v>
      </c>
      <c r="F1383" t="s">
        <v>21</v>
      </c>
      <c r="G1383">
        <v>0</v>
      </c>
      <c r="I1383">
        <v>1</v>
      </c>
      <c r="J1383">
        <v>0</v>
      </c>
      <c r="K1383">
        <v>12</v>
      </c>
      <c r="L1383" t="s">
        <v>148</v>
      </c>
      <c r="N1383">
        <v>0.5</v>
      </c>
      <c r="O1383">
        <v>0.38</v>
      </c>
      <c r="P1383">
        <v>3.5</v>
      </c>
      <c r="Q1383">
        <v>0</v>
      </c>
      <c r="R1383">
        <v>0</v>
      </c>
      <c r="S1383">
        <v>4</v>
      </c>
      <c r="T1383">
        <v>0.5</v>
      </c>
      <c r="U1383">
        <v>0</v>
      </c>
      <c r="V1383">
        <v>0</v>
      </c>
      <c r="W1383">
        <v>0</v>
      </c>
      <c r="X1383">
        <v>0</v>
      </c>
      <c r="Y1383">
        <v>0.5</v>
      </c>
      <c r="Z1383">
        <v>0.5</v>
      </c>
      <c r="AA1383">
        <v>15.5</v>
      </c>
      <c r="AB1383">
        <v>28.875</v>
      </c>
      <c r="AC1383">
        <v>9</v>
      </c>
      <c r="AD1383">
        <v>13.5</v>
      </c>
    </row>
    <row r="1384" spans="1:30">
      <c r="A1384" t="s">
        <v>1546</v>
      </c>
      <c r="B1384">
        <v>96</v>
      </c>
      <c r="C1384">
        <v>76.75</v>
      </c>
      <c r="D1384">
        <v>4</v>
      </c>
      <c r="F1384" t="s">
        <v>21</v>
      </c>
      <c r="G1384">
        <v>0</v>
      </c>
      <c r="I1384">
        <v>1</v>
      </c>
      <c r="J1384">
        <v>0</v>
      </c>
      <c r="K1384">
        <v>24</v>
      </c>
      <c r="L1384" t="s">
        <v>149</v>
      </c>
      <c r="N1384">
        <v>0.5</v>
      </c>
      <c r="O1384">
        <v>0.38</v>
      </c>
      <c r="P1384">
        <v>3.5</v>
      </c>
      <c r="Q1384">
        <v>0.5</v>
      </c>
      <c r="R1384">
        <v>4.5</v>
      </c>
      <c r="S1384">
        <v>4</v>
      </c>
      <c r="T1384">
        <v>0.5</v>
      </c>
      <c r="U1384">
        <v>0</v>
      </c>
      <c r="V1384">
        <v>1</v>
      </c>
      <c r="W1384">
        <v>0</v>
      </c>
      <c r="X1384">
        <v>0</v>
      </c>
      <c r="Y1384">
        <v>0.5</v>
      </c>
      <c r="Z1384">
        <v>0</v>
      </c>
      <c r="AA1384">
        <v>15.5</v>
      </c>
      <c r="AB1384">
        <v>28.875</v>
      </c>
    </row>
    <row r="1385" spans="1:30">
      <c r="A1385" t="s">
        <v>1547</v>
      </c>
      <c r="B1385">
        <v>96</v>
      </c>
      <c r="C1385">
        <v>75.5</v>
      </c>
      <c r="D1385">
        <v>1</v>
      </c>
      <c r="E1385">
        <v>1.5625</v>
      </c>
      <c r="F1385" t="s">
        <v>21</v>
      </c>
      <c r="G1385">
        <v>0</v>
      </c>
      <c r="I1385">
        <v>1</v>
      </c>
      <c r="J1385">
        <v>0</v>
      </c>
      <c r="N1385">
        <v>0.5</v>
      </c>
      <c r="O1385">
        <v>0.38</v>
      </c>
      <c r="P1385">
        <v>3.5</v>
      </c>
      <c r="Q1385">
        <v>3.5</v>
      </c>
      <c r="R1385">
        <v>2.9375</v>
      </c>
      <c r="S1385">
        <v>4</v>
      </c>
      <c r="T1385">
        <v>0.5</v>
      </c>
      <c r="U1385">
        <v>0</v>
      </c>
      <c r="V1385">
        <v>1</v>
      </c>
      <c r="W1385">
        <v>0</v>
      </c>
      <c r="X1385">
        <v>0</v>
      </c>
      <c r="Y1385">
        <v>0.5</v>
      </c>
      <c r="Z1385">
        <v>0</v>
      </c>
    </row>
    <row r="1386" spans="1:30">
      <c r="A1386" t="s">
        <v>1548</v>
      </c>
      <c r="B1386">
        <v>90</v>
      </c>
      <c r="C1386">
        <v>59.75</v>
      </c>
      <c r="D1386">
        <v>9</v>
      </c>
      <c r="E1386">
        <v>6.25</v>
      </c>
      <c r="F1386" t="s">
        <v>21</v>
      </c>
      <c r="G1386">
        <v>0</v>
      </c>
      <c r="I1386">
        <v>1</v>
      </c>
      <c r="J1386">
        <v>1</v>
      </c>
      <c r="N1386">
        <v>0.5</v>
      </c>
      <c r="O1386">
        <v>0.38</v>
      </c>
      <c r="P1386">
        <v>3.5</v>
      </c>
      <c r="Q1386">
        <v>-4.5</v>
      </c>
      <c r="R1386">
        <v>0</v>
      </c>
      <c r="S1386">
        <v>4</v>
      </c>
      <c r="T1386">
        <v>0.5</v>
      </c>
      <c r="U1386">
        <v>0</v>
      </c>
      <c r="V1386">
        <v>0</v>
      </c>
      <c r="W1386">
        <v>0</v>
      </c>
      <c r="X1386">
        <v>0</v>
      </c>
      <c r="Y1386">
        <v>0.5</v>
      </c>
      <c r="Z1386">
        <v>0.5</v>
      </c>
    </row>
    <row r="1387" spans="1:30">
      <c r="A1387" t="s">
        <v>1549</v>
      </c>
      <c r="B1387">
        <v>76.5</v>
      </c>
      <c r="C1387">
        <v>76.75</v>
      </c>
      <c r="D1387">
        <v>9</v>
      </c>
      <c r="E1387">
        <v>4.75</v>
      </c>
      <c r="F1387" t="s">
        <v>21</v>
      </c>
      <c r="G1387">
        <v>1</v>
      </c>
      <c r="H1387">
        <v>0</v>
      </c>
      <c r="I1387">
        <v>0</v>
      </c>
      <c r="L1387" t="s">
        <v>121</v>
      </c>
      <c r="N1387">
        <v>0.5</v>
      </c>
      <c r="O1387">
        <v>0.38</v>
      </c>
      <c r="P1387">
        <v>3.5</v>
      </c>
      <c r="Q1387">
        <v>-4.5</v>
      </c>
      <c r="R1387">
        <v>0</v>
      </c>
      <c r="S1387">
        <v>4</v>
      </c>
      <c r="T1387">
        <v>0.5</v>
      </c>
      <c r="U1387">
        <v>0</v>
      </c>
      <c r="V1387">
        <v>0</v>
      </c>
      <c r="W1387">
        <v>0</v>
      </c>
      <c r="X1387">
        <v>0</v>
      </c>
      <c r="Y1387">
        <v>0.5</v>
      </c>
      <c r="Z1387">
        <v>0.5</v>
      </c>
      <c r="AA1387">
        <v>11</v>
      </c>
      <c r="AB1387">
        <v>9.375</v>
      </c>
      <c r="AC1387">
        <v>14.5</v>
      </c>
      <c r="AD1387">
        <v>9.75</v>
      </c>
    </row>
    <row r="1388" spans="1:30">
      <c r="A1388" t="s">
        <v>1550</v>
      </c>
      <c r="B1388">
        <v>49</v>
      </c>
      <c r="C1388">
        <v>68.5625</v>
      </c>
      <c r="D1388">
        <v>4.75</v>
      </c>
      <c r="E1388">
        <v>6.75</v>
      </c>
      <c r="F1388" t="s">
        <v>21</v>
      </c>
      <c r="G1388">
        <v>1</v>
      </c>
      <c r="H1388">
        <v>0</v>
      </c>
      <c r="I1388">
        <v>1</v>
      </c>
      <c r="J1388">
        <v>0</v>
      </c>
      <c r="K1388">
        <v>12</v>
      </c>
      <c r="L1388" t="s">
        <v>121</v>
      </c>
      <c r="N1388">
        <v>0.5</v>
      </c>
      <c r="O1388">
        <v>0.38</v>
      </c>
      <c r="P1388">
        <v>3.5</v>
      </c>
      <c r="Q1388">
        <v>-0.25</v>
      </c>
      <c r="R1388">
        <v>0</v>
      </c>
      <c r="S1388">
        <v>4</v>
      </c>
      <c r="T1388">
        <v>0.5</v>
      </c>
      <c r="U1388">
        <v>0</v>
      </c>
      <c r="V1388">
        <v>0</v>
      </c>
      <c r="W1388">
        <v>0</v>
      </c>
      <c r="X1388">
        <v>0</v>
      </c>
      <c r="Y1388">
        <v>0.5</v>
      </c>
      <c r="Z1388">
        <v>0.5</v>
      </c>
      <c r="AA1388">
        <v>11</v>
      </c>
      <c r="AB1388">
        <v>9.375</v>
      </c>
    </row>
    <row r="1389" spans="1:30">
      <c r="A1389" t="s">
        <v>1551</v>
      </c>
      <c r="B1389">
        <v>72.8125</v>
      </c>
      <c r="C1389">
        <v>71.25</v>
      </c>
      <c r="D1389">
        <v>12</v>
      </c>
      <c r="E1389">
        <v>8.375</v>
      </c>
      <c r="F1389" t="s">
        <v>21</v>
      </c>
      <c r="G1389">
        <v>1</v>
      </c>
      <c r="H1389">
        <v>0</v>
      </c>
      <c r="I1389">
        <v>1</v>
      </c>
      <c r="J1389">
        <v>0</v>
      </c>
      <c r="K1389">
        <v>24</v>
      </c>
      <c r="L1389" t="s">
        <v>119</v>
      </c>
      <c r="N1389">
        <v>0.5</v>
      </c>
      <c r="O1389">
        <v>0.38</v>
      </c>
      <c r="P1389">
        <v>3.5</v>
      </c>
      <c r="Q1389">
        <v>-7.5</v>
      </c>
      <c r="R1389">
        <v>0</v>
      </c>
      <c r="S1389">
        <v>4</v>
      </c>
      <c r="T1389">
        <v>0.5</v>
      </c>
      <c r="U1389">
        <v>0</v>
      </c>
      <c r="V1389">
        <v>0</v>
      </c>
      <c r="W1389">
        <v>0</v>
      </c>
      <c r="X1389">
        <v>0</v>
      </c>
      <c r="Y1389">
        <v>0.5</v>
      </c>
      <c r="Z1389">
        <v>0.5</v>
      </c>
      <c r="AA1389">
        <v>11</v>
      </c>
      <c r="AB1389">
        <v>15.5</v>
      </c>
    </row>
    <row r="1390" spans="1:30">
      <c r="A1390" t="s">
        <v>1552</v>
      </c>
      <c r="B1390">
        <v>71</v>
      </c>
      <c r="C1390">
        <v>73.0625</v>
      </c>
      <c r="D1390">
        <v>12</v>
      </c>
      <c r="F1390" t="s">
        <v>21</v>
      </c>
      <c r="G1390">
        <v>1</v>
      </c>
      <c r="H1390">
        <v>0</v>
      </c>
      <c r="I1390">
        <v>1</v>
      </c>
      <c r="J1390">
        <v>0</v>
      </c>
      <c r="N1390">
        <v>0.5</v>
      </c>
      <c r="O1390">
        <v>0.38</v>
      </c>
      <c r="P1390">
        <v>3.5</v>
      </c>
      <c r="Q1390">
        <v>-7.5</v>
      </c>
      <c r="R1390">
        <v>4.5</v>
      </c>
      <c r="S1390">
        <v>4</v>
      </c>
      <c r="T1390">
        <v>0.5</v>
      </c>
      <c r="U1390">
        <v>0</v>
      </c>
      <c r="V1390">
        <v>0</v>
      </c>
      <c r="W1390">
        <v>0</v>
      </c>
      <c r="X1390">
        <v>0</v>
      </c>
      <c r="Y1390">
        <v>0.5</v>
      </c>
      <c r="Z1390">
        <v>0.5</v>
      </c>
    </row>
    <row r="1391" spans="1:30">
      <c r="A1391" t="s">
        <v>1553</v>
      </c>
      <c r="B1391">
        <v>49.375</v>
      </c>
      <c r="C1391">
        <v>15.875</v>
      </c>
      <c r="D1391">
        <v>9</v>
      </c>
      <c r="E1391">
        <v>8.5</v>
      </c>
      <c r="F1391" t="s">
        <v>21</v>
      </c>
      <c r="G1391">
        <v>1</v>
      </c>
      <c r="H1391">
        <v>0</v>
      </c>
      <c r="I1391">
        <v>1</v>
      </c>
      <c r="J1391">
        <v>1</v>
      </c>
      <c r="N1391">
        <v>0.5</v>
      </c>
      <c r="O1391">
        <v>0.38</v>
      </c>
      <c r="P1391">
        <v>3.5</v>
      </c>
      <c r="Q1391">
        <v>-4.5</v>
      </c>
      <c r="R1391">
        <v>0</v>
      </c>
      <c r="S1391">
        <v>4</v>
      </c>
      <c r="T1391">
        <v>0.5</v>
      </c>
      <c r="U1391">
        <v>0</v>
      </c>
      <c r="V1391">
        <v>0</v>
      </c>
      <c r="W1391">
        <v>0</v>
      </c>
      <c r="X1391">
        <v>0</v>
      </c>
      <c r="Y1391">
        <v>0.5</v>
      </c>
      <c r="Z1391">
        <v>0.5</v>
      </c>
    </row>
    <row r="1392" spans="1:30">
      <c r="A1392" t="s">
        <v>1554</v>
      </c>
      <c r="B1392">
        <v>41.75</v>
      </c>
      <c r="C1392">
        <v>62.6875</v>
      </c>
      <c r="D1392">
        <v>12</v>
      </c>
      <c r="E1392">
        <v>5.625</v>
      </c>
      <c r="F1392" t="s">
        <v>21</v>
      </c>
      <c r="G1392">
        <v>1</v>
      </c>
      <c r="H1392">
        <v>1</v>
      </c>
      <c r="I1392">
        <v>0</v>
      </c>
      <c r="L1392" t="s">
        <v>149</v>
      </c>
      <c r="N1392">
        <v>0.5</v>
      </c>
      <c r="O1392">
        <v>0.38</v>
      </c>
      <c r="P1392">
        <v>3.5</v>
      </c>
      <c r="Q1392">
        <v>-7.5</v>
      </c>
      <c r="R1392">
        <v>0</v>
      </c>
      <c r="S1392">
        <v>4</v>
      </c>
      <c r="T1392">
        <v>0.5</v>
      </c>
      <c r="U1392">
        <v>0</v>
      </c>
      <c r="V1392">
        <v>0</v>
      </c>
      <c r="W1392">
        <v>0</v>
      </c>
      <c r="X1392">
        <v>0</v>
      </c>
      <c r="Y1392">
        <v>0.5</v>
      </c>
      <c r="Z1392">
        <v>0.5</v>
      </c>
      <c r="AA1392">
        <v>15.5</v>
      </c>
      <c r="AB1392">
        <v>28.875</v>
      </c>
      <c r="AC1392">
        <v>21</v>
      </c>
      <c r="AD1392">
        <v>6</v>
      </c>
    </row>
    <row r="1393" spans="1:30">
      <c r="A1393" t="s">
        <v>1555</v>
      </c>
      <c r="B1393">
        <v>45.8125</v>
      </c>
      <c r="C1393">
        <v>57.0625</v>
      </c>
      <c r="D1393">
        <v>1</v>
      </c>
      <c r="E1393">
        <v>5.125</v>
      </c>
      <c r="F1393" t="s">
        <v>21</v>
      </c>
      <c r="G1393">
        <v>1</v>
      </c>
      <c r="H1393">
        <v>1</v>
      </c>
      <c r="I1393">
        <v>1</v>
      </c>
      <c r="J1393">
        <v>0</v>
      </c>
      <c r="K1393">
        <v>12</v>
      </c>
      <c r="L1393" t="s">
        <v>148</v>
      </c>
      <c r="N1393">
        <v>0.5</v>
      </c>
      <c r="O1393">
        <v>0.38</v>
      </c>
      <c r="P1393">
        <v>3.5</v>
      </c>
      <c r="Q1393">
        <v>3.5</v>
      </c>
      <c r="R1393">
        <v>0</v>
      </c>
      <c r="S1393">
        <v>4</v>
      </c>
      <c r="T1393">
        <v>0.5</v>
      </c>
      <c r="U1393">
        <v>1</v>
      </c>
      <c r="V1393">
        <v>1</v>
      </c>
      <c r="W1393">
        <v>0</v>
      </c>
      <c r="X1393">
        <v>0</v>
      </c>
      <c r="Y1393">
        <v>0</v>
      </c>
      <c r="Z1393">
        <v>0</v>
      </c>
      <c r="AA1393">
        <v>15.5</v>
      </c>
      <c r="AB1393">
        <v>28.875</v>
      </c>
      <c r="AC1393">
        <v>9</v>
      </c>
      <c r="AD1393">
        <v>17</v>
      </c>
    </row>
    <row r="1394" spans="1:30">
      <c r="A1394" t="s">
        <v>1556</v>
      </c>
      <c r="B1394">
        <v>94.625</v>
      </c>
      <c r="C1394">
        <v>71.3125</v>
      </c>
      <c r="D1394">
        <v>2.3125</v>
      </c>
      <c r="F1394" t="s">
        <v>21</v>
      </c>
      <c r="G1394">
        <v>1</v>
      </c>
      <c r="H1394">
        <v>1</v>
      </c>
      <c r="I1394">
        <v>1</v>
      </c>
      <c r="J1394">
        <v>0</v>
      </c>
      <c r="K1394">
        <v>24</v>
      </c>
      <c r="L1394" t="s">
        <v>145</v>
      </c>
      <c r="N1394">
        <v>0.5</v>
      </c>
      <c r="O1394">
        <v>0.38</v>
      </c>
      <c r="P1394">
        <v>3.5</v>
      </c>
      <c r="Q1394">
        <v>2.1875</v>
      </c>
      <c r="R1394">
        <v>4.5</v>
      </c>
      <c r="S1394">
        <v>4</v>
      </c>
      <c r="T1394">
        <v>0.5</v>
      </c>
      <c r="U1394">
        <v>1</v>
      </c>
      <c r="V1394">
        <v>1</v>
      </c>
      <c r="W1394">
        <v>0</v>
      </c>
      <c r="X1394">
        <v>0</v>
      </c>
      <c r="Y1394">
        <v>0</v>
      </c>
      <c r="Z1394">
        <v>0</v>
      </c>
      <c r="AA1394">
        <v>15.5</v>
      </c>
      <c r="AB1394">
        <v>28.875</v>
      </c>
    </row>
    <row r="1395" spans="1:30">
      <c r="A1395" t="s">
        <v>1557</v>
      </c>
      <c r="B1395">
        <v>96</v>
      </c>
      <c r="C1395">
        <v>55.1875</v>
      </c>
      <c r="D1395">
        <v>2.125</v>
      </c>
      <c r="E1395">
        <v>6.5625</v>
      </c>
      <c r="F1395" t="s">
        <v>21</v>
      </c>
      <c r="G1395">
        <v>1</v>
      </c>
      <c r="H1395">
        <v>1</v>
      </c>
      <c r="I1395">
        <v>1</v>
      </c>
      <c r="J1395">
        <v>0</v>
      </c>
      <c r="N1395">
        <v>0.5</v>
      </c>
      <c r="O1395">
        <v>0.38</v>
      </c>
      <c r="P1395">
        <v>3.5</v>
      </c>
      <c r="Q1395">
        <v>2.375</v>
      </c>
      <c r="R1395">
        <v>0</v>
      </c>
      <c r="S1395">
        <v>4</v>
      </c>
      <c r="T1395">
        <v>0.5</v>
      </c>
      <c r="U1395">
        <v>1</v>
      </c>
      <c r="V1395">
        <v>1</v>
      </c>
      <c r="W1395">
        <v>0</v>
      </c>
      <c r="X1395">
        <v>0</v>
      </c>
      <c r="Y1395">
        <v>0</v>
      </c>
      <c r="Z1395">
        <v>0</v>
      </c>
    </row>
    <row r="1396" spans="1:30">
      <c r="A1396" t="s">
        <v>1558</v>
      </c>
      <c r="B1396">
        <v>68.3125</v>
      </c>
      <c r="C1396">
        <v>52.25</v>
      </c>
      <c r="D1396">
        <v>11.3125</v>
      </c>
      <c r="F1396" t="s">
        <v>21</v>
      </c>
      <c r="G1396">
        <v>1</v>
      </c>
      <c r="H1396">
        <v>1</v>
      </c>
      <c r="I1396">
        <v>1</v>
      </c>
      <c r="J1396">
        <v>1</v>
      </c>
      <c r="N1396">
        <v>0.5</v>
      </c>
      <c r="O1396">
        <v>0.38</v>
      </c>
      <c r="P1396">
        <v>3.5</v>
      </c>
      <c r="Q1396">
        <v>-6.8125</v>
      </c>
      <c r="R1396">
        <v>4.5</v>
      </c>
      <c r="S1396">
        <v>4</v>
      </c>
      <c r="T1396">
        <v>0.5</v>
      </c>
      <c r="U1396">
        <v>0</v>
      </c>
      <c r="V1396">
        <v>0</v>
      </c>
      <c r="W1396">
        <v>0</v>
      </c>
      <c r="X1396">
        <v>0</v>
      </c>
      <c r="Y1396">
        <v>0.5</v>
      </c>
      <c r="Z1396">
        <v>0.5</v>
      </c>
    </row>
    <row r="1397" spans="1:30">
      <c r="A1397" t="s">
        <v>1559</v>
      </c>
      <c r="B1397">
        <v>6.5</v>
      </c>
      <c r="C1397">
        <v>72.4375</v>
      </c>
      <c r="D1397">
        <v>6.5625</v>
      </c>
      <c r="E1397">
        <v>7.75</v>
      </c>
      <c r="F1397" t="s">
        <v>156</v>
      </c>
      <c r="G1397">
        <v>0</v>
      </c>
      <c r="I1397">
        <v>0</v>
      </c>
      <c r="L1397" t="s">
        <v>120</v>
      </c>
      <c r="N1397">
        <v>0.5</v>
      </c>
      <c r="O1397">
        <v>0.38</v>
      </c>
      <c r="P1397">
        <v>3.5</v>
      </c>
      <c r="Q1397">
        <v>-2.0625</v>
      </c>
      <c r="R1397">
        <v>0</v>
      </c>
      <c r="S1397">
        <v>4</v>
      </c>
      <c r="T1397">
        <v>0.5</v>
      </c>
      <c r="U1397">
        <v>0</v>
      </c>
      <c r="V1397">
        <v>0</v>
      </c>
      <c r="W1397">
        <v>0</v>
      </c>
      <c r="X1397">
        <v>0</v>
      </c>
      <c r="Y1397">
        <v>0.5</v>
      </c>
      <c r="Z1397">
        <v>0.5</v>
      </c>
    </row>
    <row r="1398" spans="1:30">
      <c r="A1398" t="s">
        <v>1560</v>
      </c>
      <c r="B1398">
        <v>29.125</v>
      </c>
      <c r="C1398">
        <v>46.625</v>
      </c>
      <c r="D1398">
        <v>8.125</v>
      </c>
      <c r="E1398">
        <v>6.375</v>
      </c>
      <c r="F1398" t="s">
        <v>156</v>
      </c>
      <c r="G1398">
        <v>0</v>
      </c>
      <c r="I1398">
        <v>1</v>
      </c>
      <c r="J1398">
        <v>0</v>
      </c>
      <c r="K1398">
        <v>12</v>
      </c>
      <c r="L1398" t="s">
        <v>119</v>
      </c>
      <c r="N1398">
        <v>0.5</v>
      </c>
      <c r="O1398">
        <v>0.38</v>
      </c>
      <c r="P1398">
        <v>3.5</v>
      </c>
      <c r="Q1398">
        <v>-3.625</v>
      </c>
      <c r="R1398">
        <v>0</v>
      </c>
      <c r="S1398">
        <v>4</v>
      </c>
      <c r="T1398">
        <v>0.5</v>
      </c>
      <c r="U1398">
        <v>0</v>
      </c>
      <c r="V1398">
        <v>0</v>
      </c>
      <c r="W1398">
        <v>0</v>
      </c>
      <c r="X1398">
        <v>0</v>
      </c>
      <c r="Y1398">
        <v>0.5</v>
      </c>
      <c r="Z1398">
        <v>0.5</v>
      </c>
    </row>
    <row r="1399" spans="1:30">
      <c r="A1399" t="s">
        <v>1561</v>
      </c>
      <c r="B1399">
        <v>49.1875</v>
      </c>
      <c r="C1399">
        <v>73.8125</v>
      </c>
      <c r="D1399">
        <v>4.5</v>
      </c>
      <c r="E1399">
        <v>1</v>
      </c>
      <c r="F1399" t="s">
        <v>156</v>
      </c>
      <c r="G1399">
        <v>0</v>
      </c>
      <c r="I1399">
        <v>1</v>
      </c>
      <c r="J1399">
        <v>0</v>
      </c>
      <c r="K1399">
        <v>24</v>
      </c>
      <c r="L1399" t="s">
        <v>35</v>
      </c>
      <c r="N1399">
        <v>0.5</v>
      </c>
      <c r="O1399">
        <v>0.38</v>
      </c>
      <c r="P1399">
        <v>3.5</v>
      </c>
      <c r="Q1399">
        <v>0</v>
      </c>
      <c r="R1399">
        <v>3.5</v>
      </c>
      <c r="S1399">
        <v>4</v>
      </c>
      <c r="T1399">
        <v>0.5</v>
      </c>
      <c r="U1399">
        <v>0</v>
      </c>
      <c r="V1399">
        <v>0</v>
      </c>
      <c r="W1399">
        <v>0</v>
      </c>
      <c r="X1399">
        <v>0</v>
      </c>
      <c r="Y1399">
        <v>0.5</v>
      </c>
      <c r="Z1399">
        <v>0.5</v>
      </c>
    </row>
    <row r="1400" spans="1:30">
      <c r="A1400" t="s">
        <v>1562</v>
      </c>
      <c r="B1400">
        <v>18</v>
      </c>
      <c r="C1400">
        <v>72.8125</v>
      </c>
      <c r="D1400">
        <v>1.6875</v>
      </c>
      <c r="E1400">
        <v>5.0625</v>
      </c>
      <c r="F1400" t="s">
        <v>156</v>
      </c>
      <c r="G1400">
        <v>0</v>
      </c>
      <c r="I1400">
        <v>1</v>
      </c>
      <c r="J1400">
        <v>0</v>
      </c>
      <c r="N1400">
        <v>0.5</v>
      </c>
      <c r="O1400">
        <v>0.38</v>
      </c>
      <c r="P1400">
        <v>3.5</v>
      </c>
      <c r="Q1400">
        <v>2.8125</v>
      </c>
      <c r="R1400">
        <v>0</v>
      </c>
      <c r="S1400">
        <v>4</v>
      </c>
      <c r="T1400">
        <v>0.5</v>
      </c>
      <c r="U1400">
        <v>0</v>
      </c>
      <c r="V1400">
        <v>0</v>
      </c>
      <c r="W1400">
        <v>0</v>
      </c>
      <c r="X1400">
        <v>0</v>
      </c>
      <c r="Y1400">
        <v>0.5</v>
      </c>
      <c r="Z1400">
        <v>0.5</v>
      </c>
    </row>
    <row r="1401" spans="1:30">
      <c r="A1401" t="s">
        <v>1563</v>
      </c>
      <c r="B1401">
        <v>33.75</v>
      </c>
      <c r="C1401">
        <v>22.125</v>
      </c>
      <c r="D1401">
        <v>4.5</v>
      </c>
      <c r="F1401" t="s">
        <v>156</v>
      </c>
      <c r="G1401">
        <v>0</v>
      </c>
      <c r="I1401">
        <v>1</v>
      </c>
      <c r="J1401">
        <v>1</v>
      </c>
      <c r="N1401">
        <v>0.5</v>
      </c>
      <c r="O1401">
        <v>0.38</v>
      </c>
      <c r="P1401">
        <v>3.5</v>
      </c>
      <c r="Q1401">
        <v>0</v>
      </c>
      <c r="R1401">
        <v>4.5</v>
      </c>
      <c r="S1401">
        <v>4</v>
      </c>
      <c r="T1401">
        <v>0.5</v>
      </c>
      <c r="U1401">
        <v>0</v>
      </c>
      <c r="V1401">
        <v>0</v>
      </c>
      <c r="W1401">
        <v>0</v>
      </c>
      <c r="X1401">
        <v>0</v>
      </c>
      <c r="Y1401">
        <v>0.5</v>
      </c>
      <c r="Z1401">
        <v>0.5</v>
      </c>
    </row>
    <row r="1402" spans="1:30">
      <c r="A1402" t="s">
        <v>1564</v>
      </c>
      <c r="B1402">
        <v>42.0625</v>
      </c>
      <c r="C1402">
        <v>53.9375</v>
      </c>
      <c r="D1402">
        <v>12</v>
      </c>
      <c r="E1402">
        <v>1</v>
      </c>
      <c r="F1402" t="s">
        <v>156</v>
      </c>
      <c r="G1402">
        <v>1</v>
      </c>
      <c r="H1402">
        <v>0</v>
      </c>
      <c r="I1402">
        <v>0</v>
      </c>
      <c r="L1402" t="s">
        <v>120</v>
      </c>
      <c r="N1402">
        <v>0.5</v>
      </c>
      <c r="O1402">
        <v>0.38</v>
      </c>
      <c r="P1402">
        <v>3.5</v>
      </c>
      <c r="Q1402">
        <v>-7.5</v>
      </c>
      <c r="R1402">
        <v>3.5</v>
      </c>
      <c r="S1402">
        <v>4</v>
      </c>
      <c r="T1402">
        <v>0.5</v>
      </c>
      <c r="U1402">
        <v>0</v>
      </c>
      <c r="V1402">
        <v>0</v>
      </c>
      <c r="W1402">
        <v>0</v>
      </c>
      <c r="X1402">
        <v>0</v>
      </c>
      <c r="Y1402">
        <v>0.5</v>
      </c>
      <c r="Z1402">
        <v>0.5</v>
      </c>
    </row>
    <row r="1403" spans="1:30">
      <c r="A1403" t="s">
        <v>1565</v>
      </c>
      <c r="B1403">
        <v>38.9375</v>
      </c>
      <c r="C1403">
        <v>45.625</v>
      </c>
      <c r="D1403">
        <v>1</v>
      </c>
      <c r="E1403">
        <v>1</v>
      </c>
      <c r="F1403" t="s">
        <v>156</v>
      </c>
      <c r="G1403">
        <v>1</v>
      </c>
      <c r="H1403">
        <v>0</v>
      </c>
      <c r="I1403">
        <v>1</v>
      </c>
      <c r="J1403">
        <v>0</v>
      </c>
      <c r="K1403">
        <v>12</v>
      </c>
      <c r="L1403" t="s">
        <v>151</v>
      </c>
      <c r="N1403">
        <v>0.5</v>
      </c>
      <c r="O1403">
        <v>0.38</v>
      </c>
      <c r="P1403">
        <v>3.5</v>
      </c>
      <c r="Q1403">
        <v>3.5</v>
      </c>
      <c r="R1403">
        <v>3.5</v>
      </c>
      <c r="S1403">
        <v>4</v>
      </c>
      <c r="T1403">
        <v>0.5</v>
      </c>
      <c r="U1403">
        <v>0</v>
      </c>
      <c r="V1403">
        <v>0</v>
      </c>
      <c r="W1403">
        <v>0</v>
      </c>
      <c r="X1403">
        <v>0</v>
      </c>
      <c r="Y1403">
        <v>0.5</v>
      </c>
      <c r="Z1403">
        <v>0.5</v>
      </c>
    </row>
    <row r="1404" spans="1:30">
      <c r="A1404" t="s">
        <v>1566</v>
      </c>
      <c r="B1404">
        <v>49.5625</v>
      </c>
      <c r="C1404">
        <v>69.5625</v>
      </c>
      <c r="D1404">
        <v>4.5</v>
      </c>
      <c r="F1404" t="s">
        <v>156</v>
      </c>
      <c r="G1404">
        <v>1</v>
      </c>
      <c r="H1404">
        <v>0</v>
      </c>
      <c r="I1404">
        <v>1</v>
      </c>
      <c r="J1404">
        <v>0</v>
      </c>
      <c r="K1404">
        <v>24</v>
      </c>
      <c r="L1404" t="s">
        <v>120</v>
      </c>
      <c r="N1404">
        <v>0.5</v>
      </c>
      <c r="O1404">
        <v>0.38</v>
      </c>
      <c r="P1404">
        <v>3.5</v>
      </c>
      <c r="Q1404">
        <v>0</v>
      </c>
      <c r="R1404">
        <v>4.5</v>
      </c>
      <c r="S1404">
        <v>4</v>
      </c>
      <c r="T1404">
        <v>0.5</v>
      </c>
      <c r="U1404">
        <v>0</v>
      </c>
      <c r="V1404">
        <v>0</v>
      </c>
      <c r="W1404">
        <v>0</v>
      </c>
      <c r="X1404">
        <v>0</v>
      </c>
      <c r="Y1404">
        <v>0.5</v>
      </c>
      <c r="Z1404">
        <v>0.5</v>
      </c>
    </row>
    <row r="1405" spans="1:30">
      <c r="A1405" t="s">
        <v>1567</v>
      </c>
      <c r="B1405">
        <v>20.5</v>
      </c>
      <c r="C1405">
        <v>62.8125</v>
      </c>
      <c r="D1405">
        <v>4.5</v>
      </c>
      <c r="E1405">
        <v>1.4375</v>
      </c>
      <c r="F1405" t="s">
        <v>156</v>
      </c>
      <c r="G1405">
        <v>1</v>
      </c>
      <c r="H1405">
        <v>0</v>
      </c>
      <c r="I1405">
        <v>1</v>
      </c>
      <c r="J1405">
        <v>0</v>
      </c>
      <c r="N1405">
        <v>0.5</v>
      </c>
      <c r="O1405">
        <v>0.38</v>
      </c>
      <c r="P1405">
        <v>3.5</v>
      </c>
      <c r="Q1405">
        <v>0</v>
      </c>
      <c r="R1405">
        <v>3.0625</v>
      </c>
      <c r="S1405">
        <v>4</v>
      </c>
      <c r="T1405">
        <v>0.5</v>
      </c>
      <c r="U1405">
        <v>0</v>
      </c>
      <c r="V1405">
        <v>0</v>
      </c>
      <c r="W1405">
        <v>0</v>
      </c>
      <c r="X1405">
        <v>0</v>
      </c>
      <c r="Y1405">
        <v>0.5</v>
      </c>
      <c r="Z1405">
        <v>0.5</v>
      </c>
    </row>
    <row r="1406" spans="1:30">
      <c r="A1406" t="s">
        <v>1568</v>
      </c>
      <c r="B1406">
        <v>31.8125</v>
      </c>
      <c r="C1406">
        <v>51.875</v>
      </c>
      <c r="D1406">
        <v>1</v>
      </c>
      <c r="F1406" t="s">
        <v>156</v>
      </c>
      <c r="G1406">
        <v>1</v>
      </c>
      <c r="H1406">
        <v>0</v>
      </c>
      <c r="I1406">
        <v>1</v>
      </c>
      <c r="J1406">
        <v>1</v>
      </c>
      <c r="N1406">
        <v>0.5</v>
      </c>
      <c r="O1406">
        <v>0.38</v>
      </c>
      <c r="P1406">
        <v>3.5</v>
      </c>
      <c r="Q1406">
        <v>3.5</v>
      </c>
      <c r="R1406">
        <v>4.5</v>
      </c>
      <c r="S1406">
        <v>4</v>
      </c>
      <c r="T1406">
        <v>0.5</v>
      </c>
      <c r="U1406">
        <v>0</v>
      </c>
      <c r="V1406">
        <v>0</v>
      </c>
      <c r="W1406">
        <v>0</v>
      </c>
      <c r="X1406">
        <v>0</v>
      </c>
      <c r="Y1406">
        <v>0.5</v>
      </c>
      <c r="Z1406">
        <v>0.5</v>
      </c>
    </row>
    <row r="1407" spans="1:30">
      <c r="A1407" t="s">
        <v>1569</v>
      </c>
      <c r="B1407">
        <v>4.8125</v>
      </c>
      <c r="C1407">
        <v>73</v>
      </c>
      <c r="D1407">
        <v>2.6875</v>
      </c>
      <c r="E1407">
        <v>1.625</v>
      </c>
      <c r="F1407" t="s">
        <v>156</v>
      </c>
      <c r="G1407">
        <v>1</v>
      </c>
      <c r="H1407">
        <v>1</v>
      </c>
      <c r="I1407">
        <v>0</v>
      </c>
      <c r="N1407">
        <v>0.5</v>
      </c>
      <c r="O1407">
        <v>0.38</v>
      </c>
      <c r="P1407">
        <v>3.5</v>
      </c>
      <c r="Q1407">
        <v>1.8125</v>
      </c>
      <c r="R1407">
        <v>2.875</v>
      </c>
      <c r="S1407">
        <v>4</v>
      </c>
      <c r="T1407">
        <v>0.5</v>
      </c>
      <c r="U1407">
        <v>0</v>
      </c>
      <c r="V1407">
        <v>0</v>
      </c>
      <c r="W1407">
        <v>1</v>
      </c>
      <c r="X1407">
        <v>0</v>
      </c>
      <c r="Y1407">
        <v>0.5</v>
      </c>
      <c r="Z1407">
        <v>0.5</v>
      </c>
    </row>
    <row r="1408" spans="1:30">
      <c r="A1408" t="s">
        <v>1570</v>
      </c>
      <c r="B1408">
        <v>27.1875</v>
      </c>
      <c r="C1408">
        <v>45.5625</v>
      </c>
      <c r="D1408">
        <v>9</v>
      </c>
      <c r="E1408">
        <v>3.8125</v>
      </c>
      <c r="F1408" t="s">
        <v>156</v>
      </c>
      <c r="G1408">
        <v>1</v>
      </c>
      <c r="H1408">
        <v>1</v>
      </c>
      <c r="I1408">
        <v>1</v>
      </c>
      <c r="J1408">
        <v>0</v>
      </c>
      <c r="K1408">
        <v>12</v>
      </c>
      <c r="L1408" t="s">
        <v>35</v>
      </c>
      <c r="N1408">
        <v>0.5</v>
      </c>
      <c r="O1408">
        <v>0.38</v>
      </c>
      <c r="P1408">
        <v>3.5</v>
      </c>
      <c r="Q1408">
        <v>-4.5</v>
      </c>
      <c r="R1408">
        <v>0.6875</v>
      </c>
      <c r="S1408">
        <v>4</v>
      </c>
      <c r="T1408">
        <v>0.5</v>
      </c>
      <c r="U1408">
        <v>0</v>
      </c>
      <c r="V1408">
        <v>0</v>
      </c>
      <c r="W1408">
        <v>1</v>
      </c>
      <c r="X1408">
        <v>0</v>
      </c>
      <c r="Y1408">
        <v>0.5</v>
      </c>
      <c r="Z1408">
        <v>0.5</v>
      </c>
    </row>
    <row r="1409" spans="1:30">
      <c r="A1409" t="s">
        <v>1571</v>
      </c>
      <c r="B1409">
        <v>45.875</v>
      </c>
      <c r="C1409">
        <v>45.5625</v>
      </c>
      <c r="D1409">
        <v>12</v>
      </c>
      <c r="E1409">
        <v>1</v>
      </c>
      <c r="F1409" t="s">
        <v>156</v>
      </c>
      <c r="G1409">
        <v>1</v>
      </c>
      <c r="H1409">
        <v>1</v>
      </c>
      <c r="I1409">
        <v>1</v>
      </c>
      <c r="J1409">
        <v>0</v>
      </c>
      <c r="K1409">
        <v>24</v>
      </c>
      <c r="L1409" t="s">
        <v>150</v>
      </c>
      <c r="N1409">
        <v>0.5</v>
      </c>
      <c r="O1409">
        <v>0.38</v>
      </c>
      <c r="P1409">
        <v>3.5</v>
      </c>
      <c r="Q1409">
        <v>-7.5</v>
      </c>
      <c r="R1409">
        <v>3.5</v>
      </c>
      <c r="S1409">
        <v>4</v>
      </c>
      <c r="T1409">
        <v>0.5</v>
      </c>
      <c r="U1409">
        <v>0</v>
      </c>
      <c r="V1409">
        <v>0</v>
      </c>
      <c r="W1409">
        <v>1</v>
      </c>
      <c r="X1409">
        <v>0</v>
      </c>
      <c r="Y1409">
        <v>0.5</v>
      </c>
      <c r="Z1409">
        <v>0.5</v>
      </c>
    </row>
    <row r="1410" spans="1:30">
      <c r="A1410" t="s">
        <v>1572</v>
      </c>
      <c r="B1410">
        <v>40.3125</v>
      </c>
      <c r="C1410">
        <v>79.9375</v>
      </c>
      <c r="D1410">
        <v>1</v>
      </c>
      <c r="E1410">
        <v>6.75</v>
      </c>
      <c r="F1410" t="s">
        <v>156</v>
      </c>
      <c r="G1410">
        <v>1</v>
      </c>
      <c r="H1410">
        <v>1</v>
      </c>
      <c r="I1410">
        <v>1</v>
      </c>
      <c r="J1410">
        <v>0</v>
      </c>
      <c r="N1410">
        <v>0.5</v>
      </c>
      <c r="O1410">
        <v>0.38</v>
      </c>
      <c r="P1410">
        <v>3.5</v>
      </c>
      <c r="Q1410">
        <v>3.5</v>
      </c>
      <c r="R1410">
        <v>0</v>
      </c>
      <c r="S1410">
        <v>4</v>
      </c>
      <c r="T1410">
        <v>0.5</v>
      </c>
      <c r="U1410">
        <v>0</v>
      </c>
      <c r="V1410">
        <v>0</v>
      </c>
      <c r="W1410">
        <v>0</v>
      </c>
      <c r="X1410">
        <v>0</v>
      </c>
      <c r="Y1410">
        <v>0.5</v>
      </c>
      <c r="Z1410">
        <v>0.5</v>
      </c>
    </row>
    <row r="1411" spans="1:30">
      <c r="A1411" t="s">
        <v>1573</v>
      </c>
      <c r="B1411">
        <v>9.375</v>
      </c>
      <c r="C1411">
        <v>60.9375</v>
      </c>
      <c r="D1411">
        <v>12</v>
      </c>
      <c r="E1411">
        <v>1</v>
      </c>
      <c r="F1411" t="s">
        <v>156</v>
      </c>
      <c r="G1411">
        <v>1</v>
      </c>
      <c r="H1411">
        <v>1</v>
      </c>
      <c r="I1411">
        <v>1</v>
      </c>
      <c r="J1411">
        <v>1</v>
      </c>
      <c r="N1411">
        <v>0.5</v>
      </c>
      <c r="O1411">
        <v>0.38</v>
      </c>
      <c r="P1411">
        <v>3.5</v>
      </c>
      <c r="Q1411">
        <v>-7.5</v>
      </c>
      <c r="R1411">
        <v>3.5</v>
      </c>
      <c r="S1411">
        <v>4</v>
      </c>
      <c r="T1411">
        <v>0.5</v>
      </c>
      <c r="U1411">
        <v>0</v>
      </c>
      <c r="V1411">
        <v>0</v>
      </c>
      <c r="W1411">
        <v>1</v>
      </c>
      <c r="X1411">
        <v>1</v>
      </c>
      <c r="Y1411">
        <v>0.5</v>
      </c>
      <c r="Z1411">
        <v>0.5</v>
      </c>
    </row>
    <row r="1412" spans="1:30">
      <c r="A1412" t="s">
        <v>1574</v>
      </c>
      <c r="B1412">
        <v>60</v>
      </c>
      <c r="C1412">
        <v>74.875</v>
      </c>
      <c r="D1412">
        <v>2.125</v>
      </c>
      <c r="E1412">
        <v>5.0625</v>
      </c>
      <c r="F1412" t="s">
        <v>157</v>
      </c>
      <c r="G1412">
        <v>0</v>
      </c>
      <c r="I1412">
        <v>0</v>
      </c>
      <c r="L1412" t="s">
        <v>119</v>
      </c>
      <c r="N1412">
        <v>0.5</v>
      </c>
      <c r="O1412">
        <v>0.38</v>
      </c>
      <c r="P1412">
        <v>3.5</v>
      </c>
      <c r="Q1412">
        <v>2.375</v>
      </c>
      <c r="R1412">
        <v>0</v>
      </c>
      <c r="S1412">
        <v>4</v>
      </c>
      <c r="T1412">
        <v>0.5</v>
      </c>
      <c r="U1412">
        <v>0</v>
      </c>
      <c r="V1412">
        <v>0</v>
      </c>
      <c r="W1412">
        <v>0</v>
      </c>
      <c r="X1412">
        <v>0</v>
      </c>
      <c r="Y1412">
        <v>0.5</v>
      </c>
      <c r="Z1412">
        <v>0.5</v>
      </c>
      <c r="AA1412">
        <v>11</v>
      </c>
      <c r="AB1412">
        <v>15.5</v>
      </c>
      <c r="AC1412">
        <v>14.5</v>
      </c>
      <c r="AD1412">
        <v>12.625</v>
      </c>
    </row>
    <row r="1413" spans="1:30">
      <c r="A1413" t="s">
        <v>1575</v>
      </c>
      <c r="B1413">
        <v>60</v>
      </c>
      <c r="C1413">
        <v>78</v>
      </c>
      <c r="D1413">
        <v>8.5</v>
      </c>
      <c r="F1413" t="s">
        <v>157</v>
      </c>
      <c r="G1413">
        <v>0</v>
      </c>
      <c r="I1413">
        <v>1</v>
      </c>
      <c r="J1413">
        <v>0</v>
      </c>
      <c r="K1413">
        <v>12</v>
      </c>
      <c r="L1413" t="s">
        <v>121</v>
      </c>
      <c r="N1413">
        <v>0.5</v>
      </c>
      <c r="O1413">
        <v>0.38</v>
      </c>
      <c r="P1413">
        <v>3.5</v>
      </c>
      <c r="Q1413">
        <v>-4</v>
      </c>
      <c r="R1413">
        <v>4.5</v>
      </c>
      <c r="S1413">
        <v>4</v>
      </c>
      <c r="T1413">
        <v>0.5</v>
      </c>
      <c r="U1413">
        <v>0</v>
      </c>
      <c r="V1413">
        <v>0</v>
      </c>
      <c r="W1413">
        <v>0</v>
      </c>
      <c r="X1413">
        <v>0</v>
      </c>
      <c r="Y1413">
        <v>0.5</v>
      </c>
      <c r="Z1413">
        <v>0.5</v>
      </c>
      <c r="AA1413">
        <v>11</v>
      </c>
      <c r="AB1413">
        <v>9.375</v>
      </c>
    </row>
    <row r="1414" spans="1:30">
      <c r="A1414" t="s">
        <v>1576</v>
      </c>
      <c r="B1414">
        <v>60</v>
      </c>
      <c r="C1414">
        <v>43</v>
      </c>
      <c r="D1414">
        <v>11.5625</v>
      </c>
      <c r="F1414" t="s">
        <v>157</v>
      </c>
      <c r="G1414">
        <v>0</v>
      </c>
      <c r="I1414">
        <v>1</v>
      </c>
      <c r="J1414">
        <v>0</v>
      </c>
      <c r="K1414">
        <v>24</v>
      </c>
      <c r="N1414">
        <v>0.5</v>
      </c>
      <c r="O1414">
        <v>0.38</v>
      </c>
      <c r="P1414">
        <v>3.5</v>
      </c>
      <c r="Q1414">
        <v>-7.0625</v>
      </c>
      <c r="R1414">
        <v>4.5</v>
      </c>
      <c r="S1414">
        <v>4</v>
      </c>
      <c r="T1414">
        <v>0.5</v>
      </c>
      <c r="U1414">
        <v>0</v>
      </c>
      <c r="V1414">
        <v>0</v>
      </c>
      <c r="W1414">
        <v>0</v>
      </c>
      <c r="X1414">
        <v>0</v>
      </c>
      <c r="Y1414">
        <v>0.5</v>
      </c>
      <c r="Z1414">
        <v>0.5</v>
      </c>
    </row>
    <row r="1415" spans="1:30">
      <c r="A1415" t="s">
        <v>1577</v>
      </c>
      <c r="B1415">
        <v>60</v>
      </c>
      <c r="C1415">
        <v>45.5625</v>
      </c>
      <c r="D1415">
        <v>9</v>
      </c>
      <c r="E1415">
        <v>3.75</v>
      </c>
      <c r="F1415" t="s">
        <v>157</v>
      </c>
      <c r="G1415">
        <v>0</v>
      </c>
      <c r="I1415">
        <v>1</v>
      </c>
      <c r="J1415">
        <v>0</v>
      </c>
      <c r="N1415">
        <v>0.5</v>
      </c>
      <c r="O1415">
        <v>0.38</v>
      </c>
      <c r="P1415">
        <v>3.5</v>
      </c>
      <c r="Q1415">
        <v>-4.5</v>
      </c>
      <c r="R1415">
        <v>0.75</v>
      </c>
      <c r="S1415">
        <v>4</v>
      </c>
      <c r="T1415">
        <v>0.5</v>
      </c>
      <c r="U1415">
        <v>0</v>
      </c>
      <c r="V1415">
        <v>0</v>
      </c>
      <c r="W1415">
        <v>0</v>
      </c>
      <c r="X1415">
        <v>0</v>
      </c>
      <c r="Y1415">
        <v>0.5</v>
      </c>
      <c r="Z1415">
        <v>0.5</v>
      </c>
    </row>
    <row r="1416" spans="1:30">
      <c r="A1416" t="s">
        <v>1578</v>
      </c>
      <c r="B1416">
        <v>60</v>
      </c>
      <c r="C1416">
        <v>62.875</v>
      </c>
      <c r="D1416">
        <v>12</v>
      </c>
      <c r="E1416">
        <v>5.1875</v>
      </c>
      <c r="F1416" t="s">
        <v>157</v>
      </c>
      <c r="G1416">
        <v>0</v>
      </c>
      <c r="I1416">
        <v>1</v>
      </c>
      <c r="J1416">
        <v>1</v>
      </c>
      <c r="N1416">
        <v>0.5</v>
      </c>
      <c r="O1416">
        <v>0.38</v>
      </c>
      <c r="P1416">
        <v>3.5</v>
      </c>
      <c r="Q1416">
        <v>-7.5</v>
      </c>
      <c r="R1416">
        <v>0</v>
      </c>
      <c r="S1416">
        <v>4</v>
      </c>
      <c r="T1416">
        <v>0.5</v>
      </c>
      <c r="U1416">
        <v>0</v>
      </c>
      <c r="V1416">
        <v>0</v>
      </c>
      <c r="W1416">
        <v>0</v>
      </c>
      <c r="X1416">
        <v>0</v>
      </c>
      <c r="Y1416">
        <v>0.5</v>
      </c>
      <c r="Z1416">
        <v>0.5</v>
      </c>
    </row>
    <row r="1417" spans="1:30">
      <c r="A1417" t="s">
        <v>1579</v>
      </c>
      <c r="B1417">
        <v>60</v>
      </c>
      <c r="C1417">
        <v>55.625</v>
      </c>
      <c r="D1417">
        <v>4.5</v>
      </c>
      <c r="F1417" t="s">
        <v>157</v>
      </c>
      <c r="G1417">
        <v>1</v>
      </c>
      <c r="H1417">
        <v>0</v>
      </c>
      <c r="I1417">
        <v>0</v>
      </c>
      <c r="L1417" t="s">
        <v>119</v>
      </c>
      <c r="N1417">
        <v>0.5</v>
      </c>
      <c r="O1417">
        <v>0.38</v>
      </c>
      <c r="P1417">
        <v>3.5</v>
      </c>
      <c r="Q1417">
        <v>0</v>
      </c>
      <c r="R1417">
        <v>4.5</v>
      </c>
      <c r="S1417">
        <v>4</v>
      </c>
      <c r="T1417">
        <v>0.5</v>
      </c>
      <c r="U1417">
        <v>0</v>
      </c>
      <c r="V1417">
        <v>0</v>
      </c>
      <c r="W1417">
        <v>0</v>
      </c>
      <c r="X1417">
        <v>0</v>
      </c>
      <c r="Y1417">
        <v>0.5</v>
      </c>
      <c r="Z1417">
        <v>0.5</v>
      </c>
      <c r="AA1417">
        <v>11</v>
      </c>
      <c r="AB1417">
        <v>15.5</v>
      </c>
      <c r="AC1417">
        <v>14.5</v>
      </c>
      <c r="AD1417">
        <v>10.25</v>
      </c>
    </row>
    <row r="1418" spans="1:30">
      <c r="A1418" t="s">
        <v>1580</v>
      </c>
      <c r="B1418">
        <v>60</v>
      </c>
      <c r="C1418">
        <v>54.125</v>
      </c>
      <c r="D1418">
        <v>3.5</v>
      </c>
      <c r="E1418">
        <v>4.625</v>
      </c>
      <c r="F1418" t="s">
        <v>157</v>
      </c>
      <c r="G1418">
        <v>1</v>
      </c>
      <c r="H1418">
        <v>0</v>
      </c>
      <c r="I1418">
        <v>1</v>
      </c>
      <c r="J1418">
        <v>0</v>
      </c>
      <c r="K1418">
        <v>12</v>
      </c>
      <c r="L1418" t="s">
        <v>145</v>
      </c>
      <c r="N1418">
        <v>0.5</v>
      </c>
      <c r="O1418">
        <v>0.38</v>
      </c>
      <c r="P1418">
        <v>3.5</v>
      </c>
      <c r="Q1418">
        <v>1</v>
      </c>
      <c r="R1418">
        <v>0</v>
      </c>
      <c r="S1418">
        <v>4</v>
      </c>
      <c r="T1418">
        <v>0.5</v>
      </c>
      <c r="U1418">
        <v>1</v>
      </c>
      <c r="V1418">
        <v>1</v>
      </c>
      <c r="W1418">
        <v>0</v>
      </c>
      <c r="X1418">
        <v>0</v>
      </c>
      <c r="Y1418">
        <v>0</v>
      </c>
      <c r="Z1418">
        <v>0</v>
      </c>
      <c r="AA1418">
        <v>15.5</v>
      </c>
      <c r="AB1418">
        <v>28.875</v>
      </c>
      <c r="AC1418">
        <v>14</v>
      </c>
      <c r="AD1418">
        <v>26.63</v>
      </c>
    </row>
    <row r="1419" spans="1:30">
      <c r="A1419" t="s">
        <v>1581</v>
      </c>
      <c r="B1419">
        <v>60</v>
      </c>
      <c r="C1419">
        <v>59.875</v>
      </c>
      <c r="D1419">
        <v>4.5</v>
      </c>
      <c r="F1419" t="s">
        <v>157</v>
      </c>
      <c r="G1419">
        <v>1</v>
      </c>
      <c r="H1419">
        <v>0</v>
      </c>
      <c r="I1419">
        <v>1</v>
      </c>
      <c r="J1419">
        <v>0</v>
      </c>
      <c r="K1419">
        <v>24</v>
      </c>
      <c r="L1419" t="s">
        <v>119</v>
      </c>
      <c r="N1419">
        <v>0.5</v>
      </c>
      <c r="O1419">
        <v>0.38</v>
      </c>
      <c r="P1419">
        <v>3.5</v>
      </c>
      <c r="Q1419">
        <v>0</v>
      </c>
      <c r="R1419">
        <v>4.5</v>
      </c>
      <c r="S1419">
        <v>4</v>
      </c>
      <c r="T1419">
        <v>0.5</v>
      </c>
      <c r="U1419">
        <v>0</v>
      </c>
      <c r="V1419">
        <v>0</v>
      </c>
      <c r="W1419">
        <v>0</v>
      </c>
      <c r="X1419">
        <v>0</v>
      </c>
      <c r="Y1419">
        <v>0.5</v>
      </c>
      <c r="Z1419">
        <v>0.5</v>
      </c>
      <c r="AA1419">
        <v>11</v>
      </c>
      <c r="AB1419">
        <v>15.5</v>
      </c>
    </row>
    <row r="1420" spans="1:30">
      <c r="A1420" t="s">
        <v>1582</v>
      </c>
      <c r="B1420">
        <v>60</v>
      </c>
      <c r="C1420">
        <v>75.25</v>
      </c>
      <c r="D1420">
        <v>1</v>
      </c>
      <c r="E1420">
        <v>7.75</v>
      </c>
      <c r="F1420" t="s">
        <v>157</v>
      </c>
      <c r="G1420">
        <v>1</v>
      </c>
      <c r="H1420">
        <v>0</v>
      </c>
      <c r="I1420">
        <v>1</v>
      </c>
      <c r="J1420">
        <v>0</v>
      </c>
      <c r="N1420">
        <v>0.5</v>
      </c>
      <c r="O1420">
        <v>0.38</v>
      </c>
      <c r="P1420">
        <v>3.5</v>
      </c>
      <c r="Q1420">
        <v>3.5</v>
      </c>
      <c r="R1420">
        <v>0</v>
      </c>
      <c r="S1420">
        <v>4</v>
      </c>
      <c r="T1420">
        <v>0.5</v>
      </c>
      <c r="U1420">
        <v>1</v>
      </c>
      <c r="V1420">
        <v>1</v>
      </c>
      <c r="W1420">
        <v>0</v>
      </c>
      <c r="X1420">
        <v>0</v>
      </c>
      <c r="Y1420">
        <v>0</v>
      </c>
      <c r="Z1420">
        <v>0</v>
      </c>
    </row>
    <row r="1421" spans="1:30">
      <c r="A1421" t="s">
        <v>1583</v>
      </c>
      <c r="B1421">
        <v>60</v>
      </c>
      <c r="C1421">
        <v>58.375</v>
      </c>
      <c r="D1421">
        <v>3.75</v>
      </c>
      <c r="E1421">
        <v>7.75</v>
      </c>
      <c r="F1421" t="s">
        <v>157</v>
      </c>
      <c r="G1421">
        <v>1</v>
      </c>
      <c r="H1421">
        <v>0</v>
      </c>
      <c r="I1421">
        <v>1</v>
      </c>
      <c r="J1421">
        <v>1</v>
      </c>
      <c r="N1421">
        <v>0.5</v>
      </c>
      <c r="O1421">
        <v>0.38</v>
      </c>
      <c r="P1421">
        <v>3.5</v>
      </c>
      <c r="Q1421">
        <v>0.75</v>
      </c>
      <c r="R1421">
        <v>0</v>
      </c>
      <c r="S1421">
        <v>4</v>
      </c>
      <c r="T1421">
        <v>0.5</v>
      </c>
      <c r="U1421">
        <v>1</v>
      </c>
      <c r="V1421">
        <v>1</v>
      </c>
      <c r="W1421">
        <v>0</v>
      </c>
      <c r="X1421">
        <v>0</v>
      </c>
      <c r="Y1421">
        <v>0</v>
      </c>
      <c r="Z1421">
        <v>0</v>
      </c>
    </row>
    <row r="1422" spans="1:30">
      <c r="A1422" t="s">
        <v>1584</v>
      </c>
      <c r="B1422">
        <v>60</v>
      </c>
      <c r="C1422">
        <v>53.8125</v>
      </c>
      <c r="D1422">
        <v>4.5</v>
      </c>
      <c r="F1422" t="s">
        <v>157</v>
      </c>
      <c r="G1422">
        <v>1</v>
      </c>
      <c r="H1422">
        <v>1</v>
      </c>
      <c r="I1422">
        <v>0</v>
      </c>
      <c r="L1422" t="s">
        <v>145</v>
      </c>
      <c r="N1422">
        <v>0.5</v>
      </c>
      <c r="O1422">
        <v>0.38</v>
      </c>
      <c r="P1422">
        <v>3.5</v>
      </c>
      <c r="Q1422">
        <v>0</v>
      </c>
      <c r="R1422">
        <v>4.5</v>
      </c>
      <c r="S1422">
        <v>4</v>
      </c>
      <c r="T1422">
        <v>0.5</v>
      </c>
      <c r="U1422">
        <v>0</v>
      </c>
      <c r="V1422">
        <v>0</v>
      </c>
      <c r="W1422">
        <v>0</v>
      </c>
      <c r="X1422">
        <v>0</v>
      </c>
      <c r="Y1422">
        <v>0.5</v>
      </c>
      <c r="Z1422">
        <v>0.5</v>
      </c>
      <c r="AA1422">
        <v>15.5</v>
      </c>
      <c r="AB1422">
        <v>28.875</v>
      </c>
      <c r="AC1422">
        <v>26</v>
      </c>
      <c r="AD1422">
        <v>25.63</v>
      </c>
    </row>
    <row r="1423" spans="1:30">
      <c r="A1423" t="s">
        <v>1585</v>
      </c>
      <c r="B1423">
        <v>60</v>
      </c>
      <c r="C1423">
        <v>45.9375</v>
      </c>
      <c r="D1423">
        <v>12</v>
      </c>
      <c r="F1423" t="s">
        <v>157</v>
      </c>
      <c r="G1423">
        <v>1</v>
      </c>
      <c r="H1423">
        <v>1</v>
      </c>
      <c r="I1423">
        <v>1</v>
      </c>
      <c r="J1423">
        <v>0</v>
      </c>
      <c r="K1423">
        <v>12</v>
      </c>
      <c r="L1423" t="s">
        <v>35</v>
      </c>
      <c r="N1423">
        <v>0.5</v>
      </c>
      <c r="O1423">
        <v>0.38</v>
      </c>
      <c r="P1423">
        <v>3.5</v>
      </c>
      <c r="Q1423">
        <v>-7.5</v>
      </c>
      <c r="R1423">
        <v>4.5</v>
      </c>
      <c r="S1423">
        <v>4</v>
      </c>
      <c r="T1423">
        <v>0.5</v>
      </c>
      <c r="U1423">
        <v>0</v>
      </c>
      <c r="V1423">
        <v>0</v>
      </c>
      <c r="W1423">
        <v>0</v>
      </c>
      <c r="X1423">
        <v>0</v>
      </c>
      <c r="Y1423">
        <v>0.5</v>
      </c>
      <c r="Z1423">
        <v>0.5</v>
      </c>
      <c r="AA1423">
        <v>15.5</v>
      </c>
      <c r="AB1423">
        <v>28.875</v>
      </c>
      <c r="AC1423">
        <v>14</v>
      </c>
      <c r="AD1423">
        <v>18.13</v>
      </c>
    </row>
    <row r="1424" spans="1:30">
      <c r="A1424" t="s">
        <v>1586</v>
      </c>
      <c r="B1424">
        <v>60</v>
      </c>
      <c r="C1424">
        <v>55.5</v>
      </c>
      <c r="D1424">
        <v>12</v>
      </c>
      <c r="E1424">
        <v>1</v>
      </c>
      <c r="F1424" t="s">
        <v>157</v>
      </c>
      <c r="G1424">
        <v>1</v>
      </c>
      <c r="H1424">
        <v>1</v>
      </c>
      <c r="I1424">
        <v>1</v>
      </c>
      <c r="J1424">
        <v>0</v>
      </c>
      <c r="K1424">
        <v>24</v>
      </c>
      <c r="N1424">
        <v>0.5</v>
      </c>
      <c r="O1424">
        <v>0.38</v>
      </c>
      <c r="P1424">
        <v>3.5</v>
      </c>
      <c r="Q1424">
        <v>-7.5</v>
      </c>
      <c r="R1424">
        <v>3.5</v>
      </c>
      <c r="S1424">
        <v>4</v>
      </c>
      <c r="T1424">
        <v>0.5</v>
      </c>
      <c r="U1424">
        <v>0</v>
      </c>
      <c r="V1424">
        <v>0</v>
      </c>
      <c r="W1424">
        <v>0</v>
      </c>
      <c r="X1424">
        <v>0</v>
      </c>
      <c r="Y1424">
        <v>0.5</v>
      </c>
      <c r="Z1424">
        <v>0.5</v>
      </c>
    </row>
    <row r="1425" spans="1:30">
      <c r="A1425" t="s">
        <v>1587</v>
      </c>
      <c r="B1425">
        <v>60</v>
      </c>
      <c r="C1425">
        <v>55.25</v>
      </c>
      <c r="D1425">
        <v>12</v>
      </c>
      <c r="F1425" t="s">
        <v>157</v>
      </c>
      <c r="G1425">
        <v>1</v>
      </c>
      <c r="H1425">
        <v>1</v>
      </c>
      <c r="I1425">
        <v>1</v>
      </c>
      <c r="J1425">
        <v>0</v>
      </c>
      <c r="N1425">
        <v>0.5</v>
      </c>
      <c r="O1425">
        <v>0.38</v>
      </c>
      <c r="P1425">
        <v>3.5</v>
      </c>
      <c r="Q1425">
        <v>-7.5</v>
      </c>
      <c r="R1425">
        <v>4.5</v>
      </c>
      <c r="S1425">
        <v>4</v>
      </c>
      <c r="T1425">
        <v>0.5</v>
      </c>
      <c r="U1425">
        <v>0</v>
      </c>
      <c r="V1425">
        <v>0</v>
      </c>
      <c r="W1425">
        <v>0</v>
      </c>
      <c r="X1425">
        <v>0</v>
      </c>
      <c r="Y1425">
        <v>0.5</v>
      </c>
      <c r="Z1425">
        <v>0.5</v>
      </c>
    </row>
    <row r="1426" spans="1:30">
      <c r="A1426" t="s">
        <v>1588</v>
      </c>
      <c r="B1426">
        <v>60</v>
      </c>
      <c r="C1426">
        <v>28.625</v>
      </c>
      <c r="D1426">
        <v>4.9375</v>
      </c>
      <c r="E1426">
        <v>1</v>
      </c>
      <c r="F1426" t="s">
        <v>157</v>
      </c>
      <c r="G1426">
        <v>1</v>
      </c>
      <c r="H1426">
        <v>1</v>
      </c>
      <c r="I1426">
        <v>1</v>
      </c>
      <c r="J1426">
        <v>1</v>
      </c>
      <c r="N1426">
        <v>0.5</v>
      </c>
      <c r="O1426">
        <v>0.38</v>
      </c>
      <c r="P1426">
        <v>3.5</v>
      </c>
      <c r="Q1426">
        <v>-0.4375</v>
      </c>
      <c r="R1426">
        <v>3.5</v>
      </c>
      <c r="S1426">
        <v>4</v>
      </c>
      <c r="T1426">
        <v>0.5</v>
      </c>
      <c r="U1426">
        <v>0</v>
      </c>
      <c r="V1426">
        <v>0</v>
      </c>
      <c r="W1426">
        <v>0</v>
      </c>
      <c r="X1426">
        <v>0</v>
      </c>
      <c r="Y1426">
        <v>0.5</v>
      </c>
      <c r="Z1426">
        <v>0.5</v>
      </c>
    </row>
    <row r="1427" spans="1:30">
      <c r="A1427" t="s">
        <v>1589</v>
      </c>
      <c r="B1427">
        <v>96</v>
      </c>
      <c r="C1427">
        <v>71.1875</v>
      </c>
      <c r="D1427">
        <v>12</v>
      </c>
      <c r="F1427" t="s">
        <v>21</v>
      </c>
      <c r="G1427">
        <v>0</v>
      </c>
      <c r="I1427">
        <v>0</v>
      </c>
      <c r="L1427" t="s">
        <v>35</v>
      </c>
      <c r="N1427">
        <v>0.5</v>
      </c>
      <c r="O1427">
        <v>0.38</v>
      </c>
      <c r="P1427">
        <v>3.5</v>
      </c>
      <c r="Q1427">
        <v>-7.5</v>
      </c>
      <c r="R1427">
        <v>4.5</v>
      </c>
      <c r="S1427">
        <v>4</v>
      </c>
      <c r="T1427">
        <v>0.5</v>
      </c>
      <c r="U1427">
        <v>0</v>
      </c>
      <c r="V1427">
        <v>0</v>
      </c>
      <c r="W1427">
        <v>0</v>
      </c>
      <c r="X1427">
        <v>0</v>
      </c>
      <c r="Y1427">
        <v>0.5</v>
      </c>
      <c r="Z1427">
        <v>0.5</v>
      </c>
      <c r="AA1427">
        <v>15.5</v>
      </c>
      <c r="AB1427">
        <v>28.875</v>
      </c>
      <c r="AC1427">
        <v>26</v>
      </c>
      <c r="AD1427">
        <v>18.13</v>
      </c>
    </row>
    <row r="1428" spans="1:30">
      <c r="A1428" t="s">
        <v>1590</v>
      </c>
      <c r="B1428">
        <v>96</v>
      </c>
      <c r="C1428">
        <v>24.1875</v>
      </c>
      <c r="D1428">
        <v>12</v>
      </c>
      <c r="F1428" t="s">
        <v>21</v>
      </c>
      <c r="G1428">
        <v>0</v>
      </c>
      <c r="I1428">
        <v>1</v>
      </c>
      <c r="J1428">
        <v>0</v>
      </c>
      <c r="K1428">
        <v>12</v>
      </c>
      <c r="N1428">
        <v>0.5</v>
      </c>
      <c r="O1428">
        <v>0.38</v>
      </c>
      <c r="P1428">
        <v>3.5</v>
      </c>
      <c r="Q1428">
        <v>-7.5</v>
      </c>
      <c r="R1428">
        <v>4.5</v>
      </c>
      <c r="S1428">
        <v>4</v>
      </c>
      <c r="T1428">
        <v>0.5</v>
      </c>
      <c r="U1428">
        <v>0</v>
      </c>
      <c r="V1428">
        <v>0</v>
      </c>
      <c r="W1428">
        <v>0</v>
      </c>
      <c r="X1428">
        <v>0</v>
      </c>
      <c r="Y1428">
        <v>0.5</v>
      </c>
      <c r="Z1428">
        <v>0.5</v>
      </c>
    </row>
    <row r="1429" spans="1:30">
      <c r="A1429" t="s">
        <v>1591</v>
      </c>
      <c r="B1429">
        <v>96</v>
      </c>
      <c r="C1429">
        <v>47.625</v>
      </c>
      <c r="D1429">
        <v>1</v>
      </c>
      <c r="E1429">
        <v>1</v>
      </c>
      <c r="F1429" t="s">
        <v>21</v>
      </c>
      <c r="G1429">
        <v>0</v>
      </c>
      <c r="I1429">
        <v>1</v>
      </c>
      <c r="J1429">
        <v>0</v>
      </c>
      <c r="K1429">
        <v>24</v>
      </c>
      <c r="L1429" t="s">
        <v>120</v>
      </c>
      <c r="N1429">
        <v>0.5</v>
      </c>
      <c r="O1429">
        <v>0.38</v>
      </c>
      <c r="P1429">
        <v>3.5</v>
      </c>
      <c r="Q1429">
        <v>3.5</v>
      </c>
      <c r="R1429">
        <v>3.5</v>
      </c>
      <c r="S1429">
        <v>4</v>
      </c>
      <c r="T1429">
        <v>0.5</v>
      </c>
      <c r="U1429">
        <v>0</v>
      </c>
      <c r="V1429">
        <v>1</v>
      </c>
      <c r="W1429">
        <v>0</v>
      </c>
      <c r="X1429">
        <v>0</v>
      </c>
      <c r="Y1429">
        <v>0.5</v>
      </c>
      <c r="Z1429">
        <v>0</v>
      </c>
      <c r="AA1429">
        <v>11.5</v>
      </c>
      <c r="AB1429">
        <v>10.875</v>
      </c>
      <c r="AC1429">
        <v>4.9400000000000004</v>
      </c>
      <c r="AD1429">
        <v>17</v>
      </c>
    </row>
    <row r="1430" spans="1:30">
      <c r="A1430" t="s">
        <v>1592</v>
      </c>
      <c r="B1430">
        <v>76.6875</v>
      </c>
      <c r="C1430">
        <v>69.75</v>
      </c>
      <c r="D1430">
        <v>9</v>
      </c>
      <c r="E1430">
        <v>3.75</v>
      </c>
      <c r="F1430" t="s">
        <v>21</v>
      </c>
      <c r="G1430">
        <v>0</v>
      </c>
      <c r="I1430">
        <v>1</v>
      </c>
      <c r="J1430">
        <v>0</v>
      </c>
      <c r="N1430">
        <v>0.5</v>
      </c>
      <c r="O1430">
        <v>0.38</v>
      </c>
      <c r="P1430">
        <v>3.5</v>
      </c>
      <c r="Q1430">
        <v>-4.5</v>
      </c>
      <c r="R1430">
        <v>0.75</v>
      </c>
      <c r="S1430">
        <v>4</v>
      </c>
      <c r="T1430">
        <v>0.5</v>
      </c>
      <c r="U1430">
        <v>0</v>
      </c>
      <c r="V1430">
        <v>0</v>
      </c>
      <c r="W1430">
        <v>0</v>
      </c>
      <c r="X1430">
        <v>0</v>
      </c>
      <c r="Y1430">
        <v>0.5</v>
      </c>
      <c r="Z1430">
        <v>0.5</v>
      </c>
    </row>
    <row r="1431" spans="1:30">
      <c r="A1431" t="s">
        <v>1593</v>
      </c>
      <c r="B1431">
        <v>96</v>
      </c>
      <c r="C1431">
        <v>46.25</v>
      </c>
      <c r="D1431">
        <v>12</v>
      </c>
      <c r="E1431">
        <v>3.5</v>
      </c>
      <c r="F1431" t="s">
        <v>21</v>
      </c>
      <c r="G1431">
        <v>0</v>
      </c>
      <c r="I1431">
        <v>1</v>
      </c>
      <c r="J1431">
        <v>1</v>
      </c>
      <c r="N1431">
        <v>0.5</v>
      </c>
      <c r="O1431">
        <v>0.38</v>
      </c>
      <c r="P1431">
        <v>3.5</v>
      </c>
      <c r="Q1431">
        <v>-7.5</v>
      </c>
      <c r="R1431">
        <v>1</v>
      </c>
      <c r="S1431">
        <v>4</v>
      </c>
      <c r="T1431">
        <v>0.5</v>
      </c>
      <c r="U1431">
        <v>0</v>
      </c>
      <c r="V1431">
        <v>0</v>
      </c>
      <c r="W1431">
        <v>0</v>
      </c>
      <c r="X1431">
        <v>1</v>
      </c>
      <c r="Y1431">
        <v>0.5</v>
      </c>
      <c r="Z1431">
        <v>0.5</v>
      </c>
    </row>
    <row r="1432" spans="1:30">
      <c r="A1432" t="s">
        <v>1594</v>
      </c>
      <c r="B1432">
        <v>58.75</v>
      </c>
      <c r="C1432">
        <v>73.4375</v>
      </c>
      <c r="D1432">
        <v>1</v>
      </c>
      <c r="F1432" t="s">
        <v>21</v>
      </c>
      <c r="G1432">
        <v>1</v>
      </c>
      <c r="H1432">
        <v>0</v>
      </c>
      <c r="I1432">
        <v>0</v>
      </c>
      <c r="L1432" t="s">
        <v>120</v>
      </c>
      <c r="N1432">
        <v>0.5</v>
      </c>
      <c r="O1432">
        <v>0.38</v>
      </c>
      <c r="P1432">
        <v>3.5</v>
      </c>
      <c r="Q1432">
        <v>3.5</v>
      </c>
      <c r="R1432">
        <v>4.5</v>
      </c>
      <c r="S1432">
        <v>4</v>
      </c>
      <c r="T1432">
        <v>0.5</v>
      </c>
      <c r="U1432">
        <v>1</v>
      </c>
      <c r="V1432">
        <v>0</v>
      </c>
      <c r="W1432">
        <v>0</v>
      </c>
      <c r="X1432">
        <v>0</v>
      </c>
      <c r="Y1432">
        <v>0</v>
      </c>
      <c r="Z1432">
        <v>0.5</v>
      </c>
      <c r="AA1432">
        <v>11.5</v>
      </c>
      <c r="AB1432">
        <v>10.875</v>
      </c>
      <c r="AC1432">
        <v>28.94</v>
      </c>
      <c r="AD1432">
        <v>17</v>
      </c>
    </row>
    <row r="1433" spans="1:30">
      <c r="A1433" t="s">
        <v>1595</v>
      </c>
      <c r="B1433">
        <v>88.3125</v>
      </c>
      <c r="C1433">
        <v>10.3125</v>
      </c>
      <c r="D1433">
        <v>4.5</v>
      </c>
      <c r="E1433">
        <v>1</v>
      </c>
      <c r="F1433" t="s">
        <v>21</v>
      </c>
      <c r="G1433">
        <v>1</v>
      </c>
      <c r="H1433">
        <v>0</v>
      </c>
      <c r="I1433">
        <v>1</v>
      </c>
      <c r="J1433">
        <v>0</v>
      </c>
      <c r="K1433">
        <v>12</v>
      </c>
      <c r="N1433">
        <v>0.5</v>
      </c>
      <c r="O1433">
        <v>0.38</v>
      </c>
      <c r="P1433">
        <v>3.5</v>
      </c>
      <c r="Q1433">
        <v>0</v>
      </c>
      <c r="R1433">
        <v>3.5</v>
      </c>
      <c r="S1433">
        <v>4</v>
      </c>
      <c r="T1433">
        <v>0.5</v>
      </c>
      <c r="U1433">
        <v>0</v>
      </c>
      <c r="V1433">
        <v>0</v>
      </c>
      <c r="W1433">
        <v>0</v>
      </c>
      <c r="X1433">
        <v>0</v>
      </c>
      <c r="Y1433">
        <v>0.5</v>
      </c>
      <c r="Z1433">
        <v>0.5</v>
      </c>
    </row>
    <row r="1434" spans="1:30">
      <c r="A1434" t="s">
        <v>1596</v>
      </c>
      <c r="B1434">
        <v>108.625</v>
      </c>
      <c r="C1434">
        <v>73.25</v>
      </c>
      <c r="D1434">
        <v>12</v>
      </c>
      <c r="E1434">
        <v>5.5</v>
      </c>
      <c r="F1434" t="s">
        <v>21</v>
      </c>
      <c r="G1434">
        <v>1</v>
      </c>
      <c r="H1434">
        <v>0</v>
      </c>
      <c r="I1434">
        <v>1</v>
      </c>
      <c r="J1434">
        <v>0</v>
      </c>
      <c r="K1434">
        <v>24</v>
      </c>
      <c r="N1434">
        <v>0.5</v>
      </c>
      <c r="O1434">
        <v>0.38</v>
      </c>
      <c r="P1434">
        <v>3.5</v>
      </c>
      <c r="Q1434">
        <v>-7.5</v>
      </c>
      <c r="R1434">
        <v>0</v>
      </c>
      <c r="S1434">
        <v>4</v>
      </c>
      <c r="T1434">
        <v>0.5</v>
      </c>
      <c r="U1434">
        <v>0</v>
      </c>
      <c r="V1434">
        <v>0</v>
      </c>
      <c r="W1434">
        <v>0</v>
      </c>
      <c r="X1434">
        <v>0</v>
      </c>
      <c r="Y1434">
        <v>0.5</v>
      </c>
      <c r="Z1434">
        <v>0.5</v>
      </c>
    </row>
    <row r="1435" spans="1:30">
      <c r="A1435" t="s">
        <v>1597</v>
      </c>
      <c r="B1435">
        <v>96</v>
      </c>
      <c r="C1435">
        <v>69.25</v>
      </c>
      <c r="D1435">
        <v>3.6875</v>
      </c>
      <c r="F1435" t="s">
        <v>21</v>
      </c>
      <c r="G1435">
        <v>1</v>
      </c>
      <c r="H1435">
        <v>0</v>
      </c>
      <c r="I1435">
        <v>1</v>
      </c>
      <c r="J1435">
        <v>0</v>
      </c>
      <c r="N1435">
        <v>0.5</v>
      </c>
      <c r="O1435">
        <v>0.38</v>
      </c>
      <c r="P1435">
        <v>3.5</v>
      </c>
      <c r="Q1435">
        <v>0.8125</v>
      </c>
      <c r="R1435">
        <v>4.5</v>
      </c>
      <c r="S1435">
        <v>4</v>
      </c>
      <c r="T1435">
        <v>0.5</v>
      </c>
      <c r="U1435">
        <v>1</v>
      </c>
      <c r="V1435">
        <v>1</v>
      </c>
      <c r="W1435">
        <v>0</v>
      </c>
      <c r="X1435">
        <v>0</v>
      </c>
      <c r="Y1435">
        <v>0</v>
      </c>
      <c r="Z1435">
        <v>0</v>
      </c>
    </row>
    <row r="1436" spans="1:30">
      <c r="A1436" t="s">
        <v>1598</v>
      </c>
      <c r="B1436">
        <v>62.5625</v>
      </c>
      <c r="C1436">
        <v>43.5</v>
      </c>
      <c r="D1436">
        <v>9</v>
      </c>
      <c r="F1436" t="s">
        <v>21</v>
      </c>
      <c r="G1436">
        <v>1</v>
      </c>
      <c r="H1436">
        <v>0</v>
      </c>
      <c r="I1436">
        <v>1</v>
      </c>
      <c r="J1436">
        <v>1</v>
      </c>
      <c r="N1436">
        <v>0.5</v>
      </c>
      <c r="O1436">
        <v>0.38</v>
      </c>
      <c r="P1436">
        <v>3.5</v>
      </c>
      <c r="Q1436">
        <v>-4.5</v>
      </c>
      <c r="R1436">
        <v>4.5</v>
      </c>
      <c r="S1436">
        <v>4</v>
      </c>
      <c r="T1436">
        <v>0.5</v>
      </c>
      <c r="U1436">
        <v>0</v>
      </c>
      <c r="V1436">
        <v>0</v>
      </c>
      <c r="W1436">
        <v>0</v>
      </c>
      <c r="X1436">
        <v>0</v>
      </c>
      <c r="Y1436">
        <v>0.5</v>
      </c>
      <c r="Z1436">
        <v>0.5</v>
      </c>
    </row>
    <row r="1437" spans="1:30">
      <c r="A1437" t="s">
        <v>1599</v>
      </c>
      <c r="B1437">
        <v>36.375</v>
      </c>
      <c r="C1437">
        <v>55.25</v>
      </c>
      <c r="D1437">
        <v>1</v>
      </c>
      <c r="E1437">
        <v>5.25</v>
      </c>
      <c r="F1437" t="s">
        <v>21</v>
      </c>
      <c r="G1437">
        <v>1</v>
      </c>
      <c r="H1437">
        <v>1</v>
      </c>
      <c r="I1437">
        <v>0</v>
      </c>
      <c r="L1437" t="s">
        <v>151</v>
      </c>
      <c r="N1437">
        <v>0.5</v>
      </c>
      <c r="O1437">
        <v>0.38</v>
      </c>
      <c r="P1437">
        <v>3.5</v>
      </c>
      <c r="Q1437">
        <v>3.5</v>
      </c>
      <c r="R1437">
        <v>0</v>
      </c>
      <c r="S1437">
        <v>4</v>
      </c>
      <c r="T1437">
        <v>0.5</v>
      </c>
      <c r="U1437">
        <v>1</v>
      </c>
      <c r="V1437">
        <v>0</v>
      </c>
      <c r="W1437">
        <v>0</v>
      </c>
      <c r="X1437">
        <v>0</v>
      </c>
      <c r="Y1437">
        <v>0</v>
      </c>
      <c r="Z1437">
        <v>0.5</v>
      </c>
      <c r="AA1437">
        <v>15.5</v>
      </c>
      <c r="AB1437">
        <v>28.875</v>
      </c>
      <c r="AC1437">
        <v>21</v>
      </c>
      <c r="AD1437">
        <v>17</v>
      </c>
    </row>
    <row r="1438" spans="1:30">
      <c r="A1438" t="s">
        <v>1600</v>
      </c>
      <c r="B1438">
        <v>49.625</v>
      </c>
      <c r="C1438">
        <v>57.5625</v>
      </c>
      <c r="D1438">
        <v>9</v>
      </c>
      <c r="E1438">
        <v>1</v>
      </c>
      <c r="F1438" t="s">
        <v>21</v>
      </c>
      <c r="G1438">
        <v>1</v>
      </c>
      <c r="H1438">
        <v>1</v>
      </c>
      <c r="I1438">
        <v>1</v>
      </c>
      <c r="J1438">
        <v>0</v>
      </c>
      <c r="K1438">
        <v>12</v>
      </c>
      <c r="L1438" t="s">
        <v>145</v>
      </c>
      <c r="N1438">
        <v>0.5</v>
      </c>
      <c r="O1438">
        <v>0.38</v>
      </c>
      <c r="P1438">
        <v>3.5</v>
      </c>
      <c r="Q1438">
        <v>-4.5</v>
      </c>
      <c r="R1438">
        <v>3.5</v>
      </c>
      <c r="S1438">
        <v>4</v>
      </c>
      <c r="T1438">
        <v>0.5</v>
      </c>
      <c r="U1438">
        <v>0</v>
      </c>
      <c r="V1438">
        <v>0</v>
      </c>
      <c r="W1438">
        <v>1</v>
      </c>
      <c r="X1438">
        <v>0</v>
      </c>
      <c r="Y1438">
        <v>0.5</v>
      </c>
      <c r="Z1438">
        <v>0.5</v>
      </c>
      <c r="AA1438">
        <v>15.5</v>
      </c>
      <c r="AB1438">
        <v>28.875</v>
      </c>
      <c r="AC1438">
        <v>14</v>
      </c>
      <c r="AD1438">
        <v>21.13</v>
      </c>
    </row>
    <row r="1439" spans="1:30">
      <c r="A1439" t="s">
        <v>1601</v>
      </c>
      <c r="B1439">
        <v>85.625</v>
      </c>
      <c r="C1439">
        <v>64.75</v>
      </c>
      <c r="D1439">
        <v>12</v>
      </c>
      <c r="E1439">
        <v>7.4375</v>
      </c>
      <c r="F1439" t="s">
        <v>21</v>
      </c>
      <c r="G1439">
        <v>1</v>
      </c>
      <c r="H1439">
        <v>1</v>
      </c>
      <c r="I1439">
        <v>1</v>
      </c>
      <c r="J1439">
        <v>0</v>
      </c>
      <c r="K1439">
        <v>24</v>
      </c>
      <c r="L1439" t="s">
        <v>35</v>
      </c>
      <c r="N1439">
        <v>0.5</v>
      </c>
      <c r="O1439">
        <v>0.38</v>
      </c>
      <c r="P1439">
        <v>3.5</v>
      </c>
      <c r="Q1439">
        <v>-7.5</v>
      </c>
      <c r="R1439">
        <v>0</v>
      </c>
      <c r="S1439">
        <v>4</v>
      </c>
      <c r="T1439">
        <v>0.5</v>
      </c>
      <c r="U1439">
        <v>0</v>
      </c>
      <c r="V1439">
        <v>0</v>
      </c>
      <c r="W1439">
        <v>0</v>
      </c>
      <c r="X1439">
        <v>0</v>
      </c>
      <c r="Y1439">
        <v>0.5</v>
      </c>
      <c r="Z1439">
        <v>0.5</v>
      </c>
      <c r="AA1439">
        <v>15.5</v>
      </c>
      <c r="AB1439">
        <v>28.875</v>
      </c>
    </row>
    <row r="1440" spans="1:30">
      <c r="A1440" t="s">
        <v>1602</v>
      </c>
      <c r="B1440">
        <v>70.875</v>
      </c>
      <c r="C1440">
        <v>25.375</v>
      </c>
      <c r="D1440">
        <v>9</v>
      </c>
      <c r="F1440" t="s">
        <v>21</v>
      </c>
      <c r="G1440">
        <v>1</v>
      </c>
      <c r="H1440">
        <v>1</v>
      </c>
      <c r="I1440">
        <v>1</v>
      </c>
      <c r="J1440">
        <v>0</v>
      </c>
      <c r="N1440">
        <v>0.5</v>
      </c>
      <c r="O1440">
        <v>0.38</v>
      </c>
      <c r="P1440">
        <v>3.5</v>
      </c>
      <c r="Q1440">
        <v>-4.5</v>
      </c>
      <c r="R1440">
        <v>4.5</v>
      </c>
      <c r="S1440">
        <v>4</v>
      </c>
      <c r="T1440">
        <v>0.5</v>
      </c>
      <c r="U1440">
        <v>0</v>
      </c>
      <c r="V1440">
        <v>0</v>
      </c>
      <c r="W1440">
        <v>0</v>
      </c>
      <c r="X1440">
        <v>0</v>
      </c>
      <c r="Y1440">
        <v>0.5</v>
      </c>
      <c r="Z1440">
        <v>0.5</v>
      </c>
    </row>
    <row r="1441" spans="1:26">
      <c r="A1441" t="s">
        <v>1603</v>
      </c>
      <c r="B1441">
        <v>56.0625</v>
      </c>
      <c r="C1441">
        <v>63.8125</v>
      </c>
      <c r="D1441">
        <v>12</v>
      </c>
      <c r="E1441">
        <v>8.25</v>
      </c>
      <c r="F1441" t="s">
        <v>21</v>
      </c>
      <c r="G1441">
        <v>1</v>
      </c>
      <c r="H1441">
        <v>1</v>
      </c>
      <c r="I1441">
        <v>1</v>
      </c>
      <c r="J1441">
        <v>1</v>
      </c>
      <c r="N1441">
        <v>0.5</v>
      </c>
      <c r="O1441">
        <v>0.38</v>
      </c>
      <c r="P1441">
        <v>3.5</v>
      </c>
      <c r="Q1441">
        <v>-7.5</v>
      </c>
      <c r="R1441">
        <v>0</v>
      </c>
      <c r="S1441">
        <v>4</v>
      </c>
      <c r="T1441">
        <v>0.5</v>
      </c>
      <c r="U1441">
        <v>0</v>
      </c>
      <c r="V1441">
        <v>0</v>
      </c>
      <c r="W1441">
        <v>0</v>
      </c>
      <c r="X1441">
        <v>0</v>
      </c>
      <c r="Y1441">
        <v>0.5</v>
      </c>
      <c r="Z1441">
        <v>0.5</v>
      </c>
    </row>
    <row r="1442" spans="1:26">
      <c r="A1442" t="s">
        <v>1604</v>
      </c>
      <c r="B1442">
        <v>33.4375</v>
      </c>
      <c r="C1442">
        <v>74.125</v>
      </c>
      <c r="D1442">
        <v>12</v>
      </c>
      <c r="E1442">
        <v>1</v>
      </c>
      <c r="F1442" t="s">
        <v>156</v>
      </c>
      <c r="G1442">
        <v>0</v>
      </c>
      <c r="I1442">
        <v>0</v>
      </c>
      <c r="L1442" t="s">
        <v>120</v>
      </c>
      <c r="N1442">
        <v>0.5</v>
      </c>
      <c r="O1442">
        <v>0.38</v>
      </c>
      <c r="P1442">
        <v>3.5</v>
      </c>
      <c r="Q1442">
        <v>-7.5</v>
      </c>
      <c r="R1442">
        <v>3.5</v>
      </c>
      <c r="S1442">
        <v>4</v>
      </c>
      <c r="T1442">
        <v>0.5</v>
      </c>
      <c r="U1442">
        <v>0</v>
      </c>
      <c r="V1442">
        <v>0</v>
      </c>
      <c r="W1442">
        <v>0</v>
      </c>
      <c r="X1442">
        <v>0</v>
      </c>
      <c r="Y1442">
        <v>0.5</v>
      </c>
      <c r="Z1442">
        <v>0.5</v>
      </c>
    </row>
    <row r="1443" spans="1:26">
      <c r="A1443" t="s">
        <v>1605</v>
      </c>
      <c r="B1443">
        <v>39.5625</v>
      </c>
      <c r="C1443">
        <v>46.0625</v>
      </c>
      <c r="D1443">
        <v>9</v>
      </c>
      <c r="E1443">
        <v>1</v>
      </c>
      <c r="F1443" t="s">
        <v>156</v>
      </c>
      <c r="G1443">
        <v>0</v>
      </c>
      <c r="I1443">
        <v>1</v>
      </c>
      <c r="J1443">
        <v>0</v>
      </c>
      <c r="K1443">
        <v>12</v>
      </c>
      <c r="L1443" t="s">
        <v>120</v>
      </c>
      <c r="N1443">
        <v>0.5</v>
      </c>
      <c r="O1443">
        <v>0.38</v>
      </c>
      <c r="P1443">
        <v>3.5</v>
      </c>
      <c r="Q1443">
        <v>-4.5</v>
      </c>
      <c r="R1443">
        <v>3.5</v>
      </c>
      <c r="S1443">
        <v>4</v>
      </c>
      <c r="T1443">
        <v>0.5</v>
      </c>
      <c r="U1443">
        <v>0</v>
      </c>
      <c r="V1443">
        <v>0</v>
      </c>
      <c r="W1443">
        <v>0</v>
      </c>
      <c r="X1443">
        <v>0</v>
      </c>
      <c r="Y1443">
        <v>0.5</v>
      </c>
      <c r="Z1443">
        <v>0.5</v>
      </c>
    </row>
    <row r="1444" spans="1:26">
      <c r="A1444" t="s">
        <v>1606</v>
      </c>
      <c r="B1444">
        <v>42.6875</v>
      </c>
      <c r="C1444">
        <v>46.375</v>
      </c>
      <c r="D1444">
        <v>1</v>
      </c>
      <c r="E1444">
        <v>1.6875</v>
      </c>
      <c r="F1444" t="s">
        <v>156</v>
      </c>
      <c r="G1444">
        <v>0</v>
      </c>
      <c r="I1444">
        <v>1</v>
      </c>
      <c r="J1444">
        <v>0</v>
      </c>
      <c r="K1444">
        <v>24</v>
      </c>
      <c r="L1444" t="s">
        <v>120</v>
      </c>
      <c r="N1444">
        <v>0.5</v>
      </c>
      <c r="O1444">
        <v>0.38</v>
      </c>
      <c r="P1444">
        <v>3.5</v>
      </c>
      <c r="Q1444">
        <v>3.5</v>
      </c>
      <c r="R1444">
        <v>2.8125</v>
      </c>
      <c r="S1444">
        <v>4</v>
      </c>
      <c r="T1444">
        <v>0.5</v>
      </c>
      <c r="U1444">
        <v>0</v>
      </c>
      <c r="V1444">
        <v>0</v>
      </c>
      <c r="W1444">
        <v>0</v>
      </c>
      <c r="X1444">
        <v>0</v>
      </c>
      <c r="Y1444">
        <v>0.5</v>
      </c>
      <c r="Z1444">
        <v>0.5</v>
      </c>
    </row>
    <row r="1445" spans="1:26">
      <c r="A1445" t="s">
        <v>1607</v>
      </c>
      <c r="B1445">
        <v>45.375</v>
      </c>
      <c r="C1445">
        <v>54.625</v>
      </c>
      <c r="D1445">
        <v>9</v>
      </c>
      <c r="E1445">
        <v>1</v>
      </c>
      <c r="F1445" t="s">
        <v>156</v>
      </c>
      <c r="G1445">
        <v>0</v>
      </c>
      <c r="I1445">
        <v>1</v>
      </c>
      <c r="J1445">
        <v>0</v>
      </c>
      <c r="N1445">
        <v>0.5</v>
      </c>
      <c r="O1445">
        <v>0.38</v>
      </c>
      <c r="P1445">
        <v>3.5</v>
      </c>
      <c r="Q1445">
        <v>-4.5</v>
      </c>
      <c r="R1445">
        <v>3.5</v>
      </c>
      <c r="S1445">
        <v>4</v>
      </c>
      <c r="T1445">
        <v>0.5</v>
      </c>
      <c r="U1445">
        <v>0</v>
      </c>
      <c r="V1445">
        <v>0</v>
      </c>
      <c r="W1445">
        <v>0</v>
      </c>
      <c r="X1445">
        <v>0</v>
      </c>
      <c r="Y1445">
        <v>0.5</v>
      </c>
      <c r="Z1445">
        <v>0.5</v>
      </c>
    </row>
    <row r="1446" spans="1:26">
      <c r="A1446" t="s">
        <v>1608</v>
      </c>
      <c r="B1446">
        <v>24.5</v>
      </c>
      <c r="C1446">
        <v>74.3125</v>
      </c>
      <c r="D1446">
        <v>12</v>
      </c>
      <c r="E1446">
        <v>6.75</v>
      </c>
      <c r="F1446" t="s">
        <v>156</v>
      </c>
      <c r="G1446">
        <v>0</v>
      </c>
      <c r="I1446">
        <v>1</v>
      </c>
      <c r="J1446">
        <v>1</v>
      </c>
      <c r="N1446">
        <v>0.5</v>
      </c>
      <c r="O1446">
        <v>0.38</v>
      </c>
      <c r="P1446">
        <v>3.5</v>
      </c>
      <c r="Q1446">
        <v>-7.5</v>
      </c>
      <c r="R1446">
        <v>0</v>
      </c>
      <c r="S1446">
        <v>4</v>
      </c>
      <c r="T1446">
        <v>0.5</v>
      </c>
      <c r="U1446">
        <v>0</v>
      </c>
      <c r="V1446">
        <v>0</v>
      </c>
      <c r="W1446">
        <v>0</v>
      </c>
      <c r="X1446">
        <v>0</v>
      </c>
      <c r="Y1446">
        <v>0.5</v>
      </c>
      <c r="Z1446">
        <v>0.5</v>
      </c>
    </row>
    <row r="1447" spans="1:26">
      <c r="A1447" t="s">
        <v>1609</v>
      </c>
      <c r="B1447">
        <v>46.3125</v>
      </c>
      <c r="C1447">
        <v>57.4375</v>
      </c>
      <c r="D1447">
        <v>4.5</v>
      </c>
      <c r="E1447">
        <v>3.0625</v>
      </c>
      <c r="F1447" t="s">
        <v>156</v>
      </c>
      <c r="G1447">
        <v>1</v>
      </c>
      <c r="H1447">
        <v>0</v>
      </c>
      <c r="I1447">
        <v>0</v>
      </c>
      <c r="L1447" t="s">
        <v>145</v>
      </c>
      <c r="N1447">
        <v>0.5</v>
      </c>
      <c r="O1447">
        <v>0.38</v>
      </c>
      <c r="P1447">
        <v>3.5</v>
      </c>
      <c r="Q1447">
        <v>0</v>
      </c>
      <c r="R1447">
        <v>1.4375</v>
      </c>
      <c r="S1447">
        <v>4</v>
      </c>
      <c r="T1447">
        <v>0.5</v>
      </c>
      <c r="U1447">
        <v>0</v>
      </c>
      <c r="V1447">
        <v>0</v>
      </c>
      <c r="W1447">
        <v>0</v>
      </c>
      <c r="X1447">
        <v>0</v>
      </c>
      <c r="Y1447">
        <v>0.5</v>
      </c>
      <c r="Z1447">
        <v>0.5</v>
      </c>
    </row>
    <row r="1448" spans="1:26">
      <c r="A1448" t="s">
        <v>1610</v>
      </c>
      <c r="B1448">
        <v>26.625</v>
      </c>
      <c r="C1448">
        <v>67.5625</v>
      </c>
      <c r="D1448">
        <v>1.5</v>
      </c>
      <c r="F1448" t="s">
        <v>156</v>
      </c>
      <c r="G1448">
        <v>1</v>
      </c>
      <c r="H1448">
        <v>0</v>
      </c>
      <c r="I1448">
        <v>1</v>
      </c>
      <c r="J1448">
        <v>0</v>
      </c>
      <c r="K1448">
        <v>12</v>
      </c>
      <c r="N1448">
        <v>0.5</v>
      </c>
      <c r="O1448">
        <v>0.38</v>
      </c>
      <c r="P1448">
        <v>3.5</v>
      </c>
      <c r="Q1448">
        <v>3</v>
      </c>
      <c r="R1448">
        <v>4.5</v>
      </c>
      <c r="S1448">
        <v>4</v>
      </c>
      <c r="T1448">
        <v>0.5</v>
      </c>
      <c r="U1448">
        <v>0</v>
      </c>
      <c r="V1448">
        <v>0</v>
      </c>
      <c r="W1448">
        <v>0</v>
      </c>
      <c r="X1448">
        <v>0</v>
      </c>
      <c r="Y1448">
        <v>0.5</v>
      </c>
      <c r="Z1448">
        <v>0.5</v>
      </c>
    </row>
    <row r="1449" spans="1:26">
      <c r="A1449" t="s">
        <v>1611</v>
      </c>
      <c r="B1449">
        <v>24.4375</v>
      </c>
      <c r="C1449">
        <v>63.875</v>
      </c>
      <c r="D1449">
        <v>7.75</v>
      </c>
      <c r="E1449">
        <v>4.625</v>
      </c>
      <c r="F1449" t="s">
        <v>156</v>
      </c>
      <c r="G1449">
        <v>1</v>
      </c>
      <c r="H1449">
        <v>0</v>
      </c>
      <c r="I1449">
        <v>1</v>
      </c>
      <c r="J1449">
        <v>0</v>
      </c>
      <c r="K1449">
        <v>24</v>
      </c>
      <c r="L1449" t="s">
        <v>121</v>
      </c>
      <c r="N1449">
        <v>0.5</v>
      </c>
      <c r="O1449">
        <v>0.38</v>
      </c>
      <c r="P1449">
        <v>3.5</v>
      </c>
      <c r="Q1449">
        <v>-3.25</v>
      </c>
      <c r="R1449">
        <v>0</v>
      </c>
      <c r="S1449">
        <v>4</v>
      </c>
      <c r="T1449">
        <v>0.5</v>
      </c>
      <c r="U1449">
        <v>0</v>
      </c>
      <c r="V1449">
        <v>0</v>
      </c>
      <c r="W1449">
        <v>0</v>
      </c>
      <c r="X1449">
        <v>0</v>
      </c>
      <c r="Y1449">
        <v>0.5</v>
      </c>
      <c r="Z1449">
        <v>0.5</v>
      </c>
    </row>
    <row r="1450" spans="1:26">
      <c r="A1450" t="s">
        <v>1612</v>
      </c>
      <c r="B1450">
        <v>46.6875</v>
      </c>
      <c r="C1450">
        <v>69.6875</v>
      </c>
      <c r="D1450">
        <v>9</v>
      </c>
      <c r="E1450">
        <v>1</v>
      </c>
      <c r="F1450" t="s">
        <v>156</v>
      </c>
      <c r="G1450">
        <v>1</v>
      </c>
      <c r="H1450">
        <v>0</v>
      </c>
      <c r="I1450">
        <v>1</v>
      </c>
      <c r="J1450">
        <v>0</v>
      </c>
      <c r="N1450">
        <v>0.5</v>
      </c>
      <c r="O1450">
        <v>0.38</v>
      </c>
      <c r="P1450">
        <v>3.5</v>
      </c>
      <c r="Q1450">
        <v>-4.5</v>
      </c>
      <c r="R1450">
        <v>3.5</v>
      </c>
      <c r="S1450">
        <v>4</v>
      </c>
      <c r="T1450">
        <v>0.5</v>
      </c>
      <c r="U1450">
        <v>0</v>
      </c>
      <c r="V1450">
        <v>0</v>
      </c>
      <c r="W1450">
        <v>0</v>
      </c>
      <c r="X1450">
        <v>0</v>
      </c>
      <c r="Y1450">
        <v>0.5</v>
      </c>
      <c r="Z1450">
        <v>0.5</v>
      </c>
    </row>
    <row r="1451" spans="1:26">
      <c r="A1451" t="s">
        <v>1613</v>
      </c>
      <c r="B1451">
        <v>18.5625</v>
      </c>
      <c r="C1451">
        <v>42.6875</v>
      </c>
      <c r="D1451">
        <v>12</v>
      </c>
      <c r="E1451">
        <v>7.5625</v>
      </c>
      <c r="F1451" t="s">
        <v>156</v>
      </c>
      <c r="G1451">
        <v>1</v>
      </c>
      <c r="H1451">
        <v>0</v>
      </c>
      <c r="I1451">
        <v>1</v>
      </c>
      <c r="J1451">
        <v>1</v>
      </c>
      <c r="N1451">
        <v>0.5</v>
      </c>
      <c r="O1451">
        <v>0.38</v>
      </c>
      <c r="P1451">
        <v>3.5</v>
      </c>
      <c r="Q1451">
        <v>-7.5</v>
      </c>
      <c r="R1451">
        <v>0</v>
      </c>
      <c r="S1451">
        <v>4</v>
      </c>
      <c r="T1451">
        <v>0.5</v>
      </c>
      <c r="U1451">
        <v>0</v>
      </c>
      <c r="V1451">
        <v>0</v>
      </c>
      <c r="W1451">
        <v>0</v>
      </c>
      <c r="X1451">
        <v>0</v>
      </c>
      <c r="Y1451">
        <v>0.5</v>
      </c>
      <c r="Z1451">
        <v>0.5</v>
      </c>
    </row>
    <row r="1452" spans="1:26">
      <c r="A1452" t="s">
        <v>1614</v>
      </c>
      <c r="B1452">
        <v>16.6875</v>
      </c>
      <c r="C1452">
        <v>58.1875</v>
      </c>
      <c r="D1452">
        <v>8.0625</v>
      </c>
      <c r="E1452">
        <v>1</v>
      </c>
      <c r="F1452" t="s">
        <v>156</v>
      </c>
      <c r="G1452">
        <v>1</v>
      </c>
      <c r="H1452">
        <v>1</v>
      </c>
      <c r="I1452">
        <v>0</v>
      </c>
      <c r="L1452" t="s">
        <v>120</v>
      </c>
      <c r="N1452">
        <v>0.5</v>
      </c>
      <c r="O1452">
        <v>0.38</v>
      </c>
      <c r="P1452">
        <v>3.5</v>
      </c>
      <c r="Q1452">
        <v>-3.5625</v>
      </c>
      <c r="R1452">
        <v>3.5</v>
      </c>
      <c r="S1452">
        <v>4</v>
      </c>
      <c r="T1452">
        <v>0.5</v>
      </c>
      <c r="U1452">
        <v>0</v>
      </c>
      <c r="V1452">
        <v>0</v>
      </c>
      <c r="W1452">
        <v>1</v>
      </c>
      <c r="X1452">
        <v>0</v>
      </c>
      <c r="Y1452">
        <v>0.5</v>
      </c>
      <c r="Z1452">
        <v>0.5</v>
      </c>
    </row>
    <row r="1453" spans="1:26">
      <c r="A1453" t="s">
        <v>1615</v>
      </c>
      <c r="B1453">
        <v>22.5625</v>
      </c>
      <c r="C1453">
        <v>34.1875</v>
      </c>
      <c r="D1453">
        <v>1.625</v>
      </c>
      <c r="F1453" t="s">
        <v>156</v>
      </c>
      <c r="G1453">
        <v>1</v>
      </c>
      <c r="H1453">
        <v>1</v>
      </c>
      <c r="I1453">
        <v>1</v>
      </c>
      <c r="J1453">
        <v>0</v>
      </c>
      <c r="K1453">
        <v>12</v>
      </c>
      <c r="N1453">
        <v>0.5</v>
      </c>
      <c r="O1453">
        <v>0.38</v>
      </c>
      <c r="P1453">
        <v>3.5</v>
      </c>
      <c r="Q1453">
        <v>2.875</v>
      </c>
      <c r="R1453">
        <v>4.5</v>
      </c>
      <c r="S1453">
        <v>4</v>
      </c>
      <c r="T1453">
        <v>0.5</v>
      </c>
      <c r="U1453">
        <v>0</v>
      </c>
      <c r="V1453">
        <v>0</v>
      </c>
      <c r="W1453">
        <v>0</v>
      </c>
      <c r="X1453">
        <v>0</v>
      </c>
      <c r="Y1453">
        <v>0.5</v>
      </c>
      <c r="Z1453">
        <v>0.5</v>
      </c>
    </row>
    <row r="1454" spans="1:26">
      <c r="A1454" t="s">
        <v>1616</v>
      </c>
      <c r="B1454">
        <v>46.375</v>
      </c>
      <c r="C1454">
        <v>44</v>
      </c>
      <c r="D1454">
        <v>6</v>
      </c>
      <c r="F1454" t="s">
        <v>156</v>
      </c>
      <c r="G1454">
        <v>1</v>
      </c>
      <c r="H1454">
        <v>1</v>
      </c>
      <c r="I1454">
        <v>1</v>
      </c>
      <c r="J1454">
        <v>0</v>
      </c>
      <c r="K1454">
        <v>24</v>
      </c>
      <c r="L1454" t="s">
        <v>148</v>
      </c>
      <c r="N1454">
        <v>0.5</v>
      </c>
      <c r="O1454">
        <v>0.38</v>
      </c>
      <c r="P1454">
        <v>3.5</v>
      </c>
      <c r="Q1454">
        <v>-1.5</v>
      </c>
      <c r="R1454">
        <v>4.5</v>
      </c>
      <c r="S1454">
        <v>4</v>
      </c>
      <c r="T1454">
        <v>0.5</v>
      </c>
      <c r="U1454">
        <v>0</v>
      </c>
      <c r="V1454">
        <v>0</v>
      </c>
      <c r="W1454">
        <v>0</v>
      </c>
      <c r="X1454">
        <v>0</v>
      </c>
      <c r="Y1454">
        <v>0.5</v>
      </c>
      <c r="Z1454">
        <v>0.5</v>
      </c>
    </row>
    <row r="1455" spans="1:26">
      <c r="A1455" t="s">
        <v>1617</v>
      </c>
      <c r="B1455">
        <v>17.25</v>
      </c>
      <c r="C1455">
        <v>64.5</v>
      </c>
      <c r="D1455">
        <v>9</v>
      </c>
      <c r="F1455" t="s">
        <v>156</v>
      </c>
      <c r="G1455">
        <v>1</v>
      </c>
      <c r="H1455">
        <v>1</v>
      </c>
      <c r="I1455">
        <v>1</v>
      </c>
      <c r="J1455">
        <v>0</v>
      </c>
      <c r="N1455">
        <v>0.5</v>
      </c>
      <c r="O1455">
        <v>0.38</v>
      </c>
      <c r="P1455">
        <v>3.5</v>
      </c>
      <c r="Q1455">
        <v>-4.5</v>
      </c>
      <c r="R1455">
        <v>4.5</v>
      </c>
      <c r="S1455">
        <v>4</v>
      </c>
      <c r="T1455">
        <v>0.5</v>
      </c>
      <c r="U1455">
        <v>0</v>
      </c>
      <c r="V1455">
        <v>0</v>
      </c>
      <c r="W1455">
        <v>0</v>
      </c>
      <c r="X1455">
        <v>0</v>
      </c>
      <c r="Y1455">
        <v>0.5</v>
      </c>
      <c r="Z1455">
        <v>0.5</v>
      </c>
    </row>
    <row r="1456" spans="1:26">
      <c r="A1456" t="s">
        <v>1618</v>
      </c>
      <c r="B1456">
        <v>5.5625</v>
      </c>
      <c r="C1456">
        <v>42.625</v>
      </c>
      <c r="D1456">
        <v>8.5</v>
      </c>
      <c r="E1456">
        <v>1.75</v>
      </c>
      <c r="F1456" t="s">
        <v>156</v>
      </c>
      <c r="G1456">
        <v>1</v>
      </c>
      <c r="H1456">
        <v>1</v>
      </c>
      <c r="I1456">
        <v>1</v>
      </c>
      <c r="J1456">
        <v>1</v>
      </c>
      <c r="N1456">
        <v>0.5</v>
      </c>
      <c r="O1456">
        <v>0.38</v>
      </c>
      <c r="P1456">
        <v>3.5</v>
      </c>
      <c r="Q1456">
        <v>-4</v>
      </c>
      <c r="R1456">
        <v>2.75</v>
      </c>
      <c r="S1456">
        <v>4</v>
      </c>
      <c r="T1456">
        <v>0.5</v>
      </c>
      <c r="U1456">
        <v>0</v>
      </c>
      <c r="V1456">
        <v>0</v>
      </c>
      <c r="W1456">
        <v>1</v>
      </c>
      <c r="X1456">
        <v>1</v>
      </c>
      <c r="Y1456">
        <v>0.5</v>
      </c>
      <c r="Z1456">
        <v>0.5</v>
      </c>
    </row>
    <row r="1457" spans="1:30">
      <c r="A1457" t="s">
        <v>1619</v>
      </c>
      <c r="B1457">
        <v>60</v>
      </c>
      <c r="C1457">
        <v>78.25</v>
      </c>
      <c r="D1457">
        <v>1</v>
      </c>
      <c r="E1457">
        <v>2</v>
      </c>
      <c r="F1457" t="s">
        <v>157</v>
      </c>
      <c r="G1457">
        <v>0</v>
      </c>
      <c r="I1457">
        <v>0</v>
      </c>
      <c r="L1457" t="s">
        <v>120</v>
      </c>
      <c r="N1457">
        <v>0.5</v>
      </c>
      <c r="O1457">
        <v>0.38</v>
      </c>
      <c r="P1457">
        <v>3.5</v>
      </c>
      <c r="Q1457">
        <v>3.5</v>
      </c>
      <c r="R1457">
        <v>2.5</v>
      </c>
      <c r="S1457">
        <v>4</v>
      </c>
      <c r="T1457">
        <v>0.5</v>
      </c>
      <c r="U1457">
        <v>0</v>
      </c>
      <c r="V1457">
        <v>0</v>
      </c>
      <c r="W1457">
        <v>0</v>
      </c>
      <c r="X1457">
        <v>0</v>
      </c>
      <c r="Y1457">
        <v>0.5</v>
      </c>
      <c r="Z1457">
        <v>0.5</v>
      </c>
      <c r="AA1457">
        <v>11.5</v>
      </c>
      <c r="AB1457">
        <v>10.875</v>
      </c>
      <c r="AC1457">
        <v>28.94</v>
      </c>
      <c r="AD1457">
        <v>17</v>
      </c>
    </row>
    <row r="1458" spans="1:30">
      <c r="A1458" t="s">
        <v>1620</v>
      </c>
      <c r="B1458">
        <v>60</v>
      </c>
      <c r="C1458">
        <v>50.8125</v>
      </c>
      <c r="D1458">
        <v>4.5</v>
      </c>
      <c r="E1458">
        <v>2.4375</v>
      </c>
      <c r="F1458" t="s">
        <v>157</v>
      </c>
      <c r="G1458">
        <v>0</v>
      </c>
      <c r="I1458">
        <v>1</v>
      </c>
      <c r="J1458">
        <v>0</v>
      </c>
      <c r="K1458">
        <v>12</v>
      </c>
      <c r="L1458" t="s">
        <v>121</v>
      </c>
      <c r="N1458">
        <v>0.5</v>
      </c>
      <c r="O1458">
        <v>0.38</v>
      </c>
      <c r="P1458">
        <v>3.5</v>
      </c>
      <c r="Q1458">
        <v>0</v>
      </c>
      <c r="R1458">
        <v>2.0625</v>
      </c>
      <c r="S1458">
        <v>4</v>
      </c>
      <c r="T1458">
        <v>0.5</v>
      </c>
      <c r="U1458">
        <v>0</v>
      </c>
      <c r="V1458">
        <v>0</v>
      </c>
      <c r="W1458">
        <v>0</v>
      </c>
      <c r="X1458">
        <v>0</v>
      </c>
      <c r="Y1458">
        <v>0.5</v>
      </c>
      <c r="Z1458">
        <v>0.5</v>
      </c>
      <c r="AA1458">
        <v>11</v>
      </c>
      <c r="AB1458">
        <v>9.375</v>
      </c>
    </row>
    <row r="1459" spans="1:30">
      <c r="A1459" t="s">
        <v>1621</v>
      </c>
      <c r="B1459">
        <v>60</v>
      </c>
      <c r="C1459">
        <v>53.1875</v>
      </c>
      <c r="D1459">
        <v>7.25</v>
      </c>
      <c r="E1459">
        <v>6.5</v>
      </c>
      <c r="F1459" t="s">
        <v>157</v>
      </c>
      <c r="G1459">
        <v>0</v>
      </c>
      <c r="I1459">
        <v>1</v>
      </c>
      <c r="J1459">
        <v>0</v>
      </c>
      <c r="K1459">
        <v>24</v>
      </c>
      <c r="L1459" t="s">
        <v>145</v>
      </c>
      <c r="N1459">
        <v>0.5</v>
      </c>
      <c r="O1459">
        <v>0.38</v>
      </c>
      <c r="P1459">
        <v>3.5</v>
      </c>
      <c r="Q1459">
        <v>-2.75</v>
      </c>
      <c r="R1459">
        <v>0</v>
      </c>
      <c r="S1459">
        <v>4</v>
      </c>
      <c r="T1459">
        <v>0.5</v>
      </c>
      <c r="U1459">
        <v>0</v>
      </c>
      <c r="V1459">
        <v>0</v>
      </c>
      <c r="W1459">
        <v>0</v>
      </c>
      <c r="X1459">
        <v>0</v>
      </c>
      <c r="Y1459">
        <v>0.5</v>
      </c>
      <c r="Z1459">
        <v>0.5</v>
      </c>
      <c r="AA1459">
        <v>15.5</v>
      </c>
      <c r="AB1459">
        <v>28.875</v>
      </c>
    </row>
    <row r="1460" spans="1:30">
      <c r="A1460" t="s">
        <v>1622</v>
      </c>
      <c r="B1460">
        <v>60</v>
      </c>
      <c r="C1460">
        <v>66.4375</v>
      </c>
      <c r="D1460">
        <v>9</v>
      </c>
      <c r="E1460">
        <v>4.9375</v>
      </c>
      <c r="F1460" t="s">
        <v>157</v>
      </c>
      <c r="G1460">
        <v>0</v>
      </c>
      <c r="I1460">
        <v>1</v>
      </c>
      <c r="J1460">
        <v>0</v>
      </c>
      <c r="N1460">
        <v>0.5</v>
      </c>
      <c r="O1460">
        <v>0.38</v>
      </c>
      <c r="P1460">
        <v>3.5</v>
      </c>
      <c r="Q1460">
        <v>-4.5</v>
      </c>
      <c r="R1460">
        <v>0</v>
      </c>
      <c r="S1460">
        <v>4</v>
      </c>
      <c r="T1460">
        <v>0.5</v>
      </c>
      <c r="U1460">
        <v>0</v>
      </c>
      <c r="V1460">
        <v>0</v>
      </c>
      <c r="W1460">
        <v>0</v>
      </c>
      <c r="X1460">
        <v>0</v>
      </c>
      <c r="Y1460">
        <v>0.5</v>
      </c>
      <c r="Z1460">
        <v>0.5</v>
      </c>
    </row>
    <row r="1461" spans="1:30">
      <c r="A1461" t="s">
        <v>1623</v>
      </c>
      <c r="B1461">
        <v>60</v>
      </c>
      <c r="C1461">
        <v>76</v>
      </c>
      <c r="D1461">
        <v>9</v>
      </c>
      <c r="E1461">
        <v>6.25</v>
      </c>
      <c r="F1461" t="s">
        <v>157</v>
      </c>
      <c r="G1461">
        <v>0</v>
      </c>
      <c r="I1461">
        <v>1</v>
      </c>
      <c r="J1461">
        <v>1</v>
      </c>
      <c r="N1461">
        <v>0.5</v>
      </c>
      <c r="O1461">
        <v>0.38</v>
      </c>
      <c r="P1461">
        <v>3.5</v>
      </c>
      <c r="Q1461">
        <v>-4.5</v>
      </c>
      <c r="R1461">
        <v>0</v>
      </c>
      <c r="S1461">
        <v>4</v>
      </c>
      <c r="T1461">
        <v>0.5</v>
      </c>
      <c r="U1461">
        <v>0</v>
      </c>
      <c r="V1461">
        <v>0</v>
      </c>
      <c r="W1461">
        <v>0</v>
      </c>
      <c r="X1461">
        <v>0</v>
      </c>
      <c r="Y1461">
        <v>0.5</v>
      </c>
      <c r="Z1461">
        <v>0.5</v>
      </c>
    </row>
    <row r="1462" spans="1:30">
      <c r="A1462" t="s">
        <v>1624</v>
      </c>
      <c r="B1462">
        <v>60</v>
      </c>
      <c r="C1462">
        <v>69.125</v>
      </c>
      <c r="D1462">
        <v>9.8125</v>
      </c>
      <c r="E1462">
        <v>1</v>
      </c>
      <c r="F1462" t="s">
        <v>157</v>
      </c>
      <c r="G1462">
        <v>1</v>
      </c>
      <c r="H1462">
        <v>0</v>
      </c>
      <c r="I1462">
        <v>0</v>
      </c>
      <c r="L1462" t="s">
        <v>121</v>
      </c>
      <c r="N1462">
        <v>0.5</v>
      </c>
      <c r="O1462">
        <v>0.38</v>
      </c>
      <c r="P1462">
        <v>3.5</v>
      </c>
      <c r="Q1462">
        <v>-5.3125</v>
      </c>
      <c r="R1462">
        <v>3.5</v>
      </c>
      <c r="S1462">
        <v>4</v>
      </c>
      <c r="T1462">
        <v>0.5</v>
      </c>
      <c r="U1462">
        <v>0</v>
      </c>
      <c r="V1462">
        <v>0</v>
      </c>
      <c r="W1462">
        <v>0</v>
      </c>
      <c r="X1462">
        <v>0</v>
      </c>
      <c r="Y1462">
        <v>0.5</v>
      </c>
      <c r="Z1462">
        <v>0.5</v>
      </c>
      <c r="AA1462">
        <v>11</v>
      </c>
      <c r="AB1462">
        <v>9.375</v>
      </c>
      <c r="AC1462">
        <v>14.5</v>
      </c>
      <c r="AD1462">
        <v>8.9375</v>
      </c>
    </row>
    <row r="1463" spans="1:30">
      <c r="A1463" t="s">
        <v>1625</v>
      </c>
      <c r="B1463">
        <v>60</v>
      </c>
      <c r="C1463">
        <v>53.4375</v>
      </c>
      <c r="D1463">
        <v>9</v>
      </c>
      <c r="E1463">
        <v>1.6875</v>
      </c>
      <c r="F1463" t="s">
        <v>157</v>
      </c>
      <c r="G1463">
        <v>1</v>
      </c>
      <c r="H1463">
        <v>0</v>
      </c>
      <c r="I1463">
        <v>1</v>
      </c>
      <c r="J1463">
        <v>0</v>
      </c>
      <c r="K1463">
        <v>12</v>
      </c>
      <c r="L1463" t="s">
        <v>35</v>
      </c>
      <c r="N1463">
        <v>0.5</v>
      </c>
      <c r="O1463">
        <v>0.38</v>
      </c>
      <c r="P1463">
        <v>3.5</v>
      </c>
      <c r="Q1463">
        <v>-4.5</v>
      </c>
      <c r="R1463">
        <v>2.8125</v>
      </c>
      <c r="S1463">
        <v>4</v>
      </c>
      <c r="T1463">
        <v>0.5</v>
      </c>
      <c r="U1463">
        <v>0</v>
      </c>
      <c r="V1463">
        <v>0</v>
      </c>
      <c r="W1463">
        <v>0</v>
      </c>
      <c r="X1463">
        <v>0</v>
      </c>
      <c r="Y1463">
        <v>0.5</v>
      </c>
      <c r="Z1463">
        <v>0.5</v>
      </c>
      <c r="AA1463">
        <v>15.5</v>
      </c>
      <c r="AB1463">
        <v>28.875</v>
      </c>
      <c r="AC1463">
        <v>14</v>
      </c>
      <c r="AD1463">
        <v>21.13</v>
      </c>
    </row>
    <row r="1464" spans="1:30">
      <c r="A1464" t="s">
        <v>1626</v>
      </c>
      <c r="B1464">
        <v>60</v>
      </c>
      <c r="C1464">
        <v>43.9375</v>
      </c>
      <c r="D1464">
        <v>9</v>
      </c>
      <c r="E1464">
        <v>5</v>
      </c>
      <c r="F1464" t="s">
        <v>157</v>
      </c>
      <c r="G1464">
        <v>1</v>
      </c>
      <c r="H1464">
        <v>0</v>
      </c>
      <c r="I1464">
        <v>1</v>
      </c>
      <c r="J1464">
        <v>0</v>
      </c>
      <c r="K1464">
        <v>24</v>
      </c>
      <c r="N1464">
        <v>0.5</v>
      </c>
      <c r="O1464">
        <v>0.38</v>
      </c>
      <c r="P1464">
        <v>3.5</v>
      </c>
      <c r="Q1464">
        <v>-4.5</v>
      </c>
      <c r="R1464">
        <v>0</v>
      </c>
      <c r="S1464">
        <v>4</v>
      </c>
      <c r="T1464">
        <v>0.5</v>
      </c>
      <c r="U1464">
        <v>0</v>
      </c>
      <c r="V1464">
        <v>0</v>
      </c>
      <c r="W1464">
        <v>0</v>
      </c>
      <c r="X1464">
        <v>0</v>
      </c>
      <c r="Y1464">
        <v>0.5</v>
      </c>
      <c r="Z1464">
        <v>0.5</v>
      </c>
    </row>
    <row r="1465" spans="1:30">
      <c r="A1465" t="s">
        <v>1627</v>
      </c>
      <c r="B1465">
        <v>60</v>
      </c>
      <c r="C1465">
        <v>54.5</v>
      </c>
      <c r="D1465">
        <v>4.5</v>
      </c>
      <c r="E1465">
        <v>5.5</v>
      </c>
      <c r="F1465" t="s">
        <v>157</v>
      </c>
      <c r="G1465">
        <v>1</v>
      </c>
      <c r="H1465">
        <v>0</v>
      </c>
      <c r="I1465">
        <v>1</v>
      </c>
      <c r="J1465">
        <v>0</v>
      </c>
      <c r="N1465">
        <v>0.5</v>
      </c>
      <c r="O1465">
        <v>0.38</v>
      </c>
      <c r="P1465">
        <v>3.5</v>
      </c>
      <c r="Q1465">
        <v>0</v>
      </c>
      <c r="R1465">
        <v>0</v>
      </c>
      <c r="S1465">
        <v>4</v>
      </c>
      <c r="T1465">
        <v>0.5</v>
      </c>
      <c r="U1465">
        <v>0</v>
      </c>
      <c r="V1465">
        <v>0</v>
      </c>
      <c r="W1465">
        <v>0</v>
      </c>
      <c r="X1465">
        <v>0</v>
      </c>
      <c r="Y1465">
        <v>0.5</v>
      </c>
      <c r="Z1465">
        <v>0.5</v>
      </c>
    </row>
    <row r="1466" spans="1:30">
      <c r="A1466" t="s">
        <v>1628</v>
      </c>
      <c r="B1466">
        <v>60</v>
      </c>
      <c r="C1466">
        <v>70.5625</v>
      </c>
      <c r="D1466">
        <v>3.625</v>
      </c>
      <c r="E1466">
        <v>1</v>
      </c>
      <c r="F1466" t="s">
        <v>157</v>
      </c>
      <c r="G1466">
        <v>1</v>
      </c>
      <c r="H1466">
        <v>0</v>
      </c>
      <c r="I1466">
        <v>1</v>
      </c>
      <c r="J1466">
        <v>1</v>
      </c>
      <c r="N1466">
        <v>0.5</v>
      </c>
      <c r="O1466">
        <v>0.38</v>
      </c>
      <c r="P1466">
        <v>3.5</v>
      </c>
      <c r="Q1466">
        <v>0.875</v>
      </c>
      <c r="R1466">
        <v>3.5</v>
      </c>
      <c r="S1466">
        <v>4</v>
      </c>
      <c r="T1466">
        <v>0.5</v>
      </c>
      <c r="U1466">
        <v>1</v>
      </c>
      <c r="V1466">
        <v>1</v>
      </c>
      <c r="W1466">
        <v>0</v>
      </c>
      <c r="X1466">
        <v>0</v>
      </c>
      <c r="Y1466">
        <v>0</v>
      </c>
      <c r="Z1466">
        <v>0</v>
      </c>
    </row>
    <row r="1467" spans="1:30">
      <c r="A1467" t="s">
        <v>1629</v>
      </c>
      <c r="B1467">
        <v>60</v>
      </c>
      <c r="C1467">
        <v>45.625</v>
      </c>
      <c r="D1467">
        <v>9</v>
      </c>
      <c r="F1467" t="s">
        <v>157</v>
      </c>
      <c r="G1467">
        <v>1</v>
      </c>
      <c r="H1467">
        <v>1</v>
      </c>
      <c r="I1467">
        <v>0</v>
      </c>
      <c r="L1467" t="s">
        <v>145</v>
      </c>
      <c r="N1467">
        <v>0.5</v>
      </c>
      <c r="O1467">
        <v>0.38</v>
      </c>
      <c r="P1467">
        <v>3.5</v>
      </c>
      <c r="Q1467">
        <v>-4.5</v>
      </c>
      <c r="R1467">
        <v>4.5</v>
      </c>
      <c r="S1467">
        <v>4</v>
      </c>
      <c r="T1467">
        <v>0.5</v>
      </c>
      <c r="U1467">
        <v>0</v>
      </c>
      <c r="V1467">
        <v>0</v>
      </c>
      <c r="W1467">
        <v>0</v>
      </c>
      <c r="X1467">
        <v>0</v>
      </c>
      <c r="Y1467">
        <v>0.5</v>
      </c>
      <c r="Z1467">
        <v>0.5</v>
      </c>
      <c r="AA1467">
        <v>15.5</v>
      </c>
      <c r="AB1467">
        <v>28.875</v>
      </c>
      <c r="AC1467">
        <v>26</v>
      </c>
      <c r="AD1467">
        <v>21.13</v>
      </c>
    </row>
    <row r="1468" spans="1:30">
      <c r="A1468" t="s">
        <v>1630</v>
      </c>
      <c r="B1468">
        <v>60</v>
      </c>
      <c r="C1468">
        <v>75.1875</v>
      </c>
      <c r="D1468">
        <v>9</v>
      </c>
      <c r="F1468" t="s">
        <v>157</v>
      </c>
      <c r="G1468">
        <v>1</v>
      </c>
      <c r="H1468">
        <v>1</v>
      </c>
      <c r="I1468">
        <v>1</v>
      </c>
      <c r="J1468">
        <v>0</v>
      </c>
      <c r="K1468">
        <v>12</v>
      </c>
      <c r="L1468" t="s">
        <v>151</v>
      </c>
      <c r="N1468">
        <v>0.5</v>
      </c>
      <c r="O1468">
        <v>0.38</v>
      </c>
      <c r="P1468">
        <v>3.5</v>
      </c>
      <c r="Q1468">
        <v>-4.5</v>
      </c>
      <c r="R1468">
        <v>4.5</v>
      </c>
      <c r="S1468">
        <v>4</v>
      </c>
      <c r="T1468">
        <v>0.5</v>
      </c>
      <c r="U1468">
        <v>0</v>
      </c>
      <c r="V1468">
        <v>0</v>
      </c>
      <c r="W1468">
        <v>0</v>
      </c>
      <c r="X1468">
        <v>0</v>
      </c>
      <c r="Y1468">
        <v>0.5</v>
      </c>
      <c r="Z1468">
        <v>0.5</v>
      </c>
      <c r="AA1468">
        <v>15.5</v>
      </c>
      <c r="AB1468">
        <v>28.875</v>
      </c>
      <c r="AC1468">
        <v>9</v>
      </c>
      <c r="AD1468">
        <v>9</v>
      </c>
    </row>
    <row r="1469" spans="1:30">
      <c r="A1469" t="s">
        <v>1631</v>
      </c>
      <c r="B1469">
        <v>60</v>
      </c>
      <c r="C1469">
        <v>47.25</v>
      </c>
      <c r="D1469">
        <v>1</v>
      </c>
      <c r="E1469">
        <v>8.25</v>
      </c>
      <c r="F1469" t="s">
        <v>157</v>
      </c>
      <c r="G1469">
        <v>1</v>
      </c>
      <c r="H1469">
        <v>1</v>
      </c>
      <c r="I1469">
        <v>1</v>
      </c>
      <c r="J1469">
        <v>0</v>
      </c>
      <c r="K1469">
        <v>24</v>
      </c>
      <c r="L1469" t="s">
        <v>145</v>
      </c>
      <c r="N1469">
        <v>0.5</v>
      </c>
      <c r="O1469">
        <v>0.38</v>
      </c>
      <c r="P1469">
        <v>3.5</v>
      </c>
      <c r="Q1469">
        <v>3.5</v>
      </c>
      <c r="R1469">
        <v>0</v>
      </c>
      <c r="S1469">
        <v>4</v>
      </c>
      <c r="T1469">
        <v>0.5</v>
      </c>
      <c r="U1469">
        <v>1</v>
      </c>
      <c r="V1469">
        <v>1</v>
      </c>
      <c r="W1469">
        <v>0</v>
      </c>
      <c r="X1469">
        <v>0</v>
      </c>
      <c r="Y1469">
        <v>0</v>
      </c>
      <c r="Z1469">
        <v>0</v>
      </c>
      <c r="AA1469">
        <v>15.5</v>
      </c>
      <c r="AB1469">
        <v>28.875</v>
      </c>
    </row>
    <row r="1470" spans="1:30">
      <c r="A1470" t="s">
        <v>1632</v>
      </c>
      <c r="B1470">
        <v>60</v>
      </c>
      <c r="C1470">
        <v>59.25</v>
      </c>
      <c r="D1470">
        <v>4</v>
      </c>
      <c r="E1470">
        <v>3.1875</v>
      </c>
      <c r="F1470" t="s">
        <v>157</v>
      </c>
      <c r="G1470">
        <v>1</v>
      </c>
      <c r="H1470">
        <v>1</v>
      </c>
      <c r="I1470">
        <v>1</v>
      </c>
      <c r="J1470">
        <v>0</v>
      </c>
      <c r="N1470">
        <v>0.5</v>
      </c>
      <c r="O1470">
        <v>0.38</v>
      </c>
      <c r="P1470">
        <v>3.5</v>
      </c>
      <c r="Q1470">
        <v>0.5</v>
      </c>
      <c r="R1470">
        <v>1.3125</v>
      </c>
      <c r="S1470">
        <v>4</v>
      </c>
      <c r="T1470">
        <v>0.5</v>
      </c>
      <c r="U1470">
        <v>1</v>
      </c>
      <c r="V1470">
        <v>1</v>
      </c>
      <c r="W1470">
        <v>0</v>
      </c>
      <c r="X1470">
        <v>0</v>
      </c>
      <c r="Y1470">
        <v>0</v>
      </c>
      <c r="Z1470">
        <v>0</v>
      </c>
    </row>
    <row r="1471" spans="1:30">
      <c r="A1471" t="s">
        <v>1633</v>
      </c>
      <c r="B1471">
        <v>60</v>
      </c>
      <c r="C1471">
        <v>22.875</v>
      </c>
      <c r="D1471">
        <v>12</v>
      </c>
      <c r="E1471">
        <v>4.3125</v>
      </c>
      <c r="F1471" t="s">
        <v>157</v>
      </c>
      <c r="G1471">
        <v>1</v>
      </c>
      <c r="H1471">
        <v>1</v>
      </c>
      <c r="I1471">
        <v>1</v>
      </c>
      <c r="J1471">
        <v>1</v>
      </c>
      <c r="N1471">
        <v>0.5</v>
      </c>
      <c r="O1471">
        <v>0.38</v>
      </c>
      <c r="P1471">
        <v>3.5</v>
      </c>
      <c r="Q1471">
        <v>-7.5</v>
      </c>
      <c r="R1471">
        <v>0.1875</v>
      </c>
      <c r="S1471">
        <v>4</v>
      </c>
      <c r="T1471">
        <v>0.5</v>
      </c>
      <c r="U1471">
        <v>0</v>
      </c>
      <c r="V1471">
        <v>0</v>
      </c>
      <c r="W1471">
        <v>0</v>
      </c>
      <c r="X1471">
        <v>0</v>
      </c>
      <c r="Y1471">
        <v>0.5</v>
      </c>
      <c r="Z1471">
        <v>0.5</v>
      </c>
    </row>
    <row r="1472" spans="1:30">
      <c r="A1472" t="s">
        <v>1634</v>
      </c>
      <c r="B1472">
        <v>71</v>
      </c>
      <c r="C1472">
        <v>59.375</v>
      </c>
      <c r="D1472">
        <v>9</v>
      </c>
      <c r="E1472">
        <v>4.625</v>
      </c>
      <c r="F1472" t="s">
        <v>21</v>
      </c>
      <c r="G1472">
        <v>0</v>
      </c>
      <c r="I1472">
        <v>0</v>
      </c>
      <c r="L1472" t="s">
        <v>121</v>
      </c>
      <c r="N1472">
        <v>0.5</v>
      </c>
      <c r="O1472">
        <v>0.38</v>
      </c>
      <c r="P1472">
        <v>3.5</v>
      </c>
      <c r="Q1472">
        <v>-4.5</v>
      </c>
      <c r="R1472">
        <v>0</v>
      </c>
      <c r="S1472">
        <v>4</v>
      </c>
      <c r="T1472">
        <v>0.5</v>
      </c>
      <c r="U1472">
        <v>0</v>
      </c>
      <c r="V1472">
        <v>0</v>
      </c>
      <c r="W1472">
        <v>0</v>
      </c>
      <c r="X1472">
        <v>0</v>
      </c>
      <c r="Y1472">
        <v>0.5</v>
      </c>
      <c r="Z1472">
        <v>0.5</v>
      </c>
      <c r="AA1472">
        <v>11</v>
      </c>
      <c r="AB1472">
        <v>9.375</v>
      </c>
      <c r="AC1472">
        <v>14.5</v>
      </c>
      <c r="AD1472">
        <v>9.75</v>
      </c>
    </row>
    <row r="1473" spans="1:30">
      <c r="A1473" t="s">
        <v>1635</v>
      </c>
      <c r="B1473">
        <v>102.4375</v>
      </c>
      <c r="C1473">
        <v>66.75</v>
      </c>
      <c r="D1473">
        <v>1</v>
      </c>
      <c r="E1473">
        <v>1</v>
      </c>
      <c r="F1473" t="s">
        <v>21</v>
      </c>
      <c r="G1473">
        <v>0</v>
      </c>
      <c r="I1473">
        <v>1</v>
      </c>
      <c r="J1473">
        <v>0</v>
      </c>
      <c r="K1473">
        <v>12</v>
      </c>
      <c r="L1473" t="s">
        <v>119</v>
      </c>
      <c r="N1473">
        <v>0.5</v>
      </c>
      <c r="O1473">
        <v>0.38</v>
      </c>
      <c r="P1473">
        <v>3.5</v>
      </c>
      <c r="Q1473">
        <v>3.5</v>
      </c>
      <c r="R1473">
        <v>3.5</v>
      </c>
      <c r="S1473">
        <v>4</v>
      </c>
      <c r="T1473">
        <v>0.5</v>
      </c>
      <c r="U1473">
        <v>0</v>
      </c>
      <c r="V1473">
        <v>1</v>
      </c>
      <c r="W1473">
        <v>0</v>
      </c>
      <c r="X1473">
        <v>0</v>
      </c>
      <c r="Y1473">
        <v>0.5</v>
      </c>
      <c r="Z1473">
        <v>0</v>
      </c>
      <c r="AA1473">
        <v>11</v>
      </c>
      <c r="AB1473">
        <v>15.5</v>
      </c>
    </row>
    <row r="1474" spans="1:30">
      <c r="A1474" t="s">
        <v>1636</v>
      </c>
      <c r="B1474">
        <v>38.4375</v>
      </c>
      <c r="C1474">
        <v>52.5</v>
      </c>
      <c r="D1474">
        <v>9</v>
      </c>
      <c r="E1474">
        <v>3.3125</v>
      </c>
      <c r="F1474" t="s">
        <v>21</v>
      </c>
      <c r="G1474">
        <v>0</v>
      </c>
      <c r="I1474">
        <v>1</v>
      </c>
      <c r="J1474">
        <v>0</v>
      </c>
      <c r="K1474">
        <v>24</v>
      </c>
      <c r="L1474" t="s">
        <v>121</v>
      </c>
      <c r="N1474">
        <v>0.5</v>
      </c>
      <c r="O1474">
        <v>0.38</v>
      </c>
      <c r="P1474">
        <v>3.5</v>
      </c>
      <c r="Q1474">
        <v>-4.5</v>
      </c>
      <c r="R1474">
        <v>1.1875</v>
      </c>
      <c r="S1474">
        <v>4</v>
      </c>
      <c r="T1474">
        <v>0.5</v>
      </c>
      <c r="U1474">
        <v>0</v>
      </c>
      <c r="V1474">
        <v>0</v>
      </c>
      <c r="W1474">
        <v>0</v>
      </c>
      <c r="X1474">
        <v>0</v>
      </c>
      <c r="Y1474">
        <v>0.5</v>
      </c>
      <c r="Z1474">
        <v>0.5</v>
      </c>
      <c r="AA1474">
        <v>11</v>
      </c>
      <c r="AB1474">
        <v>9.375</v>
      </c>
    </row>
    <row r="1475" spans="1:30">
      <c r="A1475" t="s">
        <v>1637</v>
      </c>
      <c r="B1475">
        <v>74.0625</v>
      </c>
      <c r="C1475">
        <v>75.5</v>
      </c>
      <c r="D1475">
        <v>9</v>
      </c>
      <c r="E1475">
        <v>1</v>
      </c>
      <c r="F1475" t="s">
        <v>21</v>
      </c>
      <c r="G1475">
        <v>0</v>
      </c>
      <c r="I1475">
        <v>1</v>
      </c>
      <c r="J1475">
        <v>0</v>
      </c>
      <c r="N1475">
        <v>0.5</v>
      </c>
      <c r="O1475">
        <v>0.38</v>
      </c>
      <c r="P1475">
        <v>3.5</v>
      </c>
      <c r="Q1475">
        <v>-4.5</v>
      </c>
      <c r="R1475">
        <v>3.5</v>
      </c>
      <c r="S1475">
        <v>4</v>
      </c>
      <c r="T1475">
        <v>0.5</v>
      </c>
      <c r="U1475">
        <v>0</v>
      </c>
      <c r="V1475">
        <v>0</v>
      </c>
      <c r="W1475">
        <v>0</v>
      </c>
      <c r="X1475">
        <v>0</v>
      </c>
      <c r="Y1475">
        <v>0.5</v>
      </c>
      <c r="Z1475">
        <v>0.5</v>
      </c>
    </row>
    <row r="1476" spans="1:30">
      <c r="A1476" t="s">
        <v>1638</v>
      </c>
      <c r="B1476">
        <v>40.375</v>
      </c>
      <c r="C1476">
        <v>53.3125</v>
      </c>
      <c r="D1476">
        <v>12</v>
      </c>
      <c r="F1476" t="s">
        <v>21</v>
      </c>
      <c r="G1476">
        <v>0</v>
      </c>
      <c r="I1476">
        <v>1</v>
      </c>
      <c r="J1476">
        <v>1</v>
      </c>
      <c r="N1476">
        <v>0.5</v>
      </c>
      <c r="O1476">
        <v>0.38</v>
      </c>
      <c r="P1476">
        <v>3.5</v>
      </c>
      <c r="Q1476">
        <v>-7.5</v>
      </c>
      <c r="R1476">
        <v>4.5</v>
      </c>
      <c r="S1476">
        <v>4</v>
      </c>
      <c r="T1476">
        <v>0.5</v>
      </c>
      <c r="U1476">
        <v>0</v>
      </c>
      <c r="V1476">
        <v>0</v>
      </c>
      <c r="W1476">
        <v>0</v>
      </c>
      <c r="X1476">
        <v>0</v>
      </c>
      <c r="Y1476">
        <v>0.5</v>
      </c>
      <c r="Z1476">
        <v>0.5</v>
      </c>
    </row>
    <row r="1477" spans="1:30">
      <c r="A1477" t="s">
        <v>1639</v>
      </c>
      <c r="B1477">
        <v>83.4375</v>
      </c>
      <c r="C1477">
        <v>46.375</v>
      </c>
      <c r="D1477">
        <v>2.3125</v>
      </c>
      <c r="F1477" t="s">
        <v>21</v>
      </c>
      <c r="G1477">
        <v>1</v>
      </c>
      <c r="H1477">
        <v>0</v>
      </c>
      <c r="I1477">
        <v>0</v>
      </c>
      <c r="N1477">
        <v>0.5</v>
      </c>
      <c r="O1477">
        <v>0.38</v>
      </c>
      <c r="P1477">
        <v>3.5</v>
      </c>
      <c r="Q1477">
        <v>2.1875</v>
      </c>
      <c r="R1477">
        <v>4.5</v>
      </c>
      <c r="S1477">
        <v>4</v>
      </c>
      <c r="T1477">
        <v>0.5</v>
      </c>
      <c r="U1477">
        <v>1</v>
      </c>
      <c r="V1477">
        <v>0</v>
      </c>
      <c r="W1477">
        <v>0</v>
      </c>
      <c r="X1477">
        <v>0</v>
      </c>
      <c r="Y1477">
        <v>0</v>
      </c>
      <c r="Z1477">
        <v>0.5</v>
      </c>
    </row>
    <row r="1478" spans="1:30">
      <c r="A1478" t="s">
        <v>1640</v>
      </c>
      <c r="B1478">
        <v>93.125</v>
      </c>
      <c r="C1478">
        <v>52.5</v>
      </c>
      <c r="D1478">
        <v>11.9375</v>
      </c>
      <c r="E1478">
        <v>4.75</v>
      </c>
      <c r="F1478" t="s">
        <v>21</v>
      </c>
      <c r="G1478">
        <v>1</v>
      </c>
      <c r="H1478">
        <v>0</v>
      </c>
      <c r="I1478">
        <v>1</v>
      </c>
      <c r="J1478">
        <v>0</v>
      </c>
      <c r="K1478">
        <v>12</v>
      </c>
      <c r="L1478" t="s">
        <v>151</v>
      </c>
      <c r="N1478">
        <v>0.5</v>
      </c>
      <c r="O1478">
        <v>0.38</v>
      </c>
      <c r="P1478">
        <v>3.5</v>
      </c>
      <c r="Q1478">
        <v>-7.4375</v>
      </c>
      <c r="R1478">
        <v>0</v>
      </c>
      <c r="S1478">
        <v>4</v>
      </c>
      <c r="T1478">
        <v>0.5</v>
      </c>
      <c r="U1478">
        <v>0</v>
      </c>
      <c r="V1478">
        <v>0</v>
      </c>
      <c r="W1478">
        <v>0</v>
      </c>
      <c r="X1478">
        <v>0</v>
      </c>
      <c r="Y1478">
        <v>0.5</v>
      </c>
      <c r="Z1478">
        <v>0.5</v>
      </c>
      <c r="AA1478">
        <v>15.5</v>
      </c>
      <c r="AB1478">
        <v>28.875</v>
      </c>
      <c r="AC1478">
        <v>9</v>
      </c>
      <c r="AD1478">
        <v>6.0625</v>
      </c>
    </row>
    <row r="1479" spans="1:30">
      <c r="A1479" t="s">
        <v>1641</v>
      </c>
      <c r="B1479">
        <v>80.1875</v>
      </c>
      <c r="C1479">
        <v>40.1875</v>
      </c>
      <c r="D1479">
        <v>9</v>
      </c>
      <c r="E1479">
        <v>1.8125</v>
      </c>
      <c r="F1479" t="s">
        <v>21</v>
      </c>
      <c r="G1479">
        <v>1</v>
      </c>
      <c r="H1479">
        <v>0</v>
      </c>
      <c r="I1479">
        <v>1</v>
      </c>
      <c r="J1479">
        <v>0</v>
      </c>
      <c r="K1479">
        <v>24</v>
      </c>
      <c r="L1479" t="s">
        <v>35</v>
      </c>
      <c r="N1479">
        <v>0.5</v>
      </c>
      <c r="O1479">
        <v>0.38</v>
      </c>
      <c r="P1479">
        <v>3.5</v>
      </c>
      <c r="Q1479">
        <v>-4.5</v>
      </c>
      <c r="R1479">
        <v>2.6875</v>
      </c>
      <c r="S1479">
        <v>4</v>
      </c>
      <c r="T1479">
        <v>0.5</v>
      </c>
      <c r="U1479">
        <v>0</v>
      </c>
      <c r="V1479">
        <v>0</v>
      </c>
      <c r="W1479">
        <v>0</v>
      </c>
      <c r="X1479">
        <v>0</v>
      </c>
      <c r="Y1479">
        <v>0.5</v>
      </c>
      <c r="Z1479">
        <v>0.5</v>
      </c>
      <c r="AA1479">
        <v>15.5</v>
      </c>
      <c r="AB1479">
        <v>28.875</v>
      </c>
    </row>
    <row r="1480" spans="1:30">
      <c r="A1480" t="s">
        <v>1642</v>
      </c>
      <c r="B1480">
        <v>79</v>
      </c>
      <c r="C1480">
        <v>60.8125</v>
      </c>
      <c r="D1480">
        <v>9</v>
      </c>
      <c r="E1480">
        <v>7.625</v>
      </c>
      <c r="F1480" t="s">
        <v>21</v>
      </c>
      <c r="G1480">
        <v>1</v>
      </c>
      <c r="H1480">
        <v>0</v>
      </c>
      <c r="I1480">
        <v>1</v>
      </c>
      <c r="J1480">
        <v>0</v>
      </c>
      <c r="N1480">
        <v>0.5</v>
      </c>
      <c r="O1480">
        <v>0.38</v>
      </c>
      <c r="P1480">
        <v>3.5</v>
      </c>
      <c r="Q1480">
        <v>-4.5</v>
      </c>
      <c r="R1480">
        <v>0</v>
      </c>
      <c r="S1480">
        <v>4</v>
      </c>
      <c r="T1480">
        <v>0.5</v>
      </c>
      <c r="U1480">
        <v>0</v>
      </c>
      <c r="V1480">
        <v>0</v>
      </c>
      <c r="W1480">
        <v>0</v>
      </c>
      <c r="X1480">
        <v>0</v>
      </c>
      <c r="Y1480">
        <v>0.5</v>
      </c>
      <c r="Z1480">
        <v>0.5</v>
      </c>
    </row>
    <row r="1481" spans="1:30">
      <c r="A1481" t="s">
        <v>1643</v>
      </c>
      <c r="B1481">
        <v>96</v>
      </c>
      <c r="C1481">
        <v>45.9375</v>
      </c>
      <c r="D1481">
        <v>1</v>
      </c>
      <c r="E1481">
        <v>2.875</v>
      </c>
      <c r="F1481" t="s">
        <v>21</v>
      </c>
      <c r="G1481">
        <v>1</v>
      </c>
      <c r="H1481">
        <v>0</v>
      </c>
      <c r="I1481">
        <v>1</v>
      </c>
      <c r="J1481">
        <v>1</v>
      </c>
      <c r="N1481">
        <v>0.5</v>
      </c>
      <c r="O1481">
        <v>0.38</v>
      </c>
      <c r="P1481">
        <v>3.5</v>
      </c>
      <c r="Q1481">
        <v>3.5</v>
      </c>
      <c r="R1481">
        <v>1.625</v>
      </c>
      <c r="S1481">
        <v>4</v>
      </c>
      <c r="T1481">
        <v>0.5</v>
      </c>
      <c r="U1481">
        <v>1</v>
      </c>
      <c r="V1481">
        <v>1</v>
      </c>
      <c r="W1481">
        <v>0</v>
      </c>
      <c r="X1481">
        <v>1</v>
      </c>
      <c r="Y1481">
        <v>0</v>
      </c>
      <c r="Z1481">
        <v>0</v>
      </c>
    </row>
    <row r="1482" spans="1:30">
      <c r="A1482" t="s">
        <v>1644</v>
      </c>
      <c r="B1482">
        <v>59.4375</v>
      </c>
      <c r="C1482">
        <v>68.1875</v>
      </c>
      <c r="D1482">
        <v>1</v>
      </c>
      <c r="E1482">
        <v>1</v>
      </c>
      <c r="F1482" t="s">
        <v>21</v>
      </c>
      <c r="G1482">
        <v>1</v>
      </c>
      <c r="H1482">
        <v>1</v>
      </c>
      <c r="I1482">
        <v>0</v>
      </c>
      <c r="L1482" t="s">
        <v>145</v>
      </c>
      <c r="N1482">
        <v>0.5</v>
      </c>
      <c r="O1482">
        <v>0.38</v>
      </c>
      <c r="P1482">
        <v>3.5</v>
      </c>
      <c r="Q1482">
        <v>3.5</v>
      </c>
      <c r="R1482">
        <v>3.5</v>
      </c>
      <c r="S1482">
        <v>4</v>
      </c>
      <c r="T1482">
        <v>0.5</v>
      </c>
      <c r="U1482">
        <v>1</v>
      </c>
      <c r="V1482">
        <v>0</v>
      </c>
      <c r="W1482">
        <v>1</v>
      </c>
      <c r="X1482">
        <v>0</v>
      </c>
      <c r="Y1482">
        <v>0</v>
      </c>
      <c r="Z1482">
        <v>0.5</v>
      </c>
      <c r="AA1482">
        <v>15.5</v>
      </c>
      <c r="AB1482">
        <v>28.875</v>
      </c>
      <c r="AC1482">
        <v>26</v>
      </c>
      <c r="AD1482">
        <v>29.13</v>
      </c>
    </row>
    <row r="1483" spans="1:30">
      <c r="A1483" t="s">
        <v>1645</v>
      </c>
      <c r="B1483">
        <v>65.75</v>
      </c>
      <c r="C1483">
        <v>65.8125</v>
      </c>
      <c r="D1483">
        <v>12</v>
      </c>
      <c r="E1483">
        <v>4.75</v>
      </c>
      <c r="F1483" t="s">
        <v>21</v>
      </c>
      <c r="G1483">
        <v>1</v>
      </c>
      <c r="H1483">
        <v>1</v>
      </c>
      <c r="I1483">
        <v>1</v>
      </c>
      <c r="J1483">
        <v>0</v>
      </c>
      <c r="K1483">
        <v>12</v>
      </c>
      <c r="N1483">
        <v>0.5</v>
      </c>
      <c r="O1483">
        <v>0.38</v>
      </c>
      <c r="P1483">
        <v>3.5</v>
      </c>
      <c r="Q1483">
        <v>-7.5</v>
      </c>
      <c r="R1483">
        <v>0</v>
      </c>
      <c r="S1483">
        <v>4</v>
      </c>
      <c r="T1483">
        <v>0.5</v>
      </c>
      <c r="U1483">
        <v>0</v>
      </c>
      <c r="V1483">
        <v>0</v>
      </c>
      <c r="W1483">
        <v>0</v>
      </c>
      <c r="X1483">
        <v>0</v>
      </c>
      <c r="Y1483">
        <v>0.5</v>
      </c>
      <c r="Z1483">
        <v>0.5</v>
      </c>
    </row>
    <row r="1484" spans="1:30">
      <c r="A1484" t="s">
        <v>1646</v>
      </c>
      <c r="B1484">
        <v>96</v>
      </c>
      <c r="C1484">
        <v>78.75</v>
      </c>
      <c r="D1484">
        <v>7.4375</v>
      </c>
      <c r="E1484">
        <v>1</v>
      </c>
      <c r="F1484" t="s">
        <v>21</v>
      </c>
      <c r="G1484">
        <v>1</v>
      </c>
      <c r="H1484">
        <v>1</v>
      </c>
      <c r="I1484">
        <v>1</v>
      </c>
      <c r="J1484">
        <v>0</v>
      </c>
      <c r="K1484">
        <v>24</v>
      </c>
      <c r="N1484">
        <v>0.5</v>
      </c>
      <c r="O1484">
        <v>0.38</v>
      </c>
      <c r="P1484">
        <v>3.5</v>
      </c>
      <c r="Q1484">
        <v>-2.9375</v>
      </c>
      <c r="R1484">
        <v>3.5</v>
      </c>
      <c r="S1484">
        <v>4</v>
      </c>
      <c r="T1484">
        <v>0.5</v>
      </c>
      <c r="U1484">
        <v>0</v>
      </c>
      <c r="V1484">
        <v>0</v>
      </c>
      <c r="W1484">
        <v>1</v>
      </c>
      <c r="X1484">
        <v>0</v>
      </c>
      <c r="Y1484">
        <v>0.5</v>
      </c>
      <c r="Z1484">
        <v>0.5</v>
      </c>
    </row>
    <row r="1485" spans="1:30">
      <c r="A1485" t="s">
        <v>1647</v>
      </c>
      <c r="B1485">
        <v>47.3125</v>
      </c>
      <c r="C1485">
        <v>49.5</v>
      </c>
      <c r="D1485">
        <v>12</v>
      </c>
      <c r="E1485">
        <v>4.6875</v>
      </c>
      <c r="F1485" t="s">
        <v>21</v>
      </c>
      <c r="G1485">
        <v>1</v>
      </c>
      <c r="H1485">
        <v>1</v>
      </c>
      <c r="I1485">
        <v>1</v>
      </c>
      <c r="J1485">
        <v>0</v>
      </c>
      <c r="N1485">
        <v>0.5</v>
      </c>
      <c r="O1485">
        <v>0.38</v>
      </c>
      <c r="P1485">
        <v>3.5</v>
      </c>
      <c r="Q1485">
        <v>-7.5</v>
      </c>
      <c r="R1485">
        <v>0</v>
      </c>
      <c r="S1485">
        <v>4</v>
      </c>
      <c r="T1485">
        <v>0.5</v>
      </c>
      <c r="U1485">
        <v>0</v>
      </c>
      <c r="V1485">
        <v>0</v>
      </c>
      <c r="W1485">
        <v>0</v>
      </c>
      <c r="X1485">
        <v>0</v>
      </c>
      <c r="Y1485">
        <v>0.5</v>
      </c>
      <c r="Z1485">
        <v>0.5</v>
      </c>
    </row>
    <row r="1486" spans="1:30">
      <c r="A1486" t="s">
        <v>1648</v>
      </c>
      <c r="B1486">
        <v>96</v>
      </c>
      <c r="C1486">
        <v>79.9375</v>
      </c>
      <c r="D1486">
        <v>1</v>
      </c>
      <c r="F1486" t="s">
        <v>21</v>
      </c>
      <c r="G1486">
        <v>1</v>
      </c>
      <c r="H1486">
        <v>1</v>
      </c>
      <c r="I1486">
        <v>1</v>
      </c>
      <c r="J1486">
        <v>1</v>
      </c>
      <c r="N1486">
        <v>0.5</v>
      </c>
      <c r="O1486">
        <v>0.38</v>
      </c>
      <c r="P1486">
        <v>3.5</v>
      </c>
      <c r="Q1486">
        <v>3.5</v>
      </c>
      <c r="R1486">
        <v>4.5</v>
      </c>
      <c r="S1486">
        <v>4</v>
      </c>
      <c r="T1486">
        <v>0.5</v>
      </c>
      <c r="U1486">
        <v>1</v>
      </c>
      <c r="V1486">
        <v>1</v>
      </c>
      <c r="W1486">
        <v>0</v>
      </c>
      <c r="X1486">
        <v>0</v>
      </c>
      <c r="Y1486">
        <v>0</v>
      </c>
      <c r="Z1486">
        <v>0</v>
      </c>
    </row>
  </sheetData>
  <sheetProtection algorithmName="SHA-512" hashValue="bGQgJ1xduBbW7KQTwxKSb3hOgo76JOJSq8v5VwbpVGv4jUgeoJYMjgCR2PtqD9EhSJe89oEVJlZvDDfcoErkzA==" saltValue="YxJwb7xXrqzRPiae89hMtw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CB82AADFCD3564B9ED758874BAF867E" ma:contentTypeVersion="14" ma:contentTypeDescription="Create a new document." ma:contentTypeScope="" ma:versionID="be62a1f1e226733d3fbb516fd6cff614">
  <xsd:schema xmlns:xsd="http://www.w3.org/2001/XMLSchema" xmlns:xs="http://www.w3.org/2001/XMLSchema" xmlns:p="http://schemas.microsoft.com/office/2006/metadata/properties" xmlns:ns2="ee0320e0-9801-470f-92f0-f0eeffe67c73" xmlns:ns3="ffcecbb4-f484-4c02-a7e7-1de9586d9b90" targetNamespace="http://schemas.microsoft.com/office/2006/metadata/properties" ma:root="true" ma:fieldsID="5783610c5d6bdb5278058ccad75edd8b" ns2:_="" ns3:_="">
    <xsd:import namespace="ee0320e0-9801-470f-92f0-f0eeffe67c73"/>
    <xsd:import namespace="ffcecbb4-f484-4c02-a7e7-1de9586d9b9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0320e0-9801-470f-92f0-f0eeffe67c7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10419cf9-5862-4d4d-ac87-5896bbc6293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cecbb4-f484-4c02-a7e7-1de9586d9b90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dcb087e7-16d1-4901-afa2-43be291d1676}" ma:internalName="TaxCatchAll" ma:showField="CatchAllData" ma:web="ffcecbb4-f484-4c02-a7e7-1de9586d9b9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fcecbb4-f484-4c02-a7e7-1de9586d9b90" xsi:nil="true"/>
    <lcf76f155ced4ddcb4097134ff3c332f xmlns="ee0320e0-9801-470f-92f0-f0eeffe67c73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D324566-C21D-4B2F-BFA5-A2519663D995}"/>
</file>

<file path=customXml/itemProps2.xml><?xml version="1.0" encoding="utf-8"?>
<ds:datastoreItem xmlns:ds="http://schemas.openxmlformats.org/officeDocument/2006/customXml" ds:itemID="{619A6168-C16C-43D3-8A0D-32734DA1FFD7}"/>
</file>

<file path=customXml/itemProps3.xml><?xml version="1.0" encoding="utf-8"?>
<ds:datastoreItem xmlns:ds="http://schemas.openxmlformats.org/officeDocument/2006/customXml" ds:itemID="{F32A5170-2B18-4600-877C-24BD6236344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Curtis</dc:creator>
  <cp:keywords/>
  <dc:description/>
  <cp:lastModifiedBy/>
  <cp:revision/>
  <dcterms:created xsi:type="dcterms:W3CDTF">2025-06-25T19:51:14Z</dcterms:created>
  <dcterms:modified xsi:type="dcterms:W3CDTF">2026-07-11T22:26:12Z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0x0101006CB82AADFCD3564B9ED758874BAF867E</vt:lpwstr>
  </property>
  <property fmtid="{D5CDD505-2E9C-101B-9397-08002B2CF9AE}" pid="3" name="MediaServiceImageTags">
    <vt:lpwstr/>
  </property>
</Properties>
</file>